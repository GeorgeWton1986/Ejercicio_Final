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E1543A97-8FB2-224F-B3B1-E18E4336812E}" xr6:coauthVersionLast="47" xr6:coauthVersionMax="47" xr10:uidLastSave="{00000000-0000-0000-0000-000000000000}"/>
  <bookViews>
    <workbookView xWindow="34740" yWindow="17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Sheet1!$A$1:$BQ$1973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817" i="4" l="1"/>
  <c r="BP717" i="4"/>
  <c r="BP1327" i="4"/>
  <c r="BP30" i="4"/>
  <c r="BP29" i="4"/>
  <c r="BP1440" i="4"/>
  <c r="BP1378" i="4"/>
  <c r="BP1717" i="4"/>
  <c r="BP1716" i="4"/>
  <c r="BP159" i="4"/>
  <c r="BP1374" i="4"/>
  <c r="BP775" i="4"/>
  <c r="BP1720" i="4"/>
  <c r="BP37" i="4"/>
  <c r="BP1879" i="4"/>
  <c r="BP722" i="4"/>
  <c r="BP75" i="4"/>
  <c r="BP1880" i="4"/>
  <c r="BP764" i="4"/>
  <c r="BP788" i="4"/>
  <c r="BP819" i="4"/>
  <c r="BP1556" i="4"/>
  <c r="BP31" i="4"/>
  <c r="BP742" i="4"/>
  <c r="BP64" i="4"/>
  <c r="BP1471" i="4"/>
  <c r="BP728" i="4"/>
  <c r="BP774" i="4"/>
  <c r="BP165" i="4"/>
  <c r="BP1380" i="4"/>
  <c r="BP1881" i="4"/>
  <c r="BP736" i="4"/>
  <c r="BP1897" i="4"/>
  <c r="BP4" i="4"/>
  <c r="BP45" i="4"/>
  <c r="BP791" i="4"/>
  <c r="BP1369" i="4"/>
  <c r="BP41" i="4"/>
  <c r="BP605" i="4"/>
  <c r="BP18" i="4"/>
  <c r="BP19" i="4"/>
  <c r="BP1534" i="4"/>
  <c r="BP101" i="4"/>
  <c r="BP84" i="4"/>
  <c r="BP1878" i="4"/>
  <c r="BP463" i="4"/>
  <c r="BP74" i="4"/>
  <c r="BP106" i="4"/>
  <c r="BP1882" i="4"/>
  <c r="BP794" i="4"/>
  <c r="BP755" i="4"/>
  <c r="BP772" i="4"/>
  <c r="BP66" i="4"/>
  <c r="BP67" i="4"/>
  <c r="BP1569" i="4"/>
  <c r="BP185" i="4"/>
  <c r="BP732" i="4"/>
  <c r="BP53" i="4"/>
  <c r="BP826" i="4"/>
  <c r="BP745" i="4"/>
  <c r="BP27" i="4"/>
  <c r="BP48" i="4"/>
  <c r="BP13" i="4"/>
  <c r="BP32" i="4"/>
  <c r="BP33" i="4"/>
  <c r="BP9" i="4"/>
  <c r="BP735" i="4"/>
  <c r="BP50" i="4"/>
  <c r="BP1712" i="4"/>
  <c r="BP1828" i="4"/>
  <c r="BP1846" i="4"/>
  <c r="BP1883" i="4"/>
  <c r="BP1884" i="4"/>
  <c r="BP54" i="4"/>
  <c r="BP1885" i="4"/>
  <c r="BP1901" i="4"/>
  <c r="BP1668" i="4"/>
  <c r="BP15" i="4"/>
  <c r="BP83" i="4"/>
  <c r="BP1829" i="4"/>
  <c r="BP746" i="4"/>
  <c r="BP709" i="4"/>
  <c r="BP777" i="4"/>
  <c r="BP49" i="4"/>
  <c r="BP733" i="4"/>
  <c r="BP1940" i="4"/>
  <c r="BP645" i="4"/>
  <c r="BP1790" i="4"/>
  <c r="BP1889" i="4"/>
  <c r="BP727" i="4"/>
  <c r="BP762" i="4"/>
  <c r="BP113" i="4"/>
  <c r="BP14" i="4"/>
  <c r="BP20" i="4"/>
  <c r="BP112" i="4"/>
  <c r="BP58" i="4"/>
  <c r="BP1865" i="4"/>
  <c r="BP1456" i="4"/>
  <c r="BP1685" i="4"/>
  <c r="BP5" i="4"/>
  <c r="BP51" i="4"/>
  <c r="BP12" i="4"/>
  <c r="BP39" i="4"/>
  <c r="BP1898" i="4"/>
  <c r="BP1928" i="4"/>
  <c r="BP1929" i="4"/>
  <c r="BP76" i="4"/>
  <c r="BP802" i="4"/>
  <c r="BP1551" i="4"/>
  <c r="BP1935" i="4"/>
  <c r="BP1869" i="4"/>
  <c r="BP1941" i="4"/>
  <c r="BP740" i="4"/>
  <c r="BP756" i="4"/>
  <c r="BP63" i="4"/>
  <c r="BP1949" i="4"/>
  <c r="BP1570" i="4"/>
  <c r="BP36" i="4"/>
  <c r="BP718" i="4"/>
  <c r="BP59" i="4"/>
  <c r="BP708" i="4"/>
  <c r="BP1942" i="4"/>
  <c r="BP1916" i="4"/>
  <c r="BP82" i="4"/>
  <c r="BP7" i="4"/>
  <c r="BP1796" i="4"/>
  <c r="BP1943" i="4"/>
  <c r="BP1944" i="4"/>
  <c r="BP1945" i="4"/>
  <c r="BP60" i="4"/>
  <c r="BP21" i="4"/>
  <c r="BP707" i="4"/>
  <c r="BP1920" i="4"/>
  <c r="BP1934" i="4"/>
  <c r="BP120" i="4"/>
  <c r="BP34" i="4"/>
  <c r="BP1803" i="4"/>
  <c r="BP1670" i="4"/>
  <c r="BP1590" i="4"/>
  <c r="BP1842" i="4"/>
  <c r="BP42" i="4"/>
  <c r="BP134" i="4"/>
  <c r="BP1800" i="4"/>
  <c r="BP77" i="4"/>
  <c r="BP150" i="4"/>
  <c r="BP1801" i="4"/>
  <c r="BP1802" i="4"/>
  <c r="BP144" i="4"/>
  <c r="BP625" i="4"/>
  <c r="BP1680" i="4"/>
  <c r="BP10" i="4"/>
  <c r="BP114" i="4"/>
  <c r="BP46" i="4"/>
  <c r="BP124" i="4"/>
  <c r="BP6" i="4"/>
  <c r="BP131" i="4"/>
  <c r="BP78" i="4"/>
  <c r="BP1870" i="4"/>
  <c r="BP737" i="4"/>
  <c r="BP89" i="4"/>
  <c r="BP1855" i="4"/>
  <c r="BP79" i="4"/>
  <c r="BP172" i="4"/>
  <c r="BP1515" i="4"/>
  <c r="BP169" i="4"/>
  <c r="BP171" i="4"/>
  <c r="BP123" i="4"/>
  <c r="BP713" i="4"/>
  <c r="BP127" i="4"/>
  <c r="BP1797" i="4"/>
  <c r="BP1877" i="4"/>
  <c r="BP780" i="4"/>
  <c r="BP885" i="4"/>
  <c r="BP1384" i="4"/>
  <c r="BP1804" i="4"/>
  <c r="BP62" i="4"/>
  <c r="BP869" i="4"/>
  <c r="BP22" i="4"/>
  <c r="BP23" i="4"/>
  <c r="BP721" i="4"/>
  <c r="BP1477" i="4"/>
  <c r="BP143" i="4"/>
  <c r="BP1777" i="4"/>
  <c r="BP1805" i="4"/>
  <c r="BP1478" i="4"/>
  <c r="BP1778" i="4"/>
  <c r="BP1888" i="4"/>
  <c r="BP715" i="4"/>
  <c r="BP842" i="4"/>
  <c r="BP65" i="4"/>
  <c r="BP55" i="4"/>
  <c r="BP85" i="4"/>
  <c r="BP86" i="4"/>
  <c r="BP887" i="4"/>
  <c r="BP97" i="4"/>
  <c r="BP16" i="4"/>
  <c r="BP17" i="4"/>
  <c r="BP729" i="4"/>
  <c r="BP603" i="4"/>
  <c r="BP1621" i="4"/>
  <c r="BP1655" i="4"/>
  <c r="BP122" i="4"/>
  <c r="BP145" i="4"/>
  <c r="BP1838" i="4"/>
  <c r="BP3" i="4"/>
  <c r="BP1426" i="4"/>
  <c r="BP70" i="4"/>
  <c r="BP741" i="4"/>
  <c r="BP191" i="4"/>
  <c r="BP105" i="4"/>
  <c r="BP8" i="4"/>
  <c r="BP806" i="4"/>
  <c r="BP69" i="4"/>
  <c r="BP44" i="4"/>
  <c r="BP1830" i="4"/>
  <c r="BP619" i="4"/>
  <c r="BP117" i="4"/>
  <c r="BP1891" i="4"/>
  <c r="BP1794" i="4"/>
  <c r="BP1799" i="4"/>
  <c r="BP1789" i="4"/>
  <c r="BP1766" i="4"/>
  <c r="BP72" i="4"/>
  <c r="BP467" i="4"/>
  <c r="BP1795" i="4"/>
  <c r="BP1724" i="4"/>
  <c r="BP752" i="4"/>
  <c r="BP763" i="4"/>
  <c r="BP96" i="4"/>
  <c r="BP1769" i="4"/>
  <c r="BP2" i="4"/>
  <c r="BP118" i="4"/>
  <c r="BP828" i="4"/>
  <c r="BP1770" i="4"/>
  <c r="BP1815" i="4"/>
  <c r="BP509" i="4"/>
  <c r="BP1771" i="4"/>
  <c r="BP214" i="4"/>
  <c r="BP1543" i="4"/>
  <c r="BP1809" i="4"/>
  <c r="BP24" i="4"/>
  <c r="BP135" i="4"/>
  <c r="BP1479" i="4"/>
  <c r="BP710" i="4"/>
  <c r="BP866" i="4"/>
  <c r="BP119" i="4"/>
  <c r="BP252" i="4"/>
  <c r="BP508" i="4"/>
  <c r="BP1646" i="4"/>
  <c r="BP166" i="4"/>
  <c r="BP190" i="4"/>
  <c r="BP1768" i="4"/>
  <c r="BP1429" i="4"/>
  <c r="BP753" i="4"/>
  <c r="BP838" i="4"/>
  <c r="BP766" i="4"/>
  <c r="BP170" i="4"/>
  <c r="BP38" i="4"/>
  <c r="BP757" i="4"/>
  <c r="BP807" i="4"/>
  <c r="BP1587" i="4"/>
  <c r="BP125" i="4"/>
  <c r="BP768" i="4"/>
  <c r="BP1529" i="4"/>
  <c r="BP142" i="4"/>
  <c r="BP287" i="4"/>
  <c r="BP863" i="4"/>
  <c r="BP864" i="4"/>
  <c r="BP825" i="4"/>
  <c r="BP900" i="4"/>
  <c r="BP98" i="4"/>
  <c r="BP40" i="4"/>
  <c r="BP1839" i="4"/>
  <c r="BP1728" i="4"/>
  <c r="BP87" i="4"/>
  <c r="BP747" i="4"/>
  <c r="BP781" i="4"/>
  <c r="BP1370" i="4"/>
  <c r="BP115" i="4"/>
  <c r="BP843" i="4"/>
  <c r="BP91" i="4"/>
  <c r="BP1538" i="4"/>
  <c r="BP210" i="4"/>
  <c r="BP211" i="4"/>
  <c r="BP212" i="4"/>
  <c r="BP1632" i="4"/>
  <c r="BP1544" i="4"/>
  <c r="BP749" i="4"/>
  <c r="BP28" i="4"/>
  <c r="BP714" i="4"/>
  <c r="BP107" i="4"/>
  <c r="BP814" i="4"/>
  <c r="BP815" i="4"/>
  <c r="BP25" i="4"/>
  <c r="BP73" i="4"/>
  <c r="BP95" i="4"/>
  <c r="BP1588" i="4"/>
  <c r="BP1751" i="4"/>
  <c r="BP1827" i="4"/>
  <c r="BP104" i="4"/>
  <c r="BP161" i="4"/>
  <c r="BP778" i="4"/>
  <c r="BP183" i="4"/>
  <c r="BP151" i="4"/>
  <c r="BP56" i="4"/>
  <c r="BP1494" i="4"/>
  <c r="BP90" i="4"/>
  <c r="BP61" i="4"/>
  <c r="BP1675" i="4"/>
  <c r="BP116" i="4"/>
  <c r="BP725" i="4"/>
  <c r="BP47" i="4"/>
  <c r="BP1688" i="4"/>
  <c r="BP109" i="4"/>
  <c r="BP110" i="4"/>
  <c r="BP1677" i="4"/>
  <c r="BP723" i="4"/>
  <c r="BP1678" i="4"/>
  <c r="BP1764" i="4"/>
  <c r="BP754" i="4"/>
  <c r="BP1627" i="4"/>
  <c r="BP1468" i="4"/>
  <c r="BP1584" i="4"/>
  <c r="BP1616" i="4"/>
  <c r="BP162" i="4"/>
  <c r="BP168" i="4"/>
  <c r="BP854" i="4"/>
  <c r="BP274" i="4"/>
  <c r="BP1395" i="4"/>
  <c r="BP862" i="4"/>
  <c r="BP1947" i="4"/>
  <c r="BP712" i="4"/>
  <c r="BP750" i="4"/>
  <c r="BP35" i="4"/>
  <c r="BP216" i="4"/>
  <c r="BP1739" i="4"/>
  <c r="BP1831" i="4"/>
  <c r="BP734" i="4"/>
  <c r="BP198" i="4"/>
  <c r="BP194" i="4"/>
  <c r="BP770" i="4"/>
  <c r="BP1905" i="4"/>
  <c r="BP1772" i="4"/>
  <c r="BP1840" i="4"/>
  <c r="BP80" i="4"/>
  <c r="BP706" i="4"/>
  <c r="BP1906" i="4"/>
  <c r="BP724" i="4"/>
  <c r="BP1958" i="4"/>
  <c r="BP180" i="4"/>
  <c r="BP1580" i="4"/>
  <c r="BP1575" i="4"/>
  <c r="BP236" i="4"/>
  <c r="BP808" i="4"/>
  <c r="BP207" i="4"/>
  <c r="BP769" i="4"/>
  <c r="BP809" i="4"/>
  <c r="BP103" i="4"/>
  <c r="BP898" i="4"/>
  <c r="BP133" i="4"/>
  <c r="BP1391" i="4"/>
  <c r="BP197" i="4"/>
  <c r="BP248" i="4"/>
  <c r="BP1381" i="4"/>
  <c r="BP175" i="4"/>
  <c r="BP829" i="4"/>
  <c r="BP11" i="4"/>
  <c r="BP93" i="4"/>
  <c r="BP126" i="4"/>
  <c r="BP88" i="4"/>
  <c r="BP94" i="4"/>
  <c r="BP1400" i="4"/>
  <c r="BP1367" i="4"/>
  <c r="BP1368" i="4"/>
  <c r="BP779" i="4"/>
  <c r="BP195" i="4"/>
  <c r="BP1969" i="4"/>
  <c r="BP146" i="4"/>
  <c r="BP822" i="4"/>
  <c r="BP184" i="4"/>
  <c r="BP1723" i="4"/>
  <c r="BP1970" i="4"/>
  <c r="BP1408" i="4"/>
  <c r="BP1854" i="4"/>
  <c r="BP232" i="4"/>
  <c r="BP524" i="4"/>
  <c r="BP1946" i="4"/>
  <c r="BP1520" i="4"/>
  <c r="BP136" i="4"/>
  <c r="BP787" i="4"/>
  <c r="BP81" i="4"/>
  <c r="BP810" i="4"/>
  <c r="BP52" i="4"/>
  <c r="BP26" i="4"/>
  <c r="BP839" i="4"/>
  <c r="BP859" i="4"/>
  <c r="BP1623" i="4"/>
  <c r="BP313" i="4"/>
  <c r="BP1458" i="4"/>
  <c r="BP1752" i="4"/>
  <c r="BP1557" i="4"/>
  <c r="BP845" i="4"/>
  <c r="BP1415" i="4"/>
  <c r="BP1785" i="4"/>
  <c r="BP1416" i="4"/>
  <c r="BP876" i="4"/>
  <c r="BP1738" i="4"/>
  <c r="BP147" i="4"/>
  <c r="BP71" i="4"/>
  <c r="BP726" i="4"/>
  <c r="BP1662" i="4"/>
  <c r="BP1541" i="4"/>
  <c r="BP465" i="4"/>
  <c r="BP621" i="4"/>
  <c r="BP173" i="4"/>
  <c r="BP1434" i="4"/>
  <c r="BP849" i="4"/>
  <c r="BP1630" i="4"/>
  <c r="BP1517" i="4"/>
  <c r="BP1613" i="4"/>
  <c r="BP1776" i="4"/>
  <c r="BP121" i="4"/>
  <c r="BP607" i="4"/>
  <c r="BP1937" i="4"/>
  <c r="BP604" i="4"/>
  <c r="BP874" i="4"/>
  <c r="BP1417" i="4"/>
  <c r="BP141" i="4"/>
  <c r="BP798" i="4"/>
  <c r="BP1585" i="4"/>
  <c r="BP1819" i="4"/>
  <c r="BP738" i="4"/>
  <c r="BP1358" i="4"/>
  <c r="BP201" i="4"/>
  <c r="BP1386" i="4"/>
  <c r="BP1513" i="4"/>
  <c r="BP1489" i="4"/>
  <c r="BP857" i="4"/>
  <c r="BP152" i="4"/>
  <c r="BP202" i="4"/>
  <c r="BP1567" i="4"/>
  <c r="BP203" i="4"/>
  <c r="BP1900" i="4"/>
  <c r="BP1924" i="4"/>
  <c r="BP1401" i="4"/>
  <c r="BP237" i="4"/>
  <c r="BP1690" i="4"/>
  <c r="BP189" i="4"/>
  <c r="BP1954" i="4"/>
  <c r="BP1927" i="4"/>
  <c r="BP1960" i="4"/>
  <c r="BP1961" i="4"/>
  <c r="BP1964" i="4"/>
  <c r="BP1671" i="4"/>
  <c r="BP218" i="4"/>
  <c r="BP1679" i="4"/>
  <c r="BP1866" i="4"/>
  <c r="BP43" i="4"/>
  <c r="BP217" i="4"/>
  <c r="BP1824" i="4"/>
  <c r="BP861" i="4"/>
  <c r="BP622" i="4"/>
  <c r="BP128" i="4"/>
  <c r="BP57" i="4"/>
  <c r="BP716" i="4"/>
  <c r="BP873" i="4"/>
  <c r="BP1773" i="4"/>
  <c r="BP174" i="4"/>
  <c r="BP1933" i="4"/>
  <c r="BP1938" i="4"/>
  <c r="BP1424" i="4"/>
  <c r="BP1375" i="4"/>
  <c r="BP525" i="4"/>
  <c r="BP905" i="4"/>
  <c r="BP818" i="4"/>
  <c r="BP1628" i="4"/>
  <c r="BP800" i="4"/>
  <c r="BP196" i="4"/>
  <c r="BP68" i="4"/>
  <c r="BP1708" i="4"/>
  <c r="BP1486" i="4"/>
  <c r="BP1836" i="4"/>
  <c r="BP867" i="4"/>
  <c r="BP1782" i="4"/>
  <c r="BP1689" i="4"/>
  <c r="BP1786" i="4"/>
  <c r="BP853" i="4"/>
  <c r="BP870" i="4"/>
  <c r="BP830" i="4"/>
  <c r="BP108" i="4"/>
  <c r="BP148" i="4"/>
  <c r="BP1571" i="4"/>
  <c r="BP1672" i="4"/>
  <c r="BP1503" i="4"/>
  <c r="BP1624" i="4"/>
  <c r="BP1598" i="4"/>
  <c r="BP160" i="4"/>
  <c r="BP1971" i="4"/>
  <c r="BP187" i="4"/>
  <c r="BP1470" i="4"/>
  <c r="BP782" i="4"/>
  <c r="BP1562" i="4"/>
  <c r="BP767" i="4"/>
  <c r="BP158" i="4"/>
  <c r="BP1867" i="4"/>
  <c r="BP1547" i="4"/>
  <c r="BP246" i="4"/>
  <c r="BP102" i="4"/>
  <c r="BP1781" i="4"/>
  <c r="BP871" i="4"/>
  <c r="BP804" i="4"/>
  <c r="BP1871" i="4"/>
  <c r="BP924" i="4"/>
  <c r="BP765" i="4"/>
  <c r="BP220" i="4"/>
  <c r="BP827" i="4"/>
  <c r="BP851" i="4"/>
  <c r="BP256" i="4"/>
  <c r="BP783" i="4"/>
  <c r="BP1719" i="4"/>
  <c r="BP743" i="4"/>
  <c r="BP823" i="4"/>
  <c r="BP265" i="4"/>
  <c r="BP182" i="4"/>
  <c r="BP100" i="4"/>
  <c r="BP1721" i="4"/>
  <c r="BP208" i="4"/>
  <c r="BP811" i="4"/>
  <c r="BP1359" i="4"/>
  <c r="BP264" i="4"/>
  <c r="BP137" i="4"/>
  <c r="BP193" i="4"/>
  <c r="BP464" i="4"/>
  <c r="BP267" i="4"/>
  <c r="BP519" i="4"/>
  <c r="BP230" i="4"/>
  <c r="BP231" i="4"/>
  <c r="BP1409" i="4"/>
  <c r="BP1826" i="4"/>
  <c r="BP132" i="4"/>
  <c r="BP239" i="4"/>
  <c r="BP1807" i="4"/>
  <c r="BP186" i="4"/>
  <c r="BP939" i="4"/>
  <c r="BP517" i="4"/>
  <c r="BP1792" i="4"/>
  <c r="BP221" i="4"/>
  <c r="BP156" i="4"/>
  <c r="BP157" i="4"/>
  <c r="BP255" i="4"/>
  <c r="BP1527" i="4"/>
  <c r="BP1586" i="4"/>
  <c r="BP1506" i="4"/>
  <c r="BP224" i="4"/>
  <c r="BP225" i="4"/>
  <c r="BP1402" i="4"/>
  <c r="BP1361" i="4"/>
  <c r="BP92" i="4"/>
  <c r="BP1847" i="4"/>
  <c r="BP1611" i="4"/>
  <c r="BP1697" i="4"/>
  <c r="BP1950" i="4"/>
  <c r="BP812" i="4"/>
  <c r="BP233" i="4"/>
  <c r="BP1414" i="4"/>
  <c r="BP614" i="4"/>
  <c r="BP1843" i="4"/>
  <c r="BP222" i="4"/>
  <c r="BP129" i="4"/>
  <c r="BP908" i="4"/>
  <c r="BP1681" i="4"/>
  <c r="BP882" i="4"/>
  <c r="BP1858" i="4"/>
  <c r="BP1848" i="4"/>
  <c r="BP247" i="4"/>
  <c r="BP879" i="4"/>
  <c r="BP1917" i="4"/>
  <c r="BP1597" i="4"/>
  <c r="BP1639" i="4"/>
  <c r="BP258" i="4"/>
  <c r="BP176" i="4"/>
  <c r="BP1740" i="4"/>
  <c r="BP624" i="4"/>
  <c r="BP719" i="4"/>
  <c r="BP1660" i="4"/>
  <c r="BP138" i="4"/>
  <c r="BP479" i="4"/>
  <c r="BP278" i="4"/>
  <c r="BP153" i="4"/>
  <c r="BP1758" i="4"/>
  <c r="BP1618" i="4"/>
  <c r="BP1619" i="4"/>
  <c r="BP200" i="4"/>
  <c r="BP1620" i="4"/>
  <c r="BP1834" i="4"/>
  <c r="BP631" i="4"/>
  <c r="BP192" i="4"/>
  <c r="BP251" i="4"/>
  <c r="BP1835" i="4"/>
  <c r="BP259" i="4"/>
  <c r="BP270" i="4"/>
  <c r="BP824" i="4"/>
  <c r="BP181" i="4"/>
  <c r="BP229" i="4"/>
  <c r="BP612" i="4"/>
  <c r="BP215" i="4"/>
  <c r="BP154" i="4"/>
  <c r="BP155" i="4"/>
  <c r="BP139" i="4"/>
  <c r="BP1633" i="4"/>
  <c r="BP1608" i="4"/>
  <c r="BP1729" i="4"/>
  <c r="BP1398" i="4"/>
  <c r="BP789" i="4"/>
  <c r="BP894" i="4"/>
  <c r="BP1731" i="4"/>
  <c r="BP918" i="4"/>
  <c r="BP1849" i="4"/>
  <c r="BP243" i="4"/>
  <c r="BP253" i="4"/>
  <c r="BP283" i="4"/>
  <c r="BP1652" i="4"/>
  <c r="BP1629" i="4"/>
  <c r="BP1727" i="4"/>
  <c r="BP244" i="4"/>
  <c r="BP850" i="4"/>
  <c r="BP1640" i="4"/>
  <c r="BP177" i="4"/>
  <c r="BP284" i="4"/>
  <c r="BP204" i="4"/>
  <c r="BP1918" i="4"/>
  <c r="BP1583" i="4"/>
  <c r="BP286" i="4"/>
  <c r="BP268" i="4"/>
  <c r="BP1684" i="4"/>
  <c r="BP1427" i="4"/>
  <c r="BP1710" i="4"/>
  <c r="BP271" i="4"/>
  <c r="BP209" i="4"/>
  <c r="BP1818" i="4"/>
  <c r="BP199" i="4"/>
  <c r="BP163" i="4"/>
  <c r="BP164" i="4"/>
  <c r="BP1475" i="4"/>
  <c r="BP111" i="4"/>
  <c r="BP837" i="4"/>
  <c r="BP206" i="4"/>
  <c r="BP1490" i="4"/>
  <c r="BP1718" i="4"/>
  <c r="BP179" i="4"/>
  <c r="BP1599" i="4"/>
  <c r="BP758" i="4"/>
  <c r="BP1907" i="4"/>
  <c r="BP1491" i="4"/>
  <c r="BP1550" i="4"/>
  <c r="BP1926" i="4"/>
  <c r="BP226" i="4"/>
  <c r="BP227" i="4"/>
  <c r="BP530" i="4"/>
  <c r="BP1872" i="4"/>
  <c r="BP784" i="4"/>
  <c r="BP1676" i="4"/>
  <c r="BP303" i="4"/>
  <c r="BP228" i="4"/>
  <c r="BP925" i="4"/>
  <c r="BP448" i="4"/>
  <c r="BP841" i="4"/>
  <c r="BP1873" i="4"/>
  <c r="BP875" i="4"/>
  <c r="BP472" i="4"/>
  <c r="BP261" i="4"/>
  <c r="BP1432" i="4"/>
  <c r="BP1578" i="4"/>
  <c r="BP895" i="4"/>
  <c r="BP1617" i="4"/>
  <c r="BP140" i="4"/>
  <c r="BP1634" i="4"/>
  <c r="BP840" i="4"/>
  <c r="BP327" i="4"/>
  <c r="BP290" i="4"/>
  <c r="BP858" i="4"/>
  <c r="BP523" i="4"/>
  <c r="BP906" i="4"/>
  <c r="BP1516" i="4"/>
  <c r="BP1459" i="4"/>
  <c r="BP335" i="4"/>
  <c r="BP835" i="4"/>
  <c r="BP1480" i="4"/>
  <c r="BP1736" i="4"/>
  <c r="BP1820" i="4"/>
  <c r="BP1443" i="4"/>
  <c r="BP1631" i="4"/>
  <c r="BP273" i="4"/>
  <c r="BP1362" i="4"/>
  <c r="BP946" i="4"/>
  <c r="BP1814" i="4"/>
  <c r="BP538" i="4"/>
  <c r="BP1466" i="4"/>
  <c r="BP149" i="4"/>
  <c r="BP868" i="4"/>
  <c r="BP883" i="4"/>
  <c r="BP759" i="4"/>
  <c r="BP1484" i="4"/>
  <c r="BP890" i="4"/>
  <c r="BP606" i="4"/>
  <c r="BP205" i="4"/>
  <c r="BP903" i="4"/>
  <c r="BP1035" i="4"/>
  <c r="BP1748" i="4"/>
  <c r="BP1591" i="4"/>
  <c r="BP167" i="4"/>
  <c r="BP785" i="4"/>
  <c r="BP1875" i="4"/>
  <c r="BP213" i="4"/>
  <c r="BP796" i="4"/>
  <c r="BP821" i="4"/>
  <c r="BP1696" i="4"/>
  <c r="BP751" i="4"/>
  <c r="BP1899" i="4"/>
  <c r="BP1837" i="4"/>
  <c r="BP1895" i="4"/>
  <c r="BP1930" i="4"/>
  <c r="BP847" i="4"/>
  <c r="BP1936" i="4"/>
  <c r="BP761" i="4"/>
  <c r="BP915" i="4"/>
  <c r="BP913" i="4"/>
  <c r="BP1908" i="4"/>
  <c r="BP311" i="4"/>
  <c r="BP801" i="4"/>
  <c r="BP1925" i="4"/>
  <c r="BP872" i="4"/>
  <c r="BP834" i="4"/>
  <c r="BP1909" i="4"/>
  <c r="BP250" i="4"/>
  <c r="BP1932" i="4"/>
  <c r="BP610" i="4"/>
  <c r="BP891" i="4"/>
  <c r="BP914" i="4"/>
  <c r="BP613" i="4"/>
  <c r="BP354" i="4"/>
  <c r="BP1418" i="4"/>
  <c r="BP245" i="4"/>
  <c r="BP364" i="4"/>
  <c r="BP1548" i="4"/>
  <c r="BP865" i="4"/>
  <c r="BP907" i="4"/>
  <c r="BP959" i="4"/>
  <c r="BP773" i="4"/>
  <c r="BP526" i="4"/>
  <c r="BP466" i="4"/>
  <c r="BP1330" i="4"/>
  <c r="BP240" i="4"/>
  <c r="BP223" i="4"/>
  <c r="BP188" i="4"/>
  <c r="BP130" i="4"/>
  <c r="BP1469" i="4"/>
  <c r="BP279" i="4"/>
  <c r="BP1454" i="4"/>
  <c r="BP608" i="4"/>
  <c r="BP956" i="4"/>
  <c r="BP1892" i="4"/>
  <c r="BP1910" i="4"/>
  <c r="BP1667" i="4"/>
  <c r="BP711" i="4"/>
  <c r="BP730" i="4"/>
  <c r="BP615" i="4"/>
  <c r="BP262" i="4"/>
  <c r="BP880" i="4"/>
  <c r="BP1759" i="4"/>
  <c r="BP1657" i="4"/>
  <c r="BP637" i="4"/>
  <c r="BP1890" i="4"/>
  <c r="BP617" i="4"/>
  <c r="BP1948" i="4"/>
  <c r="BP285" i="4"/>
  <c r="BP797" i="4"/>
  <c r="BP803" i="4"/>
  <c r="BP846" i="4"/>
  <c r="BP831" i="4"/>
  <c r="BP1564" i="4"/>
  <c r="BP1647" i="4"/>
  <c r="BP234" i="4"/>
  <c r="BP620" i="4"/>
  <c r="BP633" i="4"/>
  <c r="BP1332" i="4"/>
  <c r="BP1476" i="4"/>
  <c r="BP178" i="4"/>
  <c r="BP634" i="4"/>
  <c r="BP249" i="4"/>
  <c r="BP632" i="4"/>
  <c r="BP288" i="4"/>
  <c r="BP611" i="4"/>
  <c r="BP1474" i="4"/>
  <c r="BP1921" i="4"/>
  <c r="BP242" i="4"/>
  <c r="BP1904" i="4"/>
  <c r="BP280" i="4"/>
  <c r="BP760" i="4"/>
  <c r="BP899" i="4"/>
  <c r="BP1911" i="4"/>
  <c r="BP627" i="4"/>
  <c r="BP266" i="4"/>
  <c r="BP1455" i="4"/>
  <c r="BP1642" i="4"/>
  <c r="BP1447" i="4"/>
  <c r="BP1609" i="4"/>
  <c r="BP1555" i="4"/>
  <c r="BP1730" i="4"/>
  <c r="BP527" i="4"/>
  <c r="BP541" i="4"/>
  <c r="BP1328" i="4"/>
  <c r="BP238" i="4"/>
  <c r="BP241" i="4"/>
  <c r="BP926" i="4"/>
  <c r="BP639" i="4"/>
  <c r="BP375" i="4"/>
  <c r="BP260" i="4"/>
  <c r="BP1505" i="4"/>
  <c r="BP1643" i="4"/>
  <c r="BP985" i="4"/>
  <c r="BP1709" i="4"/>
  <c r="BP609" i="4"/>
  <c r="BP1753" i="4"/>
  <c r="BP357" i="4"/>
  <c r="BP1329" i="4"/>
  <c r="BP481" i="4"/>
  <c r="BP292" i="4"/>
  <c r="BP1956" i="4"/>
  <c r="BP790" i="4"/>
  <c r="BP927" i="4"/>
  <c r="BP799" i="4"/>
  <c r="BP1645" i="4"/>
  <c r="BP269" i="4"/>
  <c r="BP640" i="4"/>
  <c r="BP638" i="4"/>
  <c r="BP1832" i="4"/>
  <c r="BP1850" i="4"/>
  <c r="BP345" i="4"/>
  <c r="BP1973" i="4"/>
  <c r="BP1526" i="4"/>
  <c r="BP1566" i="4"/>
  <c r="BP1734" i="4"/>
  <c r="BP1673" i="4"/>
  <c r="BP1423" i="4"/>
  <c r="BP537" i="4"/>
  <c r="BP1859" i="4"/>
  <c r="BP892" i="4"/>
  <c r="BP99" i="4"/>
  <c r="BP1876" i="4"/>
  <c r="BP276" i="4"/>
  <c r="BP1663" i="4"/>
  <c r="BP920" i="4"/>
  <c r="BP320" i="4"/>
  <c r="BP341" i="4"/>
  <c r="BP263" i="4"/>
  <c r="BP1868" i="4"/>
  <c r="BP889" i="4"/>
  <c r="BP322" i="4"/>
  <c r="BP272" i="4"/>
  <c r="BP468" i="4"/>
  <c r="BP1530" i="4"/>
  <c r="BP1387" i="4"/>
  <c r="BP522" i="4"/>
  <c r="BP1853" i="4"/>
  <c r="BP1360" i="4"/>
  <c r="BP820" i="4"/>
  <c r="BP315" i="4"/>
  <c r="BP748" i="4"/>
  <c r="BP1691" i="4"/>
  <c r="BP1760" i="4"/>
  <c r="BP1783" i="4"/>
  <c r="BP1055" i="4"/>
  <c r="BP628" i="4"/>
  <c r="BP476" i="4"/>
  <c r="BP1435" i="4"/>
  <c r="BP254" i="4"/>
  <c r="BP470" i="4"/>
  <c r="BP282" i="4"/>
  <c r="BP1326" i="4"/>
  <c r="BP298" i="4"/>
  <c r="BP916" i="4"/>
  <c r="BP958" i="4"/>
  <c r="BP1788" i="4"/>
  <c r="BP314" i="4"/>
  <c r="BP1614" i="4"/>
  <c r="BP1531" i="4"/>
  <c r="BP1704" i="4"/>
  <c r="BP992" i="4"/>
  <c r="BP289" i="4"/>
  <c r="BP329" i="4"/>
  <c r="BP1481" i="4"/>
  <c r="BP978" i="4"/>
  <c r="BP936" i="4"/>
  <c r="BP786" i="4"/>
  <c r="BP1713" i="4"/>
  <c r="BP1364" i="4"/>
  <c r="BP257" i="4"/>
  <c r="BP480" i="4"/>
  <c r="BP1363" i="4"/>
  <c r="BP1601" i="4"/>
  <c r="BP1845" i="4"/>
  <c r="BP1492" i="4"/>
  <c r="BP921" i="4"/>
  <c r="BP1003" i="4"/>
  <c r="BP993" i="4"/>
  <c r="BP235" i="4"/>
  <c r="BP1493" i="4"/>
  <c r="BP626" i="4"/>
  <c r="BP1966" i="4"/>
  <c r="BP1306" i="4"/>
  <c r="BP1043" i="4"/>
  <c r="BP832" i="4"/>
  <c r="BP483" i="4"/>
  <c r="BP642" i="4"/>
  <c r="BP275" i="4"/>
  <c r="BP532" i="4"/>
  <c r="BP1592" i="4"/>
  <c r="BP324" i="4"/>
  <c r="BP336" i="4"/>
  <c r="BP793" i="4"/>
  <c r="BP1902" i="4"/>
  <c r="BP618" i="4"/>
  <c r="BP482" i="4"/>
  <c r="BP473" i="4"/>
  <c r="BP776" i="4"/>
  <c r="BP520" i="4"/>
  <c r="BP521" i="4"/>
  <c r="BP931" i="4"/>
  <c r="BP1903" i="4"/>
  <c r="BP294" i="4"/>
  <c r="BP904" i="4"/>
  <c r="BP342" i="4"/>
  <c r="BP937" i="4"/>
  <c r="BP304" i="4"/>
  <c r="BP1549" i="4"/>
  <c r="BP518" i="4"/>
  <c r="BP291" i="4"/>
  <c r="BP277" i="4"/>
  <c r="BP1589" i="4"/>
  <c r="BP307" i="4"/>
  <c r="BP629" i="4"/>
  <c r="BP330" i="4"/>
  <c r="BP940" i="4"/>
  <c r="BP1545" i="4"/>
  <c r="BP1693" i="4"/>
  <c r="BP1856" i="4"/>
  <c r="BP877" i="4"/>
  <c r="BP949" i="4"/>
  <c r="BP1774" i="4"/>
  <c r="BP933" i="4"/>
  <c r="BP1714" i="4"/>
  <c r="BP281" i="4"/>
  <c r="BP1500" i="4"/>
  <c r="BP919" i="4"/>
  <c r="BP1376" i="4"/>
  <c r="BP986" i="4"/>
  <c r="BP962" i="4"/>
  <c r="BP1125" i="4"/>
  <c r="BP970" i="4"/>
  <c r="BP836" i="4"/>
  <c r="BP1661" i="4"/>
  <c r="BP1644" i="4"/>
  <c r="BP929" i="4"/>
  <c r="BP917" i="4"/>
  <c r="BP1553" i="4"/>
  <c r="BP947" i="4"/>
  <c r="BP991" i="4"/>
  <c r="BP295" i="4"/>
  <c r="BP1365" i="4"/>
  <c r="BP296" i="4"/>
  <c r="BP813" i="4"/>
  <c r="BP1707" i="4"/>
  <c r="BP299" i="4"/>
  <c r="BP219" i="4"/>
  <c r="BP856" i="4"/>
  <c r="BP654" i="4"/>
  <c r="BP321" i="4"/>
  <c r="BP860" i="4"/>
  <c r="BP1650" i="4"/>
  <c r="BP300" i="4"/>
  <c r="BP1653" i="4"/>
  <c r="BP944" i="4"/>
  <c r="BP293" i="4"/>
  <c r="BP1722" i="4"/>
  <c r="BP1542" i="4"/>
  <c r="BP1604" i="4"/>
  <c r="BP1658" i="4"/>
  <c r="BP1399" i="4"/>
  <c r="BP1851" i="4"/>
  <c r="BP1864" i="4"/>
  <c r="BP635" i="4"/>
  <c r="BP1798" i="4"/>
  <c r="BP317" i="4"/>
  <c r="BP932" i="4"/>
  <c r="BP1568" i="4"/>
  <c r="BP1791" i="4"/>
  <c r="BP1563" i="4"/>
  <c r="BP1579" i="4"/>
  <c r="BP1784" i="4"/>
  <c r="BP1951" i="4"/>
  <c r="BP1893" i="4"/>
  <c r="BP1552" i="4"/>
  <c r="BP616" i="4"/>
  <c r="BP306" i="4"/>
  <c r="BP516" i="4"/>
  <c r="BP923" i="4"/>
  <c r="BP1816" i="4"/>
  <c r="BP1823" i="4"/>
  <c r="BP1874" i="4"/>
  <c r="BP1574" i="4"/>
  <c r="BP1382" i="4"/>
  <c r="BP316" i="4"/>
  <c r="BP1754" i="4"/>
  <c r="BP1410" i="4"/>
  <c r="BP325" i="4"/>
  <c r="BP1444" i="4"/>
  <c r="BP1377" i="4"/>
  <c r="BP952" i="4"/>
  <c r="BP326" i="4"/>
  <c r="BP1356" i="4"/>
  <c r="BP328" i="4"/>
  <c r="BP380" i="4"/>
  <c r="BP1495" i="4"/>
  <c r="BP974" i="4"/>
  <c r="BP911" i="4"/>
  <c r="BP930" i="4"/>
  <c r="BP833" i="4"/>
  <c r="BP1923" i="4"/>
  <c r="BP1040" i="4"/>
  <c r="BP1939" i="4"/>
  <c r="BP1605" i="4"/>
  <c r="BP649" i="4"/>
  <c r="BP305" i="4"/>
  <c r="BP1931" i="4"/>
  <c r="BP934" i="4"/>
  <c r="BP1744" i="4"/>
  <c r="BP1700" i="4"/>
  <c r="BP1385" i="4"/>
  <c r="BP1431" i="4"/>
  <c r="BP987" i="4"/>
  <c r="BP951" i="4"/>
  <c r="BP1582" i="4"/>
  <c r="BP653" i="4"/>
  <c r="BP548" i="4"/>
  <c r="BP531" i="4"/>
  <c r="BP922" i="4"/>
  <c r="BP1461" i="4"/>
  <c r="BP318" i="4"/>
  <c r="BP319" i="4"/>
  <c r="BP1120" i="4"/>
  <c r="BP1502" i="4"/>
  <c r="BP979" i="4"/>
  <c r="BP1388" i="4"/>
  <c r="BP471" i="4"/>
  <c r="BP953" i="4"/>
  <c r="BP938" i="4"/>
  <c r="BP1460" i="4"/>
  <c r="BP1648" i="4"/>
  <c r="BP1488" i="4"/>
  <c r="BP912" i="4"/>
  <c r="BP1806" i="4"/>
  <c r="BP475" i="4"/>
  <c r="BP340" i="4"/>
  <c r="BP337" i="4"/>
  <c r="BP1659" i="4"/>
  <c r="BP1635" i="4"/>
  <c r="BP1413" i="4"/>
  <c r="BP536" i="4"/>
  <c r="BP893" i="4"/>
  <c r="BP1603" i="4"/>
  <c r="BP377" i="4"/>
  <c r="BP1428" i="4"/>
  <c r="BP399" i="4"/>
  <c r="BP1537" i="4"/>
  <c r="BP1701" i="4"/>
  <c r="BP376" i="4"/>
  <c r="BP1127" i="4"/>
  <c r="BP901" i="4"/>
  <c r="BP969" i="4"/>
  <c r="BP935" i="4"/>
  <c r="BP1682" i="4"/>
  <c r="BP909" i="4"/>
  <c r="BP910" i="4"/>
  <c r="BP1482" i="4"/>
  <c r="BP1561" i="4"/>
  <c r="BP1372" i="4"/>
  <c r="BP720" i="4"/>
  <c r="BP562" i="4"/>
  <c r="BP1052" i="4"/>
  <c r="BP1602" i="4"/>
  <c r="BP1441" i="4"/>
  <c r="BP506" i="4"/>
  <c r="BP1411" i="4"/>
  <c r="BP478" i="4"/>
  <c r="BP630" i="4"/>
  <c r="BP1009" i="4"/>
  <c r="BP878" i="4"/>
  <c r="BP1033" i="4"/>
  <c r="BP1452" i="4"/>
  <c r="BP371" i="4"/>
  <c r="BP848" i="4"/>
  <c r="BP623" i="4"/>
  <c r="BP347" i="4"/>
  <c r="BP1004" i="4"/>
  <c r="BP1860" i="4"/>
  <c r="BP957" i="4"/>
  <c r="BP543" i="4"/>
  <c r="BP331" i="4"/>
  <c r="BP643" i="4"/>
  <c r="BP1610" i="4"/>
  <c r="BP301" i="4"/>
  <c r="BP302" i="4"/>
  <c r="BP372" i="4"/>
  <c r="BP1528" i="4"/>
  <c r="BP1518" i="4"/>
  <c r="BP297" i="4"/>
  <c r="BP1005" i="4"/>
  <c r="BP1912" i="4"/>
  <c r="BP1787" i="4"/>
  <c r="BP312" i="4"/>
  <c r="BP1318" i="4"/>
  <c r="BP1336" i="4"/>
  <c r="BP1913" i="4"/>
  <c r="BP1010" i="4"/>
  <c r="BP955" i="4"/>
  <c r="BP792" i="4"/>
  <c r="BP379" i="4"/>
  <c r="BP477" i="4"/>
  <c r="BP1392" i="4"/>
  <c r="BP355" i="4"/>
  <c r="BP1507" i="4"/>
  <c r="BP1448" i="4"/>
  <c r="BP550" i="4"/>
  <c r="BP1625" i="4"/>
  <c r="BP333" i="4"/>
  <c r="BP655" i="4"/>
  <c r="BP960" i="4"/>
  <c r="BP1896" i="4"/>
  <c r="BP1706" i="4"/>
  <c r="BP474" i="4"/>
  <c r="BP884" i="4"/>
  <c r="BP486" i="4"/>
  <c r="BP1636" i="4"/>
  <c r="BP1683" i="4"/>
  <c r="BP941" i="4"/>
  <c r="BP942" i="4"/>
  <c r="BP658" i="4"/>
  <c r="BP334" i="4"/>
  <c r="BP1732" i="4"/>
  <c r="BP1686" i="4"/>
  <c r="BP1775" i="4"/>
  <c r="BP1222" i="4"/>
  <c r="BP528" i="4"/>
  <c r="BP1056" i="4"/>
  <c r="BP338" i="4"/>
  <c r="BP1745" i="4"/>
  <c r="BP656" i="4"/>
  <c r="BP1746" i="4"/>
  <c r="BP1026" i="4"/>
  <c r="BP641" i="4"/>
  <c r="BP994" i="4"/>
  <c r="BP366" i="4"/>
  <c r="BP902" i="4"/>
  <c r="BP1453" i="4"/>
  <c r="BP1622" i="4"/>
  <c r="BP323" i="4"/>
  <c r="BP1496" i="4"/>
  <c r="BP1725" i="4"/>
  <c r="BP1810" i="4"/>
  <c r="BP505" i="4"/>
  <c r="BP980" i="4"/>
  <c r="BP1779" i="4"/>
  <c r="BP547" i="4"/>
  <c r="BP1074" i="4"/>
  <c r="BP1396" i="4"/>
  <c r="BP966" i="4"/>
  <c r="BP1023" i="4"/>
  <c r="BP995" i="4"/>
  <c r="BP539" i="4"/>
  <c r="BP999" i="4"/>
  <c r="BP1641" i="4"/>
  <c r="BP660" i="4"/>
  <c r="BP669" i="4"/>
  <c r="BP1282" i="4"/>
  <c r="BP1212" i="4"/>
  <c r="BP504" i="4"/>
  <c r="BP1638" i="4"/>
  <c r="BP973" i="4"/>
  <c r="BP339" i="4"/>
  <c r="BP1016" i="4"/>
  <c r="BP1654" i="4"/>
  <c r="BP1914" i="4"/>
  <c r="BP1761" i="4"/>
  <c r="BP996" i="4"/>
  <c r="BP652" i="4"/>
  <c r="BP308" i="4"/>
  <c r="BP1445" i="4"/>
  <c r="BP1025" i="4"/>
  <c r="BP1780" i="4"/>
  <c r="BP309" i="4"/>
  <c r="BP346" i="4"/>
  <c r="BP1075" i="4"/>
  <c r="BP967" i="4"/>
  <c r="BP975" i="4"/>
  <c r="BP990" i="4"/>
  <c r="BP332" i="4"/>
  <c r="BP542" i="4"/>
  <c r="BP1006" i="4"/>
  <c r="BP1808" i="4"/>
  <c r="BP1919" i="4"/>
  <c r="BP1749" i="4"/>
  <c r="BP358" i="4"/>
  <c r="BP356" i="4"/>
  <c r="BP1235" i="4"/>
  <c r="BP1581" i="4"/>
  <c r="BP1612" i="4"/>
  <c r="BP1111" i="4"/>
  <c r="BP1765" i="4"/>
  <c r="BP1535" i="4"/>
  <c r="BP964" i="4"/>
  <c r="BP1357" i="4"/>
  <c r="BP1600" i="4"/>
  <c r="BP1483" i="4"/>
  <c r="BP739" i="4"/>
  <c r="BP943" i="4"/>
  <c r="BP552" i="4"/>
  <c r="BP1092" i="4"/>
  <c r="BP383" i="4"/>
  <c r="BP1085" i="4"/>
  <c r="BP1151" i="4"/>
  <c r="BP816" i="4"/>
  <c r="BP367" i="4"/>
  <c r="BP1524" i="4"/>
  <c r="BP1017" i="4"/>
  <c r="BP1508" i="4"/>
  <c r="BP1039" i="4"/>
  <c r="BP1509" i="4"/>
  <c r="BP1112" i="4"/>
  <c r="BP1191" i="4"/>
  <c r="BP1852" i="4"/>
  <c r="BP1422" i="4"/>
  <c r="BP401" i="4"/>
  <c r="BP1433" i="4"/>
  <c r="BP1572" i="4"/>
  <c r="BP489" i="4"/>
  <c r="BP487" i="4"/>
  <c r="BP1011" i="4"/>
  <c r="BP1403" i="4"/>
  <c r="BP414" i="4"/>
  <c r="BP1733" i="4"/>
  <c r="BP664" i="4"/>
  <c r="BP665" i="4"/>
  <c r="BP310" i="4"/>
  <c r="BP540" i="4"/>
  <c r="BP1536" i="4"/>
  <c r="BP1437" i="4"/>
  <c r="BP1103" i="4"/>
  <c r="BP1063" i="4"/>
  <c r="BP388" i="4"/>
  <c r="BP1067" i="4"/>
  <c r="BP1134" i="4"/>
  <c r="BP981" i="4"/>
  <c r="BP368" i="4"/>
  <c r="BP1887" i="4"/>
  <c r="BP484" i="4"/>
  <c r="BP1073" i="4"/>
  <c r="BP1064" i="4"/>
  <c r="BP644" i="4"/>
  <c r="BP1747" i="4"/>
  <c r="BP1487" i="4"/>
  <c r="BP684" i="4"/>
  <c r="BP1076" i="4"/>
  <c r="BP988" i="4"/>
  <c r="BP1044" i="4"/>
  <c r="BP442" i="4"/>
  <c r="BP673" i="4"/>
  <c r="BP666" i="4"/>
  <c r="BP1576" i="4"/>
  <c r="BP1886" i="4"/>
  <c r="BP1894" i="4"/>
  <c r="BP971" i="4"/>
  <c r="BP1027" i="4"/>
  <c r="BP1041" i="4"/>
  <c r="BP1018" i="4"/>
  <c r="BP1406" i="4"/>
  <c r="BP1497" i="4"/>
  <c r="BP976" i="4"/>
  <c r="BP950" i="4"/>
  <c r="BP672" i="4"/>
  <c r="BP529" i="4"/>
  <c r="BP1959" i="4"/>
  <c r="BP1121" i="4"/>
  <c r="BP1817" i="4"/>
  <c r="BP1419" i="4"/>
  <c r="BP415" i="4"/>
  <c r="BP384" i="4"/>
  <c r="BP1405" i="4"/>
  <c r="BP1833" i="4"/>
  <c r="BP1019" i="4"/>
  <c r="BP1236" i="4"/>
  <c r="BP1711" i="4"/>
  <c r="BP469" i="4"/>
  <c r="BP945" i="4"/>
  <c r="BP1811" i="4"/>
  <c r="BP1750" i="4"/>
  <c r="BP1034" i="4"/>
  <c r="BP1756" i="4"/>
  <c r="BP360" i="4"/>
  <c r="BP427" i="4"/>
  <c r="BP1451" i="4"/>
  <c r="BP668" i="4"/>
  <c r="BP1071" i="4"/>
  <c r="BP1521" i="4"/>
  <c r="BP1615" i="4"/>
  <c r="BP391" i="4"/>
  <c r="BP392" i="4"/>
  <c r="BP1038" i="4"/>
  <c r="BP546" i="4"/>
  <c r="BP636" i="4"/>
  <c r="BP535" i="4"/>
  <c r="BP359" i="4"/>
  <c r="BP352" i="4"/>
  <c r="BP1962" i="4"/>
  <c r="BP1390" i="4"/>
  <c r="BP1449" i="4"/>
  <c r="BP1922" i="4"/>
  <c r="BP1649" i="4"/>
  <c r="BP1450" i="4"/>
  <c r="BP1522" i="4"/>
  <c r="BP1812" i="4"/>
  <c r="BP1813" i="4"/>
  <c r="BP1762" i="4"/>
  <c r="BP1726" i="4"/>
  <c r="BP1694" i="4"/>
  <c r="BP1048" i="4"/>
  <c r="BP1698" i="4"/>
  <c r="BP1767" i="4"/>
  <c r="BP1757" i="4"/>
  <c r="BP488" i="4"/>
  <c r="BP896" i="4"/>
  <c r="BP646" i="4"/>
  <c r="BP1666" i="4"/>
  <c r="BP928" i="4"/>
  <c r="BP1210" i="4"/>
  <c r="BP387" i="4"/>
  <c r="BP1238" i="4"/>
  <c r="BP1270" i="4"/>
  <c r="BP1271" i="4"/>
  <c r="BP1065" i="4"/>
  <c r="BP1015" i="4"/>
  <c r="BP1637" i="4"/>
  <c r="BP1558" i="4"/>
  <c r="BP365" i="4"/>
  <c r="BP1439" i="4"/>
  <c r="BP1715" i="4"/>
  <c r="BP348" i="4"/>
  <c r="BP1084" i="4"/>
  <c r="BP344" i="4"/>
  <c r="BP1020" i="4"/>
  <c r="BP1021" i="4"/>
  <c r="BP1472" i="4"/>
  <c r="BP954" i="4"/>
  <c r="BP1421" i="4"/>
  <c r="BP982" i="4"/>
  <c r="BP385" i="4"/>
  <c r="BP1546" i="4"/>
  <c r="BP395" i="4"/>
  <c r="BP1371" i="4"/>
  <c r="BP897" i="4"/>
  <c r="BP1821" i="4"/>
  <c r="BP416" i="4"/>
  <c r="BP997" i="4"/>
  <c r="BP555" i="4"/>
  <c r="BP389" i="4"/>
  <c r="BP1687" i="4"/>
  <c r="BP491" i="4"/>
  <c r="BP1091" i="4"/>
  <c r="BP534" i="4"/>
  <c r="BP1606" i="4"/>
  <c r="BP1285" i="4"/>
  <c r="BP1607" i="4"/>
  <c r="BP1741" i="4"/>
  <c r="BP1438" i="4"/>
  <c r="BP1737" i="4"/>
  <c r="BP989" i="4"/>
  <c r="BP647" i="4"/>
  <c r="BP1955" i="4"/>
  <c r="BP659" i="4"/>
  <c r="BP805" i="4"/>
  <c r="BP1068" i="4"/>
  <c r="BP1086" i="4"/>
  <c r="BP1957" i="4"/>
  <c r="BP369" i="4"/>
  <c r="BP1968" i="4"/>
  <c r="BP350" i="4"/>
  <c r="BP998" i="4"/>
  <c r="BP1119" i="4"/>
  <c r="BP351" i="4"/>
  <c r="BP1967" i="4"/>
  <c r="BP881" i="4"/>
  <c r="BP670" i="4"/>
  <c r="BP533" i="4"/>
  <c r="BP1110" i="4"/>
  <c r="BP361" i="4"/>
  <c r="BP1965" i="4"/>
  <c r="BP1383" i="4"/>
  <c r="BP1072" i="4"/>
  <c r="BP771" i="4"/>
  <c r="BP1069" i="4"/>
  <c r="BP1146" i="4"/>
  <c r="BP671" i="4"/>
  <c r="BP1014" i="4"/>
  <c r="BP1379" i="4"/>
  <c r="BP1699" i="4"/>
  <c r="BP1457" i="4"/>
  <c r="BP1963" i="4"/>
  <c r="BP1213" i="4"/>
  <c r="BP1214" i="4"/>
  <c r="BP370" i="4"/>
  <c r="BP852" i="4"/>
  <c r="BP578" i="4"/>
  <c r="BP1195" i="4"/>
  <c r="BP1106" i="4"/>
  <c r="BP1107" i="4"/>
  <c r="BP948" i="4"/>
  <c r="BP648" i="4"/>
  <c r="BP1180" i="4"/>
  <c r="BP1463" i="4"/>
  <c r="BP1464" i="4"/>
  <c r="BP554" i="4"/>
  <c r="BP1196" i="4"/>
  <c r="BP1087" i="4"/>
  <c r="BP1192" i="4"/>
  <c r="BP1077" i="4"/>
  <c r="BP353" i="4"/>
  <c r="BP661" i="4"/>
  <c r="BP662" i="4"/>
  <c r="BP650" i="4"/>
  <c r="BP1239" i="4"/>
  <c r="BP1070" i="4"/>
  <c r="BP400" i="4"/>
  <c r="BP1008" i="4"/>
  <c r="BP1147" i="4"/>
  <c r="BP667" i="4"/>
  <c r="BP343" i="4"/>
  <c r="BP349" i="4"/>
  <c r="BP1002" i="4"/>
  <c r="BP961" i="4"/>
  <c r="BP692" i="4"/>
  <c r="BP1057" i="4"/>
  <c r="BP1952" i="4"/>
  <c r="BP677" i="4"/>
  <c r="BP1181" i="4"/>
  <c r="BP1559" i="4"/>
  <c r="BP381" i="4"/>
  <c r="BP1028" i="4"/>
  <c r="BP1108" i="4"/>
  <c r="BP1109" i="4"/>
  <c r="BP1122" i="4"/>
  <c r="BP551" i="4"/>
  <c r="BP1498" i="4"/>
  <c r="BP1051" i="4"/>
  <c r="BP1130" i="4"/>
  <c r="BP1113" i="4"/>
  <c r="BP1145" i="4"/>
  <c r="BP1029" i="4"/>
  <c r="BP983" i="4"/>
  <c r="BP1220" i="4"/>
  <c r="BP1179" i="4"/>
  <c r="BP1128" i="4"/>
  <c r="BP1215" i="4"/>
  <c r="BP1241" i="4"/>
  <c r="BP374" i="4"/>
  <c r="BP589" i="4"/>
  <c r="BP402" i="4"/>
  <c r="BP1093" i="4"/>
  <c r="BP390" i="4"/>
  <c r="BP1182" i="4"/>
  <c r="BP1090" i="4"/>
  <c r="BP1501" i="4"/>
  <c r="BP1132" i="4"/>
  <c r="BP1510" i="4"/>
  <c r="BP1045" i="4"/>
  <c r="BP1150" i="4"/>
  <c r="BP1167" i="4"/>
  <c r="BP1168" i="4"/>
  <c r="BP1169" i="4"/>
  <c r="BP1430" i="4"/>
  <c r="BP1105" i="4"/>
  <c r="BP676" i="4"/>
  <c r="BP1058" i="4"/>
  <c r="BP1059" i="4"/>
  <c r="BP977" i="4"/>
  <c r="BP386" i="4"/>
  <c r="BP1049" i="4"/>
  <c r="BP1114" i="4"/>
  <c r="BP1115" i="4"/>
  <c r="BP1097" i="4"/>
  <c r="BP1825" i="4"/>
  <c r="BP1024" i="4"/>
  <c r="BP444" i="4"/>
  <c r="BP362" i="4"/>
  <c r="BP1030" i="4"/>
  <c r="BP1331" i="4"/>
  <c r="BP394" i="4"/>
  <c r="BP1104" i="4"/>
  <c r="BP1088" i="4"/>
  <c r="BP492" i="4"/>
  <c r="BP744" i="4"/>
  <c r="BP1062" i="4"/>
  <c r="BP1473" i="4"/>
  <c r="BP1172" i="4"/>
  <c r="BP1333" i="4"/>
  <c r="BP1197" i="4"/>
  <c r="BP1152" i="4"/>
  <c r="BP493" i="4"/>
  <c r="BP1164" i="4"/>
  <c r="BP1245" i="4"/>
  <c r="BP1246" i="4"/>
  <c r="BP549" i="4"/>
  <c r="BP679" i="4"/>
  <c r="BP657" i="4"/>
  <c r="BP1573" i="4"/>
  <c r="BP689" i="4"/>
  <c r="BP1000" i="4"/>
  <c r="BP1001" i="4"/>
  <c r="BP1511" i="4"/>
  <c r="BP378" i="4"/>
  <c r="BP1101" i="4"/>
  <c r="BP1166" i="4"/>
  <c r="BP1170" i="4"/>
  <c r="BP1178" i="4"/>
  <c r="BP1286" i="4"/>
  <c r="BP1861" i="4"/>
  <c r="BP438" i="4"/>
  <c r="BP1234" i="4"/>
  <c r="BP1135" i="4"/>
  <c r="BP588" i="4"/>
  <c r="BP1325" i="4"/>
  <c r="BP428" i="4"/>
  <c r="BP1198" i="4"/>
  <c r="BP680" i="4"/>
  <c r="BP1183" i="4"/>
  <c r="BP1116" i="4"/>
  <c r="BP1089" i="4"/>
  <c r="BP556" i="4"/>
  <c r="BP1078" i="4"/>
  <c r="BP1184" i="4"/>
  <c r="BP590" i="4"/>
  <c r="BP507" i="4"/>
  <c r="BP1046" i="4"/>
  <c r="BP1098" i="4"/>
  <c r="BP363" i="4"/>
  <c r="BP1096" i="4"/>
  <c r="BP1504" i="4"/>
  <c r="BP1199" i="4"/>
  <c r="BP1247" i="4"/>
  <c r="BP1593" i="4"/>
  <c r="BP1133" i="4"/>
  <c r="BP1763" i="4"/>
  <c r="BP1244" i="4"/>
  <c r="BP1153" i="4"/>
  <c r="BP1094" i="4"/>
  <c r="BP441" i="4"/>
  <c r="BP1079" i="4"/>
  <c r="BP599" i="4"/>
  <c r="BP598" i="4"/>
  <c r="BP1176" i="4"/>
  <c r="BP675" i="4"/>
  <c r="BP1705" i="4"/>
  <c r="BP393" i="4"/>
  <c r="BP1240" i="4"/>
  <c r="BP1131" i="4"/>
  <c r="BP1216" i="4"/>
  <c r="BP1053" i="4"/>
  <c r="BP886" i="4"/>
  <c r="BP1512" i="4"/>
  <c r="BP1307" i="4"/>
  <c r="BP1308" i="4"/>
  <c r="BP1314" i="4"/>
  <c r="BP1319" i="4"/>
  <c r="BP1136" i="4"/>
  <c r="BP1287" i="4"/>
  <c r="BP585" i="4"/>
  <c r="BP397" i="4"/>
  <c r="BP1462" i="4"/>
  <c r="BP1217" i="4"/>
  <c r="BP1844" i="4"/>
  <c r="BP1269" i="4"/>
  <c r="BP1095" i="4"/>
  <c r="BP495" i="4"/>
  <c r="BP1099" i="4"/>
  <c r="BP1499" i="4"/>
  <c r="BP1594" i="4"/>
  <c r="BP1036" i="4"/>
  <c r="BP1037" i="4"/>
  <c r="BP1313" i="4"/>
  <c r="BP1315" i="4"/>
  <c r="BP557" i="4"/>
  <c r="BP437" i="4"/>
  <c r="BP1248" i="4"/>
  <c r="BP702" i="4"/>
  <c r="BP703" i="4"/>
  <c r="BP1420" i="4"/>
  <c r="BP1080" i="4"/>
  <c r="BP1735" i="4"/>
  <c r="BP1137" i="4"/>
  <c r="BP1100" i="4"/>
  <c r="BP1298" i="4"/>
  <c r="BP1412" i="4"/>
  <c r="BP1232" i="4"/>
  <c r="BP576" i="4"/>
  <c r="BP1351" i="4"/>
  <c r="BP1200" i="4"/>
  <c r="BP696" i="4"/>
  <c r="BP1223" i="4"/>
  <c r="BP972" i="4"/>
  <c r="BP1211" i="4"/>
  <c r="BP1081" i="4"/>
  <c r="BP1272" i="4"/>
  <c r="BP1275" i="4"/>
  <c r="BP457" i="4"/>
  <c r="BP1173" i="4"/>
  <c r="BP1177" i="4"/>
  <c r="BP439" i="4"/>
  <c r="BP1257" i="4"/>
  <c r="BP1230" i="4"/>
  <c r="BP1047" i="4"/>
  <c r="BP1316" i="4"/>
  <c r="BP1299" i="4"/>
  <c r="BP1337" i="4"/>
  <c r="BP699" i="4"/>
  <c r="BP1595" i="4"/>
  <c r="BP1366" i="4"/>
  <c r="BP600" i="4"/>
  <c r="BP1185" i="4"/>
  <c r="BP409" i="4"/>
  <c r="BP413" i="4"/>
  <c r="BP697" i="4"/>
  <c r="BP563" i="4"/>
  <c r="BP459" i="4"/>
  <c r="BP1280" i="4"/>
  <c r="BP1273" i="4"/>
  <c r="BP1284" i="4"/>
  <c r="BP1233" i="4"/>
  <c r="BP565" i="4"/>
  <c r="BP1702" i="4"/>
  <c r="BP586" i="4"/>
  <c r="BP1032" i="4"/>
  <c r="BP1953" i="4"/>
  <c r="BP1193" i="4"/>
  <c r="BP1201" i="4"/>
  <c r="BP1186" i="4"/>
  <c r="BP1042" i="4"/>
  <c r="BP1154" i="4"/>
  <c r="BP651" i="4"/>
  <c r="BP1224" i="4"/>
  <c r="BP1174" i="4"/>
  <c r="BP1155" i="4"/>
  <c r="BP429" i="4"/>
  <c r="BP1465" i="4"/>
  <c r="BP1225" i="4"/>
  <c r="BP1288" i="4"/>
  <c r="BP1202" i="4"/>
  <c r="BP681" i="4"/>
  <c r="BP1190" i="4"/>
  <c r="BP1309" i="4"/>
  <c r="BP1289" i="4"/>
  <c r="BP1310" i="4"/>
  <c r="BP1231" i="4"/>
  <c r="BP1194" i="4"/>
  <c r="BP1149" i="4"/>
  <c r="BP700" i="4"/>
  <c r="BP1560" i="4"/>
  <c r="BP373" i="4"/>
  <c r="BP1138" i="4"/>
  <c r="BP1243" i="4"/>
  <c r="BP432" i="4"/>
  <c r="BP1258" i="4"/>
  <c r="BP1218" i="4"/>
  <c r="BP1276" i="4"/>
  <c r="BP1156" i="4"/>
  <c r="BP1226" i="4"/>
  <c r="BP1249" i="4"/>
  <c r="BP1187" i="4"/>
  <c r="BP410" i="4"/>
  <c r="BP1237" i="4"/>
  <c r="BP510" i="4"/>
  <c r="BP1373" i="4"/>
  <c r="BP1334" i="4"/>
  <c r="BP490" i="4"/>
  <c r="BP1157" i="4"/>
  <c r="BP1250" i="4"/>
  <c r="BP446" i="4"/>
  <c r="BP1117" i="4"/>
  <c r="BP1554" i="4"/>
  <c r="BP496" i="4"/>
  <c r="BP580" i="4"/>
  <c r="BP1862" i="4"/>
  <c r="BP687" i="4"/>
  <c r="BP1158" i="4"/>
  <c r="BP431" i="4"/>
  <c r="BP1188" i="4"/>
  <c r="BP1203" i="4"/>
  <c r="BP795" i="4"/>
  <c r="BP512" i="4"/>
  <c r="BP1251" i="4"/>
  <c r="BP511" i="4"/>
  <c r="BP1703" i="4"/>
  <c r="BP1539" i="4"/>
  <c r="BP1407" i="4"/>
  <c r="BP1159" i="4"/>
  <c r="BP433" i="4"/>
  <c r="BP1793" i="4"/>
  <c r="BP1352" i="4"/>
  <c r="BP1656" i="4"/>
  <c r="BP1160" i="4"/>
  <c r="BP1540" i="4"/>
  <c r="BP1857" i="4"/>
  <c r="BP497" i="4"/>
  <c r="BP1404" i="4"/>
  <c r="BP571" i="4"/>
  <c r="BP1651" i="4"/>
  <c r="BP422" i="4"/>
  <c r="BP1305" i="4"/>
  <c r="BP1277" i="4"/>
  <c r="BP704" i="4"/>
  <c r="BP1161" i="4"/>
  <c r="BP1139" i="4"/>
  <c r="BP1335" i="4"/>
  <c r="BP417" i="4"/>
  <c r="BP1290" i="4"/>
  <c r="BP485" i="4"/>
  <c r="BP455" i="4"/>
  <c r="BP693" i="4"/>
  <c r="BP456" i="4"/>
  <c r="BP1227" i="4"/>
  <c r="BP674" i="4"/>
  <c r="BP1204" i="4"/>
  <c r="BP1066" i="4"/>
  <c r="BP1345" i="4"/>
  <c r="BP1863" i="4"/>
  <c r="BP423" i="4"/>
  <c r="BP398" i="4"/>
  <c r="BP572" i="4"/>
  <c r="BP731" i="4"/>
  <c r="BP494" i="4"/>
  <c r="BP449" i="4"/>
  <c r="BP1300" i="4"/>
  <c r="BP1742" i="4"/>
  <c r="BP1596" i="4"/>
  <c r="BP1841" i="4"/>
  <c r="BP1822" i="4"/>
  <c r="BP434" i="4"/>
  <c r="BP1323" i="4"/>
  <c r="BP1268" i="4"/>
  <c r="BP1259" i="4"/>
  <c r="BP1205" i="4"/>
  <c r="BP1228" i="4"/>
  <c r="BP1140" i="4"/>
  <c r="BP1175" i="4"/>
  <c r="BP1118" i="4"/>
  <c r="BP1665" i="4"/>
  <c r="BP544" i="4"/>
  <c r="BP1577" i="4"/>
  <c r="BP1533" i="4"/>
  <c r="BP1692" i="4"/>
  <c r="BP405" i="4"/>
  <c r="BP1221" i="4"/>
  <c r="BP1007" i="4"/>
  <c r="BP1442" i="4"/>
  <c r="BP412" i="4"/>
  <c r="BP1525" i="4"/>
  <c r="BP1485" i="4"/>
  <c r="BP1523" i="4"/>
  <c r="BP1082" i="4"/>
  <c r="BP418" i="4"/>
  <c r="BP1229" i="4"/>
  <c r="BP1674" i="4"/>
  <c r="BP1347" i="4"/>
  <c r="BP426" i="4"/>
  <c r="BP1255" i="4"/>
  <c r="BP450" i="4"/>
  <c r="BP682" i="4"/>
  <c r="BP575" i="4"/>
  <c r="BP678" i="4"/>
  <c r="BP1165" i="4"/>
  <c r="BP403" i="4"/>
  <c r="BP424" i="4"/>
  <c r="BP685" i="4"/>
  <c r="BP591" i="4"/>
  <c r="BP1695" i="4"/>
  <c r="BP592" i="4"/>
  <c r="BP593" i="4"/>
  <c r="BP404" i="4"/>
  <c r="BP690" i="4"/>
  <c r="BP1141" i="4"/>
  <c r="BP1260" i="4"/>
  <c r="BP1394" i="4"/>
  <c r="BP1281" i="4"/>
  <c r="BP558" i="4"/>
  <c r="BP1060" i="4"/>
  <c r="BP1083" i="4"/>
  <c r="BP1242" i="4"/>
  <c r="BP1209" i="4"/>
  <c r="BP686" i="4"/>
  <c r="BP443" i="4"/>
  <c r="BP1291" i="4"/>
  <c r="BP1261" i="4"/>
  <c r="BP1389" i="4"/>
  <c r="BP545" i="4"/>
  <c r="BP594" i="4"/>
  <c r="BP1338" i="4"/>
  <c r="BP1626" i="4"/>
  <c r="BP436" i="4"/>
  <c r="BP1669" i="4"/>
  <c r="BP1262" i="4"/>
  <c r="BP1532" i="4"/>
  <c r="BP1263" i="4"/>
  <c r="BP1324" i="4"/>
  <c r="BP1397" i="4"/>
  <c r="BP396" i="4"/>
  <c r="BP1296" i="4"/>
  <c r="BP574" i="4"/>
  <c r="BP382" i="4"/>
  <c r="BP1206" i="4"/>
  <c r="BP1311" i="4"/>
  <c r="BP435" i="4"/>
  <c r="BP984" i="4"/>
  <c r="BP560" i="4"/>
  <c r="BP500" i="4"/>
  <c r="BP579" i="4"/>
  <c r="BP1341" i="4"/>
  <c r="BP1425" i="4"/>
  <c r="BP663" i="4"/>
  <c r="BP513" i="4"/>
  <c r="BP559" i="4"/>
  <c r="BP454" i="4"/>
  <c r="BP1348" i="4"/>
  <c r="BP1467" i="4"/>
  <c r="BP1393" i="4"/>
  <c r="BP1349" i="4"/>
  <c r="BP570" i="4"/>
  <c r="BP460" i="4"/>
  <c r="BP694" i="4"/>
  <c r="BP1294" i="4"/>
  <c r="BP1126" i="4"/>
  <c r="BP1339" i="4"/>
  <c r="BP1436" i="4"/>
  <c r="BP688" i="4"/>
  <c r="BP1972" i="4"/>
  <c r="BP1514" i="4"/>
  <c r="BP1129" i="4"/>
  <c r="BP553" i="4"/>
  <c r="BP855" i="4"/>
  <c r="BP440" i="4"/>
  <c r="BP569" i="4"/>
  <c r="BP407" i="4"/>
  <c r="BP1342" i="4"/>
  <c r="BP683" i="4"/>
  <c r="BP430" i="4"/>
  <c r="BP1565" i="4"/>
  <c r="BP844" i="4"/>
  <c r="BP1317" i="4"/>
  <c r="BP1322" i="4"/>
  <c r="BP1519" i="4"/>
  <c r="BP1292" i="4"/>
  <c r="BP1278" i="4"/>
  <c r="BP1279" i="4"/>
  <c r="BP1297" i="4"/>
  <c r="BP695" i="4"/>
  <c r="BP1264" i="4"/>
  <c r="BP1304" i="4"/>
  <c r="BP452" i="4"/>
  <c r="BP1755" i="4"/>
  <c r="BP1162" i="4"/>
  <c r="BP567" i="4"/>
  <c r="BP1320" i="4"/>
  <c r="BP1265" i="4"/>
  <c r="BP461" i="4"/>
  <c r="BP451" i="4"/>
  <c r="BP963" i="4"/>
  <c r="BP566" i="4"/>
  <c r="BP573" i="4"/>
  <c r="BP1915" i="4"/>
  <c r="BP1340" i="4"/>
  <c r="BP425" i="4"/>
  <c r="BP1207" i="4"/>
  <c r="BP1189" i="4"/>
  <c r="BP1219" i="4"/>
  <c r="BP1171" i="4"/>
  <c r="BP447" i="4"/>
  <c r="BP583" i="4"/>
  <c r="BP411" i="4"/>
  <c r="BP515" i="4"/>
  <c r="BP561" i="4"/>
  <c r="BP419" i="4"/>
  <c r="BP420" i="4"/>
  <c r="BP408" i="4"/>
  <c r="BP1256" i="4"/>
  <c r="BP587" i="4"/>
  <c r="BP1266" i="4"/>
  <c r="BP1301" i="4"/>
  <c r="BP1302" i="4"/>
  <c r="BP406" i="4"/>
  <c r="BP1312" i="4"/>
  <c r="BP1283" i="4"/>
  <c r="BP1293" i="4"/>
  <c r="BP1252" i="4"/>
  <c r="BP453" i="4"/>
  <c r="BP1148" i="4"/>
  <c r="BP514" i="4"/>
  <c r="BP1321" i="4"/>
  <c r="BP1012" i="4"/>
  <c r="BP1054" i="4"/>
  <c r="BP888" i="4"/>
  <c r="BP968" i="4"/>
  <c r="BP1142" i="4"/>
  <c r="BP1143" i="4"/>
  <c r="BP1144" i="4"/>
  <c r="BP568" i="4"/>
  <c r="BP691" i="4"/>
  <c r="BP1061" i="4"/>
  <c r="BP582" i="4"/>
  <c r="BP965" i="4"/>
  <c r="BP1013" i="4"/>
  <c r="BP445" i="4"/>
  <c r="BP1208" i="4"/>
  <c r="BP1743" i="4"/>
  <c r="BP701" i="4"/>
  <c r="BP1031" i="4"/>
  <c r="BP462" i="4"/>
  <c r="BP1354" i="4"/>
  <c r="BP498" i="4"/>
  <c r="BP1346" i="4"/>
  <c r="BP499" i="4"/>
  <c r="BP1303" i="4"/>
  <c r="BP1163" i="4"/>
  <c r="BP705" i="4"/>
  <c r="BP1102" i="4"/>
  <c r="BP501" i="4"/>
  <c r="BP502" i="4"/>
  <c r="BP1353" i="4"/>
  <c r="BP1253" i="4"/>
  <c r="BP595" i="4"/>
  <c r="BP1274" i="4"/>
  <c r="BP503" i="4"/>
  <c r="BP1344" i="4"/>
  <c r="BP1355" i="4"/>
  <c r="BP458" i="4"/>
  <c r="BP421" i="4"/>
  <c r="BP564" i="4"/>
  <c r="BP698" i="4"/>
  <c r="BP577" i="4"/>
  <c r="BP1350" i="4"/>
  <c r="BP1022" i="4"/>
  <c r="BP1664" i="4"/>
  <c r="BP581" i="4"/>
  <c r="BP1050" i="4"/>
  <c r="BP1295" i="4"/>
  <c r="BP1267" i="4"/>
  <c r="BP601" i="4"/>
  <c r="BP1343" i="4"/>
  <c r="BP1254" i="4"/>
  <c r="BP597" i="4"/>
  <c r="BP596" i="4"/>
  <c r="BP584" i="4"/>
  <c r="BP1123" i="4"/>
  <c r="BP602" i="4"/>
  <c r="BP1124" i="4"/>
  <c r="BP1446" i="4"/>
  <c r="BQ752" i="4"/>
  <c r="BQ1724" i="4"/>
  <c r="BQ1795" i="4"/>
  <c r="BQ467" i="4"/>
  <c r="BQ72" i="4"/>
  <c r="BQ1766" i="4"/>
  <c r="BQ1789" i="4"/>
  <c r="BQ1799" i="4"/>
  <c r="BQ1794" i="4"/>
  <c r="BQ1891" i="4"/>
  <c r="BQ117" i="4"/>
  <c r="BQ619" i="4"/>
  <c r="BQ1830" i="4"/>
  <c r="BQ44" i="4"/>
  <c r="BQ69" i="4"/>
  <c r="BQ806" i="4"/>
  <c r="BQ8" i="4"/>
  <c r="BQ105" i="4"/>
  <c r="BQ191" i="4"/>
  <c r="BQ741" i="4"/>
  <c r="BQ70" i="4"/>
  <c r="BQ1426" i="4"/>
  <c r="BQ3" i="4"/>
  <c r="BQ1838" i="4"/>
  <c r="BQ145" i="4"/>
  <c r="BQ122" i="4"/>
  <c r="BQ1655" i="4"/>
  <c r="BQ1621" i="4"/>
  <c r="BQ603" i="4"/>
  <c r="BQ729" i="4"/>
  <c r="BQ17" i="4"/>
  <c r="BQ16" i="4"/>
  <c r="BQ97" i="4"/>
  <c r="BQ887" i="4"/>
  <c r="BQ86" i="4"/>
  <c r="BQ85" i="4"/>
  <c r="BQ55" i="4"/>
  <c r="BQ65" i="4"/>
  <c r="BQ842" i="4"/>
  <c r="BQ715" i="4"/>
  <c r="BQ1888" i="4"/>
  <c r="BQ1778" i="4"/>
  <c r="BQ1478" i="4"/>
  <c r="BQ1805" i="4"/>
  <c r="BQ1777" i="4"/>
  <c r="BQ143" i="4"/>
  <c r="BQ1477" i="4"/>
  <c r="BQ721" i="4"/>
  <c r="BQ23" i="4"/>
  <c r="BQ22" i="4"/>
  <c r="BQ869" i="4"/>
  <c r="BQ62" i="4"/>
  <c r="BQ1804" i="4"/>
  <c r="BQ1384" i="4"/>
  <c r="BQ885" i="4"/>
  <c r="BQ780" i="4"/>
  <c r="BQ1877" i="4"/>
  <c r="BQ1797" i="4"/>
  <c r="BQ127" i="4"/>
  <c r="BQ713" i="4"/>
  <c r="BQ123" i="4"/>
  <c r="BQ171" i="4"/>
  <c r="BQ169" i="4"/>
  <c r="BQ1515" i="4"/>
  <c r="BQ172" i="4"/>
  <c r="BQ79" i="4"/>
  <c r="BQ1855" i="4"/>
  <c r="BQ89" i="4"/>
  <c r="BQ737" i="4"/>
  <c r="BQ1870" i="4"/>
  <c r="BQ78" i="4"/>
  <c r="BQ131" i="4"/>
  <c r="BQ6" i="4"/>
  <c r="BQ124" i="4"/>
  <c r="BQ46" i="4"/>
  <c r="BQ114" i="4"/>
  <c r="BQ10" i="4"/>
  <c r="BQ1680" i="4"/>
  <c r="BQ625" i="4"/>
  <c r="BQ144" i="4"/>
  <c r="BQ1802" i="4"/>
  <c r="BQ1801" i="4"/>
  <c r="BQ150" i="4"/>
  <c r="BQ77" i="4"/>
  <c r="BQ1800" i="4"/>
  <c r="BQ134" i="4"/>
  <c r="BQ42" i="4"/>
  <c r="BQ1842" i="4"/>
  <c r="BQ1590" i="4"/>
  <c r="BQ1670" i="4"/>
  <c r="BQ1803" i="4"/>
  <c r="BQ34" i="4"/>
  <c r="BQ120" i="4"/>
  <c r="BQ1934" i="4"/>
  <c r="BQ1920" i="4"/>
  <c r="BQ707" i="4"/>
  <c r="BQ21" i="4"/>
  <c r="BQ60" i="4"/>
  <c r="BQ1945" i="4"/>
  <c r="BQ1944" i="4"/>
  <c r="BQ1943" i="4"/>
  <c r="BQ1796" i="4"/>
  <c r="BQ7" i="4"/>
  <c r="BQ82" i="4"/>
  <c r="BQ1916" i="4"/>
  <c r="BQ1942" i="4"/>
  <c r="BQ708" i="4"/>
  <c r="BQ59" i="4"/>
  <c r="BQ718" i="4"/>
  <c r="BQ36" i="4"/>
  <c r="BQ1570" i="4"/>
  <c r="BQ1949" i="4"/>
  <c r="BQ63" i="4"/>
  <c r="BQ756" i="4"/>
  <c r="BQ740" i="4"/>
  <c r="BQ1941" i="4"/>
  <c r="BQ1869" i="4"/>
  <c r="BQ1935" i="4"/>
  <c r="BQ1551" i="4"/>
  <c r="BQ802" i="4"/>
  <c r="BQ76" i="4"/>
  <c r="BQ1929" i="4"/>
  <c r="BQ1928" i="4"/>
  <c r="BQ1898" i="4"/>
  <c r="BQ39" i="4"/>
  <c r="BQ12" i="4"/>
  <c r="BQ51" i="4"/>
  <c r="BQ5" i="4"/>
  <c r="BQ1685" i="4"/>
  <c r="BQ1456" i="4"/>
  <c r="BQ1865" i="4"/>
  <c r="BQ58" i="4"/>
  <c r="BQ112" i="4"/>
  <c r="BQ20" i="4"/>
  <c r="BQ14" i="4"/>
  <c r="BQ113" i="4"/>
  <c r="BQ762" i="4"/>
  <c r="BQ727" i="4"/>
  <c r="BQ1889" i="4"/>
  <c r="BQ1790" i="4"/>
  <c r="BQ645" i="4"/>
  <c r="BQ1940" i="4"/>
  <c r="BQ733" i="4"/>
  <c r="BQ49" i="4"/>
  <c r="BQ777" i="4"/>
  <c r="BQ709" i="4"/>
  <c r="BQ746" i="4"/>
  <c r="BQ1829" i="4"/>
  <c r="BQ83" i="4"/>
  <c r="BQ15" i="4"/>
  <c r="BQ1668" i="4"/>
  <c r="BQ1901" i="4"/>
  <c r="BQ1885" i="4"/>
  <c r="BQ54" i="4"/>
  <c r="BQ1884" i="4"/>
  <c r="BQ1883" i="4"/>
  <c r="BQ1846" i="4"/>
  <c r="BQ1828" i="4"/>
  <c r="BQ1712" i="4"/>
  <c r="BQ50" i="4"/>
  <c r="BQ735" i="4"/>
  <c r="BQ9" i="4"/>
  <c r="BQ33" i="4"/>
  <c r="BQ32" i="4"/>
  <c r="BQ13" i="4"/>
  <c r="BQ48" i="4"/>
  <c r="BQ27" i="4"/>
  <c r="BQ745" i="4"/>
  <c r="BQ826" i="4"/>
  <c r="BQ53" i="4"/>
  <c r="BQ732" i="4"/>
  <c r="BQ185" i="4"/>
  <c r="BQ1569" i="4"/>
  <c r="BQ67" i="4"/>
  <c r="BQ66" i="4"/>
  <c r="BQ772" i="4"/>
  <c r="BQ755" i="4"/>
  <c r="BQ794" i="4"/>
  <c r="BQ1882" i="4"/>
  <c r="BQ106" i="4"/>
  <c r="BQ74" i="4"/>
  <c r="BQ463" i="4"/>
  <c r="BQ1878" i="4"/>
  <c r="BQ84" i="4"/>
  <c r="BQ101" i="4"/>
  <c r="BQ1534" i="4"/>
  <c r="BQ19" i="4"/>
  <c r="BQ18" i="4"/>
  <c r="BQ605" i="4"/>
  <c r="BQ41" i="4"/>
  <c r="BQ1369" i="4"/>
  <c r="BQ791" i="4"/>
  <c r="BQ45" i="4"/>
  <c r="BQ4" i="4"/>
  <c r="BQ1897" i="4"/>
  <c r="BQ736" i="4"/>
  <c r="BQ1881" i="4"/>
  <c r="BQ1380" i="4"/>
  <c r="BQ165" i="4"/>
  <c r="BQ774" i="4"/>
  <c r="BQ728" i="4"/>
  <c r="BQ1471" i="4"/>
  <c r="BQ64" i="4"/>
  <c r="BQ742" i="4"/>
  <c r="BQ31" i="4"/>
  <c r="BQ1556" i="4"/>
  <c r="BQ819" i="4"/>
  <c r="BQ788" i="4"/>
  <c r="BQ764" i="4"/>
  <c r="BQ1880" i="4"/>
  <c r="BQ75" i="4"/>
  <c r="BQ722" i="4"/>
  <c r="BQ1879" i="4"/>
  <c r="BQ37" i="4"/>
  <c r="BQ1720" i="4"/>
  <c r="BQ775" i="4"/>
  <c r="BQ1374" i="4"/>
  <c r="BQ159" i="4"/>
  <c r="BQ1716" i="4"/>
  <c r="BQ1717" i="4"/>
  <c r="BQ1378" i="4"/>
  <c r="BQ1440" i="4"/>
  <c r="BQ29" i="4"/>
  <c r="BQ30" i="4"/>
  <c r="BQ1327" i="4"/>
  <c r="BQ717" i="4"/>
  <c r="BQ817" i="4"/>
  <c r="BQ1446" i="4"/>
  <c r="BQ1124" i="4"/>
  <c r="BQ602" i="4"/>
  <c r="BQ1123" i="4"/>
  <c r="BQ584" i="4"/>
  <c r="BQ596" i="4"/>
  <c r="BQ597" i="4"/>
  <c r="BQ1254" i="4"/>
  <c r="BQ1343" i="4"/>
  <c r="BQ601" i="4"/>
  <c r="BQ1267" i="4"/>
  <c r="BQ1295" i="4"/>
  <c r="BQ1050" i="4"/>
  <c r="BQ581" i="4"/>
  <c r="BQ1664" i="4"/>
  <c r="BQ1022" i="4"/>
  <c r="BQ1350" i="4"/>
  <c r="BQ577" i="4"/>
  <c r="BQ698" i="4"/>
  <c r="BQ564" i="4"/>
  <c r="BQ421" i="4"/>
  <c r="BQ458" i="4"/>
  <c r="BQ1355" i="4"/>
  <c r="BQ1344" i="4"/>
  <c r="BQ503" i="4"/>
  <c r="BQ1274" i="4"/>
  <c r="BQ595" i="4"/>
  <c r="BQ1253" i="4"/>
  <c r="BQ1353" i="4"/>
  <c r="BQ502" i="4"/>
  <c r="BQ501" i="4"/>
  <c r="BQ1102" i="4"/>
  <c r="BQ705" i="4"/>
  <c r="BQ1163" i="4"/>
  <c r="BQ1303" i="4"/>
  <c r="BQ499" i="4"/>
  <c r="BQ1346" i="4"/>
  <c r="BQ498" i="4"/>
  <c r="BQ1354" i="4"/>
  <c r="BQ462" i="4"/>
  <c r="BQ1031" i="4"/>
  <c r="BQ701" i="4"/>
  <c r="BQ1743" i="4"/>
  <c r="BQ1208" i="4"/>
  <c r="BQ445" i="4"/>
  <c r="BQ1013" i="4"/>
  <c r="BQ965" i="4"/>
  <c r="BQ582" i="4"/>
  <c r="BQ1061" i="4"/>
  <c r="BQ691" i="4"/>
  <c r="BQ568" i="4"/>
  <c r="BQ1144" i="4"/>
  <c r="BQ1143" i="4"/>
  <c r="BQ1142" i="4"/>
  <c r="BQ968" i="4"/>
  <c r="BQ888" i="4"/>
  <c r="BQ1054" i="4"/>
  <c r="BQ1012" i="4"/>
  <c r="BQ1321" i="4"/>
  <c r="BQ514" i="4"/>
  <c r="BQ1148" i="4"/>
  <c r="BQ453" i="4"/>
  <c r="BQ1252" i="4"/>
  <c r="BQ1293" i="4"/>
  <c r="BQ1283" i="4"/>
  <c r="BQ1312" i="4"/>
  <c r="BQ406" i="4"/>
  <c r="BQ1302" i="4"/>
  <c r="BQ1301" i="4"/>
  <c r="BQ1266" i="4"/>
  <c r="BQ587" i="4"/>
  <c r="BQ1256" i="4"/>
  <c r="BQ408" i="4"/>
  <c r="BQ420" i="4"/>
  <c r="BQ419" i="4"/>
  <c r="BQ561" i="4"/>
  <c r="BQ515" i="4"/>
  <c r="BQ411" i="4"/>
  <c r="BQ583" i="4"/>
  <c r="BQ447" i="4"/>
  <c r="BQ1171" i="4"/>
  <c r="BQ1219" i="4"/>
  <c r="BQ1189" i="4"/>
  <c r="BQ1207" i="4"/>
  <c r="BQ425" i="4"/>
  <c r="BQ1340" i="4"/>
  <c r="BQ1915" i="4"/>
  <c r="BQ573" i="4"/>
  <c r="BQ566" i="4"/>
  <c r="BQ963" i="4"/>
  <c r="BQ451" i="4"/>
  <c r="BQ461" i="4"/>
  <c r="BQ1265" i="4"/>
  <c r="BQ1320" i="4"/>
  <c r="BQ567" i="4"/>
  <c r="BQ1162" i="4"/>
  <c r="BQ1755" i="4"/>
  <c r="BQ452" i="4"/>
  <c r="BQ1304" i="4"/>
  <c r="BQ1264" i="4"/>
  <c r="BQ695" i="4"/>
  <c r="BQ1297" i="4"/>
  <c r="BQ1279" i="4"/>
  <c r="BQ1278" i="4"/>
  <c r="BQ1292" i="4"/>
  <c r="BQ1519" i="4"/>
  <c r="BQ1322" i="4"/>
  <c r="BQ1317" i="4"/>
  <c r="BQ844" i="4"/>
  <c r="BQ1565" i="4"/>
  <c r="BQ430" i="4"/>
  <c r="BQ683" i="4"/>
  <c r="BQ1342" i="4"/>
  <c r="BQ407" i="4"/>
  <c r="BQ569" i="4"/>
  <c r="BQ440" i="4"/>
  <c r="BQ855" i="4"/>
  <c r="BQ553" i="4"/>
  <c r="BQ1129" i="4"/>
  <c r="BQ1514" i="4"/>
  <c r="BQ1972" i="4"/>
  <c r="BQ688" i="4"/>
  <c r="BQ1436" i="4"/>
  <c r="BQ1339" i="4"/>
  <c r="BQ1126" i="4"/>
  <c r="BQ1294" i="4"/>
  <c r="BQ694" i="4"/>
  <c r="BQ460" i="4"/>
  <c r="BQ570" i="4"/>
  <c r="BQ1349" i="4"/>
  <c r="BQ1393" i="4"/>
  <c r="BQ1467" i="4"/>
  <c r="BQ1348" i="4"/>
  <c r="BQ454" i="4"/>
  <c r="BQ559" i="4"/>
  <c r="BQ513" i="4"/>
  <c r="BQ663" i="4"/>
  <c r="BQ1425" i="4"/>
  <c r="BQ1341" i="4"/>
  <c r="BQ579" i="4"/>
  <c r="BQ500" i="4"/>
  <c r="BQ560" i="4"/>
  <c r="BQ984" i="4"/>
  <c r="BQ435" i="4"/>
  <c r="BQ1311" i="4"/>
  <c r="BQ1206" i="4"/>
  <c r="BQ382" i="4"/>
  <c r="BQ574" i="4"/>
  <c r="BQ1296" i="4"/>
  <c r="BQ396" i="4"/>
  <c r="BQ1397" i="4"/>
  <c r="BQ1324" i="4"/>
  <c r="BQ1263" i="4"/>
  <c r="BQ1532" i="4"/>
  <c r="BQ1262" i="4"/>
  <c r="BQ1669" i="4"/>
  <c r="BQ436" i="4"/>
  <c r="BQ1626" i="4"/>
  <c r="BQ1338" i="4"/>
  <c r="BQ594" i="4"/>
  <c r="BQ545" i="4"/>
  <c r="BQ1389" i="4"/>
  <c r="BQ1261" i="4"/>
  <c r="BQ1291" i="4"/>
  <c r="BQ443" i="4"/>
  <c r="BQ686" i="4"/>
  <c r="BQ1209" i="4"/>
  <c r="BQ1242" i="4"/>
  <c r="BQ1083" i="4"/>
  <c r="BQ1060" i="4"/>
  <c r="BQ558" i="4"/>
  <c r="BQ1281" i="4"/>
  <c r="BQ1394" i="4"/>
  <c r="BQ1260" i="4"/>
  <c r="BQ1141" i="4"/>
  <c r="BQ690" i="4"/>
  <c r="BQ404" i="4"/>
  <c r="BQ593" i="4"/>
  <c r="BQ592" i="4"/>
  <c r="BQ1695" i="4"/>
  <c r="BQ591" i="4"/>
  <c r="BQ685" i="4"/>
  <c r="BQ424" i="4"/>
  <c r="BQ403" i="4"/>
  <c r="BQ1165" i="4"/>
  <c r="BQ678" i="4"/>
  <c r="BQ575" i="4"/>
  <c r="BQ682" i="4"/>
  <c r="BQ450" i="4"/>
  <c r="BQ1255" i="4"/>
  <c r="BQ426" i="4"/>
  <c r="BQ1347" i="4"/>
  <c r="BQ1674" i="4"/>
  <c r="BQ1229" i="4"/>
  <c r="BQ418" i="4"/>
  <c r="BQ1082" i="4"/>
  <c r="BQ1523" i="4"/>
  <c r="BQ1485" i="4"/>
  <c r="BQ1525" i="4"/>
  <c r="BQ412" i="4"/>
  <c r="BQ1442" i="4"/>
  <c r="BQ1007" i="4"/>
  <c r="BQ1221" i="4"/>
  <c r="BQ405" i="4"/>
  <c r="BQ1692" i="4"/>
  <c r="BQ1533" i="4"/>
  <c r="BQ1577" i="4"/>
  <c r="BQ544" i="4"/>
  <c r="BQ1665" i="4"/>
  <c r="BQ1118" i="4"/>
  <c r="BQ1175" i="4"/>
  <c r="BQ1140" i="4"/>
  <c r="BQ1228" i="4"/>
  <c r="BQ1205" i="4"/>
  <c r="BQ1259" i="4"/>
  <c r="BQ1268" i="4"/>
  <c r="BQ1323" i="4"/>
  <c r="BQ434" i="4"/>
  <c r="BQ1822" i="4"/>
  <c r="BQ1841" i="4"/>
  <c r="BQ1596" i="4"/>
  <c r="BQ1742" i="4"/>
  <c r="BQ1300" i="4"/>
  <c r="BQ449" i="4"/>
  <c r="BQ494" i="4"/>
  <c r="BQ731" i="4"/>
  <c r="BQ572" i="4"/>
  <c r="BQ398" i="4"/>
  <c r="BQ423" i="4"/>
  <c r="BQ1863" i="4"/>
  <c r="BQ1345" i="4"/>
  <c r="BQ1066" i="4"/>
  <c r="BQ1204" i="4"/>
  <c r="BQ674" i="4"/>
  <c r="BQ1227" i="4"/>
  <c r="BQ456" i="4"/>
  <c r="BQ693" i="4"/>
  <c r="BQ455" i="4"/>
  <c r="BQ485" i="4"/>
  <c r="BQ1290" i="4"/>
  <c r="BQ417" i="4"/>
  <c r="BQ1335" i="4"/>
  <c r="BQ1139" i="4"/>
  <c r="BQ1161" i="4"/>
  <c r="BQ704" i="4"/>
  <c r="BQ1277" i="4"/>
  <c r="BQ1305" i="4"/>
  <c r="BQ422" i="4"/>
  <c r="BQ1651" i="4"/>
  <c r="BQ571" i="4"/>
  <c r="BQ1404" i="4"/>
  <c r="BQ497" i="4"/>
  <c r="BQ1857" i="4"/>
  <c r="BQ1540" i="4"/>
  <c r="BQ1160" i="4"/>
  <c r="BQ1656" i="4"/>
  <c r="BQ1352" i="4"/>
  <c r="BQ1793" i="4"/>
  <c r="BQ433" i="4"/>
  <c r="BQ1159" i="4"/>
  <c r="BQ1407" i="4"/>
  <c r="BQ1539" i="4"/>
  <c r="BQ1703" i="4"/>
  <c r="BQ511" i="4"/>
  <c r="BQ1251" i="4"/>
  <c r="BQ512" i="4"/>
  <c r="BQ795" i="4"/>
  <c r="BQ1203" i="4"/>
  <c r="BQ1188" i="4"/>
  <c r="BQ431" i="4"/>
  <c r="BQ1158" i="4"/>
  <c r="BQ687" i="4"/>
  <c r="BQ1862" i="4"/>
  <c r="BQ580" i="4"/>
  <c r="BQ496" i="4"/>
  <c r="BQ1554" i="4"/>
  <c r="BQ1117" i="4"/>
  <c r="BQ446" i="4"/>
  <c r="BQ1250" i="4"/>
  <c r="BQ1157" i="4"/>
  <c r="BQ490" i="4"/>
  <c r="BQ1334" i="4"/>
  <c r="BQ1373" i="4"/>
  <c r="BQ510" i="4"/>
  <c r="BQ1237" i="4"/>
  <c r="BQ410" i="4"/>
  <c r="BQ1187" i="4"/>
  <c r="BQ1249" i="4"/>
  <c r="BQ1226" i="4"/>
  <c r="BQ1156" i="4"/>
  <c r="BQ1276" i="4"/>
  <c r="BQ1218" i="4"/>
  <c r="BQ1258" i="4"/>
  <c r="BQ432" i="4"/>
  <c r="BQ1243" i="4"/>
  <c r="BQ1138" i="4"/>
  <c r="BQ373" i="4"/>
  <c r="BQ1560" i="4"/>
  <c r="BQ700" i="4"/>
  <c r="BQ1149" i="4"/>
  <c r="BQ1194" i="4"/>
  <c r="BQ1231" i="4"/>
  <c r="BQ1310" i="4"/>
  <c r="BQ1289" i="4"/>
  <c r="BQ1309" i="4"/>
  <c r="BQ1190" i="4"/>
  <c r="BQ681" i="4"/>
  <c r="BQ1202" i="4"/>
  <c r="BQ1288" i="4"/>
  <c r="BQ1225" i="4"/>
  <c r="BQ1465" i="4"/>
  <c r="BQ429" i="4"/>
  <c r="BQ1155" i="4"/>
  <c r="BQ1174" i="4"/>
  <c r="BQ1224" i="4"/>
  <c r="BQ651" i="4"/>
  <c r="BQ1154" i="4"/>
  <c r="BQ1042" i="4"/>
  <c r="BQ1186" i="4"/>
  <c r="BQ1201" i="4"/>
  <c r="BQ1193" i="4"/>
  <c r="BQ1953" i="4"/>
  <c r="BQ1032" i="4"/>
  <c r="BQ586" i="4"/>
  <c r="BQ1702" i="4"/>
  <c r="BQ565" i="4"/>
  <c r="BQ1233" i="4"/>
  <c r="BQ1284" i="4"/>
  <c r="BQ1273" i="4"/>
  <c r="BQ1280" i="4"/>
  <c r="BQ459" i="4"/>
  <c r="BQ563" i="4"/>
  <c r="BQ697" i="4"/>
  <c r="BQ413" i="4"/>
  <c r="BQ409" i="4"/>
  <c r="BQ1185" i="4"/>
  <c r="BQ600" i="4"/>
  <c r="BQ1366" i="4"/>
  <c r="BQ1595" i="4"/>
  <c r="BQ699" i="4"/>
  <c r="BQ1337" i="4"/>
  <c r="BQ1299" i="4"/>
  <c r="BQ1316" i="4"/>
  <c r="BQ1047" i="4"/>
  <c r="BQ1230" i="4"/>
  <c r="BQ1257" i="4"/>
  <c r="BQ439" i="4"/>
  <c r="BQ1177" i="4"/>
  <c r="BQ1173" i="4"/>
  <c r="BQ457" i="4"/>
  <c r="BQ1275" i="4"/>
  <c r="BQ1272" i="4"/>
  <c r="BQ1081" i="4"/>
  <c r="BQ1211" i="4"/>
  <c r="BQ972" i="4"/>
  <c r="BQ1223" i="4"/>
  <c r="BQ696" i="4"/>
  <c r="BQ1200" i="4"/>
  <c r="BQ1351" i="4"/>
  <c r="BQ576" i="4"/>
  <c r="BQ1232" i="4"/>
  <c r="BQ1412" i="4"/>
  <c r="BQ1298" i="4"/>
  <c r="BQ1100" i="4"/>
  <c r="BQ1137" i="4"/>
  <c r="BQ1735" i="4"/>
  <c r="BQ1080" i="4"/>
  <c r="BQ1420" i="4"/>
  <c r="BQ703" i="4"/>
  <c r="BQ702" i="4"/>
  <c r="BQ1248" i="4"/>
  <c r="BQ437" i="4"/>
  <c r="BQ557" i="4"/>
  <c r="BQ1315" i="4"/>
  <c r="BQ1313" i="4"/>
  <c r="BQ1037" i="4"/>
  <c r="BQ1036" i="4"/>
  <c r="BQ1594" i="4"/>
  <c r="BQ1499" i="4"/>
  <c r="BQ1099" i="4"/>
  <c r="BQ495" i="4"/>
  <c r="BQ1095" i="4"/>
  <c r="BQ1269" i="4"/>
  <c r="BQ1844" i="4"/>
  <c r="BQ1217" i="4"/>
  <c r="BQ1462" i="4"/>
  <c r="BQ397" i="4"/>
  <c r="BQ585" i="4"/>
  <c r="BQ1287" i="4"/>
  <c r="BQ1136" i="4"/>
  <c r="BQ1319" i="4"/>
  <c r="BQ1314" i="4"/>
  <c r="BQ1308" i="4"/>
  <c r="BQ1307" i="4"/>
  <c r="BQ1512" i="4"/>
  <c r="BQ886" i="4"/>
  <c r="BQ1053" i="4"/>
  <c r="BQ1216" i="4"/>
  <c r="BQ1131" i="4"/>
  <c r="BQ1240" i="4"/>
  <c r="BQ393" i="4"/>
  <c r="BQ1705" i="4"/>
  <c r="BQ675" i="4"/>
  <c r="BQ1176" i="4"/>
  <c r="BQ598" i="4"/>
  <c r="BQ599" i="4"/>
  <c r="BQ1079" i="4"/>
  <c r="BQ441" i="4"/>
  <c r="BQ1094" i="4"/>
  <c r="BQ1153" i="4"/>
  <c r="BQ1244" i="4"/>
  <c r="BQ1763" i="4"/>
  <c r="BQ1133" i="4"/>
  <c r="BQ1593" i="4"/>
  <c r="BQ1247" i="4"/>
  <c r="BQ1199" i="4"/>
  <c r="BQ1504" i="4"/>
  <c r="BQ1096" i="4"/>
  <c r="BQ363" i="4"/>
  <c r="BQ1098" i="4"/>
  <c r="BQ1046" i="4"/>
  <c r="BQ507" i="4"/>
  <c r="BQ590" i="4"/>
  <c r="BQ1184" i="4"/>
  <c r="BQ1078" i="4"/>
  <c r="BQ556" i="4"/>
  <c r="BQ1089" i="4"/>
  <c r="BQ1116" i="4"/>
  <c r="BQ1183" i="4"/>
  <c r="BQ680" i="4"/>
  <c r="BQ1198" i="4"/>
  <c r="BQ428" i="4"/>
  <c r="BQ1325" i="4"/>
  <c r="BQ588" i="4"/>
  <c r="BQ1135" i="4"/>
  <c r="BQ1234" i="4"/>
  <c r="BQ438" i="4"/>
  <c r="BQ1861" i="4"/>
  <c r="BQ1286" i="4"/>
  <c r="BQ1178" i="4"/>
  <c r="BQ1170" i="4"/>
  <c r="BQ1166" i="4"/>
  <c r="BQ1101" i="4"/>
  <c r="BQ378" i="4"/>
  <c r="BQ1511" i="4"/>
  <c r="BQ1001" i="4"/>
  <c r="BQ1000" i="4"/>
  <c r="BQ689" i="4"/>
  <c r="BQ1573" i="4"/>
  <c r="BQ657" i="4"/>
  <c r="BQ679" i="4"/>
  <c r="BQ549" i="4"/>
  <c r="BQ1246" i="4"/>
  <c r="BQ1245" i="4"/>
  <c r="BQ1164" i="4"/>
  <c r="BQ493" i="4"/>
  <c r="BQ1152" i="4"/>
  <c r="BQ1197" i="4"/>
  <c r="BQ1333" i="4"/>
  <c r="BQ1172" i="4"/>
  <c r="BQ1473" i="4"/>
  <c r="BQ1062" i="4"/>
  <c r="BQ744" i="4"/>
  <c r="BQ492" i="4"/>
  <c r="BQ1088" i="4"/>
  <c r="BQ1104" i="4"/>
  <c r="BQ394" i="4"/>
  <c r="BQ1331" i="4"/>
  <c r="BQ1030" i="4"/>
  <c r="BQ362" i="4"/>
  <c r="BQ444" i="4"/>
  <c r="BQ1024" i="4"/>
  <c r="BQ1825" i="4"/>
  <c r="BQ1097" i="4"/>
  <c r="BQ1115" i="4"/>
  <c r="BQ1114" i="4"/>
  <c r="BQ1049" i="4"/>
  <c r="BQ386" i="4"/>
  <c r="BQ977" i="4"/>
  <c r="BQ1059" i="4"/>
  <c r="BQ1058" i="4"/>
  <c r="BQ676" i="4"/>
  <c r="BQ1105" i="4"/>
  <c r="BQ1430" i="4"/>
  <c r="BQ1169" i="4"/>
  <c r="BQ1168" i="4"/>
  <c r="BQ1167" i="4"/>
  <c r="BQ1150" i="4"/>
  <c r="BQ1045" i="4"/>
  <c r="BQ1510" i="4"/>
  <c r="BQ1132" i="4"/>
  <c r="BQ1501" i="4"/>
  <c r="BQ1090" i="4"/>
  <c r="BQ1182" i="4"/>
  <c r="BQ390" i="4"/>
  <c r="BQ1093" i="4"/>
  <c r="BQ402" i="4"/>
  <c r="BQ589" i="4"/>
  <c r="BQ374" i="4"/>
  <c r="BQ1241" i="4"/>
  <c r="BQ1215" i="4"/>
  <c r="BQ1128" i="4"/>
  <c r="BQ1179" i="4"/>
  <c r="BQ1220" i="4"/>
  <c r="BQ983" i="4"/>
  <c r="BQ1029" i="4"/>
  <c r="BQ1145" i="4"/>
  <c r="BQ1113" i="4"/>
  <c r="BQ1130" i="4"/>
  <c r="BQ1051" i="4"/>
  <c r="BQ1498" i="4"/>
  <c r="BQ551" i="4"/>
  <c r="BQ1122" i="4"/>
  <c r="BQ1109" i="4"/>
  <c r="BQ1108" i="4"/>
  <c r="BQ1028" i="4"/>
  <c r="BQ381" i="4"/>
  <c r="BQ1559" i="4"/>
  <c r="BQ1181" i="4"/>
  <c r="BQ677" i="4"/>
  <c r="BQ1952" i="4"/>
  <c r="BQ1057" i="4"/>
  <c r="BQ692" i="4"/>
  <c r="BQ961" i="4"/>
  <c r="BQ1002" i="4"/>
  <c r="BQ349" i="4"/>
  <c r="BQ343" i="4"/>
  <c r="BQ667" i="4"/>
  <c r="BQ1147" i="4"/>
  <c r="BQ1008" i="4"/>
  <c r="BQ400" i="4"/>
  <c r="BQ1070" i="4"/>
  <c r="BQ1239" i="4"/>
  <c r="BQ650" i="4"/>
  <c r="BQ662" i="4"/>
  <c r="BQ661" i="4"/>
  <c r="BQ353" i="4"/>
  <c r="BQ1077" i="4"/>
  <c r="BQ1192" i="4"/>
  <c r="BQ1087" i="4"/>
  <c r="BQ1196" i="4"/>
  <c r="BQ554" i="4"/>
  <c r="BQ1464" i="4"/>
  <c r="BQ1463" i="4"/>
  <c r="BQ1180" i="4"/>
  <c r="BQ648" i="4"/>
  <c r="BQ948" i="4"/>
  <c r="BQ1107" i="4"/>
  <c r="BQ1106" i="4"/>
  <c r="BQ1195" i="4"/>
  <c r="BQ578" i="4"/>
  <c r="BQ852" i="4"/>
  <c r="BQ370" i="4"/>
  <c r="BQ1214" i="4"/>
  <c r="BQ1213" i="4"/>
  <c r="BQ1963" i="4"/>
  <c r="BQ1457" i="4"/>
  <c r="BQ1699" i="4"/>
  <c r="BQ1379" i="4"/>
  <c r="BQ1014" i="4"/>
  <c r="BQ671" i="4"/>
  <c r="BQ1146" i="4"/>
  <c r="BQ1069" i="4"/>
  <c r="BQ771" i="4"/>
  <c r="BQ1072" i="4"/>
  <c r="BQ1383" i="4"/>
  <c r="BQ1965" i="4"/>
  <c r="BQ361" i="4"/>
  <c r="BQ1110" i="4"/>
  <c r="BQ533" i="4"/>
  <c r="BQ670" i="4"/>
  <c r="BQ881" i="4"/>
  <c r="BQ1967" i="4"/>
  <c r="BQ351" i="4"/>
  <c r="BQ1119" i="4"/>
  <c r="BQ998" i="4"/>
  <c r="BQ350" i="4"/>
  <c r="BQ1968" i="4"/>
  <c r="BQ369" i="4"/>
  <c r="BQ1957" i="4"/>
  <c r="BQ1086" i="4"/>
  <c r="BQ1068" i="4"/>
  <c r="BQ805" i="4"/>
  <c r="BQ659" i="4"/>
  <c r="BQ1955" i="4"/>
  <c r="BQ647" i="4"/>
  <c r="BQ989" i="4"/>
  <c r="BQ1737" i="4"/>
  <c r="BQ1438" i="4"/>
  <c r="BQ1741" i="4"/>
  <c r="BQ1607" i="4"/>
  <c r="BQ1285" i="4"/>
  <c r="BQ1606" i="4"/>
  <c r="BQ534" i="4"/>
  <c r="BQ1091" i="4"/>
  <c r="BQ491" i="4"/>
  <c r="BQ1687" i="4"/>
  <c r="BQ389" i="4"/>
  <c r="BQ555" i="4"/>
  <c r="BQ997" i="4"/>
  <c r="BQ416" i="4"/>
  <c r="BQ1821" i="4"/>
  <c r="BQ897" i="4"/>
  <c r="BQ1371" i="4"/>
  <c r="BQ395" i="4"/>
  <c r="BQ1546" i="4"/>
  <c r="BQ385" i="4"/>
  <c r="BQ982" i="4"/>
  <c r="BQ1421" i="4"/>
  <c r="BQ954" i="4"/>
  <c r="BQ1472" i="4"/>
  <c r="BQ1021" i="4"/>
  <c r="BQ1020" i="4"/>
  <c r="BQ344" i="4"/>
  <c r="BQ1084" i="4"/>
  <c r="BQ348" i="4"/>
  <c r="BQ1715" i="4"/>
  <c r="BQ1439" i="4"/>
  <c r="BQ365" i="4"/>
  <c r="BQ1558" i="4"/>
  <c r="BQ1637" i="4"/>
  <c r="BQ1015" i="4"/>
  <c r="BQ1065" i="4"/>
  <c r="BQ1271" i="4"/>
  <c r="BQ1270" i="4"/>
  <c r="BQ1238" i="4"/>
  <c r="BQ387" i="4"/>
  <c r="BQ1210" i="4"/>
  <c r="BQ928" i="4"/>
  <c r="BQ1666" i="4"/>
  <c r="BQ646" i="4"/>
  <c r="BQ896" i="4"/>
  <c r="BQ488" i="4"/>
  <c r="BQ1757" i="4"/>
  <c r="BQ1767" i="4"/>
  <c r="BQ1698" i="4"/>
  <c r="BQ1048" i="4"/>
  <c r="BQ1694" i="4"/>
  <c r="BQ1726" i="4"/>
  <c r="BQ1762" i="4"/>
  <c r="BQ1813" i="4"/>
  <c r="BQ1812" i="4"/>
  <c r="BQ1522" i="4"/>
  <c r="BQ1450" i="4"/>
  <c r="BQ1649" i="4"/>
  <c r="BQ1922" i="4"/>
  <c r="BQ1449" i="4"/>
  <c r="BQ1390" i="4"/>
  <c r="BQ1962" i="4"/>
  <c r="BQ352" i="4"/>
  <c r="BQ359" i="4"/>
  <c r="BQ535" i="4"/>
  <c r="BQ636" i="4"/>
  <c r="BQ546" i="4"/>
  <c r="BQ1038" i="4"/>
  <c r="BQ392" i="4"/>
  <c r="BQ391" i="4"/>
  <c r="BQ1615" i="4"/>
  <c r="BQ1521" i="4"/>
  <c r="BQ1071" i="4"/>
  <c r="BQ668" i="4"/>
  <c r="BQ1451" i="4"/>
  <c r="BQ427" i="4"/>
  <c r="BQ360" i="4"/>
  <c r="BQ1756" i="4"/>
  <c r="BQ1034" i="4"/>
  <c r="BQ1750" i="4"/>
  <c r="BQ1811" i="4"/>
  <c r="BQ945" i="4"/>
  <c r="BQ469" i="4"/>
  <c r="BQ1711" i="4"/>
  <c r="BQ1236" i="4"/>
  <c r="BQ1019" i="4"/>
  <c r="BQ1833" i="4"/>
  <c r="BQ1405" i="4"/>
  <c r="BQ384" i="4"/>
  <c r="BQ415" i="4"/>
  <c r="BQ1419" i="4"/>
  <c r="BQ1817" i="4"/>
  <c r="BQ1121" i="4"/>
  <c r="BQ1959" i="4"/>
  <c r="BQ529" i="4"/>
  <c r="BQ672" i="4"/>
  <c r="BQ950" i="4"/>
  <c r="BQ976" i="4"/>
  <c r="BQ1497" i="4"/>
  <c r="BQ1406" i="4"/>
  <c r="BQ1018" i="4"/>
  <c r="BQ1041" i="4"/>
  <c r="BQ1027" i="4"/>
  <c r="BQ971" i="4"/>
  <c r="BQ1894" i="4"/>
  <c r="BQ1886" i="4"/>
  <c r="BQ1576" i="4"/>
  <c r="BQ666" i="4"/>
  <c r="BQ673" i="4"/>
  <c r="BQ442" i="4"/>
  <c r="BQ1044" i="4"/>
  <c r="BQ988" i="4"/>
  <c r="BQ1076" i="4"/>
  <c r="BQ684" i="4"/>
  <c r="BQ1487" i="4"/>
  <c r="BQ1747" i="4"/>
  <c r="BQ644" i="4"/>
  <c r="BQ1064" i="4"/>
  <c r="BQ1073" i="4"/>
  <c r="BQ484" i="4"/>
  <c r="BQ1887" i="4"/>
  <c r="BQ368" i="4"/>
  <c r="BQ981" i="4"/>
  <c r="BQ1134" i="4"/>
  <c r="BQ1067" i="4"/>
  <c r="BQ388" i="4"/>
  <c r="BQ1063" i="4"/>
  <c r="BQ1103" i="4"/>
  <c r="BQ1437" i="4"/>
  <c r="BQ1536" i="4"/>
  <c r="BQ540" i="4"/>
  <c r="BQ310" i="4"/>
  <c r="BQ665" i="4"/>
  <c r="BQ664" i="4"/>
  <c r="BQ1733" i="4"/>
  <c r="BQ414" i="4"/>
  <c r="BQ1403" i="4"/>
  <c r="BQ1011" i="4"/>
  <c r="BQ487" i="4"/>
  <c r="BQ489" i="4"/>
  <c r="BQ1572" i="4"/>
  <c r="BQ1433" i="4"/>
  <c r="BQ401" i="4"/>
  <c r="BQ1422" i="4"/>
  <c r="BQ1852" i="4"/>
  <c r="BQ1191" i="4"/>
  <c r="BQ1112" i="4"/>
  <c r="BQ1509" i="4"/>
  <c r="BQ1039" i="4"/>
  <c r="BQ1508" i="4"/>
  <c r="BQ1017" i="4"/>
  <c r="BQ1524" i="4"/>
  <c r="BQ367" i="4"/>
  <c r="BQ816" i="4"/>
  <c r="BQ1151" i="4"/>
  <c r="BQ1085" i="4"/>
  <c r="BQ383" i="4"/>
  <c r="BQ1092" i="4"/>
  <c r="BQ552" i="4"/>
  <c r="BQ943" i="4"/>
  <c r="BQ739" i="4"/>
  <c r="BQ1483" i="4"/>
  <c r="BQ1600" i="4"/>
  <c r="BQ1357" i="4"/>
  <c r="BQ964" i="4"/>
  <c r="BQ1535" i="4"/>
  <c r="BQ1765" i="4"/>
  <c r="BQ1111" i="4"/>
  <c r="BQ1612" i="4"/>
  <c r="BQ1581" i="4"/>
  <c r="BQ1235" i="4"/>
  <c r="BQ356" i="4"/>
  <c r="BQ358" i="4"/>
  <c r="BQ1749" i="4"/>
  <c r="BQ1919" i="4"/>
  <c r="BQ1808" i="4"/>
  <c r="BQ1006" i="4"/>
  <c r="BQ542" i="4"/>
  <c r="BQ332" i="4"/>
  <c r="BQ990" i="4"/>
  <c r="BQ975" i="4"/>
  <c r="BQ967" i="4"/>
  <c r="BQ1075" i="4"/>
  <c r="BQ346" i="4"/>
  <c r="BQ309" i="4"/>
  <c r="BQ1780" i="4"/>
  <c r="BQ1025" i="4"/>
  <c r="BQ1445" i="4"/>
  <c r="BQ308" i="4"/>
  <c r="BQ652" i="4"/>
  <c r="BQ996" i="4"/>
  <c r="BQ1761" i="4"/>
  <c r="BQ1914" i="4"/>
  <c r="BQ1654" i="4"/>
  <c r="BQ1016" i="4"/>
  <c r="BQ339" i="4"/>
  <c r="BQ973" i="4"/>
  <c r="BQ1638" i="4"/>
  <c r="BQ504" i="4"/>
  <c r="BQ1212" i="4"/>
  <c r="BQ1282" i="4"/>
  <c r="BQ669" i="4"/>
  <c r="BQ660" i="4"/>
  <c r="BQ1641" i="4"/>
  <c r="BQ999" i="4"/>
  <c r="BQ539" i="4"/>
  <c r="BQ995" i="4"/>
  <c r="BQ1023" i="4"/>
  <c r="BQ966" i="4"/>
  <c r="BQ1396" i="4"/>
  <c r="BQ1074" i="4"/>
  <c r="BQ547" i="4"/>
  <c r="BQ1779" i="4"/>
  <c r="BQ980" i="4"/>
  <c r="BQ505" i="4"/>
  <c r="BQ1810" i="4"/>
  <c r="BQ1725" i="4"/>
  <c r="BQ1496" i="4"/>
  <c r="BQ323" i="4"/>
  <c r="BQ1622" i="4"/>
  <c r="BQ1453" i="4"/>
  <c r="BQ902" i="4"/>
  <c r="BQ366" i="4"/>
  <c r="BQ994" i="4"/>
  <c r="BQ641" i="4"/>
  <c r="BQ1026" i="4"/>
  <c r="BQ1746" i="4"/>
  <c r="BQ656" i="4"/>
  <c r="BQ1745" i="4"/>
  <c r="BQ338" i="4"/>
  <c r="BQ1056" i="4"/>
  <c r="BQ528" i="4"/>
  <c r="BQ1222" i="4"/>
  <c r="BQ1775" i="4"/>
  <c r="BQ1686" i="4"/>
  <c r="BQ1732" i="4"/>
  <c r="BQ334" i="4"/>
  <c r="BQ658" i="4"/>
  <c r="BQ942" i="4"/>
  <c r="BQ941" i="4"/>
  <c r="BQ1683" i="4"/>
  <c r="BQ1636" i="4"/>
  <c r="BQ486" i="4"/>
  <c r="BQ884" i="4"/>
  <c r="BQ474" i="4"/>
  <c r="BQ1706" i="4"/>
  <c r="BQ1896" i="4"/>
  <c r="BQ960" i="4"/>
  <c r="BQ655" i="4"/>
  <c r="BQ333" i="4"/>
  <c r="BQ1625" i="4"/>
  <c r="BQ550" i="4"/>
  <c r="BQ1448" i="4"/>
  <c r="BQ1507" i="4"/>
  <c r="BQ355" i="4"/>
  <c r="BQ1392" i="4"/>
  <c r="BQ477" i="4"/>
  <c r="BQ379" i="4"/>
  <c r="BQ792" i="4"/>
  <c r="BQ955" i="4"/>
  <c r="BQ1010" i="4"/>
  <c r="BQ1913" i="4"/>
  <c r="BQ1336" i="4"/>
  <c r="BQ1318" i="4"/>
  <c r="BQ312" i="4"/>
  <c r="BQ1787" i="4"/>
  <c r="BQ1912" i="4"/>
  <c r="BQ1005" i="4"/>
  <c r="BQ297" i="4"/>
  <c r="BQ1518" i="4"/>
  <c r="BQ1528" i="4"/>
  <c r="BQ372" i="4"/>
  <c r="BQ302" i="4"/>
  <c r="BQ301" i="4"/>
  <c r="BQ1610" i="4"/>
  <c r="BQ643" i="4"/>
  <c r="BQ331" i="4"/>
  <c r="BQ543" i="4"/>
  <c r="BQ957" i="4"/>
  <c r="BQ1860" i="4"/>
  <c r="BQ1004" i="4"/>
  <c r="BQ347" i="4"/>
  <c r="BQ623" i="4"/>
  <c r="BQ848" i="4"/>
  <c r="BQ371" i="4"/>
  <c r="BQ1452" i="4"/>
  <c r="BQ1033" i="4"/>
  <c r="BQ878" i="4"/>
  <c r="BQ1009" i="4"/>
  <c r="BQ630" i="4"/>
  <c r="BQ478" i="4"/>
  <c r="BQ1411" i="4"/>
  <c r="BQ506" i="4"/>
  <c r="BQ1441" i="4"/>
  <c r="BQ1602" i="4"/>
  <c r="BQ1052" i="4"/>
  <c r="BQ562" i="4"/>
  <c r="BQ720" i="4"/>
  <c r="BQ1372" i="4"/>
  <c r="BQ1561" i="4"/>
  <c r="BQ1482" i="4"/>
  <c r="BQ910" i="4"/>
  <c r="BQ909" i="4"/>
  <c r="BQ1682" i="4"/>
  <c r="BQ935" i="4"/>
  <c r="BQ969" i="4"/>
  <c r="BQ901" i="4"/>
  <c r="BQ1127" i="4"/>
  <c r="BQ376" i="4"/>
  <c r="BQ1701" i="4"/>
  <c r="BQ1537" i="4"/>
  <c r="BQ399" i="4"/>
  <c r="BQ1428" i="4"/>
  <c r="BQ377" i="4"/>
  <c r="BQ1603" i="4"/>
  <c r="BQ893" i="4"/>
  <c r="BQ536" i="4"/>
  <c r="BQ1413" i="4"/>
  <c r="BQ1635" i="4"/>
  <c r="BQ1659" i="4"/>
  <c r="BQ337" i="4"/>
  <c r="BQ340" i="4"/>
  <c r="BQ475" i="4"/>
  <c r="BQ1806" i="4"/>
  <c r="BQ912" i="4"/>
  <c r="BQ1488" i="4"/>
  <c r="BQ1648" i="4"/>
  <c r="BQ1460" i="4"/>
  <c r="BQ938" i="4"/>
  <c r="BQ953" i="4"/>
  <c r="BQ471" i="4"/>
  <c r="BQ1388" i="4"/>
  <c r="BQ979" i="4"/>
  <c r="BQ1502" i="4"/>
  <c r="BQ1120" i="4"/>
  <c r="BQ319" i="4"/>
  <c r="BQ318" i="4"/>
  <c r="BQ1461" i="4"/>
  <c r="BQ922" i="4"/>
  <c r="BQ531" i="4"/>
  <c r="BQ548" i="4"/>
  <c r="BQ653" i="4"/>
  <c r="BQ1582" i="4"/>
  <c r="BQ951" i="4"/>
  <c r="BQ987" i="4"/>
  <c r="BQ1431" i="4"/>
  <c r="BQ1385" i="4"/>
  <c r="BQ1700" i="4"/>
  <c r="BQ1744" i="4"/>
  <c r="BQ934" i="4"/>
  <c r="BQ1931" i="4"/>
  <c r="BQ305" i="4"/>
  <c r="BQ649" i="4"/>
  <c r="BQ1605" i="4"/>
  <c r="BQ1939" i="4"/>
  <c r="BQ1040" i="4"/>
  <c r="BQ1923" i="4"/>
  <c r="BQ833" i="4"/>
  <c r="BQ930" i="4"/>
  <c r="BQ911" i="4"/>
  <c r="BQ974" i="4"/>
  <c r="BQ1495" i="4"/>
  <c r="BQ380" i="4"/>
  <c r="BQ328" i="4"/>
  <c r="BQ1356" i="4"/>
  <c r="BQ326" i="4"/>
  <c r="BQ952" i="4"/>
  <c r="BQ1377" i="4"/>
  <c r="BQ1444" i="4"/>
  <c r="BQ325" i="4"/>
  <c r="BQ1410" i="4"/>
  <c r="BQ1754" i="4"/>
  <c r="BQ316" i="4"/>
  <c r="BQ1382" i="4"/>
  <c r="BQ1574" i="4"/>
  <c r="BQ1874" i="4"/>
  <c r="BQ1823" i="4"/>
  <c r="BQ1816" i="4"/>
  <c r="BQ923" i="4"/>
  <c r="BQ516" i="4"/>
  <c r="BQ306" i="4"/>
  <c r="BQ616" i="4"/>
  <c r="BQ1552" i="4"/>
  <c r="BQ1893" i="4"/>
  <c r="BQ1951" i="4"/>
  <c r="BQ1784" i="4"/>
  <c r="BQ1579" i="4"/>
  <c r="BQ1563" i="4"/>
  <c r="BQ1791" i="4"/>
  <c r="BQ1568" i="4"/>
  <c r="BQ932" i="4"/>
  <c r="BQ317" i="4"/>
  <c r="BQ1798" i="4"/>
  <c r="BQ635" i="4"/>
  <c r="BQ1864" i="4"/>
  <c r="BQ1851" i="4"/>
  <c r="BQ1399" i="4"/>
  <c r="BQ1658" i="4"/>
  <c r="BQ1604" i="4"/>
  <c r="BQ1542" i="4"/>
  <c r="BQ1722" i="4"/>
  <c r="BQ293" i="4"/>
  <c r="BQ944" i="4"/>
  <c r="BQ1653" i="4"/>
  <c r="BQ300" i="4"/>
  <c r="BQ1650" i="4"/>
  <c r="BQ860" i="4"/>
  <c r="BQ321" i="4"/>
  <c r="BQ654" i="4"/>
  <c r="BQ856" i="4"/>
  <c r="BQ219" i="4"/>
  <c r="BQ299" i="4"/>
  <c r="BQ1707" i="4"/>
  <c r="BQ813" i="4"/>
  <c r="BQ296" i="4"/>
  <c r="BQ1365" i="4"/>
  <c r="BQ295" i="4"/>
  <c r="BQ991" i="4"/>
  <c r="BQ947" i="4"/>
  <c r="BQ1553" i="4"/>
  <c r="BQ917" i="4"/>
  <c r="BQ929" i="4"/>
  <c r="BQ1644" i="4"/>
  <c r="BQ1661" i="4"/>
  <c r="BQ836" i="4"/>
  <c r="BQ970" i="4"/>
  <c r="BQ1125" i="4"/>
  <c r="BQ962" i="4"/>
  <c r="BQ986" i="4"/>
  <c r="BQ1376" i="4"/>
  <c r="BQ919" i="4"/>
  <c r="BQ1500" i="4"/>
  <c r="BQ281" i="4"/>
  <c r="BQ1714" i="4"/>
  <c r="BQ933" i="4"/>
  <c r="BQ1774" i="4"/>
  <c r="BQ949" i="4"/>
  <c r="BQ877" i="4"/>
  <c r="BQ1856" i="4"/>
  <c r="BQ1693" i="4"/>
  <c r="BQ1545" i="4"/>
  <c r="BQ940" i="4"/>
  <c r="BQ330" i="4"/>
  <c r="BQ629" i="4"/>
  <c r="BQ307" i="4"/>
  <c r="BQ1589" i="4"/>
  <c r="BQ277" i="4"/>
  <c r="BQ291" i="4"/>
  <c r="BQ518" i="4"/>
  <c r="BQ1549" i="4"/>
  <c r="BQ304" i="4"/>
  <c r="BQ937" i="4"/>
  <c r="BQ342" i="4"/>
  <c r="BQ904" i="4"/>
  <c r="BQ294" i="4"/>
  <c r="BQ1903" i="4"/>
  <c r="BQ931" i="4"/>
  <c r="BQ521" i="4"/>
  <c r="BQ520" i="4"/>
  <c r="BQ776" i="4"/>
  <c r="BQ473" i="4"/>
  <c r="BQ482" i="4"/>
  <c r="BQ618" i="4"/>
  <c r="BQ1902" i="4"/>
  <c r="BQ793" i="4"/>
  <c r="BQ336" i="4"/>
  <c r="BQ324" i="4"/>
  <c r="BQ1592" i="4"/>
  <c r="BQ532" i="4"/>
  <c r="BQ275" i="4"/>
  <c r="BQ642" i="4"/>
  <c r="BQ483" i="4"/>
  <c r="BQ832" i="4"/>
  <c r="BQ1043" i="4"/>
  <c r="BQ1306" i="4"/>
  <c r="BQ1966" i="4"/>
  <c r="BQ626" i="4"/>
  <c r="BQ1493" i="4"/>
  <c r="BQ235" i="4"/>
  <c r="BQ993" i="4"/>
  <c r="BQ1003" i="4"/>
  <c r="BQ921" i="4"/>
  <c r="BQ1492" i="4"/>
  <c r="BQ1845" i="4"/>
  <c r="BQ1601" i="4"/>
  <c r="BQ1363" i="4"/>
  <c r="BQ480" i="4"/>
  <c r="BQ257" i="4"/>
  <c r="BQ1364" i="4"/>
  <c r="BQ1713" i="4"/>
  <c r="BQ786" i="4"/>
  <c r="BQ936" i="4"/>
  <c r="BQ978" i="4"/>
  <c r="BQ1481" i="4"/>
  <c r="BQ329" i="4"/>
  <c r="BQ289" i="4"/>
  <c r="BQ992" i="4"/>
  <c r="BQ1704" i="4"/>
  <c r="BQ1531" i="4"/>
  <c r="BQ1614" i="4"/>
  <c r="BQ314" i="4"/>
  <c r="BQ1788" i="4"/>
  <c r="BQ958" i="4"/>
  <c r="BQ916" i="4"/>
  <c r="BQ298" i="4"/>
  <c r="BQ1326" i="4"/>
  <c r="BQ282" i="4"/>
  <c r="BQ470" i="4"/>
  <c r="BQ254" i="4"/>
  <c r="BQ1435" i="4"/>
  <c r="BQ476" i="4"/>
  <c r="BQ628" i="4"/>
  <c r="BQ1055" i="4"/>
  <c r="BQ1783" i="4"/>
  <c r="BQ1760" i="4"/>
  <c r="BQ1691" i="4"/>
  <c r="BQ748" i="4"/>
  <c r="BQ315" i="4"/>
  <c r="BQ820" i="4"/>
  <c r="BQ1360" i="4"/>
  <c r="BQ1853" i="4"/>
  <c r="BQ522" i="4"/>
  <c r="BQ1387" i="4"/>
  <c r="BQ1530" i="4"/>
  <c r="BQ468" i="4"/>
  <c r="BQ272" i="4"/>
  <c r="BQ322" i="4"/>
  <c r="BQ889" i="4"/>
  <c r="BQ1868" i="4"/>
  <c r="BQ263" i="4"/>
  <c r="BQ341" i="4"/>
  <c r="BQ320" i="4"/>
  <c r="BQ920" i="4"/>
  <c r="BQ1663" i="4"/>
  <c r="BQ276" i="4"/>
  <c r="BQ1876" i="4"/>
  <c r="BQ99" i="4"/>
  <c r="BQ892" i="4"/>
  <c r="BQ1859" i="4"/>
  <c r="BQ537" i="4"/>
  <c r="BQ1423" i="4"/>
  <c r="BQ1673" i="4"/>
  <c r="BQ1734" i="4"/>
  <c r="BQ1566" i="4"/>
  <c r="BQ1526" i="4"/>
  <c r="BQ1973" i="4"/>
  <c r="BQ345" i="4"/>
  <c r="BQ1850" i="4"/>
  <c r="BQ1832" i="4"/>
  <c r="BQ638" i="4"/>
  <c r="BQ640" i="4"/>
  <c r="BQ269" i="4"/>
  <c r="BQ1645" i="4"/>
  <c r="BQ799" i="4"/>
  <c r="BQ927" i="4"/>
  <c r="BQ790" i="4"/>
  <c r="BQ1956" i="4"/>
  <c r="BQ292" i="4"/>
  <c r="BQ481" i="4"/>
  <c r="BQ1329" i="4"/>
  <c r="BQ357" i="4"/>
  <c r="BQ1753" i="4"/>
  <c r="BQ609" i="4"/>
  <c r="BQ1709" i="4"/>
  <c r="BQ985" i="4"/>
  <c r="BQ1643" i="4"/>
  <c r="BQ1505" i="4"/>
  <c r="BQ260" i="4"/>
  <c r="BQ375" i="4"/>
  <c r="BQ639" i="4"/>
  <c r="BQ926" i="4"/>
  <c r="BQ241" i="4"/>
  <c r="BQ238" i="4"/>
  <c r="BQ1328" i="4"/>
  <c r="BQ541" i="4"/>
  <c r="BQ527" i="4"/>
  <c r="BQ1730" i="4"/>
  <c r="BQ1555" i="4"/>
  <c r="BQ1609" i="4"/>
  <c r="BQ1447" i="4"/>
  <c r="BQ1642" i="4"/>
  <c r="BQ1455" i="4"/>
  <c r="BQ266" i="4"/>
  <c r="BQ627" i="4"/>
  <c r="BQ1911" i="4"/>
  <c r="BQ899" i="4"/>
  <c r="BQ760" i="4"/>
  <c r="BQ280" i="4"/>
  <c r="BQ1904" i="4"/>
  <c r="BQ242" i="4"/>
  <c r="BQ1921" i="4"/>
  <c r="BQ1474" i="4"/>
  <c r="BQ611" i="4"/>
  <c r="BQ288" i="4"/>
  <c r="BQ632" i="4"/>
  <c r="BQ249" i="4"/>
  <c r="BQ634" i="4"/>
  <c r="BQ178" i="4"/>
  <c r="BQ1476" i="4"/>
  <c r="BQ1332" i="4"/>
  <c r="BQ633" i="4"/>
  <c r="BQ620" i="4"/>
  <c r="BQ234" i="4"/>
  <c r="BQ1647" i="4"/>
  <c r="BQ1564" i="4"/>
  <c r="BQ831" i="4"/>
  <c r="BQ846" i="4"/>
  <c r="BQ803" i="4"/>
  <c r="BQ797" i="4"/>
  <c r="BQ285" i="4"/>
  <c r="BQ1948" i="4"/>
  <c r="BQ617" i="4"/>
  <c r="BQ1890" i="4"/>
  <c r="BQ637" i="4"/>
  <c r="BQ1657" i="4"/>
  <c r="BQ1759" i="4"/>
  <c r="BQ880" i="4"/>
  <c r="BQ262" i="4"/>
  <c r="BQ615" i="4"/>
  <c r="BQ730" i="4"/>
  <c r="BQ711" i="4"/>
  <c r="BQ1667" i="4"/>
  <c r="BQ1910" i="4"/>
  <c r="BQ1892" i="4"/>
  <c r="BQ956" i="4"/>
  <c r="BQ608" i="4"/>
  <c r="BQ1454" i="4"/>
  <c r="BQ279" i="4"/>
  <c r="BQ1469" i="4"/>
  <c r="BQ130" i="4"/>
  <c r="BQ188" i="4"/>
  <c r="BQ223" i="4"/>
  <c r="BQ240" i="4"/>
  <c r="BQ1330" i="4"/>
  <c r="BQ466" i="4"/>
  <c r="BQ526" i="4"/>
  <c r="BQ773" i="4"/>
  <c r="BQ959" i="4"/>
  <c r="BQ907" i="4"/>
  <c r="BQ865" i="4"/>
  <c r="BQ1548" i="4"/>
  <c r="BQ364" i="4"/>
  <c r="BQ245" i="4"/>
  <c r="BQ1418" i="4"/>
  <c r="BQ354" i="4"/>
  <c r="BQ613" i="4"/>
  <c r="BQ914" i="4"/>
  <c r="BQ891" i="4"/>
  <c r="BQ610" i="4"/>
  <c r="BQ1932" i="4"/>
  <c r="BQ250" i="4"/>
  <c r="BQ1909" i="4"/>
  <c r="BQ834" i="4"/>
  <c r="BQ872" i="4"/>
  <c r="BQ1925" i="4"/>
  <c r="BQ801" i="4"/>
  <c r="BQ311" i="4"/>
  <c r="BQ1908" i="4"/>
  <c r="BQ913" i="4"/>
  <c r="BQ915" i="4"/>
  <c r="BQ761" i="4"/>
  <c r="BQ1936" i="4"/>
  <c r="BQ847" i="4"/>
  <c r="BQ1930" i="4"/>
  <c r="BQ1895" i="4"/>
  <c r="BQ1837" i="4"/>
  <c r="BQ1899" i="4"/>
  <c r="BQ751" i="4"/>
  <c r="BQ1696" i="4"/>
  <c r="BQ821" i="4"/>
  <c r="BQ796" i="4"/>
  <c r="BQ213" i="4"/>
  <c r="BQ1875" i="4"/>
  <c r="BQ785" i="4"/>
  <c r="BQ167" i="4"/>
  <c r="BQ1591" i="4"/>
  <c r="BQ1748" i="4"/>
  <c r="BQ1035" i="4"/>
  <c r="BQ903" i="4"/>
  <c r="BQ205" i="4"/>
  <c r="BQ606" i="4"/>
  <c r="BQ890" i="4"/>
  <c r="BQ1484" i="4"/>
  <c r="BQ759" i="4"/>
  <c r="BQ883" i="4"/>
  <c r="BQ868" i="4"/>
  <c r="BQ149" i="4"/>
  <c r="BQ1466" i="4"/>
  <c r="BQ538" i="4"/>
  <c r="BQ1814" i="4"/>
  <c r="BQ946" i="4"/>
  <c r="BQ1362" i="4"/>
  <c r="BQ273" i="4"/>
  <c r="BQ1631" i="4"/>
  <c r="BQ1443" i="4"/>
  <c r="BQ1820" i="4"/>
  <c r="BQ1736" i="4"/>
  <c r="BQ1480" i="4"/>
  <c r="BQ835" i="4"/>
  <c r="BQ335" i="4"/>
  <c r="BQ1459" i="4"/>
  <c r="BQ1516" i="4"/>
  <c r="BQ906" i="4"/>
  <c r="BQ523" i="4"/>
  <c r="BQ858" i="4"/>
  <c r="BQ290" i="4"/>
  <c r="BQ327" i="4"/>
  <c r="BQ840" i="4"/>
  <c r="BQ1634" i="4"/>
  <c r="BQ140" i="4"/>
  <c r="BQ1617" i="4"/>
  <c r="BQ895" i="4"/>
  <c r="BQ1578" i="4"/>
  <c r="BQ1432" i="4"/>
  <c r="BQ261" i="4"/>
  <c r="BQ472" i="4"/>
  <c r="BQ875" i="4"/>
  <c r="BQ1873" i="4"/>
  <c r="BQ841" i="4"/>
  <c r="BQ448" i="4"/>
  <c r="BQ925" i="4"/>
  <c r="BQ228" i="4"/>
  <c r="BQ303" i="4"/>
  <c r="BQ1676" i="4"/>
  <c r="BQ784" i="4"/>
  <c r="BQ1872" i="4"/>
  <c r="BQ530" i="4"/>
  <c r="BQ227" i="4"/>
  <c r="BQ226" i="4"/>
  <c r="BQ1926" i="4"/>
  <c r="BQ1550" i="4"/>
  <c r="BQ1491" i="4"/>
  <c r="BQ1907" i="4"/>
  <c r="BQ758" i="4"/>
  <c r="BQ1599" i="4"/>
  <c r="BQ179" i="4"/>
  <c r="BQ1718" i="4"/>
  <c r="BQ1490" i="4"/>
  <c r="BQ206" i="4"/>
  <c r="BQ837" i="4"/>
  <c r="BQ111" i="4"/>
  <c r="BQ1475" i="4"/>
  <c r="BQ164" i="4"/>
  <c r="BQ163" i="4"/>
  <c r="BQ199" i="4"/>
  <c r="BQ1818" i="4"/>
  <c r="BQ209" i="4"/>
  <c r="BQ271" i="4"/>
  <c r="BQ1710" i="4"/>
  <c r="BQ1427" i="4"/>
  <c r="BQ1684" i="4"/>
  <c r="BQ268" i="4"/>
  <c r="BQ286" i="4"/>
  <c r="BQ1583" i="4"/>
  <c r="BQ1918" i="4"/>
  <c r="BQ204" i="4"/>
  <c r="BQ284" i="4"/>
  <c r="BQ177" i="4"/>
  <c r="BQ1640" i="4"/>
  <c r="BQ850" i="4"/>
  <c r="BQ244" i="4"/>
  <c r="BQ1727" i="4"/>
  <c r="BQ1629" i="4"/>
  <c r="BQ1652" i="4"/>
  <c r="BQ283" i="4"/>
  <c r="BQ253" i="4"/>
  <c r="BQ243" i="4"/>
  <c r="BQ1849" i="4"/>
  <c r="BQ918" i="4"/>
  <c r="BQ1731" i="4"/>
  <c r="BQ894" i="4"/>
  <c r="BQ789" i="4"/>
  <c r="BQ1398" i="4"/>
  <c r="BQ1729" i="4"/>
  <c r="BQ1608" i="4"/>
  <c r="BQ1633" i="4"/>
  <c r="BQ139" i="4"/>
  <c r="BQ155" i="4"/>
  <c r="BQ154" i="4"/>
  <c r="BQ215" i="4"/>
  <c r="BQ612" i="4"/>
  <c r="BQ229" i="4"/>
  <c r="BQ181" i="4"/>
  <c r="BQ824" i="4"/>
  <c r="BQ270" i="4"/>
  <c r="BQ259" i="4"/>
  <c r="BQ1835" i="4"/>
  <c r="BQ251" i="4"/>
  <c r="BQ192" i="4"/>
  <c r="BQ631" i="4"/>
  <c r="BQ1834" i="4"/>
  <c r="BQ1620" i="4"/>
  <c r="BQ200" i="4"/>
  <c r="BQ1619" i="4"/>
  <c r="BQ1618" i="4"/>
  <c r="BQ1758" i="4"/>
  <c r="BQ153" i="4"/>
  <c r="BQ278" i="4"/>
  <c r="BQ479" i="4"/>
  <c r="BQ138" i="4"/>
  <c r="BQ1660" i="4"/>
  <c r="BQ719" i="4"/>
  <c r="BQ624" i="4"/>
  <c r="BQ1740" i="4"/>
  <c r="BQ176" i="4"/>
  <c r="BQ258" i="4"/>
  <c r="BQ1639" i="4"/>
  <c r="BQ1597" i="4"/>
  <c r="BQ1917" i="4"/>
  <c r="BQ879" i="4"/>
  <c r="BQ247" i="4"/>
  <c r="BQ1848" i="4"/>
  <c r="BQ1858" i="4"/>
  <c r="BQ882" i="4"/>
  <c r="BQ1681" i="4"/>
  <c r="BQ908" i="4"/>
  <c r="BQ129" i="4"/>
  <c r="BQ222" i="4"/>
  <c r="BQ1843" i="4"/>
  <c r="BQ614" i="4"/>
  <c r="BQ1414" i="4"/>
  <c r="BQ233" i="4"/>
  <c r="BQ812" i="4"/>
  <c r="BQ1950" i="4"/>
  <c r="BQ1697" i="4"/>
  <c r="BQ1611" i="4"/>
  <c r="BQ1847" i="4"/>
  <c r="BQ92" i="4"/>
  <c r="BQ1361" i="4"/>
  <c r="BQ1402" i="4"/>
  <c r="BQ225" i="4"/>
  <c r="BQ224" i="4"/>
  <c r="BQ1506" i="4"/>
  <c r="BQ1586" i="4"/>
  <c r="BQ1527" i="4"/>
  <c r="BQ255" i="4"/>
  <c r="BQ157" i="4"/>
  <c r="BQ156" i="4"/>
  <c r="BQ221" i="4"/>
  <c r="BQ1792" i="4"/>
  <c r="BQ517" i="4"/>
  <c r="BQ939" i="4"/>
  <c r="BQ186" i="4"/>
  <c r="BQ1807" i="4"/>
  <c r="BQ239" i="4"/>
  <c r="BQ132" i="4"/>
  <c r="BQ1826" i="4"/>
  <c r="BQ1409" i="4"/>
  <c r="BQ231" i="4"/>
  <c r="BQ230" i="4"/>
  <c r="BQ519" i="4"/>
  <c r="BQ267" i="4"/>
  <c r="BQ464" i="4"/>
  <c r="BQ193" i="4"/>
  <c r="BQ137" i="4"/>
  <c r="BQ264" i="4"/>
  <c r="BQ1359" i="4"/>
  <c r="BQ811" i="4"/>
  <c r="BQ208" i="4"/>
  <c r="BQ1721" i="4"/>
  <c r="BQ100" i="4"/>
  <c r="BQ182" i="4"/>
  <c r="BQ265" i="4"/>
  <c r="BQ823" i="4"/>
  <c r="BQ743" i="4"/>
  <c r="BQ1719" i="4"/>
  <c r="BQ783" i="4"/>
  <c r="BQ256" i="4"/>
  <c r="BQ851" i="4"/>
  <c r="BQ827" i="4"/>
  <c r="BQ220" i="4"/>
  <c r="BQ765" i="4"/>
  <c r="BQ924" i="4"/>
  <c r="BQ1871" i="4"/>
  <c r="BQ804" i="4"/>
  <c r="BQ871" i="4"/>
  <c r="BQ1781" i="4"/>
  <c r="BQ102" i="4"/>
  <c r="BQ246" i="4"/>
  <c r="BQ1547" i="4"/>
  <c r="BQ1867" i="4"/>
  <c r="BQ158" i="4"/>
  <c r="BQ767" i="4"/>
  <c r="BQ1562" i="4"/>
  <c r="BQ782" i="4"/>
  <c r="BQ1470" i="4"/>
  <c r="BQ187" i="4"/>
  <c r="BQ1971" i="4"/>
  <c r="BQ160" i="4"/>
  <c r="BQ1598" i="4"/>
  <c r="BQ1624" i="4"/>
  <c r="BQ1503" i="4"/>
  <c r="BQ1672" i="4"/>
  <c r="BQ1571" i="4"/>
  <c r="BQ148" i="4"/>
  <c r="BQ108" i="4"/>
  <c r="BQ830" i="4"/>
  <c r="BQ870" i="4"/>
  <c r="BQ853" i="4"/>
  <c r="BQ1786" i="4"/>
  <c r="BQ1689" i="4"/>
  <c r="BQ1782" i="4"/>
  <c r="BQ867" i="4"/>
  <c r="BQ1836" i="4"/>
  <c r="BQ1486" i="4"/>
  <c r="BQ1708" i="4"/>
  <c r="BQ68" i="4"/>
  <c r="BQ196" i="4"/>
  <c r="BQ800" i="4"/>
  <c r="BQ1628" i="4"/>
  <c r="BQ818" i="4"/>
  <c r="BQ905" i="4"/>
  <c r="BQ525" i="4"/>
  <c r="BQ1375" i="4"/>
  <c r="BQ1424" i="4"/>
  <c r="BQ1938" i="4"/>
  <c r="BQ1933" i="4"/>
  <c r="BQ174" i="4"/>
  <c r="BQ1773" i="4"/>
  <c r="BQ873" i="4"/>
  <c r="BQ716" i="4"/>
  <c r="BQ57" i="4"/>
  <c r="BQ128" i="4"/>
  <c r="BQ622" i="4"/>
  <c r="BQ861" i="4"/>
  <c r="BQ1824" i="4"/>
  <c r="BQ217" i="4"/>
  <c r="BQ43" i="4"/>
  <c r="BQ1866" i="4"/>
  <c r="BQ1679" i="4"/>
  <c r="BQ218" i="4"/>
  <c r="BQ1671" i="4"/>
  <c r="BQ1964" i="4"/>
  <c r="BQ1961" i="4"/>
  <c r="BQ1960" i="4"/>
  <c r="BQ1927" i="4"/>
  <c r="BQ1954" i="4"/>
  <c r="BQ189" i="4"/>
  <c r="BQ1690" i="4"/>
  <c r="BQ237" i="4"/>
  <c r="BQ1401" i="4"/>
  <c r="BQ1924" i="4"/>
  <c r="BQ1900" i="4"/>
  <c r="BQ203" i="4"/>
  <c r="BQ1567" i="4"/>
  <c r="BQ202" i="4"/>
  <c r="BQ152" i="4"/>
  <c r="BQ857" i="4"/>
  <c r="BQ1489" i="4"/>
  <c r="BQ1513" i="4"/>
  <c r="BQ1386" i="4"/>
  <c r="BQ201" i="4"/>
  <c r="BQ1358" i="4"/>
  <c r="BQ738" i="4"/>
  <c r="BQ1819" i="4"/>
  <c r="BQ1585" i="4"/>
  <c r="BQ798" i="4"/>
  <c r="BQ141" i="4"/>
  <c r="BQ1417" i="4"/>
  <c r="BQ874" i="4"/>
  <c r="BQ604" i="4"/>
  <c r="BQ1937" i="4"/>
  <c r="BQ607" i="4"/>
  <c r="BQ121" i="4"/>
  <c r="BQ1776" i="4"/>
  <c r="BQ1613" i="4"/>
  <c r="BQ1517" i="4"/>
  <c r="BQ1630" i="4"/>
  <c r="BQ849" i="4"/>
  <c r="BQ1434" i="4"/>
  <c r="BQ173" i="4"/>
  <c r="BQ621" i="4"/>
  <c r="BQ465" i="4"/>
  <c r="BQ1541" i="4"/>
  <c r="BQ1662" i="4"/>
  <c r="BQ726" i="4"/>
  <c r="BQ71" i="4"/>
  <c r="BQ147" i="4"/>
  <c r="BQ1738" i="4"/>
  <c r="BQ876" i="4"/>
  <c r="BQ1416" i="4"/>
  <c r="BQ1785" i="4"/>
  <c r="BQ1415" i="4"/>
  <c r="BQ845" i="4"/>
  <c r="BQ1557" i="4"/>
  <c r="BQ1752" i="4"/>
  <c r="BQ1458" i="4"/>
  <c r="BQ313" i="4"/>
  <c r="BQ1623" i="4"/>
  <c r="BQ859" i="4"/>
  <c r="BQ839" i="4"/>
  <c r="BQ26" i="4"/>
  <c r="BQ52" i="4"/>
  <c r="BQ810" i="4"/>
  <c r="BQ81" i="4"/>
  <c r="BQ787" i="4"/>
  <c r="BQ136" i="4"/>
  <c r="BQ1520" i="4"/>
  <c r="BQ1946" i="4"/>
  <c r="BQ524" i="4"/>
  <c r="BQ232" i="4"/>
  <c r="BQ1854" i="4"/>
  <c r="BQ1408" i="4"/>
  <c r="BQ1970" i="4"/>
  <c r="BQ1723" i="4"/>
  <c r="BQ184" i="4"/>
  <c r="BQ822" i="4"/>
  <c r="BQ146" i="4"/>
  <c r="BQ1969" i="4"/>
  <c r="BQ195" i="4"/>
  <c r="BQ779" i="4"/>
  <c r="BQ1368" i="4"/>
  <c r="BQ1367" i="4"/>
  <c r="BQ1400" i="4"/>
  <c r="BQ94" i="4"/>
  <c r="BQ88" i="4"/>
  <c r="BQ126" i="4"/>
  <c r="BQ93" i="4"/>
  <c r="BQ11" i="4"/>
  <c r="BQ829" i="4"/>
  <c r="BQ175" i="4"/>
  <c r="BQ1381" i="4"/>
  <c r="BQ248" i="4"/>
  <c r="BQ197" i="4"/>
  <c r="BQ1391" i="4"/>
  <c r="BQ133" i="4"/>
  <c r="BQ898" i="4"/>
  <c r="BQ103" i="4"/>
  <c r="BQ809" i="4"/>
  <c r="BQ769" i="4"/>
  <c r="BQ207" i="4"/>
  <c r="BQ808" i="4"/>
  <c r="BQ236" i="4"/>
  <c r="BQ1575" i="4"/>
  <c r="BQ1580" i="4"/>
  <c r="BQ180" i="4"/>
  <c r="BQ1958" i="4"/>
  <c r="BQ724" i="4"/>
  <c r="BQ1906" i="4"/>
  <c r="BQ706" i="4"/>
  <c r="BQ80" i="4"/>
  <c r="BQ1840" i="4"/>
  <c r="BQ1772" i="4"/>
  <c r="BQ1905" i="4"/>
  <c r="BQ770" i="4"/>
  <c r="BQ194" i="4"/>
  <c r="BQ198" i="4"/>
  <c r="BQ734" i="4"/>
  <c r="BQ1831" i="4"/>
  <c r="BQ1739" i="4"/>
  <c r="BQ216" i="4"/>
  <c r="BQ35" i="4"/>
  <c r="BQ750" i="4"/>
  <c r="BQ712" i="4"/>
  <c r="BQ1947" i="4"/>
  <c r="BQ862" i="4"/>
  <c r="BQ1395" i="4"/>
  <c r="BQ274" i="4"/>
  <c r="BQ854" i="4"/>
  <c r="BQ168" i="4"/>
  <c r="BQ162" i="4"/>
  <c r="BQ1616" i="4"/>
  <c r="BQ1584" i="4"/>
  <c r="BQ1468" i="4"/>
  <c r="BQ1627" i="4"/>
  <c r="BQ754" i="4"/>
  <c r="BQ1764" i="4"/>
  <c r="BQ1678" i="4"/>
  <c r="BQ723" i="4"/>
  <c r="BQ1677" i="4"/>
  <c r="BQ110" i="4"/>
  <c r="BQ109" i="4"/>
  <c r="BQ1688" i="4"/>
  <c r="BQ47" i="4"/>
  <c r="BQ725" i="4"/>
  <c r="BQ116" i="4"/>
  <c r="BQ1675" i="4"/>
  <c r="BQ61" i="4"/>
  <c r="BQ90" i="4"/>
  <c r="BQ1494" i="4"/>
  <c r="BQ56" i="4"/>
  <c r="BQ151" i="4"/>
  <c r="BQ183" i="4"/>
  <c r="BQ778" i="4"/>
  <c r="BQ161" i="4"/>
  <c r="BQ104" i="4"/>
  <c r="BQ1827" i="4"/>
  <c r="BQ1751" i="4"/>
  <c r="BQ1588" i="4"/>
  <c r="BQ95" i="4"/>
  <c r="BQ73" i="4"/>
  <c r="BQ25" i="4"/>
  <c r="BQ815" i="4"/>
  <c r="BQ814" i="4"/>
  <c r="BQ107" i="4"/>
  <c r="BQ714" i="4"/>
  <c r="BQ28" i="4"/>
  <c r="BQ749" i="4"/>
  <c r="BQ1544" i="4"/>
  <c r="BQ1632" i="4"/>
  <c r="BQ212" i="4"/>
  <c r="BQ211" i="4"/>
  <c r="BQ210" i="4"/>
  <c r="BQ1538" i="4"/>
  <c r="BQ91" i="4"/>
  <c r="BQ843" i="4"/>
  <c r="BQ115" i="4"/>
  <c r="BQ1370" i="4"/>
  <c r="BQ781" i="4"/>
  <c r="BQ747" i="4"/>
  <c r="BQ87" i="4"/>
  <c r="BQ1728" i="4"/>
  <c r="BQ1839" i="4"/>
  <c r="BQ40" i="4"/>
  <c r="BQ98" i="4"/>
  <c r="BQ900" i="4"/>
  <c r="BQ825" i="4"/>
  <c r="BQ864" i="4"/>
  <c r="BQ863" i="4"/>
  <c r="BQ287" i="4"/>
  <c r="BQ142" i="4"/>
  <c r="BQ1529" i="4"/>
  <c r="BQ768" i="4"/>
  <c r="BQ125" i="4"/>
  <c r="BQ1587" i="4"/>
  <c r="BQ807" i="4"/>
  <c r="BQ757" i="4"/>
  <c r="BQ38" i="4"/>
  <c r="BQ170" i="4"/>
  <c r="BQ766" i="4"/>
  <c r="BQ838" i="4"/>
  <c r="BQ753" i="4"/>
  <c r="BQ1429" i="4"/>
  <c r="BQ1768" i="4"/>
  <c r="BQ190" i="4"/>
  <c r="BQ166" i="4"/>
  <c r="BQ1646" i="4"/>
  <c r="BQ508" i="4"/>
  <c r="BQ252" i="4"/>
  <c r="BQ119" i="4"/>
  <c r="BQ866" i="4"/>
  <c r="BQ710" i="4"/>
  <c r="BQ1479" i="4"/>
  <c r="BQ135" i="4"/>
  <c r="BQ24" i="4"/>
  <c r="BQ1809" i="4"/>
  <c r="BQ1543" i="4"/>
  <c r="BQ214" i="4"/>
  <c r="BQ1771" i="4"/>
  <c r="BQ509" i="4"/>
  <c r="BQ1815" i="4"/>
  <c r="BQ1770" i="4"/>
  <c r="BQ828" i="4"/>
  <c r="BQ118" i="4"/>
  <c r="BQ2" i="4"/>
  <c r="BQ1769" i="4"/>
  <c r="BQ96" i="4"/>
  <c r="BQ763" i="4"/>
</calcChain>
</file>

<file path=xl/sharedStrings.xml><?xml version="1.0" encoding="utf-8"?>
<sst xmlns="http://schemas.openxmlformats.org/spreadsheetml/2006/main" count="35565" uniqueCount="4677">
  <si>
    <t>estrato</t>
  </si>
  <si>
    <t>latitud</t>
  </si>
  <si>
    <t>longitud</t>
  </si>
  <si>
    <t>url</t>
  </si>
  <si>
    <t>distancia_estacion_m</t>
  </si>
  <si>
    <t>lat_estacion</t>
  </si>
  <si>
    <t>lon_estacion</t>
  </si>
  <si>
    <t>altitud_estacion_m</t>
  </si>
  <si>
    <t>altura_estacion_m</t>
  </si>
  <si>
    <t>tipo_zona_estacion</t>
  </si>
  <si>
    <t>tipo_estacion</t>
  </si>
  <si>
    <t>variables_medidas_estacion</t>
  </si>
  <si>
    <t>fuente_estacion</t>
  </si>
  <si>
    <t>localidad_oficial_ideca</t>
  </si>
  <si>
    <t>dist_transmilenio_km</t>
  </si>
  <si>
    <t>dist_parque_km</t>
  </si>
  <si>
    <t>dist_colegio_km</t>
  </si>
  <si>
    <t>dist_salud_km</t>
  </si>
  <si>
    <t>dist_seguridad_km</t>
  </si>
  <si>
    <t>dist_malla_vial_integral_km</t>
  </si>
  <si>
    <t>dist_malla_vial_intermedia_km</t>
  </si>
  <si>
    <t>n_transmilenio_500m</t>
  </si>
  <si>
    <t>n_transmilenio_1km</t>
  </si>
  <si>
    <t>n_parques_500m</t>
  </si>
  <si>
    <t>n_parques_1km</t>
  </si>
  <si>
    <t>n_colegios_1km</t>
  </si>
  <si>
    <t>n_salud_1km</t>
  </si>
  <si>
    <t>n_seguridad_1km</t>
  </si>
  <si>
    <t>n_equipamientos_1km</t>
  </si>
  <si>
    <t>temperatura_y</t>
  </si>
  <si>
    <t>pm2_5</t>
  </si>
  <si>
    <t>pm10</t>
  </si>
  <si>
    <t>presion_baro</t>
  </si>
  <si>
    <t>hr</t>
  </si>
  <si>
    <t>vel_viento</t>
  </si>
  <si>
    <t>dir_viento</t>
  </si>
  <si>
    <t>precipitacion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</si>
  <si>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</si>
  <si>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</si>
  <si>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</si>
  <si>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</si>
  <si>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</si>
  <si>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</si>
  <si>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</si>
  <si>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</si>
  <si>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</si>
  <si>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</si>
  <si>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</si>
  <si>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</si>
  <si>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</si>
  <si>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</si>
  <si>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</si>
  <si>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</si>
  <si>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</si>
  <si>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</si>
  <si>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</si>
  <si>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</si>
  <si>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</si>
  <si>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</si>
  <si>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</si>
  <si>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</si>
  <si>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</si>
  <si>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</si>
  <si>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</si>
  <si>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</si>
  <si>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</si>
  <si>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</si>
  <si>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</si>
  <si>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</si>
  <si>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</si>
  <si>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</si>
  <si>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</si>
  <si>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</si>
  <si>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</si>
  <si>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</si>
  <si>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</si>
  <si>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</si>
  <si>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</si>
  <si>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</si>
  <si>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</si>
  <si>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</si>
  <si>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</si>
  <si>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</si>
  <si>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</si>
  <si>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</si>
  <si>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</si>
  <si>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</si>
  <si>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</si>
  <si>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</si>
  <si>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</si>
  <si>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</si>
  <si>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</si>
  <si>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</si>
  <si>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</si>
  <si>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</si>
  <si>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</si>
  <si>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</si>
  <si>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</si>
  <si>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</si>
  <si>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</si>
  <si>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</si>
  <si>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</si>
  <si>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</si>
  <si>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</si>
  <si>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</si>
  <si>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</si>
  <si>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</si>
  <si>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</si>
  <si>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</si>
  <si>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</si>
  <si>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</si>
  <si>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</si>
  <si>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</si>
  <si>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</si>
  <si>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</si>
  <si>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</si>
  <si>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</si>
  <si>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</si>
  <si>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</si>
  <si>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</si>
  <si>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</si>
  <si>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</si>
  <si>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</si>
  <si>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</si>
  <si>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</si>
  <si>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</si>
  <si>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</si>
  <si>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</si>
  <si>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</si>
  <si>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</si>
  <si>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</si>
  <si>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</si>
  <si>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</si>
  <si>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</si>
  <si>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</si>
  <si>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</si>
  <si>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</si>
  <si>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</si>
  <si>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</si>
  <si>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</si>
  <si>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</si>
  <si>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</si>
  <si>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</si>
  <si>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</si>
  <si>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</si>
  <si>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</si>
  <si>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</si>
  <si>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</si>
  <si>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</si>
  <si>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</si>
  <si>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</si>
  <si>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</si>
  <si>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</si>
  <si>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</si>
  <si>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</si>
  <si>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</si>
  <si>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</si>
  <si>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</si>
  <si>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</si>
  <si>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</si>
  <si>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</si>
  <si>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</si>
  <si>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</si>
  <si>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</si>
  <si>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</si>
  <si>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</si>
  <si>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</si>
  <si>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</si>
  <si>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</si>
  <si>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</si>
  <si>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</si>
  <si>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</si>
  <si>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</si>
  <si>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</si>
  <si>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</si>
  <si>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</si>
  <si>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</si>
  <si>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</si>
  <si>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</si>
  <si>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</si>
  <si>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</si>
  <si>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</si>
  <si>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</si>
  <si>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</si>
  <si>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</si>
  <si>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</si>
  <si>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</si>
  <si>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</si>
  <si>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</si>
  <si>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</si>
  <si>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</si>
  <si>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</si>
  <si>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</si>
  <si>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</si>
  <si>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</si>
  <si>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</si>
  <si>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</si>
  <si>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</si>
  <si>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</si>
  <si>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</si>
  <si>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</si>
  <si>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</si>
  <si>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</si>
  <si>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</si>
  <si>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</si>
  <si>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</si>
  <si>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</si>
  <si>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</si>
  <si>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</si>
  <si>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</si>
  <si>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</si>
  <si>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</si>
  <si>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</si>
  <si>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</si>
  <si>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</si>
  <si>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</si>
  <si>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</si>
  <si>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</si>
  <si>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</si>
  <si>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</si>
  <si>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</si>
  <si>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</si>
  <si>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</si>
  <si>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</si>
  <si>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</si>
  <si>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</si>
  <si>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</si>
  <si>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</si>
  <si>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</si>
  <si>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</si>
  <si>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</si>
  <si>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</si>
  <si>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</si>
  <si>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</si>
  <si>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</si>
  <si>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</si>
  <si>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</si>
  <si>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</si>
  <si>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</si>
  <si>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</si>
  <si>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</si>
  <si>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</si>
  <si>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</si>
  <si>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</si>
  <si>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</si>
  <si>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</si>
  <si>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</si>
  <si>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</si>
  <si>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</si>
  <si>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</si>
  <si>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</si>
  <si>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</si>
  <si>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</si>
  <si>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</si>
  <si>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</si>
  <si>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</si>
  <si>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</si>
  <si>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</si>
  <si>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</si>
  <si>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</si>
  <si>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</si>
  <si>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</si>
  <si>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</si>
  <si>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</si>
  <si>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</si>
  <si>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</si>
  <si>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</si>
  <si>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</si>
  <si>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</si>
  <si>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</si>
  <si>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</si>
  <si>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</si>
  <si>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</si>
  <si>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</si>
  <si>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</si>
  <si>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</si>
  <si>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</si>
  <si>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</si>
  <si>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</si>
  <si>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</si>
  <si>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</si>
  <si>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</si>
  <si>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</si>
  <si>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</si>
  <si>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</si>
  <si>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</si>
  <si>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</si>
  <si>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</si>
  <si>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</si>
  <si>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</si>
  <si>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</si>
  <si>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</si>
  <si>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</si>
  <si>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</si>
  <si>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</si>
  <si>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</si>
  <si>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</si>
  <si>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</si>
  <si>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</si>
  <si>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</si>
  <si>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</si>
  <si>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</si>
  <si>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</si>
  <si>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</si>
  <si>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</si>
  <si>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</si>
  <si>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</si>
  <si>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</si>
  <si>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</si>
  <si>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</si>
  <si>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</si>
  <si>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</si>
  <si>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</si>
  <si>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</si>
  <si>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</si>
  <si>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</si>
  <si>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</si>
  <si>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</si>
  <si>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</si>
  <si>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</si>
  <si>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</si>
  <si>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</si>
  <si>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</si>
  <si>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</si>
  <si>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</si>
  <si>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</si>
  <si>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</si>
  <si>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</si>
  <si>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</si>
  <si>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</si>
  <si>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</si>
  <si>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</si>
  <si>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</si>
  <si>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</si>
  <si>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</si>
  <si>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</si>
  <si>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</si>
  <si>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</si>
  <si>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</si>
  <si>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</si>
  <si>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</si>
  <si>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</si>
  <si>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</si>
  <si>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</si>
  <si>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</si>
  <si>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</si>
  <si>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</si>
  <si>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</si>
  <si>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</si>
  <si>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</si>
  <si>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</si>
  <si>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</si>
  <si>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</si>
  <si>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</si>
  <si>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</si>
  <si>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</si>
  <si>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</si>
  <si>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</si>
  <si>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</si>
  <si>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</si>
  <si>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</si>
  <si>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</si>
  <si>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</si>
  <si>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</si>
  <si>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</si>
  <si>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</si>
  <si>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</si>
  <si>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</si>
  <si>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</si>
  <si>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</si>
  <si>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</si>
  <si>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</si>
  <si>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</si>
  <si>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</si>
  <si>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</si>
  <si>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</si>
  <si>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</si>
  <si>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</si>
  <si>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</si>
  <si>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</si>
  <si>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</si>
  <si>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</si>
  <si>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</si>
  <si>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</si>
  <si>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</si>
  <si>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</si>
  <si>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</si>
  <si>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</si>
  <si>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</si>
  <si>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</si>
  <si>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</si>
  <si>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</si>
  <si>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</si>
  <si>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</si>
  <si>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</si>
  <si>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</si>
  <si>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</si>
  <si>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</si>
  <si>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</si>
  <si>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</si>
  <si>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</si>
  <si>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</si>
  <si>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</si>
  <si>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</si>
  <si>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</si>
  <si>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</si>
  <si>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</si>
  <si>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</si>
  <si>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</si>
  <si>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</si>
  <si>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</si>
  <si>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</si>
  <si>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</si>
  <si>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</si>
  <si>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</si>
  <si>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</si>
  <si>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</si>
  <si>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</si>
  <si>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</si>
  <si>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</si>
  <si>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</si>
  <si>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</si>
  <si>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</si>
  <si>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</si>
  <si>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</si>
  <si>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</si>
  <si>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</si>
  <si>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</si>
  <si>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</si>
  <si>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</si>
  <si>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</si>
  <si>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</si>
  <si>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</si>
  <si>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</si>
  <si>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</si>
  <si>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</si>
  <si>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</si>
  <si>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</si>
  <si>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</si>
  <si>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</si>
  <si>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</si>
  <si>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</si>
  <si>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</si>
  <si>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</si>
  <si>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</si>
  <si>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</si>
  <si>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</si>
  <si>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</si>
  <si>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</si>
  <si>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</si>
  <si>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</si>
  <si>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</si>
  <si>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</si>
  <si>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</si>
  <si>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</si>
  <si>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</si>
  <si>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</si>
  <si>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</si>
  <si>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</si>
  <si>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</si>
  <si>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</si>
  <si>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</si>
  <si>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</si>
  <si>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</si>
  <si>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</si>
  <si>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</si>
  <si>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</si>
  <si>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</si>
  <si>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</si>
  <si>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</si>
  <si>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</si>
  <si>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</si>
  <si>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</si>
  <si>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</si>
  <si>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</si>
  <si>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</si>
  <si>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</si>
  <si>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</si>
  <si>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</si>
  <si>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</si>
  <si>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</si>
  <si>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</si>
  <si>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</si>
  <si>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</si>
  <si>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</si>
  <si>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</si>
  <si>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</si>
  <si>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</si>
  <si>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</si>
  <si>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</si>
  <si>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</si>
  <si>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</si>
  <si>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</si>
  <si>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</si>
  <si>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</si>
  <si>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</si>
  <si>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</si>
  <si>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</si>
  <si>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</si>
  <si>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</si>
  <si>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</si>
  <si>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</si>
  <si>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</si>
  <si>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</si>
  <si>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</si>
  <si>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</si>
  <si>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</si>
  <si>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</si>
  <si>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</si>
  <si>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</si>
  <si>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</si>
  <si>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</si>
  <si>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</si>
  <si>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</si>
  <si>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</si>
  <si>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</si>
  <si>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</si>
  <si>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</si>
  <si>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</si>
  <si>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</si>
  <si>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</si>
  <si>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</si>
  <si>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</si>
  <si>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</si>
  <si>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</si>
  <si>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</si>
  <si>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</si>
  <si>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</si>
  <si>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</si>
  <si>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</si>
  <si>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</si>
  <si>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</si>
  <si>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</si>
  <si>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</si>
  <si>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</si>
  <si>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</si>
  <si>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</si>
  <si>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</si>
  <si>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</si>
  <si>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</si>
  <si>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</si>
  <si>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</si>
  <si>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</si>
  <si>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</si>
  <si>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</si>
  <si>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</si>
  <si>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</si>
  <si>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</si>
  <si>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</si>
  <si>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</si>
  <si>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</si>
  <si>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</si>
  <si>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</si>
  <si>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</si>
  <si>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</si>
  <si>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</si>
  <si>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</si>
  <si>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</si>
  <si>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</si>
  <si>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</si>
  <si>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</si>
  <si>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</si>
  <si>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</si>
  <si>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</si>
  <si>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</si>
  <si>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</si>
  <si>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</si>
  <si>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</si>
  <si>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</si>
  <si>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</si>
  <si>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</si>
  <si>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</si>
  <si>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</si>
  <si>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</si>
  <si>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</si>
  <si>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</si>
  <si>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</si>
  <si>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</si>
  <si>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</si>
  <si>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</si>
  <si>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</si>
  <si>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</si>
  <si>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</si>
  <si>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</si>
  <si>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</si>
  <si>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</si>
  <si>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</si>
  <si>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</si>
  <si>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</si>
  <si>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</si>
  <si>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</si>
  <si>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</si>
  <si>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</si>
  <si>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</si>
  <si>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</si>
  <si>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</si>
  <si>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</si>
  <si>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</si>
  <si>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</si>
  <si>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</si>
  <si>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</si>
  <si>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</si>
  <si>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</si>
  <si>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</si>
  <si>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</si>
  <si>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</si>
  <si>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</si>
  <si>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</si>
  <si>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</si>
  <si>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</si>
  <si>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</si>
  <si>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</si>
  <si>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</si>
  <si>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</si>
  <si>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</si>
  <si>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</si>
  <si>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</si>
  <si>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</si>
  <si>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</si>
  <si>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</si>
  <si>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</si>
  <si>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</si>
  <si>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</si>
  <si>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</si>
  <si>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</si>
  <si>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</si>
  <si>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</si>
  <si>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</si>
  <si>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</si>
  <si>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</si>
  <si>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</si>
  <si>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</si>
  <si>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</si>
  <si>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</si>
  <si>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</si>
  <si>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</si>
  <si>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</si>
  <si>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</si>
  <si>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</si>
  <si>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</si>
  <si>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</si>
  <si>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</si>
  <si>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</si>
  <si>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</si>
  <si>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</si>
  <si>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</si>
  <si>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</si>
  <si>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</si>
  <si>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</si>
  <si>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</si>
  <si>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</si>
  <si>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</si>
  <si>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</si>
  <si>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</si>
  <si>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</si>
  <si>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</si>
  <si>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</si>
  <si>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</si>
  <si>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</si>
  <si>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</si>
  <si>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</si>
  <si>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</si>
  <si>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</si>
  <si>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</si>
  <si>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</si>
  <si>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</si>
  <si>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</si>
  <si>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</si>
  <si>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</si>
  <si>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</si>
  <si>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</si>
  <si>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</si>
  <si>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</si>
  <si>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</si>
  <si>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</si>
  <si>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</si>
  <si>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</si>
  <si>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</si>
  <si>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</si>
  <si>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</si>
  <si>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</si>
  <si>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</si>
  <si>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</si>
  <si>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</si>
  <si>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</si>
  <si>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</si>
  <si>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</si>
  <si>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</si>
  <si>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</si>
  <si>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</si>
  <si>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</si>
  <si>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</si>
  <si>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</si>
  <si>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</si>
  <si>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</si>
  <si>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</si>
  <si>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</si>
  <si>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</si>
  <si>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</si>
  <si>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</si>
  <si>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</si>
  <si>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</si>
  <si>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</si>
  <si>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</si>
  <si>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</si>
  <si>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</si>
  <si>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</si>
  <si>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</si>
  <si>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</si>
  <si>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</si>
  <si>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</si>
  <si>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</si>
  <si>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</si>
  <si>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</si>
  <si>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</si>
  <si>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</si>
  <si>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</si>
  <si>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</si>
  <si>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</si>
  <si>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</si>
  <si>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</si>
  <si>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</si>
  <si>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</si>
  <si>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</si>
  <si>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</si>
  <si>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</si>
  <si>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</si>
  <si>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</si>
  <si>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</si>
  <si>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</si>
  <si>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</si>
  <si>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</si>
  <si>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</si>
  <si>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</si>
  <si>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</si>
  <si>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</si>
  <si>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</si>
  <si>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</si>
  <si>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</si>
  <si>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</si>
  <si>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</si>
  <si>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</si>
  <si>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</si>
  <si>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</si>
  <si>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</si>
  <si>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</si>
  <si>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</si>
  <si>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</si>
  <si>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</si>
  <si>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</si>
  <si>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</si>
  <si>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</si>
  <si>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</si>
  <si>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</si>
  <si>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</si>
  <si>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</si>
  <si>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</si>
  <si>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</si>
  <si>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</si>
  <si>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</si>
  <si>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</si>
  <si>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</si>
  <si>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</si>
  <si>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</si>
  <si>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</si>
  <si>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</si>
  <si>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</si>
  <si>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</si>
  <si>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</si>
  <si>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</si>
  <si>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</si>
  <si>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</si>
  <si>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</si>
  <si>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</si>
  <si>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</si>
  <si>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</si>
  <si>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</si>
  <si>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</si>
  <si>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</si>
  <si>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</si>
  <si>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</si>
  <si>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</si>
  <si>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</si>
  <si>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</si>
  <si>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</si>
  <si>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</si>
  <si>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</si>
  <si>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</si>
  <si>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</si>
  <si>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</si>
  <si>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</si>
  <si>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</si>
  <si>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</si>
  <si>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</si>
  <si>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</si>
  <si>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</si>
  <si>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</si>
  <si>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</si>
  <si>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</si>
  <si>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</si>
  <si>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</si>
  <si>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</si>
  <si>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</si>
  <si>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</si>
  <si>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</si>
  <si>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</si>
  <si>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</si>
  <si>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</si>
  <si>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</si>
  <si>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</si>
  <si>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</si>
  <si>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</si>
  <si>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</si>
  <si>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</si>
  <si>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</si>
  <si>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</si>
  <si>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</si>
  <si>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</si>
  <si>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</si>
  <si>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</si>
  <si>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</si>
  <si>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</si>
  <si>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</si>
  <si>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</si>
  <si>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</si>
  <si>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</si>
  <si>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</si>
  <si>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</si>
  <si>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</si>
  <si>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</si>
  <si>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</si>
  <si>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</si>
  <si>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</si>
  <si>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</si>
  <si>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</si>
  <si>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</si>
  <si>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</si>
  <si>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</si>
  <si>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</si>
  <si>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</si>
  <si>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</si>
  <si>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</si>
  <si>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</si>
  <si>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</si>
  <si>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</si>
  <si>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</si>
  <si>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</si>
  <si>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</si>
  <si>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</si>
  <si>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</si>
  <si>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</si>
  <si>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</si>
  <si>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</si>
  <si>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</si>
  <si>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</si>
  <si>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</si>
  <si>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</si>
  <si>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</si>
  <si>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</si>
  <si>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</si>
  <si>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</si>
  <si>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</si>
  <si>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</si>
  <si>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</si>
  <si>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</si>
  <si>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</si>
  <si>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</si>
  <si>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</si>
  <si>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</si>
  <si>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</si>
  <si>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</si>
  <si>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</si>
  <si>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</si>
  <si>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</si>
  <si>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</si>
  <si>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</si>
  <si>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</si>
  <si>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</si>
  <si>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</si>
  <si>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</si>
  <si>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</si>
  <si>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</si>
  <si>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</si>
  <si>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</si>
  <si>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</si>
  <si>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</si>
  <si>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</si>
  <si>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</si>
  <si>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</si>
  <si>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</si>
  <si>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</si>
  <si>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</si>
  <si>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</si>
  <si>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</si>
  <si>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</si>
  <si>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</si>
  <si>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</si>
  <si>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</si>
  <si>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</si>
  <si>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</si>
  <si>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</si>
  <si>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</si>
  <si>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</si>
  <si>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</si>
  <si>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</si>
  <si>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</si>
  <si>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</si>
  <si>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</si>
  <si>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</si>
  <si>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</si>
  <si>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</si>
  <si>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</si>
  <si>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</si>
  <si>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</si>
  <si>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</si>
  <si>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</si>
  <si>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</si>
  <si>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</si>
  <si>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</si>
  <si>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</si>
  <si>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</si>
  <si>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</si>
  <si>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</si>
  <si>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</si>
  <si>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</si>
  <si>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</si>
  <si>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</si>
  <si>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</si>
  <si>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</si>
  <si>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</si>
  <si>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</si>
  <si>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</si>
  <si>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</si>
  <si>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</si>
  <si>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</si>
  <si>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</si>
  <si>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</si>
  <si>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</si>
  <si>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</si>
  <si>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</si>
  <si>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</si>
  <si>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</si>
  <si>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</si>
  <si>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</si>
  <si>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</si>
  <si>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</si>
  <si>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</si>
  <si>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</si>
  <si>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</si>
  <si>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</si>
  <si>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</si>
  <si>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</si>
  <si>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</si>
  <si>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</si>
  <si>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</si>
  <si>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</si>
  <si>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</si>
  <si>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</si>
  <si>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</si>
  <si>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</si>
  <si>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</si>
  <si>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</si>
  <si>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</si>
  <si>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</si>
  <si>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</si>
  <si>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</si>
  <si>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</si>
  <si>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</si>
  <si>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</si>
  <si>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</si>
  <si>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</si>
  <si>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</si>
  <si>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</si>
  <si>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</si>
  <si>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</si>
  <si>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</si>
  <si>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</si>
  <si>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</si>
  <si>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</si>
  <si>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</si>
  <si>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</si>
  <si>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</si>
  <si>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</si>
  <si>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</si>
  <si>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</si>
  <si>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</si>
  <si>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</si>
  <si>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</si>
  <si>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</si>
  <si>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</si>
  <si>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</si>
  <si>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</si>
  <si>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</si>
  <si>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</si>
  <si>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</si>
  <si>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</si>
  <si>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</si>
  <si>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</si>
  <si>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</si>
  <si>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</si>
  <si>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</si>
  <si>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</si>
  <si>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</si>
  <si>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</si>
  <si>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</si>
  <si>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</si>
  <si>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</si>
  <si>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</si>
  <si>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</si>
  <si>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</si>
  <si>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</si>
  <si>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</si>
  <si>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</si>
  <si>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</si>
  <si>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</si>
  <si>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</si>
  <si>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</si>
  <si>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</si>
  <si>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</si>
  <si>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</si>
  <si>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</si>
  <si>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</si>
  <si>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</si>
  <si>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</si>
  <si>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</si>
  <si>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</si>
  <si>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</si>
  <si>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</si>
  <si>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</si>
  <si>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</si>
  <si>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</si>
  <si>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</si>
  <si>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</si>
  <si>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</si>
  <si>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</si>
  <si>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</si>
  <si>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</si>
  <si>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</si>
  <si>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</si>
  <si>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</si>
  <si>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</si>
  <si>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</si>
  <si>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</si>
  <si>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</si>
  <si>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</si>
  <si>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</si>
  <si>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</si>
  <si>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</si>
  <si>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</si>
  <si>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</si>
  <si>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</si>
  <si>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</si>
  <si>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</si>
  <si>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</si>
  <si>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</si>
  <si>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</si>
  <si>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</si>
  <si>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</si>
  <si>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</si>
  <si>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</si>
  <si>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</si>
  <si>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</si>
  <si>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</si>
  <si>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</si>
  <si>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</si>
  <si>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</si>
  <si>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</si>
  <si>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</si>
  <si>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</si>
  <si>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</si>
  <si>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</si>
  <si>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</si>
  <si>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</si>
  <si>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</si>
  <si>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</si>
  <si>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</si>
  <si>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</si>
  <si>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</si>
  <si>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</si>
  <si>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</si>
  <si>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</si>
  <si>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</si>
  <si>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</si>
  <si>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</si>
  <si>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</si>
  <si>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</si>
  <si>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</si>
  <si>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</si>
  <si>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</si>
  <si>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</si>
  <si>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</si>
  <si>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</si>
  <si>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</si>
  <si>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</si>
  <si>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</si>
  <si>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</si>
  <si>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</si>
  <si>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</si>
  <si>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</si>
  <si>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</si>
  <si>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</si>
  <si>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</si>
  <si>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</si>
  <si>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</si>
  <si>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</si>
  <si>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</si>
  <si>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</si>
  <si>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</si>
  <si>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</si>
  <si>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</si>
  <si>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</si>
  <si>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</si>
  <si>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</si>
  <si>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</si>
  <si>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</si>
  <si>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</si>
  <si>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</si>
  <si>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</si>
  <si>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</si>
  <si>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</si>
  <si>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</si>
  <si>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</si>
  <si>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</si>
  <si>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</si>
  <si>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</si>
  <si>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</si>
  <si>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</si>
  <si>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</si>
  <si>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</si>
  <si>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</si>
  <si>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</si>
  <si>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</si>
  <si>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</si>
  <si>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</si>
  <si>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</si>
  <si>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</si>
  <si>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</si>
  <si>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</si>
  <si>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</si>
  <si>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</si>
  <si>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</si>
  <si>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</si>
  <si>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</si>
  <si>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</si>
  <si>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</si>
  <si>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</si>
  <si>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</si>
  <si>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</si>
  <si>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</si>
  <si>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</si>
  <si>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</si>
  <si>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</si>
  <si>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</si>
  <si>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</si>
  <si>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</si>
  <si>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</si>
  <si>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</si>
  <si>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</si>
  <si>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</si>
  <si>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</si>
  <si>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</si>
  <si>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</si>
  <si>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</si>
  <si>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</si>
  <si>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</si>
  <si>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</si>
  <si>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</si>
  <si>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</si>
  <si>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</si>
  <si>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</si>
  <si>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</si>
  <si>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</si>
  <si>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</si>
  <si>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</si>
  <si>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</si>
  <si>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</si>
  <si>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</si>
  <si>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</si>
  <si>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</si>
  <si>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</si>
  <si>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</si>
  <si>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</si>
  <si>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</si>
  <si>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</si>
  <si>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</si>
  <si>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</si>
  <si>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</si>
  <si>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</si>
  <si>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</si>
  <si>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</si>
  <si>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</si>
  <si>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</si>
  <si>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</si>
  <si>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</si>
  <si>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</si>
  <si>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</si>
  <si>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</si>
  <si>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</si>
  <si>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</si>
  <si>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</si>
  <si>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</si>
  <si>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</si>
  <si>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</si>
  <si>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</si>
  <si>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</si>
  <si>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</si>
  <si>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</si>
  <si>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</si>
  <si>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</si>
  <si>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</si>
  <si>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</si>
  <si>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</si>
  <si>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</si>
  <si>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</si>
  <si>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</si>
  <si>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</si>
  <si>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</si>
  <si>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</si>
  <si>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</si>
  <si>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</si>
  <si>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</si>
  <si>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</si>
  <si>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</si>
  <si>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</si>
  <si>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</si>
  <si>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</si>
  <si>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</si>
  <si>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</si>
  <si>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</si>
  <si>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</si>
  <si>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</si>
  <si>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</si>
  <si>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</si>
  <si>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</si>
  <si>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</si>
  <si>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</si>
  <si>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</si>
  <si>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</si>
  <si>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</si>
  <si>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</si>
  <si>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</si>
  <si>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</si>
  <si>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</si>
  <si>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</si>
  <si>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</si>
  <si>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</si>
  <si>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</si>
  <si>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</si>
  <si>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</si>
  <si>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</si>
  <si>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</si>
  <si>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</si>
  <si>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</si>
  <si>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</si>
  <si>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</si>
  <si>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</si>
  <si>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</si>
  <si>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</si>
  <si>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</si>
  <si>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</si>
  <si>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</si>
  <si>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</si>
  <si>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</si>
  <si>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</si>
  <si>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</si>
  <si>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</si>
  <si>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</si>
  <si>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</si>
  <si>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</si>
  <si>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</si>
  <si>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</si>
  <si>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</si>
  <si>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</si>
  <si>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</si>
  <si>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</si>
  <si>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</si>
  <si>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</si>
  <si>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</si>
  <si>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</si>
  <si>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</si>
  <si>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</si>
  <si>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</si>
  <si>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</si>
  <si>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</si>
  <si>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</si>
  <si>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</si>
  <si>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</si>
  <si>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</si>
  <si>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</si>
  <si>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</si>
  <si>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</si>
  <si>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</si>
  <si>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</si>
  <si>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</si>
  <si>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</si>
  <si>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</si>
  <si>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</si>
  <si>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</si>
  <si>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</si>
  <si>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</si>
  <si>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</si>
  <si>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</si>
  <si>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</si>
  <si>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</si>
  <si>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</si>
  <si>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</si>
  <si>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</si>
  <si>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</si>
  <si>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</si>
  <si>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</si>
  <si>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</si>
  <si>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</si>
  <si>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</si>
  <si>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</si>
  <si>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</si>
  <si>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</si>
  <si>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</si>
  <si>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</si>
  <si>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</si>
  <si>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</si>
  <si>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</si>
  <si>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</si>
  <si>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</si>
  <si>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</si>
  <si>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</si>
  <si>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</si>
  <si>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</si>
  <si>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</si>
  <si>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</si>
  <si>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</si>
  <si>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</si>
  <si>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</si>
  <si>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</si>
  <si>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</si>
  <si>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</si>
  <si>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</si>
  <si>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</si>
  <si>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</si>
  <si>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</si>
  <si>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</si>
  <si>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</si>
  <si>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</si>
  <si>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</si>
  <si>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</si>
  <si>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</si>
  <si>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</si>
  <si>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</si>
  <si>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</si>
  <si>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</si>
  <si>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</si>
  <si>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</si>
  <si>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</si>
  <si>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</si>
  <si>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</si>
  <si>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</si>
  <si>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</si>
  <si>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</si>
  <si>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</si>
  <si>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</si>
  <si>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</si>
  <si>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</si>
  <si>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</si>
  <si>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</si>
  <si>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</si>
  <si>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</si>
  <si>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</si>
  <si>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</si>
  <si>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</si>
  <si>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</si>
  <si>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</si>
  <si>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</si>
  <si>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</si>
  <si>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</si>
  <si>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</si>
  <si>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</si>
  <si>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</si>
  <si>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</si>
  <si>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</si>
  <si>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</si>
  <si>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</si>
  <si>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</si>
  <si>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</si>
  <si>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</si>
  <si>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</si>
  <si>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</si>
  <si>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</si>
  <si>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</si>
  <si>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</si>
  <si>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</si>
  <si>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</si>
  <si>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</si>
  <si>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</si>
  <si>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</si>
  <si>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</si>
  <si>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</si>
  <si>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</si>
  <si>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</si>
  <si>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</si>
  <si>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</si>
  <si>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</si>
  <si>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</si>
  <si>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</si>
  <si>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</si>
  <si>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</si>
  <si>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</si>
  <si>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</si>
  <si>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</si>
  <si>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</si>
  <si>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</si>
  <si>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</si>
  <si>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</si>
  <si>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</si>
  <si>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</si>
  <si>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</si>
  <si>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</si>
  <si>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</si>
  <si>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</si>
  <si>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</si>
  <si>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</si>
  <si>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</si>
  <si>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</si>
  <si>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</si>
  <si>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</si>
  <si>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</si>
  <si>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</si>
  <si>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</si>
  <si>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</si>
  <si>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</si>
  <si>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</si>
  <si>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</si>
  <si>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</si>
  <si>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</si>
  <si>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</si>
  <si>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</si>
  <si>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</si>
  <si>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</si>
  <si>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</si>
  <si>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</si>
  <si>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</si>
  <si>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</si>
  <si>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</si>
  <si>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</si>
  <si>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</si>
  <si>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</si>
  <si>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</si>
  <si>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</si>
  <si>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</si>
  <si>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</si>
  <si>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</si>
  <si>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</si>
  <si>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</si>
  <si>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</si>
  <si>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</si>
  <si>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</si>
  <si>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</si>
  <si>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</si>
  <si>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</si>
  <si>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</si>
  <si>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</si>
  <si>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</si>
  <si>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</si>
  <si>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</si>
  <si>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</si>
  <si>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</si>
  <si>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</si>
  <si>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</si>
  <si>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</si>
  <si>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</si>
  <si>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</si>
  <si>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</si>
  <si>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</si>
  <si>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</si>
  <si>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</si>
  <si>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</si>
  <si>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</si>
  <si>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</si>
  <si>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</si>
  <si>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</si>
  <si>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</si>
  <si>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</si>
  <si>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</si>
  <si>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</si>
  <si>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</si>
  <si>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</si>
  <si>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</si>
  <si>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</si>
  <si>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</si>
  <si>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</si>
  <si>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</si>
  <si>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</si>
  <si>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</si>
  <si>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</si>
  <si>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</si>
  <si>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</si>
  <si>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</si>
  <si>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</si>
  <si>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</si>
  <si>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</si>
  <si>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</si>
  <si>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</si>
  <si>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</si>
  <si>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</si>
  <si>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</si>
  <si>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</si>
  <si>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</si>
  <si>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</si>
  <si>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</si>
  <si>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</si>
  <si>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</si>
  <si>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</si>
  <si>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</si>
  <si>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</si>
  <si>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</si>
  <si>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</si>
  <si>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</si>
  <si>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</si>
  <si>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</si>
  <si>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</si>
  <si>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</si>
  <si>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</si>
  <si>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</si>
  <si>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</si>
  <si>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</si>
  <si>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</si>
  <si>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</si>
  <si>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</si>
  <si>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</si>
  <si>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</si>
  <si>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</si>
  <si>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</si>
  <si>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</si>
  <si>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</si>
  <si>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</si>
  <si>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</si>
  <si>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</si>
  <si>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</si>
  <si>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</si>
  <si>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</si>
  <si>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</si>
  <si>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</si>
  <si>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</si>
  <si>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</si>
  <si>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</si>
  <si>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</si>
  <si>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</si>
  <si>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</si>
  <si>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</si>
  <si>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</si>
  <si>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</si>
  <si>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</si>
  <si>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</si>
  <si>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</si>
  <si>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</si>
  <si>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</si>
  <si>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</si>
  <si>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</si>
  <si>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</si>
  <si>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</si>
  <si>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</si>
  <si>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</si>
  <si>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</si>
  <si>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</si>
  <si>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</si>
  <si>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</si>
  <si>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</si>
  <si>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</si>
  <si>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</si>
  <si>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</si>
  <si>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</si>
  <si>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</si>
  <si>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</si>
  <si>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</si>
  <si>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</si>
  <si>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</si>
  <si>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</si>
  <si>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</si>
  <si>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</si>
  <si>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</si>
  <si>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</si>
  <si>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</si>
  <si>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</si>
  <si>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</si>
  <si>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</si>
  <si>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</si>
  <si>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</si>
  <si>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</si>
  <si>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</si>
  <si>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</si>
  <si>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</si>
  <si>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</si>
  <si>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</si>
  <si>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</si>
  <si>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</si>
  <si>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</si>
  <si>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</si>
  <si>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</si>
  <si>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</si>
  <si>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</si>
  <si>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</si>
  <si>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</si>
  <si>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</si>
  <si>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</si>
  <si>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</si>
  <si>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</si>
  <si>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</si>
  <si>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</si>
  <si>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</si>
  <si>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</si>
  <si>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</si>
  <si>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</si>
  <si>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</si>
  <si>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</si>
  <si>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</si>
  <si>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</si>
  <si>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</si>
  <si>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</si>
  <si>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</si>
  <si>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</si>
  <si>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</si>
  <si>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</si>
  <si>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</si>
  <si>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</si>
  <si>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</si>
  <si>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</si>
  <si>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</si>
  <si>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</si>
  <si>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</si>
  <si>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</si>
  <si>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</si>
  <si>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</si>
  <si>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</si>
  <si>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</si>
  <si>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</si>
  <si>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</si>
  <si>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</si>
  <si>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</si>
  <si>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</si>
  <si>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</si>
  <si>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</si>
  <si>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</si>
  <si>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</si>
  <si>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</si>
  <si>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</si>
  <si>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</si>
  <si>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</si>
  <si>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</si>
  <si>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</si>
  <si>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</si>
  <si>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</si>
  <si>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</si>
  <si>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</si>
  <si>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</si>
  <si>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</si>
  <si>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</si>
  <si>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</si>
  <si>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</si>
  <si>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</si>
  <si>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</si>
  <si>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</si>
  <si>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</si>
  <si>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</si>
  <si>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</si>
  <si>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</si>
  <si>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</si>
  <si>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</si>
  <si>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</si>
  <si>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</si>
  <si>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</si>
  <si>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</si>
  <si>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</si>
  <si>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</si>
  <si>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</si>
  <si>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</si>
  <si>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</si>
  <si>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</si>
  <si>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</si>
  <si>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</si>
  <si>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</si>
  <si>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</si>
  <si>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</si>
  <si>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</si>
  <si>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</si>
  <si>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</si>
  <si>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</si>
  <si>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</si>
  <si>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</si>
  <si>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</si>
  <si>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</si>
  <si>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</si>
  <si>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</si>
  <si>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</si>
  <si>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</si>
  <si>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</si>
  <si>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</si>
  <si>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</si>
  <si>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</si>
  <si>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</si>
  <si>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</si>
  <si>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</si>
  <si>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</si>
  <si>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</si>
  <si>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</si>
  <si>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</si>
  <si>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</si>
  <si>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</si>
  <si>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</si>
  <si>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</si>
  <si>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</si>
  <si>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</si>
  <si>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</si>
  <si>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</si>
  <si>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</si>
  <si>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</si>
  <si>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</si>
  <si>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</si>
  <si>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</si>
  <si>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</si>
  <si>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</si>
  <si>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</si>
  <si>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</si>
  <si>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</si>
  <si>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</si>
  <si>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</si>
  <si>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</si>
  <si>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</si>
  <si>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</si>
  <si>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</si>
  <si>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</si>
  <si>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</si>
  <si>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</si>
  <si>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</si>
  <si>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</si>
  <si>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</si>
  <si>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</si>
  <si>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</si>
  <si>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</si>
  <si>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</si>
  <si>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</si>
  <si>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</si>
  <si>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</si>
  <si>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</si>
  <si>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</si>
  <si>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</si>
  <si>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</si>
  <si>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</si>
  <si>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</si>
  <si>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</si>
  <si>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</si>
  <si>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</si>
  <si>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</si>
  <si>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</si>
  <si>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</si>
  <si>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</si>
  <si>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</si>
  <si>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</si>
  <si>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</si>
  <si>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</si>
  <si>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</si>
  <si>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</si>
  <si>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</si>
  <si>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</si>
  <si>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</si>
  <si>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</si>
  <si>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</si>
  <si>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</si>
  <si>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</si>
  <si>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</si>
  <si>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</si>
  <si>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</si>
  <si>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</si>
  <si>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</si>
  <si>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</si>
  <si>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</si>
  <si>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</si>
  <si>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</si>
  <si>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</si>
  <si>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</si>
  <si>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</si>
  <si>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</si>
  <si>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</si>
  <si>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</si>
  <si>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</si>
  <si>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</si>
  <si>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</si>
  <si>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</si>
  <si>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</si>
  <si>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</si>
  <si>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</si>
  <si>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</si>
  <si>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</si>
  <si>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</si>
  <si>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</si>
  <si>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</si>
  <si>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</si>
  <si>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</si>
  <si>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</si>
  <si>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</si>
  <si>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</si>
  <si>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</si>
  <si>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</si>
  <si>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</si>
  <si>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</si>
  <si>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</si>
  <si>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</si>
  <si>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</si>
  <si>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</si>
  <si>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</si>
  <si>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</si>
  <si>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</si>
  <si>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</si>
  <si>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</si>
  <si>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</si>
  <si>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</si>
  <si>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</si>
  <si>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</si>
  <si>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</si>
  <si>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</si>
  <si>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</si>
  <si>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</si>
  <si>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</si>
  <si>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</si>
  <si>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</si>
  <si>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</si>
  <si>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</si>
  <si>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</si>
  <si>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</si>
  <si>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</si>
  <si>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</si>
  <si>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</si>
  <si>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</si>
  <si>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</si>
  <si>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</si>
  <si>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</si>
  <si>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</si>
  <si>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</si>
  <si>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</si>
  <si>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</si>
  <si>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</si>
  <si>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</si>
  <si>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</si>
  <si>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</si>
  <si>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</si>
  <si>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</si>
  <si>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</si>
  <si>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</si>
  <si>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</si>
  <si>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</si>
  <si>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</si>
  <si>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</si>
  <si>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</si>
  <si>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</si>
  <si>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</si>
  <si>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</si>
  <si>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</si>
  <si>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</si>
  <si>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</si>
  <si>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</si>
  <si>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</si>
  <si>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</si>
  <si>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</si>
  <si>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</si>
  <si>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</si>
  <si>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</si>
  <si>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</si>
  <si>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</si>
  <si>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</si>
  <si>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</si>
  <si>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</si>
  <si>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</si>
  <si>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</si>
  <si>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</si>
  <si>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</si>
  <si>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</si>
  <si>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</si>
  <si>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</si>
  <si>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</si>
  <si>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</si>
  <si>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</si>
  <si>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</si>
  <si>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</si>
  <si>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</si>
  <si>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</si>
  <si>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</si>
  <si>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</si>
  <si>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</si>
  <si>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</si>
  <si>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</si>
  <si>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</si>
  <si>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</si>
  <si>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</si>
  <si>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</si>
  <si>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</si>
  <si>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</si>
  <si>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</si>
  <si>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</si>
  <si>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</si>
  <si>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</si>
  <si>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</si>
  <si>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</si>
  <si>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</si>
  <si>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</si>
  <si>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</si>
  <si>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</si>
  <si>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</si>
  <si>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</si>
  <si>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</si>
  <si>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</si>
  <si>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</si>
  <si>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</si>
  <si>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</si>
  <si>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</si>
  <si>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</si>
  <si>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</si>
  <si>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</si>
  <si>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</si>
  <si>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</si>
  <si>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</si>
  <si>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</si>
  <si>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</si>
  <si>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</si>
  <si>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</si>
  <si>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</si>
  <si>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</si>
  <si>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</si>
  <si>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</si>
  <si>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</si>
  <si>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</si>
  <si>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</si>
  <si>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</si>
  <si>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</si>
  <si>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</si>
  <si>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</si>
  <si>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</si>
  <si>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</si>
  <si>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</si>
  <si>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</si>
  <si>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</si>
  <si>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</si>
  <si>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</si>
  <si>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</si>
  <si>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</si>
  <si>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</si>
  <si>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</si>
  <si>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</si>
  <si>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</si>
  <si>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</si>
  <si>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</si>
  <si>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</si>
  <si>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</si>
  <si>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</si>
  <si>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</si>
  <si>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</si>
  <si>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</si>
  <si>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</si>
  <si>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</si>
  <si>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</si>
  <si>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</si>
  <si>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</si>
  <si>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</si>
  <si>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</si>
  <si>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</si>
  <si>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</si>
  <si>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</si>
  <si>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</si>
  <si>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</si>
  <si>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</si>
  <si>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</si>
  <si>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</si>
  <si>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</si>
  <si>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</si>
  <si>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</si>
  <si>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</si>
  <si>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</si>
  <si>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</si>
  <si>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</si>
  <si>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</si>
  <si>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</si>
  <si>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</si>
  <si>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</si>
  <si>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</si>
  <si>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</si>
  <si>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</si>
  <si>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</si>
  <si>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</si>
  <si>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</si>
  <si>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</si>
  <si>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</si>
  <si>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</si>
  <si>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</si>
  <si>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</si>
  <si>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</si>
  <si>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</si>
  <si>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</si>
  <si>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</si>
  <si>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</si>
  <si>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</si>
  <si>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</si>
  <si>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</si>
  <si>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</si>
  <si>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</si>
  <si>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</si>
  <si>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</si>
  <si>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</si>
  <si>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</si>
  <si>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</si>
  <si>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</si>
  <si>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</si>
  <si>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</si>
  <si>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</si>
  <si>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</si>
  <si>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</si>
  <si>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</si>
  <si>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</si>
  <si>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</si>
  <si>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</si>
  <si>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</si>
  <si>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</si>
  <si>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</si>
  <si>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</si>
  <si>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</si>
  <si>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</si>
  <si>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</si>
  <si>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</si>
  <si>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</si>
  <si>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</si>
  <si>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</si>
  <si>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</si>
  <si>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</si>
  <si>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</si>
  <si>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</si>
  <si>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</si>
  <si>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</si>
  <si>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</si>
  <si>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</si>
  <si>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</si>
  <si>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</si>
  <si>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</si>
  <si>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</si>
  <si>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</si>
  <si>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</si>
  <si>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</si>
  <si>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</si>
  <si>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</si>
  <si>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</si>
  <si>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</si>
  <si>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</si>
  <si>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</si>
  <si>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</si>
  <si>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</si>
  <si>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</si>
  <si>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</si>
  <si>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</si>
  <si>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</si>
  <si>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</si>
  <si>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</si>
  <si>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</si>
  <si>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</si>
  <si>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</si>
  <si>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</si>
  <si>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</si>
  <si>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</si>
  <si>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</si>
  <si>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</si>
  <si>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</si>
  <si>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</si>
  <si>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</si>
  <si>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</si>
  <si>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</si>
  <si>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</si>
  <si>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</si>
  <si>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</si>
  <si>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</si>
  <si>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</si>
  <si>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</si>
  <si>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</si>
  <si>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</si>
  <si>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</si>
  <si>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</si>
  <si>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</si>
  <si>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</si>
  <si>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</si>
  <si>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</si>
  <si>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</si>
  <si>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</si>
  <si>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</si>
  <si>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</si>
  <si>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</si>
  <si>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</si>
  <si>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</si>
  <si>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</si>
  <si>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</si>
  <si>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</si>
  <si>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</si>
  <si>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</si>
  <si>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</si>
  <si>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</si>
  <si>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</si>
  <si>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</si>
  <si>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</si>
  <si>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</si>
  <si>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</si>
  <si>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</si>
  <si>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</si>
  <si>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</si>
  <si>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</si>
  <si>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</si>
  <si>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</si>
  <si>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</si>
  <si>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</si>
  <si>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</si>
  <si>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</si>
  <si>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</si>
  <si>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</si>
  <si>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</si>
  <si>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</si>
  <si>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</si>
  <si>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</si>
  <si>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</si>
  <si>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</si>
  <si>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</si>
  <si>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</si>
  <si>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</si>
  <si>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</si>
  <si>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</si>
  <si>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</si>
  <si>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</si>
  <si>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</si>
  <si>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</si>
  <si>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</si>
  <si>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</si>
  <si>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</si>
  <si>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</si>
  <si>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</si>
  <si>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</si>
  <si>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</si>
  <si>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</si>
  <si>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</si>
  <si>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</si>
  <si>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</si>
  <si>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</si>
  <si>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</si>
  <si>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</si>
  <si>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</si>
  <si>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</si>
  <si>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</si>
  <si>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</si>
  <si>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</si>
  <si>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</si>
  <si>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</si>
  <si>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</si>
  <si>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</si>
  <si>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</si>
  <si>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</si>
  <si>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</si>
  <si>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</si>
  <si>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</si>
  <si>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</si>
  <si>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</si>
  <si>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</si>
  <si>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</si>
  <si>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</si>
  <si>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</si>
  <si>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</si>
  <si>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</si>
  <si>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</si>
  <si>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</si>
  <si>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</si>
  <si>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</si>
  <si>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</si>
  <si>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</si>
  <si>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</si>
  <si>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</si>
  <si>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</si>
  <si>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</si>
  <si>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</si>
  <si>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</si>
  <si>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</si>
  <si>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</si>
  <si>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</si>
  <si>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</si>
  <si>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</si>
  <si>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</si>
  <si>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</si>
  <si>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</si>
  <si>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</si>
  <si>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</si>
  <si>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</si>
  <si>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</si>
  <si>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</si>
  <si>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</si>
  <si>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</si>
  <si>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</si>
  <si>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</si>
  <si>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</si>
  <si>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</si>
  <si>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</si>
  <si>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</si>
  <si>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</si>
  <si>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</si>
  <si>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</si>
  <si>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</si>
  <si>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</si>
  <si>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</si>
  <si>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</si>
  <si>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</si>
  <si>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</si>
  <si>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</si>
  <si>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</si>
  <si>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</si>
  <si>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</si>
  <si>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</si>
  <si>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</si>
  <si>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</si>
  <si>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</si>
  <si>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</si>
  <si>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</si>
  <si>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</si>
  <si>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</si>
  <si>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</si>
  <si>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</si>
  <si>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</si>
  <si>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</si>
  <si>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</si>
  <si>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</si>
  <si>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</si>
  <si>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</si>
  <si>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</si>
  <si>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</si>
  <si>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</si>
  <si>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</si>
  <si>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</si>
  <si>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</si>
  <si>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</si>
  <si>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</si>
  <si>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</si>
  <si>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</si>
  <si>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</si>
  <si>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</si>
  <si>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</si>
  <si>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</si>
  <si>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</si>
  <si>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</si>
  <si>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</si>
  <si>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</si>
  <si>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</si>
  <si>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</si>
  <si>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</si>
  <si>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</si>
  <si>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</si>
  <si>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</si>
  <si>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</si>
  <si>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</si>
  <si>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</si>
  <si>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</si>
  <si>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</si>
  <si>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</si>
  <si>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</si>
  <si>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</si>
  <si>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</si>
  <si>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</si>
  <si>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</si>
  <si>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</si>
  <si>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</si>
  <si>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</si>
  <si>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</si>
  <si>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</si>
  <si>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</si>
  <si>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</si>
  <si>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</si>
  <si>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</si>
  <si>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</si>
  <si>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</si>
  <si>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</si>
  <si>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</si>
  <si>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</si>
  <si>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</si>
  <si>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</si>
  <si>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</si>
  <si>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</si>
  <si>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</si>
  <si>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</si>
  <si>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</si>
  <si>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</si>
  <si>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</si>
  <si>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</si>
  <si>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</si>
  <si>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</si>
  <si>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</si>
  <si>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</si>
  <si>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</si>
  <si>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</si>
  <si>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</si>
  <si>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</si>
  <si>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</si>
  <si>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</si>
  <si>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</si>
  <si>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</si>
  <si>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</si>
  <si>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</si>
  <si>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</si>
  <si>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</si>
  <si>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</si>
  <si>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</si>
  <si>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</si>
  <si>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</si>
  <si>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</si>
  <si>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</si>
  <si>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</si>
  <si>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</si>
  <si>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</si>
  <si>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</si>
  <si>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</si>
  <si>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</si>
  <si>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</si>
  <si>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</si>
  <si>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</si>
  <si>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</si>
  <si>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</si>
  <si>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</si>
  <si>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</si>
  <si>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</si>
  <si>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</si>
  <si>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</si>
  <si>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</si>
  <si>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</si>
  <si>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</si>
  <si>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</si>
  <si>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</si>
  <si>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</si>
  <si>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</si>
  <si>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</si>
  <si>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</si>
  <si>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</si>
  <si>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</si>
  <si>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</si>
  <si>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</si>
  <si>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</si>
  <si>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</si>
  <si>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</si>
  <si>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</si>
  <si>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</si>
  <si>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</si>
  <si>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</si>
  <si>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</si>
  <si>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</si>
  <si>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</si>
  <si>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</si>
  <si>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</si>
  <si>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</si>
  <si>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</si>
  <si>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</si>
  <si>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</si>
  <si>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</si>
  <si>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</si>
  <si>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</si>
  <si>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</si>
  <si>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</si>
  <si>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</si>
  <si>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</si>
  <si>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</si>
  <si>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</si>
  <si>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</si>
  <si>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</si>
  <si>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</si>
  <si>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</si>
  <si>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</si>
  <si>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</si>
  <si>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</si>
  <si>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</si>
  <si>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</si>
  <si>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</si>
  <si>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</si>
  <si>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</si>
  <si>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</si>
  <si>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</si>
  <si>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</si>
  <si>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</si>
  <si>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</si>
  <si>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</si>
  <si>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</si>
  <si>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</si>
  <si>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</si>
  <si>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</si>
  <si>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</si>
  <si>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</si>
  <si>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</si>
  <si>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</si>
  <si>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</si>
  <si>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</si>
  <si>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</si>
  <si>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</si>
  <si>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</si>
  <si>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</si>
  <si>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</si>
  <si>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</si>
  <si>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</si>
  <si>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</si>
  <si>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</si>
  <si>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</si>
  <si>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</si>
  <si>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</si>
  <si>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</si>
  <si>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</si>
  <si>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</si>
  <si>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</si>
  <si>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</si>
  <si>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</si>
  <si>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</si>
  <si>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</si>
  <si>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</si>
  <si>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</si>
  <si>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</si>
  <si>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</si>
  <si>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</si>
  <si>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</si>
  <si>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</si>
  <si>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</si>
  <si>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</si>
  <si>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</si>
  <si>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</si>
  <si>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</si>
  <si>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</si>
  <si>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</si>
  <si>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</si>
  <si>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</si>
  <si>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</si>
  <si>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</si>
  <si>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</si>
  <si>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</si>
  <si>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</si>
  <si>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</si>
  <si>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</si>
  <si>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</si>
  <si>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</si>
  <si>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</si>
  <si>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</si>
  <si>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</si>
  <si>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</si>
  <si>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</si>
  <si>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</si>
  <si>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</si>
  <si>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</si>
  <si>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</si>
  <si>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</si>
  <si>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</si>
  <si>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</si>
  <si>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</si>
  <si>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</si>
  <si>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</si>
  <si>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</si>
  <si>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</si>
  <si>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</si>
  <si>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</si>
  <si>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</si>
  <si>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</si>
  <si>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</si>
  <si>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</si>
  <si>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</si>
  <si>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</si>
  <si>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</si>
  <si>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</si>
  <si>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</si>
  <si>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</si>
  <si>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</si>
  <si>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</si>
  <si>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</si>
  <si>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</si>
  <si>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</si>
  <si>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</si>
  <si>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</si>
  <si>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</si>
  <si>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</si>
  <si>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</si>
  <si>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</si>
  <si>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</si>
  <si>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</si>
  <si>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</si>
  <si>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</si>
  <si>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</si>
  <si>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</si>
  <si>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</si>
  <si>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</si>
  <si>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</si>
  <si>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</si>
  <si>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</si>
  <si>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</si>
  <si>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</si>
  <si>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</si>
  <si>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</si>
  <si>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</si>
  <si>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</si>
  <si>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</si>
  <si>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</si>
  <si>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</si>
  <si>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</si>
  <si>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</si>
  <si>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</si>
  <si>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</si>
  <si>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</si>
  <si>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</si>
  <si>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</si>
  <si>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</si>
  <si>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</si>
  <si>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</si>
  <si>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</si>
  <si>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</si>
  <si>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</si>
  <si>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</si>
  <si>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</si>
  <si>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</si>
  <si>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</si>
  <si>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</si>
  <si>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</si>
  <si>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</si>
  <si>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</si>
  <si>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</si>
  <si>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</si>
  <si>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</si>
  <si>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</si>
  <si>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</si>
  <si>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</si>
  <si>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</si>
  <si>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</si>
  <si>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</si>
  <si>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</si>
  <si>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</si>
  <si>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</si>
  <si>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</si>
  <si>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</si>
  <si>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</si>
  <si>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</si>
  <si>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</si>
  <si>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</si>
  <si>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</si>
  <si>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</si>
  <si>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</si>
  <si>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</si>
  <si>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</si>
  <si>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</si>
  <si>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</si>
  <si>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</si>
  <si>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</si>
  <si>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</si>
  <si>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</si>
  <si>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</si>
  <si>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</si>
  <si>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</si>
  <si>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</si>
  <si>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</si>
  <si>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</si>
  <si>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</si>
  <si>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</si>
  <si>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</si>
  <si>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</si>
  <si>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</si>
  <si>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</si>
  <si>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</si>
  <si>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</si>
  <si>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</si>
  <si>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</si>
  <si>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</si>
  <si>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</si>
  <si>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</si>
  <si>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</si>
  <si>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</si>
  <si>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</si>
  <si>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</si>
  <si>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</si>
  <si>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</si>
  <si>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</si>
  <si>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</si>
  <si>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</si>
  <si>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</si>
  <si>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</si>
  <si>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</si>
  <si>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</si>
  <si>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</si>
  <si>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</si>
  <si>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</si>
  <si>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</si>
  <si>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</si>
  <si>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</si>
  <si>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</si>
  <si>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</si>
  <si>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</si>
  <si>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</si>
  <si>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</si>
  <si>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</si>
  <si>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</si>
  <si>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</si>
  <si>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</si>
  <si>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</si>
  <si>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</si>
  <si>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</si>
  <si>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</si>
  <si>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</si>
  <si>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</si>
  <si>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</si>
  <si>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</si>
  <si>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</si>
  <si>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</si>
  <si>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</si>
  <si>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</si>
  <si>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</si>
  <si>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</si>
  <si>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</si>
  <si>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</si>
  <si>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</si>
  <si>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</si>
  <si>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</si>
  <si>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</si>
  <si>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</si>
  <si>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</si>
  <si>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</si>
  <si>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</si>
  <si>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</si>
  <si>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</si>
  <si>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</si>
  <si>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</si>
  <si>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</si>
  <si>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</si>
  <si>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</si>
  <si>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</si>
  <si>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</si>
  <si>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</si>
  <si>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</si>
  <si>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</si>
  <si>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</si>
  <si>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</si>
  <si>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</si>
  <si>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</si>
  <si>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</si>
  <si>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</si>
  <si>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</si>
  <si>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</si>
  <si>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</si>
  <si>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</si>
  <si>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</si>
  <si>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</si>
  <si>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</si>
  <si>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</si>
  <si>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</si>
  <si>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</si>
  <si>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</si>
  <si>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</si>
  <si>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</si>
  <si>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</si>
  <si>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</si>
  <si>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</si>
  <si>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</si>
  <si>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</si>
  <si>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</si>
  <si>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</si>
  <si>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</si>
  <si>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</si>
  <si>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</si>
  <si>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</si>
  <si>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</si>
  <si>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</si>
  <si>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</si>
  <si>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</si>
  <si>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</si>
  <si>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</si>
  <si>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</si>
  <si>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</si>
  <si>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</si>
  <si>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</si>
  <si>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</si>
  <si>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</si>
  <si>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</si>
  <si>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</si>
  <si>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</si>
  <si>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</si>
  <si>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</si>
  <si>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</si>
  <si>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</si>
  <si>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</si>
  <si>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</si>
  <si>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</si>
  <si>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</si>
  <si>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</si>
  <si>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</si>
  <si>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</si>
  <si>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</si>
  <si>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</si>
  <si>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</si>
  <si>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</si>
  <si>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</si>
  <si>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</si>
  <si>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</si>
  <si>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</si>
  <si>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</si>
  <si>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</si>
  <si>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</si>
  <si>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</si>
  <si>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</si>
  <si>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</si>
  <si>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</si>
  <si>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</si>
  <si>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</si>
  <si>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</si>
  <si>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</si>
  <si>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</si>
  <si>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</si>
  <si>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</si>
  <si>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</si>
  <si>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</si>
  <si>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</si>
  <si>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</si>
  <si>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</si>
  <si>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</si>
  <si>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</si>
  <si>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</si>
  <si>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</si>
  <si>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</si>
  <si>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</si>
  <si>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</si>
  <si>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</si>
  <si>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</si>
  <si>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</si>
  <si>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</si>
  <si>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</si>
  <si>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</si>
  <si>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</si>
  <si>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</si>
  <si>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</si>
  <si>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</si>
  <si>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</si>
  <si>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</si>
  <si>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</si>
  <si>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</si>
  <si>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</si>
  <si>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</si>
  <si>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</si>
  <si>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</si>
  <si>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</si>
  <si>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</si>
  <si>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</si>
  <si>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</si>
  <si>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</si>
  <si>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</si>
  <si>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</si>
  <si>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</si>
  <si>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</si>
  <si>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</si>
  <si>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</si>
  <si>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</si>
  <si>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</si>
  <si>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</si>
  <si>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</si>
  <si>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</si>
  <si>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</si>
  <si>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</si>
  <si>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</si>
  <si>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</si>
  <si>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</si>
  <si>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</si>
  <si>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</si>
  <si>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</si>
  <si>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</si>
  <si>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</si>
  <si>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</si>
  <si>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</si>
  <si>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</si>
  <si>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</si>
  <si>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</si>
  <si>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</si>
  <si>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</si>
  <si>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</si>
  <si>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</si>
  <si>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</si>
  <si>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</si>
  <si>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</si>
  <si>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</si>
  <si>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</si>
  <si>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</si>
  <si>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</si>
  <si>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</si>
  <si>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</si>
  <si>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</si>
  <si>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</si>
  <si>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</si>
  <si>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</si>
  <si>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</si>
  <si>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</si>
  <si>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</si>
  <si>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</si>
  <si>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</si>
  <si>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</si>
  <si>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</si>
  <si>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</si>
  <si>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</si>
  <si>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</si>
  <si>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</si>
  <si>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</si>
  <si>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</si>
  <si>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</si>
  <si>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</si>
  <si>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</si>
  <si>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</si>
  <si>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</si>
  <si>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</si>
  <si>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</si>
  <si>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</si>
  <si>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</si>
  <si>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</si>
  <si>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</si>
  <si>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</si>
  <si>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</si>
  <si>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</si>
  <si>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</si>
  <si>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</si>
  <si>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</si>
  <si>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</si>
  <si>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</si>
  <si>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</si>
  <si>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</si>
  <si>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</si>
  <si>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</si>
  <si>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</si>
  <si>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</si>
  <si>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</si>
  <si>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</si>
  <si>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</si>
  <si>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</si>
  <si>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</si>
  <si>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</si>
  <si>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</si>
  <si>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</si>
  <si>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</si>
  <si>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</si>
  <si>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</si>
  <si>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</si>
  <si>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</si>
  <si>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</si>
  <si>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</si>
  <si>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</si>
  <si>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</si>
  <si>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</si>
  <si>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</si>
  <si>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</si>
  <si>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</si>
  <si>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</si>
  <si>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</si>
  <si>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</si>
  <si>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</si>
  <si>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</si>
  <si>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</si>
  <si>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</si>
  <si>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</si>
  <si>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</si>
  <si>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</si>
  <si>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</si>
  <si>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</si>
  <si>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</si>
  <si>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</si>
  <si>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</si>
  <si>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</si>
  <si>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</si>
  <si>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</si>
  <si>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</si>
  <si>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</si>
  <si>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</si>
  <si>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</si>
  <si>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</si>
  <si>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</si>
  <si>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</si>
  <si>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</si>
  <si>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</si>
  <si>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</si>
  <si>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</si>
  <si>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</si>
  <si>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</si>
  <si>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</si>
  <si>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</si>
  <si>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</si>
  <si>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</si>
  <si>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</si>
  <si>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</si>
  <si>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</si>
  <si>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</si>
  <si>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</si>
  <si>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</si>
  <si>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</si>
  <si>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</si>
  <si>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</si>
  <si>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</si>
  <si>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</si>
  <si>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</si>
  <si>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</si>
  <si>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</si>
  <si>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</si>
  <si>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</si>
  <si>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</si>
  <si>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</si>
  <si>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</si>
  <si>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</si>
  <si>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</si>
  <si>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</si>
  <si>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</si>
  <si>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</si>
  <si>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</si>
  <si>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</si>
  <si>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</si>
  <si>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</si>
  <si>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</si>
  <si>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</si>
  <si>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</si>
  <si>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</si>
  <si>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</si>
  <si>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</si>
  <si>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</si>
  <si>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</si>
  <si>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</si>
  <si>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</si>
  <si>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</si>
  <si>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</si>
  <si>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</si>
  <si>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</si>
  <si>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</si>
  <si>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</si>
  <si>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</si>
  <si>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</si>
  <si>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</si>
  <si>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</si>
  <si>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</si>
  <si>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</si>
  <si>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</si>
  <si>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</si>
  <si>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</si>
  <si>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</si>
  <si>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</si>
  <si>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</si>
  <si>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</si>
  <si>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</si>
  <si>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</si>
  <si>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</si>
  <si>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</si>
  <si>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</si>
  <si>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</si>
  <si>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</si>
  <si>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</si>
  <si>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</si>
  <si>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</si>
  <si>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</si>
  <si>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</si>
  <si>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</si>
  <si>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</si>
  <si>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</si>
  <si>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</si>
  <si>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</si>
  <si>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</si>
  <si>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</si>
  <si>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</si>
  <si>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</si>
  <si>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</si>
  <si>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</si>
  <si>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</si>
  <si>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</si>
  <si>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</si>
  <si>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</si>
  <si>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</si>
  <si>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</si>
  <si>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</si>
  <si>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</si>
  <si>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</si>
  <si>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</si>
  <si>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</si>
  <si>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</si>
  <si>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</si>
  <si>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</si>
  <si>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</si>
  <si>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</si>
  <si>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</si>
  <si>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</si>
  <si>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</si>
  <si>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</si>
  <si>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</si>
  <si>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</si>
  <si>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</si>
  <si>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</si>
  <si>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</si>
  <si>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</si>
  <si>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</si>
  <si>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</si>
  <si>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</si>
  <si>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</si>
  <si>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</si>
  <si>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</si>
  <si>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</si>
  <si>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</si>
  <si>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</si>
  <si>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</si>
  <si>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</si>
  <si>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</si>
  <si>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</si>
  <si>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</si>
  <si>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</si>
  <si>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</si>
  <si>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</si>
  <si>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</si>
  <si>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</si>
  <si>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</si>
  <si>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</si>
  <si>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</si>
  <si>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</si>
  <si>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</si>
  <si>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</si>
  <si>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</si>
  <si>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</si>
  <si>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</si>
  <si>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</si>
  <si>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</si>
  <si>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</si>
  <si>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</si>
  <si>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</si>
  <si>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</si>
  <si>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</si>
  <si>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</si>
  <si>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</si>
  <si>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</si>
  <si>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</si>
  <si>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</si>
  <si>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</si>
  <si>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</si>
  <si>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</si>
  <si>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</si>
  <si>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</si>
  <si>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</si>
  <si>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</si>
  <si>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</si>
  <si>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</si>
  <si>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</si>
  <si>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</si>
  <si>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</si>
  <si>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</si>
  <si>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</si>
  <si>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</si>
  <si>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</si>
  <si>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</si>
  <si>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</si>
  <si>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</si>
  <si>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</si>
  <si>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</si>
  <si>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</si>
  <si>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</si>
  <si>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</si>
  <si>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</si>
  <si>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</si>
  <si>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</si>
  <si>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</si>
  <si>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</si>
  <si>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</si>
  <si>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</si>
  <si>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</si>
  <si>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</si>
  <si>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</si>
  <si>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</si>
  <si>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</si>
  <si>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</si>
  <si>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</si>
  <si>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</si>
  <si>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</si>
  <si>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</si>
  <si>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</si>
  <si>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</si>
  <si>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</si>
  <si>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</si>
  <si>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</si>
  <si>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</si>
  <si>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</si>
  <si>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</si>
  <si>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</si>
  <si>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</si>
  <si>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</si>
  <si>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</si>
  <si>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</si>
  <si>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</si>
  <si>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</si>
  <si>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</si>
  <si>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</si>
  <si>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</si>
  <si>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</si>
  <si>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</si>
  <si>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</si>
  <si>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</si>
  <si>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</si>
  <si>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</si>
  <si>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</si>
  <si>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</si>
  <si>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</si>
  <si>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</si>
  <si>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</si>
  <si>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</si>
  <si>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</si>
  <si>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</si>
  <si>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</si>
  <si>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</si>
  <si>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</si>
  <si>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</si>
  <si>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</si>
  <si>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</si>
  <si>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</si>
  <si>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</si>
  <si>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</si>
  <si>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</si>
  <si>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</si>
  <si>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</si>
  <si>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</si>
  <si>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</si>
  <si>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</si>
  <si>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</si>
  <si>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</si>
  <si>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</si>
  <si>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</si>
  <si>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</si>
  <si>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</si>
  <si>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</si>
  <si>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</si>
  <si>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</si>
  <si>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</si>
  <si>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</si>
  <si>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</si>
  <si>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</si>
  <si>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</si>
  <si>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</si>
  <si>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</si>
  <si>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</si>
  <si>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</si>
  <si>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</si>
  <si>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</si>
  <si>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</si>
  <si>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</si>
  <si>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</si>
  <si>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</si>
  <si>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</si>
  <si>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</si>
  <si>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</si>
  <si>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</si>
  <si>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</si>
  <si>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</si>
  <si>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</si>
  <si>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</si>
  <si>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</si>
  <si>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</si>
  <si>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</si>
  <si>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</si>
  <si>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</si>
  <si>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</si>
  <si>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</si>
  <si>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</si>
  <si>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</si>
  <si>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</si>
  <si>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</si>
  <si>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</si>
  <si>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</si>
  <si>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</si>
  <si>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</si>
  <si>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</si>
  <si>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</si>
  <si>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</si>
  <si>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</si>
  <si>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</si>
  <si>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</si>
  <si>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</si>
  <si>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</si>
  <si>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</si>
  <si>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</si>
  <si>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</si>
  <si>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</si>
  <si>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</si>
  <si>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</si>
  <si>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</si>
  <si>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</si>
  <si>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</si>
  <si>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</si>
  <si>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</si>
  <si>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</si>
  <si>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</si>
  <si>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</si>
  <si>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</si>
  <si>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</si>
  <si>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</si>
  <si>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</si>
  <si>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</si>
  <si>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</si>
  <si>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</si>
  <si>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</si>
  <si>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</si>
  <si>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</si>
  <si>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</si>
  <si>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</si>
  <si>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</si>
  <si>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</si>
  <si>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</si>
  <si>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</si>
  <si>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</si>
  <si>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</si>
  <si>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</si>
  <si>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</si>
  <si>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</si>
  <si>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</si>
  <si>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</si>
  <si>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</si>
  <si>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</si>
  <si>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</si>
  <si>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</si>
  <si>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</si>
  <si>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</si>
  <si>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</si>
  <si>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</si>
  <si>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</si>
  <si>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</si>
  <si>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</si>
  <si>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</si>
  <si>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</si>
  <si>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</si>
  <si>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</si>
  <si>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</si>
  <si>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</si>
  <si>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</si>
  <si>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</si>
  <si>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</si>
  <si>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</si>
  <si>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</si>
  <si>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</si>
  <si>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</si>
  <si>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</si>
  <si>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</si>
  <si>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</si>
  <si>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</si>
  <si>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</si>
  <si>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</si>
  <si>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</si>
  <si>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</si>
  <si>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</si>
  <si>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</si>
  <si>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</si>
  <si>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</si>
  <si>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</si>
  <si>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</si>
  <si>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</si>
  <si>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</si>
  <si>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</si>
  <si>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</si>
  <si>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</si>
  <si>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</si>
  <si>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</si>
  <si>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</si>
  <si>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</si>
  <si>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</si>
  <si>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</si>
  <si>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</si>
  <si>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</si>
  <si>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</si>
  <si>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</si>
  <si>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</si>
  <si>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</si>
  <si>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</si>
  <si>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</si>
  <si>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</si>
  <si>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</si>
  <si>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</si>
  <si>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</si>
  <si>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</si>
  <si>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</si>
  <si>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</si>
  <si>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</si>
  <si>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</si>
  <si>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</si>
  <si>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</si>
  <si>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</si>
  <si>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</si>
  <si>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</si>
  <si>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</si>
  <si>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</si>
  <si>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</si>
  <si>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</si>
  <si>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</si>
  <si>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</si>
  <si>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</si>
  <si>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</si>
  <si>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</si>
  <si>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</si>
  <si>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</si>
  <si>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</si>
  <si>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</si>
  <si>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</si>
  <si>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</si>
  <si>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</si>
  <si>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</si>
  <si>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</si>
  <si>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</si>
  <si>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</si>
  <si>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</si>
  <si>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</si>
  <si>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</si>
  <si>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</si>
  <si>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</si>
  <si>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</si>
  <si>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</si>
  <si>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</si>
  <si>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</si>
  <si>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</si>
  <si>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</si>
  <si>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</si>
  <si>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</si>
  <si>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</si>
  <si>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</si>
  <si>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</si>
  <si>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</si>
  <si>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</si>
  <si>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</si>
  <si>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</si>
  <si>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</si>
  <si>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</si>
  <si>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</si>
  <si>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</si>
  <si>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</si>
  <si>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</si>
  <si>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</si>
  <si>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</si>
  <si>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</si>
  <si>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</si>
  <si>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</si>
  <si>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</si>
  <si>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</si>
  <si>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</si>
  <si>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</si>
  <si>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</si>
  <si>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</si>
  <si>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</si>
  <si>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</si>
  <si>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</si>
  <si>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</si>
  <si>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</si>
  <si>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</si>
  <si>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</si>
  <si>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</si>
  <si>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</si>
  <si>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</si>
  <si>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</si>
  <si>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</si>
  <si>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</si>
  <si>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</si>
  <si>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</si>
  <si>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</si>
  <si>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</si>
  <si>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</si>
  <si>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</si>
  <si>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</si>
  <si>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</si>
  <si>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</si>
  <si>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</si>
  <si>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</si>
  <si>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</si>
  <si>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</si>
  <si>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</si>
  <si>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</si>
  <si>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</si>
  <si>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</si>
  <si>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</si>
  <si>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</si>
  <si>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</si>
  <si>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</si>
  <si>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</si>
  <si>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</si>
  <si>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</si>
  <si>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</si>
  <si>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</si>
  <si>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</si>
  <si>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</si>
  <si>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</si>
  <si>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</si>
  <si>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</si>
  <si>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</si>
  <si>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</si>
  <si>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</si>
  <si>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</si>
  <si>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</si>
  <si>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</si>
  <si>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</si>
  <si>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</si>
  <si>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</si>
  <si>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</si>
  <si>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</si>
  <si>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</si>
  <si>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</si>
  <si>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</si>
  <si>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</si>
  <si>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</si>
  <si>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</si>
  <si>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</si>
  <si>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</si>
  <si>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</si>
  <si>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</si>
  <si>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</si>
  <si>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</si>
  <si>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</si>
  <si>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</si>
  <si>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</si>
  <si>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</si>
  <si>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</si>
  <si>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</si>
  <si>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</si>
  <si>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</si>
  <si>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</si>
  <si>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</si>
  <si>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</si>
  <si>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</si>
  <si>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</si>
  <si>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</si>
  <si>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</si>
  <si>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</si>
  <si>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</si>
  <si>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</si>
  <si>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</si>
  <si>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</si>
  <si>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</si>
  <si>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</si>
  <si>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</si>
  <si>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</si>
  <si>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</si>
  <si>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</si>
  <si>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</si>
  <si>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</si>
  <si>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</si>
  <si>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</si>
  <si>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</si>
  <si>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</si>
  <si>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</si>
  <si>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</si>
  <si>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</si>
  <si>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</si>
  <si>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</si>
  <si>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</si>
  <si>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</si>
  <si>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</si>
  <si>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</si>
  <si>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</si>
  <si>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</si>
  <si>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</si>
  <si>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</si>
  <si>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</si>
  <si>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</si>
  <si>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</si>
  <si>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</si>
  <si>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</si>
  <si>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</si>
  <si>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</si>
  <si>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</si>
  <si>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</si>
  <si>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</si>
  <si>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</si>
  <si>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</si>
  <si>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</si>
  <si>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</si>
  <si>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</si>
  <si>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</si>
  <si>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</si>
  <si>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</si>
  <si>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</si>
  <si>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</si>
  <si>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</si>
  <si>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</si>
  <si>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</si>
  <si>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</si>
  <si>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</si>
  <si>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</si>
  <si>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</si>
  <si>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</si>
  <si>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</si>
  <si>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</si>
  <si>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</si>
  <si>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</si>
  <si>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</si>
  <si>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</si>
  <si>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</si>
  <si>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</si>
  <si>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</si>
  <si>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</si>
  <si>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</si>
  <si>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</si>
  <si>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</si>
  <si>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</si>
  <si>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</si>
  <si>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</si>
  <si>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</si>
  <si>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</si>
  <si>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</si>
  <si>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</si>
  <si>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</si>
  <si>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</si>
  <si>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</si>
  <si>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</si>
  <si>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</si>
  <si>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</si>
  <si>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</si>
  <si>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</si>
  <si>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</si>
  <si>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</si>
  <si>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</si>
  <si>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</si>
  <si>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</si>
  <si>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</si>
  <si>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</si>
  <si>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</si>
  <si>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</si>
  <si>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</si>
  <si>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</si>
  <si>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</si>
  <si>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</si>
  <si>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</si>
  <si>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</si>
  <si>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</si>
  <si>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</si>
  <si>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</si>
  <si>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</si>
  <si>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</si>
  <si>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</si>
  <si>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</si>
  <si>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</si>
  <si>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</si>
  <si>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</si>
  <si>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</si>
  <si>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</si>
  <si>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</si>
  <si>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</si>
  <si>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</si>
  <si>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</si>
  <si>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</si>
  <si>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</si>
  <si>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</si>
  <si>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</si>
  <si>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</si>
  <si>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</si>
  <si>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</si>
  <si>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</si>
  <si>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</si>
  <si>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</si>
  <si>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</si>
  <si>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</si>
  <si>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</si>
  <si>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</si>
  <si>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</si>
  <si>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</si>
  <si>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</si>
  <si>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</si>
  <si>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</si>
  <si>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</si>
  <si>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</si>
  <si>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</si>
  <si>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</si>
  <si>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</si>
  <si>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</si>
  <si>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</si>
  <si>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</si>
  <si>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</si>
  <si>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</si>
  <si>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</si>
  <si>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</si>
  <si>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</si>
  <si>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</si>
  <si>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</si>
  <si>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</si>
  <si>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</si>
  <si>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</si>
  <si>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</si>
  <si>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</si>
  <si>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</si>
  <si>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</si>
  <si>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</si>
  <si>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</si>
  <si>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</si>
  <si>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</si>
  <si>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</si>
  <si>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</si>
  <si>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</si>
  <si>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</si>
  <si>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</si>
  <si>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</si>
  <si>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</si>
  <si>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</si>
  <si>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</si>
  <si>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</si>
  <si>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</si>
  <si>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</si>
  <si>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</si>
  <si>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</si>
  <si>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</si>
  <si>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</si>
  <si>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</si>
  <si>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</si>
  <si>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</si>
  <si>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</si>
  <si>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</si>
  <si>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</si>
  <si>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</si>
  <si>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</si>
  <si>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</si>
  <si>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</si>
  <si>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</si>
  <si>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</si>
  <si>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</si>
  <si>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</si>
  <si>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</si>
  <si>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</si>
  <si>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</si>
  <si>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</si>
  <si>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</si>
  <si>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</si>
  <si>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</si>
  <si>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</si>
  <si>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</si>
  <si>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</si>
  <si>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</si>
  <si>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</si>
  <si>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</si>
  <si>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</si>
  <si>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</si>
  <si>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</si>
  <si>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</si>
  <si>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</si>
  <si>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</si>
  <si>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</si>
  <si>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</si>
  <si>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</si>
  <si>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</si>
  <si>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</si>
  <si>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</si>
  <si>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</si>
  <si>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</si>
  <si>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</si>
  <si>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</si>
  <si>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</si>
  <si>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</si>
  <si>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</si>
  <si>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</si>
  <si>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</si>
  <si>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</si>
  <si>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</si>
  <si>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</si>
  <si>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</si>
  <si>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</si>
  <si>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</si>
  <si>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</si>
  <si>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</si>
  <si>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</si>
  <si>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</si>
  <si>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</si>
  <si>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</si>
  <si>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</si>
  <si>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</si>
  <si>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</si>
  <si>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</si>
  <si>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</si>
  <si>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</si>
  <si>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</si>
  <si>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</si>
  <si>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</si>
  <si>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</si>
  <si>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</si>
  <si>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</si>
  <si>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</si>
  <si>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</si>
  <si>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</si>
  <si>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</si>
  <si>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</si>
  <si>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</si>
  <si>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</si>
  <si>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</si>
  <si>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</si>
  <si>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</si>
  <si>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</si>
  <si>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</si>
  <si>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</si>
  <si>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</si>
  <si>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</si>
  <si>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</si>
  <si>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</si>
  <si>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</si>
  <si>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</si>
  <si>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</si>
  <si>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</si>
  <si>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</si>
  <si>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</si>
  <si>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</si>
  <si>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</si>
  <si>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</si>
  <si>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</si>
  <si>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</si>
  <si>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</si>
  <si>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</si>
  <si>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</si>
  <si>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</si>
  <si>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</si>
  <si>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</si>
  <si>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</si>
  <si>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</si>
  <si>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</si>
  <si>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</si>
  <si>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</si>
  <si>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</si>
  <si>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</si>
  <si>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</si>
  <si>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</si>
  <si>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</si>
  <si>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</si>
  <si>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</si>
  <si>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</si>
  <si>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</si>
  <si>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</si>
  <si>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</si>
  <si>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</si>
  <si>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</si>
  <si>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</si>
  <si>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</si>
  <si>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</si>
  <si>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</si>
  <si>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</si>
  <si>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</si>
  <si>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</si>
  <si>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</si>
  <si>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</si>
  <si>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</si>
  <si>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</si>
  <si>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</si>
  <si>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</si>
  <si>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</si>
  <si>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</si>
  <si>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</si>
  <si>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</si>
  <si>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</si>
  <si>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</si>
  <si>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</si>
  <si>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</si>
  <si>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</si>
  <si>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</si>
  <si>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</si>
  <si>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</si>
  <si>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</si>
  <si>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</si>
  <si>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</si>
  <si>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</si>
  <si>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</si>
  <si>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</si>
  <si>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</si>
  <si>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</si>
  <si>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</si>
  <si>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</si>
  <si>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</si>
  <si>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</si>
  <si>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</si>
  <si>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</si>
  <si>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</si>
  <si>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</si>
  <si>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</si>
  <si>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</si>
  <si>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</si>
  <si>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</si>
  <si>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</si>
  <si>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</si>
  <si>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</si>
  <si>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</si>
  <si>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</si>
  <si>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</si>
  <si>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</si>
  <si>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</si>
  <si>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</si>
  <si>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</si>
  <si>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</si>
  <si>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</si>
  <si>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</si>
  <si>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</si>
  <si>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</si>
  <si>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</si>
  <si>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</si>
  <si>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</si>
  <si>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</si>
  <si>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</si>
  <si>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</si>
  <si>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</si>
  <si>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</si>
  <si>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</si>
  <si>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</si>
  <si>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</si>
  <si>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</si>
  <si>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</si>
  <si>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</si>
  <si>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</si>
  <si>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</si>
  <si>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</si>
  <si>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</si>
  <si>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</si>
  <si>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</si>
  <si>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</si>
  <si>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</si>
  <si>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</si>
  <si>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</si>
  <si>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</si>
  <si>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</si>
  <si>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</si>
  <si>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</si>
  <si>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</si>
  <si>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</si>
  <si>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</si>
  <si>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</si>
  <si>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</si>
  <si>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</si>
  <si>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</si>
  <si>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</si>
  <si>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</si>
  <si>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</si>
  <si>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</si>
  <si>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</si>
  <si>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</si>
  <si>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</si>
  <si>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</si>
  <si>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</si>
  <si>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</si>
  <si>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</si>
  <si>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</si>
  <si>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</si>
  <si>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</si>
  <si>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</si>
  <si>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</si>
  <si>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</si>
  <si>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</si>
  <si>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</si>
  <si>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</si>
  <si>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</si>
  <si>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</si>
  <si>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</si>
  <si>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</si>
  <si>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</si>
  <si>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</si>
  <si>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</si>
  <si>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</si>
  <si>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</si>
  <si>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</si>
  <si>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</si>
  <si>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</si>
  <si>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</si>
  <si>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</si>
  <si>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</si>
  <si>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</si>
  <si>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</si>
  <si>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</si>
  <si>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</si>
  <si>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</si>
  <si>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</si>
  <si>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</si>
  <si>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</si>
  <si>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</si>
  <si>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</si>
  <si>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</si>
  <si>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</si>
  <si>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</si>
  <si>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</si>
  <si>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</si>
  <si>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</si>
  <si>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</si>
  <si>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</si>
  <si>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</si>
  <si>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</si>
  <si>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</si>
  <si>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</si>
  <si>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</si>
  <si>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</si>
  <si>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</si>
  <si>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</si>
  <si>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</si>
  <si>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</si>
  <si>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</si>
  <si>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</si>
  <si>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</si>
  <si>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</si>
  <si>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</si>
  <si>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</si>
  <si>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</si>
  <si>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</si>
  <si>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</si>
  <si>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</si>
  <si>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</si>
  <si>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</si>
  <si>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</si>
  <si>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</si>
  <si>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</si>
  <si>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</si>
  <si>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</si>
  <si>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</si>
  <si>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</si>
  <si>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</si>
  <si>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</si>
  <si>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</si>
  <si>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</si>
  <si>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</si>
  <si>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</si>
  <si>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</si>
  <si>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</si>
  <si>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</si>
  <si>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</si>
  <si>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</si>
  <si>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</si>
  <si>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</si>
  <si>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</si>
  <si>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</si>
  <si>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</si>
  <si>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</si>
  <si>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</si>
  <si>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</si>
  <si>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</si>
  <si>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</si>
  <si>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</si>
  <si>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</si>
  <si>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</si>
  <si>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</si>
  <si>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</si>
  <si>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</si>
  <si>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</si>
  <si>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</si>
  <si>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</si>
  <si>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</si>
  <si>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</si>
  <si>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</si>
  <si>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</si>
  <si>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</si>
  <si>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</si>
  <si>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</si>
  <si>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</si>
  <si>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</si>
  <si>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</si>
  <si>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</si>
  <si>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</si>
  <si>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</si>
  <si>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</si>
  <si>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</si>
  <si>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</si>
  <si>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</si>
  <si>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</si>
  <si>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</si>
  <si>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</si>
  <si>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</si>
  <si>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</si>
  <si>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</si>
  <si>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</si>
  <si>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</si>
  <si>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</si>
  <si>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</si>
  <si>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</si>
  <si>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</si>
  <si>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</si>
  <si>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</si>
  <si>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</si>
  <si>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</si>
  <si>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</si>
  <si>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</si>
  <si>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</si>
  <si>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</si>
  <si>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</si>
  <si>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</si>
  <si>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</si>
  <si>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</si>
  <si>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</si>
  <si>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</si>
  <si>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</si>
  <si>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</si>
  <si>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</si>
  <si>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</si>
  <si>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</si>
  <si>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</si>
  <si>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</si>
  <si>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</si>
  <si>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</si>
  <si>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</si>
  <si>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</si>
  <si>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</si>
  <si>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</si>
  <si>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</si>
  <si>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</si>
  <si>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</si>
  <si>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</si>
  <si>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</si>
  <si>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</si>
  <si>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</si>
  <si>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</si>
  <si>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</si>
  <si>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</si>
  <si>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</si>
  <si>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</si>
  <si>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</si>
  <si>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</si>
  <si>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</si>
  <si>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</si>
  <si>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</si>
  <si>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</si>
  <si>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</si>
  <si>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</si>
  <si>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</si>
  <si>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</si>
  <si>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</si>
  <si>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</si>
  <si>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</si>
  <si>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</si>
  <si>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</si>
  <si>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</si>
  <si>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</si>
  <si>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</si>
  <si>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</si>
  <si>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</si>
  <si>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</si>
  <si>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</si>
  <si>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</si>
  <si>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</si>
  <si>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</si>
  <si>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</si>
  <si>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</si>
  <si>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</si>
  <si>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</si>
  <si>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</si>
  <si>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</si>
  <si>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</si>
  <si>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</si>
  <si>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</si>
  <si>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</si>
  <si>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</si>
  <si>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</si>
  <si>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</si>
  <si>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</si>
  <si>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</si>
  <si>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</si>
  <si>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</si>
  <si>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</si>
  <si>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</si>
  <si>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</si>
  <si>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</si>
  <si>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</si>
  <si>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</si>
  <si>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</si>
  <si>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</si>
  <si>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</si>
  <si>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</si>
  <si>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</si>
  <si>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</si>
  <si>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</si>
  <si>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</si>
  <si>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</si>
  <si>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</si>
  <si>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</si>
  <si>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</si>
  <si>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</si>
  <si>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</si>
  <si>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</si>
  <si>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</si>
  <si>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</si>
  <si>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</si>
  <si>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</si>
  <si>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</si>
  <si>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</si>
  <si>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</si>
  <si>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</si>
  <si>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</si>
  <si>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</si>
  <si>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</si>
  <si>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</si>
  <si>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</si>
  <si>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</si>
  <si>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</si>
  <si>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</si>
  <si>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</si>
  <si>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</si>
  <si>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</si>
  <si>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</si>
  <si>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</si>
  <si>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</si>
  <si>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</si>
  <si>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</si>
  <si>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</si>
  <si>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</si>
  <si>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</si>
  <si>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</si>
  <si>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</si>
  <si>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</si>
  <si>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</si>
  <si>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</si>
  <si>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</si>
  <si>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</si>
  <si>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</si>
  <si>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</si>
  <si>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</si>
  <si>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</si>
  <si>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</si>
  <si>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</si>
  <si>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</si>
  <si>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</si>
  <si>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</si>
  <si>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</si>
  <si>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</si>
  <si>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</si>
  <si>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</si>
  <si>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</si>
  <si>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</si>
  <si>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</si>
  <si>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</si>
  <si>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</si>
  <si>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</si>
  <si>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</si>
  <si>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</si>
  <si>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</si>
  <si>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</si>
  <si>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</si>
  <si>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</si>
  <si>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</si>
  <si>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</si>
  <si>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</si>
  <si>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</si>
  <si>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</si>
  <si>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</si>
  <si>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</si>
  <si>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</si>
  <si>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</si>
  <si>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</si>
  <si>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</si>
  <si>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</si>
  <si>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</si>
  <si>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</si>
  <si>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</si>
  <si>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</si>
  <si>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</si>
  <si>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</si>
  <si>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</si>
  <si>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</si>
  <si>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</si>
  <si>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</si>
  <si>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</si>
  <si>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</si>
  <si>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</si>
  <si>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</si>
  <si>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</si>
  <si>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</si>
  <si>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</si>
  <si>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</si>
  <si>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</si>
  <si>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</si>
  <si>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</si>
  <si>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</si>
  <si>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</si>
  <si>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</si>
  <si>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</si>
  <si>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</si>
  <si>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</si>
  <si>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</si>
  <si>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</si>
  <si>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</si>
  <si>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</si>
  <si>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</si>
  <si>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</si>
  <si>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</si>
  <si>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</si>
  <si>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</si>
  <si>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</si>
  <si>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</si>
  <si>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</si>
  <si>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</si>
  <si>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</si>
  <si>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</si>
  <si>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</si>
  <si>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</si>
  <si>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</si>
  <si>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</si>
  <si>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</si>
  <si>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</si>
  <si>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</si>
  <si>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</si>
  <si>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</si>
  <si>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</si>
  <si>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</si>
  <si>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</si>
  <si>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</si>
  <si>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</si>
  <si>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</si>
  <si>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</si>
  <si>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</si>
  <si>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</si>
  <si>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</si>
  <si>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</si>
  <si>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</si>
  <si>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</si>
  <si>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</si>
  <si>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</si>
  <si>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</si>
  <si>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</si>
  <si>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</si>
  <si>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</si>
  <si>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</si>
  <si>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</si>
  <si>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</si>
  <si>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</si>
  <si>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</si>
  <si>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</si>
  <si>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</si>
  <si>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</si>
  <si>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</si>
  <si>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</si>
  <si>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</si>
  <si>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</si>
  <si>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</si>
  <si>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</si>
  <si>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</si>
  <si>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</si>
  <si>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</si>
  <si>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</si>
  <si>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</si>
  <si>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</si>
  <si>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</si>
  <si>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</si>
  <si>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</si>
  <si>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</si>
  <si>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</si>
  <si>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</si>
  <si>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</si>
  <si>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</si>
  <si>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</si>
  <si>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</si>
  <si>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</si>
  <si>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</si>
  <si>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</si>
  <si>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</si>
  <si>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</si>
  <si>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</si>
  <si>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</si>
  <si>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</si>
  <si>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</si>
  <si>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</si>
  <si>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</si>
  <si>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</si>
  <si>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</si>
  <si>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</si>
  <si>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</si>
  <si>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</si>
  <si>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</si>
  <si>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</si>
  <si>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</si>
  <si>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</si>
  <si>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</si>
  <si>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</si>
  <si>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</si>
  <si>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</si>
  <si>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</si>
  <si>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</si>
  <si>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</si>
  <si>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</si>
  <si>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</si>
  <si>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</si>
  <si>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</si>
  <si>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</si>
  <si>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</si>
  <si>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</si>
  <si>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</si>
  <si>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</si>
  <si>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</si>
  <si>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</si>
  <si>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</si>
  <si>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</si>
  <si>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</si>
  <si>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</si>
  <si>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</si>
  <si>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</si>
  <si>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</si>
  <si>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</si>
  <si>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</si>
  <si>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</si>
  <si>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</si>
  <si>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</si>
  <si>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</si>
  <si>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</si>
  <si>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</si>
  <si>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</si>
  <si>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</si>
  <si>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</si>
  <si>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</si>
  <si>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</si>
  <si>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</si>
  <si>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</si>
  <si>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</si>
  <si>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</si>
  <si>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</si>
  <si>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</si>
  <si>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</si>
  <si>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</si>
  <si>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</si>
  <si>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</si>
  <si>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</si>
  <si>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</si>
  <si>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</si>
  <si>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</si>
  <si>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</si>
  <si>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</si>
  <si>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</si>
  <si>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</si>
  <si>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</si>
  <si>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</si>
  <si>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</si>
  <si>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</si>
  <si>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</si>
  <si>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</si>
  <si>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</si>
  <si>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</si>
  <si>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</si>
  <si>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</si>
  <si>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</si>
  <si>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</si>
  <si>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</si>
  <si>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</si>
  <si>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</si>
  <si>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</si>
  <si>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</si>
  <si>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</si>
  <si>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</si>
  <si>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</si>
  <si>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</si>
  <si>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</si>
  <si>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</si>
  <si>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</si>
  <si>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</si>
  <si>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</si>
  <si>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</si>
  <si>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</si>
  <si>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</si>
  <si>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</si>
  <si>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</si>
  <si>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</si>
  <si>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</si>
  <si>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</si>
  <si>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</si>
  <si>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</si>
  <si>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</si>
  <si>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</si>
  <si>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</si>
  <si>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</si>
  <si>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</si>
  <si>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</si>
  <si>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</si>
  <si>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</si>
  <si>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</si>
  <si>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</si>
  <si>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</si>
  <si>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</si>
  <si>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</si>
  <si>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</si>
  <si>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</si>
  <si>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</si>
  <si>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</si>
  <si>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</si>
  <si>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</si>
  <si>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</si>
  <si>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</si>
  <si>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</si>
  <si>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</si>
  <si>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</si>
  <si>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</si>
  <si>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</si>
  <si>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</si>
  <si>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</si>
  <si>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</si>
  <si>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</si>
  <si>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</si>
  <si>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</si>
  <si>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</si>
  <si>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</si>
  <si>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</si>
  <si>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</si>
  <si>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</si>
  <si>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</si>
  <si>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</si>
  <si>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</si>
  <si>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</si>
  <si>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</si>
  <si>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</si>
  <si>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</si>
  <si>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</si>
  <si>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</si>
  <si>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</si>
  <si>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</si>
  <si>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</si>
  <si>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</si>
  <si>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</si>
  <si>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</si>
  <si>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</si>
  <si>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</si>
  <si>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</si>
  <si>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</si>
  <si>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</si>
  <si>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</si>
  <si>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</si>
  <si>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</si>
  <si>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</si>
  <si>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</si>
  <si>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</si>
  <si>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</si>
  <si>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</si>
  <si>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</si>
  <si>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</si>
  <si>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</si>
  <si>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</si>
  <si>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</si>
  <si>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</si>
  <si>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</si>
  <si>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</si>
  <si>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</si>
  <si>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</si>
  <si>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</si>
  <si>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</si>
  <si>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</si>
  <si>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</si>
  <si>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</si>
  <si>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</si>
  <si>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</si>
  <si>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</si>
  <si>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</si>
  <si>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</si>
  <si>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</si>
  <si>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</si>
  <si>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</si>
  <si>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</si>
  <si>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</si>
  <si>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</si>
  <si>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</si>
  <si>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</si>
  <si>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</si>
  <si>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</si>
  <si>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</si>
  <si>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</si>
  <si>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</si>
  <si>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</si>
  <si>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</si>
  <si>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</si>
  <si>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</si>
  <si>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</si>
  <si>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</si>
  <si>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</si>
  <si>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</si>
  <si>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</si>
  <si>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</si>
  <si>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</si>
  <si>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</si>
  <si>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</si>
  <si>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</si>
  <si>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</si>
  <si>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</si>
  <si>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</si>
  <si>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</si>
  <si>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</si>
  <si>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</si>
  <si>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</si>
  <si>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</si>
  <si>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</si>
  <si>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</si>
  <si>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</si>
  <si>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</si>
  <si>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</si>
  <si>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</si>
  <si>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</si>
  <si>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</si>
  <si>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</si>
  <si>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</si>
  <si>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</si>
  <si>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</si>
  <si>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</si>
  <si>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</si>
  <si>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</si>
  <si>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</si>
  <si>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</si>
  <si>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</si>
  <si>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</si>
  <si>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</si>
  <si>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</si>
  <si>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</si>
  <si>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</si>
  <si>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</si>
  <si>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</si>
  <si>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</si>
  <si>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</si>
  <si>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</si>
  <si>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</si>
  <si>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</si>
  <si>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</si>
  <si>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</si>
  <si>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</si>
  <si>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</si>
  <si>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</si>
  <si>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</si>
  <si>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</si>
  <si>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</si>
  <si>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</si>
  <si>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</si>
  <si>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</si>
  <si>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</si>
  <si>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</si>
  <si>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</si>
  <si>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</si>
  <si>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</si>
  <si>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</si>
  <si>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</si>
  <si>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</si>
  <si>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</si>
  <si>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</si>
  <si>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</si>
  <si>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</si>
  <si>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</si>
  <si>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</si>
  <si>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</si>
  <si>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</si>
  <si>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</si>
  <si>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</si>
  <si>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</si>
  <si>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</si>
  <si>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</si>
  <si>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</si>
  <si>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</si>
  <si>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</si>
  <si>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</si>
  <si>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</si>
  <si>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</si>
  <si>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</si>
  <si>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</si>
  <si>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</si>
  <si>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</si>
  <si>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</si>
  <si>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</si>
  <si>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</si>
  <si>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</si>
  <si>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</si>
  <si>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</si>
  <si>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</si>
  <si>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</si>
  <si>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</si>
  <si>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</si>
  <si>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</si>
  <si>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</si>
  <si>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</si>
  <si>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</si>
  <si>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</si>
  <si>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</si>
  <si>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</si>
  <si>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</si>
  <si>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</si>
  <si>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</si>
  <si>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</si>
  <si>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</si>
  <si>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</si>
  <si>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</si>
  <si>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</si>
  <si>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</si>
  <si>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</si>
  <si>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</si>
  <si>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</si>
  <si>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</si>
  <si>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</si>
  <si>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</si>
  <si>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</si>
  <si>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</si>
  <si>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</si>
  <si>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</si>
  <si>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</si>
  <si>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</si>
  <si>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</si>
  <si>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</si>
  <si>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</si>
  <si>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</si>
  <si>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</si>
  <si>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</si>
  <si>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</si>
  <si>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</si>
  <si>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</si>
  <si>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</si>
  <si>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</si>
  <si>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</si>
  <si>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</si>
  <si>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</si>
  <si>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</si>
  <si>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</si>
  <si>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</si>
  <si>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</si>
  <si>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</si>
  <si>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</si>
  <si>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</si>
  <si>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</si>
  <si>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</si>
  <si>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</si>
  <si>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</si>
  <si>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</si>
  <si>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</si>
  <si>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</si>
  <si>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</si>
  <si>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</si>
  <si>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</si>
  <si>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</si>
  <si>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</si>
  <si>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</si>
  <si>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</si>
  <si>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</si>
  <si>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</si>
  <si>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</si>
  <si>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</si>
  <si>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</si>
  <si>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</si>
  <si>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</si>
  <si>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</si>
  <si>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</si>
  <si>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</si>
  <si>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</si>
  <si>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</si>
  <si>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</si>
  <si>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</si>
  <si>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</si>
  <si>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</si>
  <si>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</si>
  <si>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</si>
  <si>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</si>
  <si>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</si>
  <si>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</si>
  <si>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</si>
  <si>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</si>
  <si>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</si>
  <si>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</si>
  <si>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</si>
  <si>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</si>
  <si>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</si>
  <si>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</si>
  <si>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</si>
  <si>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</si>
  <si>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</si>
  <si>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</si>
  <si>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</si>
  <si>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</si>
  <si>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</si>
  <si>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</si>
  <si>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</si>
  <si>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</si>
  <si>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</si>
  <si>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</si>
  <si>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</si>
  <si>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</si>
  <si>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</si>
  <si>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</si>
  <si>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</si>
  <si>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</si>
  <si>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</si>
  <si>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</si>
  <si>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</si>
  <si>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</si>
  <si>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</si>
  <si>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</si>
  <si>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</si>
  <si>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</si>
  <si>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</si>
  <si>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</si>
  <si>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</si>
  <si>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bussines</t>
  </si>
  <si>
    <t>town</t>
  </si>
  <si>
    <t>area</t>
  </si>
  <si>
    <t>rooms</t>
  </si>
  <si>
    <t>baths</t>
  </si>
  <si>
    <t>parkings</t>
  </si>
  <si>
    <t>price_rent</t>
  </si>
  <si>
    <t>price_sold</t>
  </si>
  <si>
    <t>price_area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</si>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</sst>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dimension ref="A1:BQ1973"/>
  <sheetViews>
    <sheetView tabSelected="1" zoomScale="140" zoomScaleNormal="140" workbookViewId="0">
      <selection sqref="A1:XFD1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1" width="10.83203125" style="2" hidden="1" customWidth="1"/>
    <col min="52" max="53" width="10.83203125" style="2" customWidth="1"/>
    <col min="54" max="67" width="10.83203125" style="2" hidden="1" customWidth="1"/>
    <col min="68" max="69" width="10.83203125" style="2" customWidth="1"/>
  </cols>
  <sheetData>
    <row r="1" spans="1:69" x14ac:dyDescent="0.2">
      <c r="A1" s="2" t="s">
        <v>4656</v>
      </c>
      <c r="B1" s="2" t="s">
        <v>4657</v>
      </c>
      <c r="C1" s="2" t="s">
        <v>4658</v>
      </c>
      <c r="D1" s="2" t="s">
        <v>4659</v>
      </c>
      <c r="E1" s="2" t="s">
        <v>4660</v>
      </c>
      <c r="F1" s="3" t="s">
        <v>0</v>
      </c>
      <c r="G1" s="3" t="s">
        <v>4661</v>
      </c>
      <c r="H1" s="3" t="s">
        <v>4662</v>
      </c>
      <c r="I1" s="3" t="s">
        <v>4663</v>
      </c>
      <c r="J1" s="3" t="s">
        <v>4664</v>
      </c>
      <c r="K1" s="3" t="s">
        <v>4676</v>
      </c>
      <c r="L1" s="3" t="s">
        <v>4675</v>
      </c>
      <c r="M1" s="3" t="s">
        <v>4666</v>
      </c>
      <c r="N1" s="2" t="s">
        <v>4665</v>
      </c>
      <c r="O1" s="2" t="s">
        <v>1</v>
      </c>
      <c r="P1" s="2" t="s">
        <v>2</v>
      </c>
      <c r="Q1" s="2" t="s">
        <v>3</v>
      </c>
      <c r="R1" s="2" t="s">
        <v>4667</v>
      </c>
      <c r="S1" s="2" t="s">
        <v>4668</v>
      </c>
      <c r="T1" s="1" t="s">
        <v>4669</v>
      </c>
      <c r="U1" s="1" t="s">
        <v>4670</v>
      </c>
      <c r="V1" s="1" t="s">
        <v>4671</v>
      </c>
      <c r="W1" s="1" t="s">
        <v>4672</v>
      </c>
      <c r="X1" s="1" t="s">
        <v>4673</v>
      </c>
      <c r="Y1" s="1" t="s">
        <v>4674</v>
      </c>
      <c r="Z1" s="1" t="s">
        <v>4</v>
      </c>
      <c r="AA1" s="1" t="s">
        <v>5</v>
      </c>
      <c r="AB1" s="1" t="s">
        <v>6</v>
      </c>
      <c r="AC1" s="1" t="s">
        <v>7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13</v>
      </c>
      <c r="AJ1" s="1" t="s">
        <v>14</v>
      </c>
      <c r="AK1" s="1" t="s">
        <v>15</v>
      </c>
      <c r="AL1" s="1" t="s">
        <v>16</v>
      </c>
      <c r="AM1" s="1" t="s">
        <v>17</v>
      </c>
      <c r="AN1" s="1" t="s">
        <v>18</v>
      </c>
      <c r="AO1" s="1" t="s">
        <v>19</v>
      </c>
      <c r="AP1" s="1" t="s">
        <v>20</v>
      </c>
      <c r="AQ1" s="1" t="s">
        <v>21</v>
      </c>
      <c r="AR1" s="1" t="s">
        <v>22</v>
      </c>
      <c r="AS1" s="1" t="s">
        <v>23</v>
      </c>
      <c r="AT1" s="1" t="s">
        <v>24</v>
      </c>
      <c r="AU1" s="1" t="s">
        <v>25</v>
      </c>
      <c r="AV1" s="1" t="s">
        <v>26</v>
      </c>
      <c r="AW1" s="1" t="s">
        <v>27</v>
      </c>
      <c r="AX1" s="1" t="s">
        <v>28</v>
      </c>
      <c r="AY1" s="4" t="s">
        <v>29</v>
      </c>
      <c r="AZ1" s="4" t="s">
        <v>30</v>
      </c>
      <c r="BA1" s="4" t="s">
        <v>31</v>
      </c>
      <c r="BB1" s="4" t="s">
        <v>32</v>
      </c>
      <c r="BC1" s="4" t="s">
        <v>33</v>
      </c>
      <c r="BD1" s="4" t="s">
        <v>34</v>
      </c>
      <c r="BE1" s="4" t="s">
        <v>35</v>
      </c>
      <c r="BF1" s="4" t="s">
        <v>36</v>
      </c>
      <c r="BG1" s="4" t="s">
        <v>37</v>
      </c>
      <c r="BH1" s="4" t="s">
        <v>38</v>
      </c>
      <c r="BI1" s="4" t="s">
        <v>39</v>
      </c>
      <c r="BJ1" s="4" t="s">
        <v>40</v>
      </c>
      <c r="BK1" s="4" t="s">
        <v>41</v>
      </c>
      <c r="BL1" s="4" t="s">
        <v>42</v>
      </c>
      <c r="BM1" s="4" t="s">
        <v>43</v>
      </c>
      <c r="BN1" s="4" t="s">
        <v>44</v>
      </c>
      <c r="BO1" s="4" t="s">
        <v>45</v>
      </c>
      <c r="BP1" s="4" t="s">
        <v>4654</v>
      </c>
      <c r="BQ1" s="4" t="s">
        <v>4655</v>
      </c>
    </row>
    <row r="2" spans="1:69" x14ac:dyDescent="0.2">
      <c r="A2" s="2" t="s">
        <v>2239</v>
      </c>
      <c r="B2" s="2" t="s">
        <v>47</v>
      </c>
      <c r="C2" s="2" t="s">
        <v>1935</v>
      </c>
      <c r="D2" s="2" t="s">
        <v>49</v>
      </c>
      <c r="E2" s="2" t="s">
        <v>2240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89</v>
      </c>
      <c r="L2" s="6" t="s">
        <v>141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2241</v>
      </c>
      <c r="R2" s="2">
        <v>1044256.589</v>
      </c>
      <c r="S2" s="2">
        <v>0</v>
      </c>
      <c r="T2" s="2" t="s">
        <v>130</v>
      </c>
      <c r="U2" s="2" t="s">
        <v>131</v>
      </c>
      <c r="V2" s="2" t="s">
        <v>56</v>
      </c>
      <c r="W2" s="2" t="s">
        <v>98</v>
      </c>
      <c r="X2" s="2" t="s">
        <v>132</v>
      </c>
      <c r="Y2" s="2">
        <v>3.4531457190061401</v>
      </c>
      <c r="Z2" s="2">
        <v>3453.1457190061401</v>
      </c>
      <c r="AA2" s="2">
        <v>4.7837500000000004</v>
      </c>
      <c r="AB2" s="2">
        <v>-74.044138888888895</v>
      </c>
      <c r="AC2" s="2">
        <v>2580</v>
      </c>
      <c r="AD2" s="2">
        <v>0</v>
      </c>
      <c r="AE2" s="2" t="s">
        <v>133</v>
      </c>
      <c r="AF2" s="2" t="s">
        <v>86</v>
      </c>
      <c r="AG2" s="2" t="s">
        <v>61</v>
      </c>
      <c r="AH2" s="2" t="s">
        <v>62</v>
      </c>
      <c r="AI2" s="2" t="s">
        <v>100</v>
      </c>
      <c r="AJ2" s="2">
        <v>5.0599066891528199</v>
      </c>
      <c r="AK2" s="2">
        <v>1.41372080563708</v>
      </c>
      <c r="AL2" s="2">
        <v>1.6042099739951601</v>
      </c>
      <c r="AM2" s="2">
        <v>3.92468405345869</v>
      </c>
      <c r="AN2" s="2">
        <v>8.4510317365032108</v>
      </c>
      <c r="AO2" s="2">
        <v>0.91341736462263701</v>
      </c>
      <c r="AP2" s="2">
        <v>0.91341736462263701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15.3</v>
      </c>
      <c r="AZ2" s="2">
        <v>9.8000000000000007</v>
      </c>
      <c r="BA2" s="2">
        <v>29.7</v>
      </c>
      <c r="BB2" s="2">
        <v>564</v>
      </c>
      <c r="BC2" s="2">
        <v>68</v>
      </c>
      <c r="BD2" s="2">
        <v>1.8</v>
      </c>
      <c r="BE2" s="2">
        <v>43</v>
      </c>
      <c r="BF2" s="2">
        <v>25.4</v>
      </c>
      <c r="BG2" s="2">
        <v>162</v>
      </c>
      <c r="BH2" s="2">
        <v>9.1</v>
      </c>
      <c r="BI2" s="2">
        <v>9.1999999999999993</v>
      </c>
      <c r="BJ2" s="2">
        <v>18.3</v>
      </c>
      <c r="BK2" s="2">
        <v>0.34</v>
      </c>
      <c r="BL2" s="2">
        <v>7.3</v>
      </c>
      <c r="BM2" s="2">
        <v>0.9</v>
      </c>
      <c r="BN2" s="2">
        <v>7.5</v>
      </c>
      <c r="BO2" s="2">
        <v>2.9</v>
      </c>
      <c r="BP2" s="2">
        <f t="shared" ref="BP2:BP65" si="0">+AZ2*EXP(-0.0495*Y2)</f>
        <v>8.2602237255662185</v>
      </c>
      <c r="BQ2" s="2">
        <f t="shared" ref="BQ2:BQ65" si="1">+BA2*EXP(-0.024*Y2)</f>
        <v>27.337832495722239</v>
      </c>
    </row>
    <row r="3" spans="1:69" x14ac:dyDescent="0.2">
      <c r="A3" s="2" t="s">
        <v>2560</v>
      </c>
      <c r="B3" s="2" t="s">
        <v>47</v>
      </c>
      <c r="C3" s="2" t="s">
        <v>1935</v>
      </c>
      <c r="D3" s="2" t="s">
        <v>49</v>
      </c>
      <c r="E3" s="2" t="s">
        <v>2240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89</v>
      </c>
      <c r="L3" s="6" t="s">
        <v>141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2561</v>
      </c>
      <c r="R3" s="2">
        <v>1211640.2120000001</v>
      </c>
      <c r="S3" s="2">
        <v>0</v>
      </c>
      <c r="T3" s="2" t="s">
        <v>130</v>
      </c>
      <c r="U3" s="2" t="s">
        <v>131</v>
      </c>
      <c r="V3" s="2" t="s">
        <v>56</v>
      </c>
      <c r="W3" s="2" t="s">
        <v>98</v>
      </c>
      <c r="X3" s="2" t="s">
        <v>132</v>
      </c>
      <c r="Y3" s="2">
        <v>4.09448821812909</v>
      </c>
      <c r="Z3" s="2">
        <v>4094.48821812909</v>
      </c>
      <c r="AA3" s="2">
        <v>4.7837500000000004</v>
      </c>
      <c r="AB3" s="2">
        <v>-74.044138888888895</v>
      </c>
      <c r="AC3" s="2">
        <v>2580</v>
      </c>
      <c r="AD3" s="2">
        <v>0</v>
      </c>
      <c r="AE3" s="2" t="s">
        <v>133</v>
      </c>
      <c r="AF3" s="2" t="s">
        <v>86</v>
      </c>
      <c r="AG3" s="2" t="s">
        <v>61</v>
      </c>
      <c r="AH3" s="2" t="s">
        <v>62</v>
      </c>
      <c r="AI3" s="2" t="s">
        <v>100</v>
      </c>
      <c r="AJ3" s="2">
        <v>5.7155399927692496</v>
      </c>
      <c r="AK3" s="2">
        <v>0.77160018431333499</v>
      </c>
      <c r="AL3" s="2">
        <v>2.2530691605895798</v>
      </c>
      <c r="AM3" s="2">
        <v>4.7599114586370703</v>
      </c>
      <c r="AN3" s="2">
        <v>8.9977239712458097</v>
      </c>
      <c r="AO3" s="2">
        <v>4.3729363254590099E-2</v>
      </c>
      <c r="AP3" s="2">
        <v>4.3729363254590099E-2</v>
      </c>
      <c r="AQ3" s="2">
        <v>0</v>
      </c>
      <c r="AR3" s="2">
        <v>0</v>
      </c>
      <c r="AS3" s="2">
        <v>0</v>
      </c>
      <c r="AT3" s="2">
        <v>1</v>
      </c>
      <c r="AU3" s="2">
        <v>0</v>
      </c>
      <c r="AV3" s="2">
        <v>0</v>
      </c>
      <c r="AW3" s="2">
        <v>0</v>
      </c>
      <c r="AX3" s="2">
        <v>0</v>
      </c>
      <c r="AY3" s="2">
        <v>15.3</v>
      </c>
      <c r="AZ3" s="2">
        <v>9.8000000000000007</v>
      </c>
      <c r="BA3" s="2">
        <v>29.7</v>
      </c>
      <c r="BB3" s="2">
        <v>564</v>
      </c>
      <c r="BC3" s="2">
        <v>68</v>
      </c>
      <c r="BD3" s="2">
        <v>1.8</v>
      </c>
      <c r="BE3" s="2">
        <v>43</v>
      </c>
      <c r="BF3" s="2">
        <v>25.4</v>
      </c>
      <c r="BG3" s="2">
        <v>162</v>
      </c>
      <c r="BH3" s="2">
        <v>9.1</v>
      </c>
      <c r="BI3" s="2">
        <v>9.1999999999999993</v>
      </c>
      <c r="BJ3" s="2">
        <v>18.3</v>
      </c>
      <c r="BK3" s="2">
        <v>0.34</v>
      </c>
      <c r="BL3" s="2">
        <v>7.3</v>
      </c>
      <c r="BM3" s="2">
        <v>0.9</v>
      </c>
      <c r="BN3" s="2">
        <v>7.5</v>
      </c>
      <c r="BO3" s="2">
        <v>2.9</v>
      </c>
      <c r="BP3" s="2">
        <f t="shared" si="0"/>
        <v>8.0021096957215097</v>
      </c>
      <c r="BQ3" s="2">
        <f t="shared" si="1"/>
        <v>26.920264457915</v>
      </c>
    </row>
    <row r="4" spans="1:69" x14ac:dyDescent="0.2">
      <c r="A4" s="2" t="s">
        <v>2639</v>
      </c>
      <c r="B4" s="2" t="s">
        <v>47</v>
      </c>
      <c r="C4" s="2" t="s">
        <v>1935</v>
      </c>
      <c r="D4" s="2" t="s">
        <v>49</v>
      </c>
      <c r="E4" s="2" t="s">
        <v>2240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89</v>
      </c>
      <c r="L4" s="6" t="s">
        <v>103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2640</v>
      </c>
      <c r="R4" s="2">
        <v>1873661.67</v>
      </c>
      <c r="S4" s="2">
        <v>0</v>
      </c>
      <c r="T4" s="2" t="s">
        <v>130</v>
      </c>
      <c r="U4" s="2" t="s">
        <v>131</v>
      </c>
      <c r="V4" s="2" t="s">
        <v>56</v>
      </c>
      <c r="W4" s="2" t="s">
        <v>98</v>
      </c>
      <c r="X4" s="2" t="s">
        <v>132</v>
      </c>
      <c r="Y4" s="2">
        <v>4.0329589698894504</v>
      </c>
      <c r="Z4" s="2">
        <v>4032.9589698894501</v>
      </c>
      <c r="AA4" s="2">
        <v>4.7837500000000004</v>
      </c>
      <c r="AB4" s="2">
        <v>-74.044138888888895</v>
      </c>
      <c r="AC4" s="2">
        <v>2580</v>
      </c>
      <c r="AD4" s="2">
        <v>0</v>
      </c>
      <c r="AE4" s="2" t="s">
        <v>133</v>
      </c>
      <c r="AF4" s="2" t="s">
        <v>86</v>
      </c>
      <c r="AG4" s="2" t="s">
        <v>61</v>
      </c>
      <c r="AH4" s="2" t="s">
        <v>62</v>
      </c>
      <c r="AI4" s="2" t="s">
        <v>100</v>
      </c>
      <c r="AJ4" s="2">
        <v>5.6090262105301703</v>
      </c>
      <c r="AK4" s="2">
        <v>0.83612551821131298</v>
      </c>
      <c r="AL4" s="2">
        <v>2.2130557817765699</v>
      </c>
      <c r="AM4" s="2">
        <v>3.86283686422466</v>
      </c>
      <c r="AN4" s="2">
        <v>9.0500968605892602</v>
      </c>
      <c r="AO4" s="2">
        <v>0.80468241848390498</v>
      </c>
      <c r="AP4" s="2">
        <v>0.80468241848390498</v>
      </c>
      <c r="AQ4" s="2">
        <v>0</v>
      </c>
      <c r="AR4" s="2">
        <v>0</v>
      </c>
      <c r="AS4" s="2">
        <v>0</v>
      </c>
      <c r="AT4" s="2">
        <v>1</v>
      </c>
      <c r="AU4" s="2">
        <v>0</v>
      </c>
      <c r="AV4" s="2">
        <v>0</v>
      </c>
      <c r="AW4" s="2">
        <v>0</v>
      </c>
      <c r="AX4" s="2">
        <v>0</v>
      </c>
      <c r="AY4" s="2">
        <v>15.3</v>
      </c>
      <c r="AZ4" s="2">
        <v>9.8000000000000007</v>
      </c>
      <c r="BA4" s="2">
        <v>29.7</v>
      </c>
      <c r="BB4" s="2">
        <v>564</v>
      </c>
      <c r="BC4" s="2">
        <v>68</v>
      </c>
      <c r="BD4" s="2">
        <v>1.8</v>
      </c>
      <c r="BE4" s="2">
        <v>43</v>
      </c>
      <c r="BF4" s="2">
        <v>25.4</v>
      </c>
      <c r="BG4" s="2">
        <v>162</v>
      </c>
      <c r="BH4" s="2">
        <v>9.1</v>
      </c>
      <c r="BI4" s="2">
        <v>9.1999999999999993</v>
      </c>
      <c r="BJ4" s="2">
        <v>18.3</v>
      </c>
      <c r="BK4" s="2">
        <v>0.34</v>
      </c>
      <c r="BL4" s="2">
        <v>7.3</v>
      </c>
      <c r="BM4" s="2">
        <v>0.9</v>
      </c>
      <c r="BN4" s="2">
        <v>7.5</v>
      </c>
      <c r="BO4" s="2">
        <v>2.9</v>
      </c>
      <c r="BP4" s="2">
        <f t="shared" si="0"/>
        <v>8.0265188561140679</v>
      </c>
      <c r="BQ4" s="2">
        <f t="shared" si="1"/>
        <v>26.960047031415957</v>
      </c>
    </row>
    <row r="5" spans="1:69" x14ac:dyDescent="0.2">
      <c r="A5" s="2" t="s">
        <v>2651</v>
      </c>
      <c r="B5" s="2" t="s">
        <v>47</v>
      </c>
      <c r="C5" s="2" t="s">
        <v>1935</v>
      </c>
      <c r="D5" s="2" t="s">
        <v>49</v>
      </c>
      <c r="E5" s="2" t="s">
        <v>2240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89</v>
      </c>
      <c r="L5" s="6" t="s">
        <v>103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2652</v>
      </c>
      <c r="R5" s="2">
        <v>1552462.527</v>
      </c>
      <c r="S5" s="2">
        <v>0</v>
      </c>
      <c r="T5" s="2" t="s">
        <v>130</v>
      </c>
      <c r="U5" s="2" t="s">
        <v>131</v>
      </c>
      <c r="V5" s="2" t="s">
        <v>56</v>
      </c>
      <c r="W5" s="2" t="s">
        <v>98</v>
      </c>
      <c r="X5" s="2" t="s">
        <v>132</v>
      </c>
      <c r="Y5" s="2">
        <v>4.0329589698894504</v>
      </c>
      <c r="Z5" s="2">
        <v>4032.9589698894501</v>
      </c>
      <c r="AA5" s="2">
        <v>4.7837500000000004</v>
      </c>
      <c r="AB5" s="2">
        <v>-74.044138888888895</v>
      </c>
      <c r="AC5" s="2">
        <v>2580</v>
      </c>
      <c r="AD5" s="2">
        <v>0</v>
      </c>
      <c r="AE5" s="2" t="s">
        <v>133</v>
      </c>
      <c r="AF5" s="2" t="s">
        <v>86</v>
      </c>
      <c r="AG5" s="2" t="s">
        <v>61</v>
      </c>
      <c r="AH5" s="2" t="s">
        <v>62</v>
      </c>
      <c r="AI5" s="2" t="s">
        <v>100</v>
      </c>
      <c r="AJ5" s="2">
        <v>5.6090262105301703</v>
      </c>
      <c r="AK5" s="2">
        <v>0.83612551821131298</v>
      </c>
      <c r="AL5" s="2">
        <v>2.2130557817765699</v>
      </c>
      <c r="AM5" s="2">
        <v>3.86283686422466</v>
      </c>
      <c r="AN5" s="2">
        <v>9.0500968605892602</v>
      </c>
      <c r="AO5" s="2">
        <v>0.80468241848390498</v>
      </c>
      <c r="AP5" s="2">
        <v>0.80468241848390498</v>
      </c>
      <c r="AQ5" s="2">
        <v>0</v>
      </c>
      <c r="AR5" s="2">
        <v>0</v>
      </c>
      <c r="AS5" s="2">
        <v>0</v>
      </c>
      <c r="AT5" s="2">
        <v>1</v>
      </c>
      <c r="AU5" s="2">
        <v>0</v>
      </c>
      <c r="AV5" s="2">
        <v>0</v>
      </c>
      <c r="AW5" s="2">
        <v>0</v>
      </c>
      <c r="AX5" s="2">
        <v>0</v>
      </c>
      <c r="AY5" s="2">
        <v>15.3</v>
      </c>
      <c r="AZ5" s="2">
        <v>9.8000000000000007</v>
      </c>
      <c r="BA5" s="2">
        <v>29.7</v>
      </c>
      <c r="BB5" s="2">
        <v>564</v>
      </c>
      <c r="BC5" s="2">
        <v>68</v>
      </c>
      <c r="BD5" s="2">
        <v>1.8</v>
      </c>
      <c r="BE5" s="2">
        <v>43</v>
      </c>
      <c r="BF5" s="2">
        <v>25.4</v>
      </c>
      <c r="BG5" s="2">
        <v>162</v>
      </c>
      <c r="BH5" s="2">
        <v>9.1</v>
      </c>
      <c r="BI5" s="2">
        <v>9.1999999999999993</v>
      </c>
      <c r="BJ5" s="2">
        <v>18.3</v>
      </c>
      <c r="BK5" s="2">
        <v>0.34</v>
      </c>
      <c r="BL5" s="2">
        <v>7.3</v>
      </c>
      <c r="BM5" s="2">
        <v>0.9</v>
      </c>
      <c r="BN5" s="2">
        <v>7.5</v>
      </c>
      <c r="BO5" s="2">
        <v>2.9</v>
      </c>
      <c r="BP5" s="2">
        <f t="shared" si="0"/>
        <v>8.0265188561140679</v>
      </c>
      <c r="BQ5" s="2">
        <f t="shared" si="1"/>
        <v>26.960047031415957</v>
      </c>
    </row>
    <row r="6" spans="1:69" x14ac:dyDescent="0.2">
      <c r="A6" s="2" t="s">
        <v>3157</v>
      </c>
      <c r="B6" s="2" t="s">
        <v>47</v>
      </c>
      <c r="C6" s="2" t="s">
        <v>1935</v>
      </c>
      <c r="D6" s="2" t="s">
        <v>49</v>
      </c>
      <c r="E6" s="2" t="s">
        <v>2127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89</v>
      </c>
      <c r="L6" s="6" t="s">
        <v>141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3158</v>
      </c>
      <c r="R6" s="2">
        <v>1388117.7120000001</v>
      </c>
      <c r="S6" s="2">
        <v>0</v>
      </c>
      <c r="T6" s="2" t="s">
        <v>130</v>
      </c>
      <c r="U6" s="2" t="s">
        <v>131</v>
      </c>
      <c r="V6" s="2" t="s">
        <v>56</v>
      </c>
      <c r="W6" s="2" t="s">
        <v>98</v>
      </c>
      <c r="X6" s="2" t="s">
        <v>132</v>
      </c>
      <c r="Y6" s="2">
        <v>3.3698551768797702</v>
      </c>
      <c r="Z6" s="2">
        <v>3369.8551768797702</v>
      </c>
      <c r="AA6" s="2">
        <v>4.7837500000000004</v>
      </c>
      <c r="AB6" s="2">
        <v>-74.044138888888895</v>
      </c>
      <c r="AC6" s="2">
        <v>2580</v>
      </c>
      <c r="AD6" s="2">
        <v>0</v>
      </c>
      <c r="AE6" s="2" t="s">
        <v>133</v>
      </c>
      <c r="AF6" s="2" t="s">
        <v>86</v>
      </c>
      <c r="AG6" s="2" t="s">
        <v>61</v>
      </c>
      <c r="AH6" s="2" t="s">
        <v>62</v>
      </c>
      <c r="AI6" s="2" t="s">
        <v>100</v>
      </c>
      <c r="AJ6" s="2">
        <v>4.9581115541896299</v>
      </c>
      <c r="AK6" s="2">
        <v>1.4979391259994099</v>
      </c>
      <c r="AL6" s="2">
        <v>1.5514788581727801</v>
      </c>
      <c r="AM6" s="2">
        <v>3.6468441533585398</v>
      </c>
      <c r="AN6" s="2">
        <v>8.3889631346720694</v>
      </c>
      <c r="AO6" s="2">
        <v>1.16905227064911</v>
      </c>
      <c r="AP6" s="2">
        <v>1.16905227064911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15.3</v>
      </c>
      <c r="AZ6" s="2">
        <v>9.8000000000000007</v>
      </c>
      <c r="BA6" s="2">
        <v>29.7</v>
      </c>
      <c r="BB6" s="2">
        <v>564</v>
      </c>
      <c r="BC6" s="2">
        <v>68</v>
      </c>
      <c r="BD6" s="2">
        <v>1.8</v>
      </c>
      <c r="BE6" s="2">
        <v>43</v>
      </c>
      <c r="BF6" s="2">
        <v>25.4</v>
      </c>
      <c r="BG6" s="2">
        <v>162</v>
      </c>
      <c r="BH6" s="2">
        <v>9.1</v>
      </c>
      <c r="BI6" s="2">
        <v>9.1999999999999993</v>
      </c>
      <c r="BJ6" s="2">
        <v>18.3</v>
      </c>
      <c r="BK6" s="2">
        <v>0.34</v>
      </c>
      <c r="BL6" s="2">
        <v>7.3</v>
      </c>
      <c r="BM6" s="2">
        <v>0.9</v>
      </c>
      <c r="BN6" s="2">
        <v>7.5</v>
      </c>
      <c r="BO6" s="2">
        <v>2.9</v>
      </c>
      <c r="BP6" s="2">
        <f t="shared" si="0"/>
        <v>8.2943499527804168</v>
      </c>
      <c r="BQ6" s="2">
        <f t="shared" si="1"/>
        <v>27.392534741001946</v>
      </c>
    </row>
    <row r="7" spans="1:69" x14ac:dyDescent="0.2">
      <c r="A7" s="2" t="s">
        <v>3170</v>
      </c>
      <c r="B7" s="2" t="s">
        <v>47</v>
      </c>
      <c r="C7" s="2" t="s">
        <v>1935</v>
      </c>
      <c r="D7" s="2" t="s">
        <v>49</v>
      </c>
      <c r="E7" s="2" t="s">
        <v>2277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89</v>
      </c>
      <c r="L7" s="6" t="s">
        <v>103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3171</v>
      </c>
      <c r="R7" s="2">
        <v>1527777.7779999999</v>
      </c>
      <c r="S7" s="2">
        <v>0</v>
      </c>
      <c r="T7" s="2" t="s">
        <v>130</v>
      </c>
      <c r="U7" s="2" t="s">
        <v>131</v>
      </c>
      <c r="V7" s="2" t="s">
        <v>56</v>
      </c>
      <c r="W7" s="2" t="s">
        <v>98</v>
      </c>
      <c r="X7" s="2" t="s">
        <v>132</v>
      </c>
      <c r="Y7" s="2">
        <v>4.42008787073084</v>
      </c>
      <c r="Z7" s="2">
        <v>4420.0878707308402</v>
      </c>
      <c r="AA7" s="2">
        <v>4.7837500000000004</v>
      </c>
      <c r="AB7" s="2">
        <v>-74.044138888888895</v>
      </c>
      <c r="AC7" s="2">
        <v>2580</v>
      </c>
      <c r="AD7" s="2">
        <v>0</v>
      </c>
      <c r="AE7" s="2" t="s">
        <v>133</v>
      </c>
      <c r="AF7" s="2" t="s">
        <v>86</v>
      </c>
      <c r="AG7" s="2" t="s">
        <v>61</v>
      </c>
      <c r="AH7" s="2" t="s">
        <v>62</v>
      </c>
      <c r="AI7" s="2" t="s">
        <v>87</v>
      </c>
      <c r="AJ7" s="2">
        <v>5.9620712892185903</v>
      </c>
      <c r="AK7" s="2">
        <v>1.77319389152036</v>
      </c>
      <c r="AL7" s="2">
        <v>2.9278784134123401</v>
      </c>
      <c r="AM7" s="2">
        <v>5.0486084694380402</v>
      </c>
      <c r="AN7" s="2">
        <v>8.8361048103702</v>
      </c>
      <c r="AO7" s="2">
        <v>0.46653324857612399</v>
      </c>
      <c r="AP7" s="2">
        <v>0.46653324857612399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15.3</v>
      </c>
      <c r="AZ7" s="2">
        <v>9.8000000000000007</v>
      </c>
      <c r="BA7" s="2">
        <v>29.7</v>
      </c>
      <c r="BB7" s="2">
        <v>564</v>
      </c>
      <c r="BC7" s="2">
        <v>68</v>
      </c>
      <c r="BD7" s="2">
        <v>1.8</v>
      </c>
      <c r="BE7" s="2">
        <v>43</v>
      </c>
      <c r="BF7" s="2">
        <v>25.4</v>
      </c>
      <c r="BG7" s="2">
        <v>162</v>
      </c>
      <c r="BH7" s="2">
        <v>9.1</v>
      </c>
      <c r="BI7" s="2">
        <v>9.1999999999999993</v>
      </c>
      <c r="BJ7" s="2">
        <v>18.3</v>
      </c>
      <c r="BK7" s="2">
        <v>0.34</v>
      </c>
      <c r="BL7" s="2">
        <v>7.3</v>
      </c>
      <c r="BM7" s="2">
        <v>0.9</v>
      </c>
      <c r="BN7" s="2">
        <v>7.5</v>
      </c>
      <c r="BO7" s="2">
        <v>2.9</v>
      </c>
      <c r="BP7" s="2">
        <f t="shared" si="0"/>
        <v>7.8741719980211693</v>
      </c>
      <c r="BQ7" s="2">
        <f t="shared" si="1"/>
        <v>26.710718770141646</v>
      </c>
    </row>
    <row r="8" spans="1:69" x14ac:dyDescent="0.2">
      <c r="A8" s="2" t="s">
        <v>1990</v>
      </c>
      <c r="B8" s="2" t="s">
        <v>47</v>
      </c>
      <c r="C8" s="2" t="s">
        <v>1935</v>
      </c>
      <c r="D8" s="2" t="s">
        <v>49</v>
      </c>
      <c r="E8" s="2" t="s">
        <v>246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89</v>
      </c>
      <c r="L8" s="6" t="s">
        <v>112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1991</v>
      </c>
      <c r="R8" s="2">
        <v>1257142.8570000001</v>
      </c>
      <c r="S8" s="2">
        <v>0</v>
      </c>
      <c r="T8" s="2" t="s">
        <v>130</v>
      </c>
      <c r="U8" s="2" t="s">
        <v>131</v>
      </c>
      <c r="V8" s="2" t="s">
        <v>56</v>
      </c>
      <c r="W8" s="2" t="s">
        <v>98</v>
      </c>
      <c r="X8" s="2" t="s">
        <v>132</v>
      </c>
      <c r="Y8" s="2">
        <v>3.84902307510293</v>
      </c>
      <c r="Z8" s="2">
        <v>3849.0230751029299</v>
      </c>
      <c r="AA8" s="2">
        <v>4.7837500000000004</v>
      </c>
      <c r="AB8" s="2">
        <v>-74.044138888888895</v>
      </c>
      <c r="AC8" s="2">
        <v>2580</v>
      </c>
      <c r="AD8" s="2">
        <v>0</v>
      </c>
      <c r="AE8" s="2" t="s">
        <v>133</v>
      </c>
      <c r="AF8" s="2" t="s">
        <v>86</v>
      </c>
      <c r="AG8" s="2" t="s">
        <v>61</v>
      </c>
      <c r="AH8" s="2" t="s">
        <v>62</v>
      </c>
      <c r="AI8" s="2" t="s">
        <v>100</v>
      </c>
      <c r="AJ8" s="2">
        <v>5.43951883025162</v>
      </c>
      <c r="AK8" s="2">
        <v>1.4802123942452401</v>
      </c>
      <c r="AL8" s="2">
        <v>2.23093825414192</v>
      </c>
      <c r="AM8" s="2">
        <v>4.5017480447021097</v>
      </c>
      <c r="AN8" s="2">
        <v>8.4860429620587094</v>
      </c>
      <c r="AO8" s="2">
        <v>0.34209670346134502</v>
      </c>
      <c r="AP8" s="2">
        <v>0.34209670346134502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15.3</v>
      </c>
      <c r="AZ8" s="2">
        <v>9.8000000000000007</v>
      </c>
      <c r="BA8" s="2">
        <v>29.7</v>
      </c>
      <c r="BB8" s="2">
        <v>564</v>
      </c>
      <c r="BC8" s="2">
        <v>68</v>
      </c>
      <c r="BD8" s="2">
        <v>1.8</v>
      </c>
      <c r="BE8" s="2">
        <v>43</v>
      </c>
      <c r="BF8" s="2">
        <v>25.4</v>
      </c>
      <c r="BG8" s="2">
        <v>162</v>
      </c>
      <c r="BH8" s="2">
        <v>9.1</v>
      </c>
      <c r="BI8" s="2">
        <v>9.1999999999999993</v>
      </c>
      <c r="BJ8" s="2">
        <v>18.3</v>
      </c>
      <c r="BK8" s="2">
        <v>0.34</v>
      </c>
      <c r="BL8" s="2">
        <v>7.3</v>
      </c>
      <c r="BM8" s="2">
        <v>0.9</v>
      </c>
      <c r="BN8" s="2">
        <v>7.5</v>
      </c>
      <c r="BO8" s="2">
        <v>2.9</v>
      </c>
      <c r="BP8" s="2">
        <f t="shared" si="0"/>
        <v>8.099932622702589</v>
      </c>
      <c r="BQ8" s="2">
        <f t="shared" si="1"/>
        <v>27.079324198926614</v>
      </c>
    </row>
    <row r="9" spans="1:69" x14ac:dyDescent="0.2">
      <c r="A9" s="2" t="s">
        <v>1984</v>
      </c>
      <c r="B9" s="2" t="s">
        <v>47</v>
      </c>
      <c r="C9" s="2" t="s">
        <v>1935</v>
      </c>
      <c r="D9" s="2" t="s">
        <v>49</v>
      </c>
      <c r="E9" s="2" t="s">
        <v>246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89</v>
      </c>
      <c r="L9" s="6" t="s">
        <v>90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1985</v>
      </c>
      <c r="R9" s="2">
        <v>2062500</v>
      </c>
      <c r="S9" s="2">
        <v>0</v>
      </c>
      <c r="T9" s="2" t="s">
        <v>130</v>
      </c>
      <c r="U9" s="2" t="s">
        <v>131</v>
      </c>
      <c r="V9" s="2" t="s">
        <v>56</v>
      </c>
      <c r="W9" s="2" t="s">
        <v>98</v>
      </c>
      <c r="X9" s="2" t="s">
        <v>132</v>
      </c>
      <c r="Y9" s="2">
        <v>3.6124790729967402</v>
      </c>
      <c r="Z9" s="2">
        <v>3612.4790729967399</v>
      </c>
      <c r="AA9" s="2">
        <v>4.7837500000000004</v>
      </c>
      <c r="AB9" s="2">
        <v>-74.044138888888895</v>
      </c>
      <c r="AC9" s="2">
        <v>2580</v>
      </c>
      <c r="AD9" s="2">
        <v>0</v>
      </c>
      <c r="AE9" s="2" t="s">
        <v>133</v>
      </c>
      <c r="AF9" s="2" t="s">
        <v>86</v>
      </c>
      <c r="AG9" s="2" t="s">
        <v>61</v>
      </c>
      <c r="AH9" s="2" t="s">
        <v>62</v>
      </c>
      <c r="AI9" s="2" t="s">
        <v>100</v>
      </c>
      <c r="AJ9" s="2">
        <v>5.2264308223498004</v>
      </c>
      <c r="AK9" s="2">
        <v>1.3955567495507299</v>
      </c>
      <c r="AL9" s="2">
        <v>1.89747592109792</v>
      </c>
      <c r="AM9" s="2">
        <v>4.27697971317287</v>
      </c>
      <c r="AN9" s="2">
        <v>8.3783554766829802</v>
      </c>
      <c r="AO9" s="2">
        <v>4.4986339534027397E-3</v>
      </c>
      <c r="AP9" s="2">
        <v>4.4986339534027397E-3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15.3</v>
      </c>
      <c r="AZ9" s="2">
        <v>9.8000000000000007</v>
      </c>
      <c r="BA9" s="2">
        <v>29.7</v>
      </c>
      <c r="BB9" s="2">
        <v>564</v>
      </c>
      <c r="BC9" s="2">
        <v>68</v>
      </c>
      <c r="BD9" s="2">
        <v>1.8</v>
      </c>
      <c r="BE9" s="2">
        <v>43</v>
      </c>
      <c r="BF9" s="2">
        <v>25.4</v>
      </c>
      <c r="BG9" s="2">
        <v>162</v>
      </c>
      <c r="BH9" s="2">
        <v>9.1</v>
      </c>
      <c r="BI9" s="2">
        <v>9.1999999999999993</v>
      </c>
      <c r="BJ9" s="2">
        <v>18.3</v>
      </c>
      <c r="BK9" s="2">
        <v>0.34</v>
      </c>
      <c r="BL9" s="2">
        <v>7.3</v>
      </c>
      <c r="BM9" s="2">
        <v>0.9</v>
      </c>
      <c r="BN9" s="2">
        <v>7.5</v>
      </c>
      <c r="BO9" s="2">
        <v>2.9</v>
      </c>
      <c r="BP9" s="2">
        <f t="shared" si="0"/>
        <v>8.1953315712233348</v>
      </c>
      <c r="BQ9" s="2">
        <f t="shared" si="1"/>
        <v>27.233492236453881</v>
      </c>
    </row>
    <row r="10" spans="1:69" x14ac:dyDescent="0.2">
      <c r="A10" s="2" t="s">
        <v>2126</v>
      </c>
      <c r="B10" s="2" t="s">
        <v>47</v>
      </c>
      <c r="C10" s="2" t="s">
        <v>1935</v>
      </c>
      <c r="D10" s="2" t="s">
        <v>49</v>
      </c>
      <c r="E10" s="2" t="s">
        <v>2127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89</v>
      </c>
      <c r="L10" s="6" t="s">
        <v>103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2128</v>
      </c>
      <c r="R10" s="2">
        <v>1562500</v>
      </c>
      <c r="S10" s="2">
        <v>0</v>
      </c>
      <c r="T10" s="2" t="s">
        <v>130</v>
      </c>
      <c r="U10" s="2" t="s">
        <v>131</v>
      </c>
      <c r="V10" s="2" t="s">
        <v>56</v>
      </c>
      <c r="W10" s="2" t="s">
        <v>98</v>
      </c>
      <c r="X10" s="2" t="s">
        <v>132</v>
      </c>
      <c r="Y10" s="2">
        <v>3.8939265822086102</v>
      </c>
      <c r="Z10" s="2">
        <v>3893.9265822086099</v>
      </c>
      <c r="AA10" s="2">
        <v>4.7837500000000004</v>
      </c>
      <c r="AB10" s="2">
        <v>-74.044138888888895</v>
      </c>
      <c r="AC10" s="2">
        <v>2580</v>
      </c>
      <c r="AD10" s="2">
        <v>0</v>
      </c>
      <c r="AE10" s="2" t="s">
        <v>133</v>
      </c>
      <c r="AF10" s="2" t="s">
        <v>86</v>
      </c>
      <c r="AG10" s="2" t="s">
        <v>61</v>
      </c>
      <c r="AH10" s="2" t="s">
        <v>62</v>
      </c>
      <c r="AI10" s="2" t="s">
        <v>100</v>
      </c>
      <c r="AJ10" s="2">
        <v>5.5042122123604997</v>
      </c>
      <c r="AK10" s="2">
        <v>1.0065346488681499</v>
      </c>
      <c r="AL10" s="2">
        <v>2.0363985577223001</v>
      </c>
      <c r="AM10" s="2">
        <v>4.2540235854742701</v>
      </c>
      <c r="AN10" s="2">
        <v>8.8710697858277392</v>
      </c>
      <c r="AO10" s="2">
        <v>0.50813346522247405</v>
      </c>
      <c r="AP10" s="2">
        <v>0.50813346522247405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15.3</v>
      </c>
      <c r="AZ10" s="2">
        <v>9.8000000000000007</v>
      </c>
      <c r="BA10" s="2">
        <v>29.7</v>
      </c>
      <c r="BB10" s="2">
        <v>564</v>
      </c>
      <c r="BC10" s="2">
        <v>68</v>
      </c>
      <c r="BD10" s="2">
        <v>1.8</v>
      </c>
      <c r="BE10" s="2">
        <v>43</v>
      </c>
      <c r="BF10" s="2">
        <v>25.4</v>
      </c>
      <c r="BG10" s="2">
        <v>162</v>
      </c>
      <c r="BH10" s="2">
        <v>9.1</v>
      </c>
      <c r="BI10" s="2">
        <v>9.1999999999999993</v>
      </c>
      <c r="BJ10" s="2">
        <v>18.3</v>
      </c>
      <c r="BK10" s="2">
        <v>0.34</v>
      </c>
      <c r="BL10" s="2">
        <v>7.3</v>
      </c>
      <c r="BM10" s="2">
        <v>0.9</v>
      </c>
      <c r="BN10" s="2">
        <v>7.5</v>
      </c>
      <c r="BO10" s="2">
        <v>2.9</v>
      </c>
      <c r="BP10" s="2">
        <f t="shared" si="0"/>
        <v>8.0819487053325982</v>
      </c>
      <c r="BQ10" s="2">
        <f t="shared" si="1"/>
        <v>27.050156959247772</v>
      </c>
    </row>
    <row r="11" spans="1:69" x14ac:dyDescent="0.2">
      <c r="A11" s="2" t="s">
        <v>2307</v>
      </c>
      <c r="B11" s="2" t="s">
        <v>47</v>
      </c>
      <c r="C11" s="2" t="s">
        <v>1935</v>
      </c>
      <c r="D11" s="2" t="s">
        <v>49</v>
      </c>
      <c r="E11" s="2" t="s">
        <v>2042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89</v>
      </c>
      <c r="L11" s="6" t="s">
        <v>141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2308</v>
      </c>
      <c r="R11" s="2">
        <v>1000000</v>
      </c>
      <c r="S11" s="2">
        <v>0</v>
      </c>
      <c r="T11" s="2" t="s">
        <v>130</v>
      </c>
      <c r="U11" s="2" t="s">
        <v>131</v>
      </c>
      <c r="V11" s="2" t="s">
        <v>56</v>
      </c>
      <c r="W11" s="2" t="s">
        <v>98</v>
      </c>
      <c r="X11" s="2" t="s">
        <v>132</v>
      </c>
      <c r="Y11" s="2">
        <v>3.7186281706879498</v>
      </c>
      <c r="Z11" s="2">
        <v>3718.6281706879499</v>
      </c>
      <c r="AA11" s="2">
        <v>4.7837500000000004</v>
      </c>
      <c r="AB11" s="2">
        <v>-74.044138888888895</v>
      </c>
      <c r="AC11" s="2">
        <v>2580</v>
      </c>
      <c r="AD11" s="2">
        <v>0</v>
      </c>
      <c r="AE11" s="2" t="s">
        <v>133</v>
      </c>
      <c r="AF11" s="2" t="s">
        <v>86</v>
      </c>
      <c r="AG11" s="2" t="s">
        <v>61</v>
      </c>
      <c r="AH11" s="2" t="s">
        <v>62</v>
      </c>
      <c r="AI11" s="2" t="s">
        <v>100</v>
      </c>
      <c r="AJ11" s="2">
        <v>5.2020826052911104</v>
      </c>
      <c r="AK11" s="2">
        <v>1.37348578665653</v>
      </c>
      <c r="AL11" s="2">
        <v>2.09956105718789</v>
      </c>
      <c r="AM11" s="2">
        <v>2.95958428063962</v>
      </c>
      <c r="AN11" s="2">
        <v>8.2663423577380701</v>
      </c>
      <c r="AO11" s="2">
        <v>1.6727417783598499</v>
      </c>
      <c r="AP11" s="2">
        <v>1.6727417783598499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15.3</v>
      </c>
      <c r="AZ11" s="2">
        <v>9.8000000000000007</v>
      </c>
      <c r="BA11" s="2">
        <v>29.7</v>
      </c>
      <c r="BB11" s="2">
        <v>564</v>
      </c>
      <c r="BC11" s="2">
        <v>68</v>
      </c>
      <c r="BD11" s="2">
        <v>1.8</v>
      </c>
      <c r="BE11" s="2">
        <v>43</v>
      </c>
      <c r="BF11" s="2">
        <v>25.4</v>
      </c>
      <c r="BG11" s="2">
        <v>162</v>
      </c>
      <c r="BH11" s="2">
        <v>9.1</v>
      </c>
      <c r="BI11" s="2">
        <v>9.1999999999999993</v>
      </c>
      <c r="BJ11" s="2">
        <v>18.3</v>
      </c>
      <c r="BK11" s="2">
        <v>0.34</v>
      </c>
      <c r="BL11" s="2">
        <v>7.3</v>
      </c>
      <c r="BM11" s="2">
        <v>0.9</v>
      </c>
      <c r="BN11" s="2">
        <v>7.5</v>
      </c>
      <c r="BO11" s="2">
        <v>2.9</v>
      </c>
      <c r="BP11" s="2">
        <f t="shared" si="0"/>
        <v>8.152383114745291</v>
      </c>
      <c r="BQ11" s="2">
        <f t="shared" si="1"/>
        <v>27.164201081183933</v>
      </c>
    </row>
    <row r="12" spans="1:69" x14ac:dyDescent="0.2">
      <c r="A12" s="2" t="s">
        <v>2656</v>
      </c>
      <c r="B12" s="2" t="s">
        <v>47</v>
      </c>
      <c r="C12" s="2" t="s">
        <v>1935</v>
      </c>
      <c r="D12" s="2" t="s">
        <v>49</v>
      </c>
      <c r="E12" s="2" t="s">
        <v>246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89</v>
      </c>
      <c r="L12" s="6" t="s">
        <v>103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2657</v>
      </c>
      <c r="R12" s="2">
        <v>1928191.4890000001</v>
      </c>
      <c r="S12" s="2">
        <v>0</v>
      </c>
      <c r="T12" s="2" t="s">
        <v>130</v>
      </c>
      <c r="U12" s="2" t="s">
        <v>131</v>
      </c>
      <c r="V12" s="2" t="s">
        <v>56</v>
      </c>
      <c r="W12" s="2" t="s">
        <v>98</v>
      </c>
      <c r="X12" s="2" t="s">
        <v>132</v>
      </c>
      <c r="Y12" s="2">
        <v>3.8925905019637201</v>
      </c>
      <c r="Z12" s="2">
        <v>3892.5905019637198</v>
      </c>
      <c r="AA12" s="2">
        <v>4.7837500000000004</v>
      </c>
      <c r="AB12" s="2">
        <v>-74.044138888888895</v>
      </c>
      <c r="AC12" s="2">
        <v>2580</v>
      </c>
      <c r="AD12" s="2">
        <v>0</v>
      </c>
      <c r="AE12" s="2" t="s">
        <v>133</v>
      </c>
      <c r="AF12" s="2" t="s">
        <v>86</v>
      </c>
      <c r="AG12" s="2" t="s">
        <v>61</v>
      </c>
      <c r="AH12" s="2" t="s">
        <v>62</v>
      </c>
      <c r="AI12" s="2" t="s">
        <v>100</v>
      </c>
      <c r="AJ12" s="2">
        <v>5.4938830719955201</v>
      </c>
      <c r="AK12" s="2">
        <v>0.97679083418824897</v>
      </c>
      <c r="AL12" s="2">
        <v>2.0415889236104401</v>
      </c>
      <c r="AM12" s="2">
        <v>4.0986835140405704</v>
      </c>
      <c r="AN12" s="2">
        <v>8.8882508666084004</v>
      </c>
      <c r="AO12" s="2">
        <v>0.63833532391733305</v>
      </c>
      <c r="AP12" s="2">
        <v>0.63833532391733305</v>
      </c>
      <c r="AQ12" s="2">
        <v>0</v>
      </c>
      <c r="AR12" s="2">
        <v>0</v>
      </c>
      <c r="AS12" s="2">
        <v>0</v>
      </c>
      <c r="AT12" s="2">
        <v>1</v>
      </c>
      <c r="AU12" s="2">
        <v>0</v>
      </c>
      <c r="AV12" s="2">
        <v>0</v>
      </c>
      <c r="AW12" s="2">
        <v>0</v>
      </c>
      <c r="AX12" s="2">
        <v>0</v>
      </c>
      <c r="AY12" s="2">
        <v>15.3</v>
      </c>
      <c r="AZ12" s="2">
        <v>9.8000000000000007</v>
      </c>
      <c r="BA12" s="2">
        <v>29.7</v>
      </c>
      <c r="BB12" s="2">
        <v>564</v>
      </c>
      <c r="BC12" s="2">
        <v>68</v>
      </c>
      <c r="BD12" s="2">
        <v>1.8</v>
      </c>
      <c r="BE12" s="2">
        <v>43</v>
      </c>
      <c r="BF12" s="2">
        <v>25.4</v>
      </c>
      <c r="BG12" s="2">
        <v>162</v>
      </c>
      <c r="BH12" s="2">
        <v>9.1</v>
      </c>
      <c r="BI12" s="2">
        <v>9.1999999999999993</v>
      </c>
      <c r="BJ12" s="2">
        <v>18.3</v>
      </c>
      <c r="BK12" s="2">
        <v>0.34</v>
      </c>
      <c r="BL12" s="2">
        <v>7.3</v>
      </c>
      <c r="BM12" s="2">
        <v>0.9</v>
      </c>
      <c r="BN12" s="2">
        <v>7.5</v>
      </c>
      <c r="BO12" s="2">
        <v>2.9</v>
      </c>
      <c r="BP12" s="2">
        <f t="shared" si="0"/>
        <v>8.0824832305423442</v>
      </c>
      <c r="BQ12" s="2">
        <f t="shared" si="1"/>
        <v>27.051024361482753</v>
      </c>
    </row>
    <row r="13" spans="1:69" x14ac:dyDescent="0.2">
      <c r="A13" s="2" t="s">
        <v>2388</v>
      </c>
      <c r="B13" s="2" t="s">
        <v>47</v>
      </c>
      <c r="C13" s="2" t="s">
        <v>1935</v>
      </c>
      <c r="D13" s="2" t="s">
        <v>49</v>
      </c>
      <c r="E13" s="2" t="s">
        <v>246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89</v>
      </c>
      <c r="L13" s="6" t="s">
        <v>103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2389</v>
      </c>
      <c r="R13" s="2">
        <v>2382671.48</v>
      </c>
      <c r="S13" s="2">
        <v>0</v>
      </c>
      <c r="T13" s="2" t="s">
        <v>130</v>
      </c>
      <c r="U13" s="2" t="s">
        <v>131</v>
      </c>
      <c r="V13" s="2" t="s">
        <v>56</v>
      </c>
      <c r="W13" s="2" t="s">
        <v>98</v>
      </c>
      <c r="X13" s="2" t="s">
        <v>132</v>
      </c>
      <c r="Y13" s="2">
        <v>3.9405747555796902</v>
      </c>
      <c r="Z13" s="2">
        <v>3940.5747555796902</v>
      </c>
      <c r="AA13" s="2">
        <v>4.7837500000000004</v>
      </c>
      <c r="AB13" s="2">
        <v>-74.044138888888895</v>
      </c>
      <c r="AC13" s="2">
        <v>2580</v>
      </c>
      <c r="AD13" s="2">
        <v>0</v>
      </c>
      <c r="AE13" s="2" t="s">
        <v>133</v>
      </c>
      <c r="AF13" s="2" t="s">
        <v>86</v>
      </c>
      <c r="AG13" s="2" t="s">
        <v>61</v>
      </c>
      <c r="AH13" s="2" t="s">
        <v>62</v>
      </c>
      <c r="AI13" s="2" t="s">
        <v>100</v>
      </c>
      <c r="AJ13" s="2">
        <v>5.5627343450081002</v>
      </c>
      <c r="AK13" s="2">
        <v>0.92392011095528503</v>
      </c>
      <c r="AL13" s="2">
        <v>2.10076822737927</v>
      </c>
      <c r="AM13" s="2">
        <v>4.60710569471697</v>
      </c>
      <c r="AN13" s="2">
        <v>8.8475875436133808</v>
      </c>
      <c r="AO13" s="2">
        <v>0.16535047044561901</v>
      </c>
      <c r="AP13" s="2">
        <v>0.16535047044561901</v>
      </c>
      <c r="AQ13" s="2">
        <v>0</v>
      </c>
      <c r="AR13" s="2">
        <v>0</v>
      </c>
      <c r="AS13" s="2">
        <v>0</v>
      </c>
      <c r="AT13" s="2">
        <v>1</v>
      </c>
      <c r="AU13" s="2">
        <v>0</v>
      </c>
      <c r="AV13" s="2">
        <v>0</v>
      </c>
      <c r="AW13" s="2">
        <v>0</v>
      </c>
      <c r="AX13" s="2">
        <v>0</v>
      </c>
      <c r="AY13" s="2">
        <v>15.3</v>
      </c>
      <c r="AZ13" s="2">
        <v>9.8000000000000007</v>
      </c>
      <c r="BA13" s="2">
        <v>29.7</v>
      </c>
      <c r="BB13" s="2">
        <v>564</v>
      </c>
      <c r="BC13" s="2">
        <v>68</v>
      </c>
      <c r="BD13" s="2">
        <v>1.8</v>
      </c>
      <c r="BE13" s="2">
        <v>43</v>
      </c>
      <c r="BF13" s="2">
        <v>25.4</v>
      </c>
      <c r="BG13" s="2">
        <v>162</v>
      </c>
      <c r="BH13" s="2">
        <v>9.1</v>
      </c>
      <c r="BI13" s="2">
        <v>9.1999999999999993</v>
      </c>
      <c r="BJ13" s="2">
        <v>18.3</v>
      </c>
      <c r="BK13" s="2">
        <v>0.34</v>
      </c>
      <c r="BL13" s="2">
        <v>7.3</v>
      </c>
      <c r="BM13" s="2">
        <v>0.9</v>
      </c>
      <c r="BN13" s="2">
        <v>7.5</v>
      </c>
      <c r="BO13" s="2">
        <v>2.9</v>
      </c>
      <c r="BP13" s="2">
        <f t="shared" si="0"/>
        <v>8.0633083315678338</v>
      </c>
      <c r="BQ13" s="2">
        <f t="shared" si="1"/>
        <v>27.019889735460431</v>
      </c>
    </row>
    <row r="14" spans="1:69" x14ac:dyDescent="0.2">
      <c r="A14" s="2" t="s">
        <v>2303</v>
      </c>
      <c r="B14" s="2" t="s">
        <v>47</v>
      </c>
      <c r="C14" s="2" t="s">
        <v>1935</v>
      </c>
      <c r="D14" s="2" t="s">
        <v>49</v>
      </c>
      <c r="E14" s="2" t="s">
        <v>246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89</v>
      </c>
      <c r="L14" s="6" t="s">
        <v>103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2304</v>
      </c>
      <c r="R14" s="2">
        <v>2164343.36</v>
      </c>
      <c r="S14" s="2">
        <v>0</v>
      </c>
      <c r="T14" s="2" t="s">
        <v>130</v>
      </c>
      <c r="U14" s="2" t="s">
        <v>131</v>
      </c>
      <c r="V14" s="2" t="s">
        <v>56</v>
      </c>
      <c r="W14" s="2" t="s">
        <v>98</v>
      </c>
      <c r="X14" s="2" t="s">
        <v>132</v>
      </c>
      <c r="Y14" s="2">
        <v>3.0953036570931198</v>
      </c>
      <c r="Z14" s="2">
        <v>3095.3036570931199</v>
      </c>
      <c r="AA14" s="2">
        <v>4.7837500000000004</v>
      </c>
      <c r="AB14" s="2">
        <v>-74.044138888888895</v>
      </c>
      <c r="AC14" s="2">
        <v>2580</v>
      </c>
      <c r="AD14" s="2">
        <v>0</v>
      </c>
      <c r="AE14" s="2" t="s">
        <v>133</v>
      </c>
      <c r="AF14" s="2" t="s">
        <v>86</v>
      </c>
      <c r="AG14" s="2" t="s">
        <v>61</v>
      </c>
      <c r="AH14" s="2" t="s">
        <v>62</v>
      </c>
      <c r="AI14" s="2" t="s">
        <v>100</v>
      </c>
      <c r="AJ14" s="2">
        <v>4.7068395194380503</v>
      </c>
      <c r="AK14" s="2">
        <v>1.76993575580106</v>
      </c>
      <c r="AL14" s="2">
        <v>1.2478266777634499</v>
      </c>
      <c r="AM14" s="2">
        <v>3.7587048093939699</v>
      </c>
      <c r="AN14" s="2">
        <v>8.0947626193541993</v>
      </c>
      <c r="AO14" s="2">
        <v>1.0929221851525199</v>
      </c>
      <c r="AP14" s="2">
        <v>1.0929221851525199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15.3</v>
      </c>
      <c r="AZ14" s="2">
        <v>9.8000000000000007</v>
      </c>
      <c r="BA14" s="2">
        <v>29.7</v>
      </c>
      <c r="BB14" s="2">
        <v>564</v>
      </c>
      <c r="BC14" s="2">
        <v>68</v>
      </c>
      <c r="BD14" s="2">
        <v>1.8</v>
      </c>
      <c r="BE14" s="2">
        <v>43</v>
      </c>
      <c r="BF14" s="2">
        <v>25.4</v>
      </c>
      <c r="BG14" s="2">
        <v>162</v>
      </c>
      <c r="BH14" s="2">
        <v>9.1</v>
      </c>
      <c r="BI14" s="2">
        <v>9.1999999999999993</v>
      </c>
      <c r="BJ14" s="2">
        <v>18.3</v>
      </c>
      <c r="BK14" s="2">
        <v>0.34</v>
      </c>
      <c r="BL14" s="2">
        <v>7.3</v>
      </c>
      <c r="BM14" s="2">
        <v>0.9</v>
      </c>
      <c r="BN14" s="2">
        <v>7.5</v>
      </c>
      <c r="BO14" s="2">
        <v>2.9</v>
      </c>
      <c r="BP14" s="2">
        <f t="shared" si="0"/>
        <v>8.4078421082875696</v>
      </c>
      <c r="BQ14" s="2">
        <f t="shared" si="1"/>
        <v>27.573626603388604</v>
      </c>
    </row>
    <row r="15" spans="1:69" x14ac:dyDescent="0.2">
      <c r="A15" s="2" t="s">
        <v>1978</v>
      </c>
      <c r="B15" s="2" t="s">
        <v>47</v>
      </c>
      <c r="C15" s="2" t="s">
        <v>1935</v>
      </c>
      <c r="D15" s="2" t="s">
        <v>49</v>
      </c>
      <c r="E15" s="2" t="s">
        <v>1703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89</v>
      </c>
      <c r="L15" s="6" t="s">
        <v>112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1979</v>
      </c>
      <c r="R15" s="2">
        <v>3444444.4440000001</v>
      </c>
      <c r="S15" s="2">
        <v>0</v>
      </c>
      <c r="T15" s="2" t="s">
        <v>130</v>
      </c>
      <c r="U15" s="2" t="s">
        <v>131</v>
      </c>
      <c r="V15" s="2" t="s">
        <v>56</v>
      </c>
      <c r="W15" s="2" t="s">
        <v>98</v>
      </c>
      <c r="X15" s="2" t="s">
        <v>132</v>
      </c>
      <c r="Y15" s="2">
        <v>2.77160708616266</v>
      </c>
      <c r="Z15" s="2">
        <v>2771.6070861626599</v>
      </c>
      <c r="AA15" s="2">
        <v>4.7837500000000004</v>
      </c>
      <c r="AB15" s="2">
        <v>-74.044138888888895</v>
      </c>
      <c r="AC15" s="2">
        <v>2580</v>
      </c>
      <c r="AD15" s="2">
        <v>0</v>
      </c>
      <c r="AE15" s="2" t="s">
        <v>133</v>
      </c>
      <c r="AF15" s="2" t="s">
        <v>86</v>
      </c>
      <c r="AG15" s="2" t="s">
        <v>61</v>
      </c>
      <c r="AH15" s="2" t="s">
        <v>62</v>
      </c>
      <c r="AI15" s="2" t="s">
        <v>100</v>
      </c>
      <c r="AJ15" s="2">
        <v>2.38897832696111</v>
      </c>
      <c r="AK15" s="2">
        <v>3.44234673634671</v>
      </c>
      <c r="AL15" s="2">
        <v>2.25631198441797</v>
      </c>
      <c r="AM15" s="2">
        <v>0.72747322017037397</v>
      </c>
      <c r="AN15" s="2">
        <v>3.8897107110703302</v>
      </c>
      <c r="AO15" s="2">
        <v>0.122244389232121</v>
      </c>
      <c r="AP15" s="2">
        <v>0.122244389232121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2</v>
      </c>
      <c r="AW15" s="2">
        <v>0</v>
      </c>
      <c r="AX15" s="2">
        <v>0</v>
      </c>
      <c r="AY15" s="2">
        <v>15.3</v>
      </c>
      <c r="AZ15" s="2">
        <v>9.8000000000000007</v>
      </c>
      <c r="BA15" s="2">
        <v>29.7</v>
      </c>
      <c r="BB15" s="2">
        <v>564</v>
      </c>
      <c r="BC15" s="2">
        <v>68</v>
      </c>
      <c r="BD15" s="2">
        <v>1.8</v>
      </c>
      <c r="BE15" s="2">
        <v>43</v>
      </c>
      <c r="BF15" s="2">
        <v>25.4</v>
      </c>
      <c r="BG15" s="2">
        <v>162</v>
      </c>
      <c r="BH15" s="2">
        <v>9.1</v>
      </c>
      <c r="BI15" s="2">
        <v>9.1999999999999993</v>
      </c>
      <c r="BJ15" s="2">
        <v>18.3</v>
      </c>
      <c r="BK15" s="2">
        <v>0.34</v>
      </c>
      <c r="BL15" s="2">
        <v>7.3</v>
      </c>
      <c r="BM15" s="2">
        <v>0.9</v>
      </c>
      <c r="BN15" s="2">
        <v>7.5</v>
      </c>
      <c r="BO15" s="2">
        <v>2.9</v>
      </c>
      <c r="BP15" s="2">
        <f t="shared" si="0"/>
        <v>8.5436458815531005</v>
      </c>
      <c r="BQ15" s="2">
        <f t="shared" si="1"/>
        <v>27.788672558605196</v>
      </c>
    </row>
    <row r="16" spans="1:69" x14ac:dyDescent="0.2">
      <c r="A16" s="2" t="s">
        <v>2542</v>
      </c>
      <c r="B16" s="2" t="s">
        <v>47</v>
      </c>
      <c r="C16" s="2" t="s">
        <v>1935</v>
      </c>
      <c r="D16" s="2" t="s">
        <v>49</v>
      </c>
      <c r="E16" s="2" t="s">
        <v>1703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89</v>
      </c>
      <c r="L16" s="6" t="s">
        <v>103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2543</v>
      </c>
      <c r="R16" s="2">
        <v>2771084.3369999998</v>
      </c>
      <c r="S16" s="2">
        <v>0</v>
      </c>
      <c r="T16" s="2" t="s">
        <v>98</v>
      </c>
      <c r="U16" s="2" t="s">
        <v>766</v>
      </c>
      <c r="V16" s="2" t="s">
        <v>56</v>
      </c>
      <c r="W16" s="2" t="s">
        <v>98</v>
      </c>
      <c r="X16" s="2" t="s">
        <v>767</v>
      </c>
      <c r="Y16" s="2">
        <v>3.0841350558093898</v>
      </c>
      <c r="Z16" s="2">
        <v>3084.13505580939</v>
      </c>
      <c r="AA16" s="2">
        <v>4.7612472222222202</v>
      </c>
      <c r="AB16" s="2">
        <v>-74.093461111111097</v>
      </c>
      <c r="AC16" s="2">
        <v>2571</v>
      </c>
      <c r="AD16" s="2">
        <v>6</v>
      </c>
      <c r="AE16" s="2" t="s">
        <v>133</v>
      </c>
      <c r="AF16" s="2" t="s">
        <v>86</v>
      </c>
      <c r="AG16" s="2" t="s">
        <v>61</v>
      </c>
      <c r="AH16" s="2" t="s">
        <v>62</v>
      </c>
      <c r="AI16" s="2" t="s">
        <v>100</v>
      </c>
      <c r="AJ16" s="2">
        <v>2.39333870812664</v>
      </c>
      <c r="AK16" s="2">
        <v>3.7700076337885302</v>
      </c>
      <c r="AL16" s="2">
        <v>1.90263122738712</v>
      </c>
      <c r="AM16" s="2">
        <v>0.37954664115924203</v>
      </c>
      <c r="AN16" s="2">
        <v>3.3963922241258402</v>
      </c>
      <c r="AO16" s="2">
        <v>0.11079426441282</v>
      </c>
      <c r="AP16" s="2">
        <v>0.11079426441282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5</v>
      </c>
      <c r="AW16" s="2">
        <v>0</v>
      </c>
      <c r="AX16" s="2">
        <v>1</v>
      </c>
      <c r="AY16" s="2">
        <v>15.3</v>
      </c>
      <c r="AZ16" s="2">
        <v>9.8000000000000007</v>
      </c>
      <c r="BA16" s="2">
        <v>29.7</v>
      </c>
      <c r="BB16" s="2">
        <v>564</v>
      </c>
      <c r="BC16" s="2">
        <v>68</v>
      </c>
      <c r="BD16" s="2">
        <v>1.8</v>
      </c>
      <c r="BE16" s="2">
        <v>43</v>
      </c>
      <c r="BF16" s="2">
        <v>25.4</v>
      </c>
      <c r="BG16" s="2">
        <v>162</v>
      </c>
      <c r="BH16" s="2">
        <v>9.1</v>
      </c>
      <c r="BI16" s="2">
        <v>9.1999999999999993</v>
      </c>
      <c r="BJ16" s="2">
        <v>18.3</v>
      </c>
      <c r="BK16" s="2">
        <v>0.34</v>
      </c>
      <c r="BL16" s="2">
        <v>7.3</v>
      </c>
      <c r="BM16" s="2">
        <v>0.9</v>
      </c>
      <c r="BN16" s="2">
        <v>7.5</v>
      </c>
      <c r="BO16" s="2">
        <v>2.9</v>
      </c>
      <c r="BP16" s="2">
        <f t="shared" si="0"/>
        <v>8.4124916332943691</v>
      </c>
      <c r="BQ16" s="2">
        <f t="shared" si="1"/>
        <v>27.581018606239848</v>
      </c>
    </row>
    <row r="17" spans="1:69" x14ac:dyDescent="0.2">
      <c r="A17" s="2" t="s">
        <v>2505</v>
      </c>
      <c r="B17" s="2" t="s">
        <v>47</v>
      </c>
      <c r="C17" s="2" t="s">
        <v>1935</v>
      </c>
      <c r="D17" s="2" t="s">
        <v>49</v>
      </c>
      <c r="E17" s="2" t="s">
        <v>1703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89</v>
      </c>
      <c r="L17" s="6" t="s">
        <v>103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2506</v>
      </c>
      <c r="R17" s="2">
        <v>2771084.3369999998</v>
      </c>
      <c r="S17" s="2">
        <v>0</v>
      </c>
      <c r="T17" s="2" t="s">
        <v>130</v>
      </c>
      <c r="U17" s="2" t="s">
        <v>131</v>
      </c>
      <c r="V17" s="2" t="s">
        <v>56</v>
      </c>
      <c r="W17" s="2" t="s">
        <v>98</v>
      </c>
      <c r="X17" s="2" t="s">
        <v>132</v>
      </c>
      <c r="Y17" s="2">
        <v>2.9211490287600199</v>
      </c>
      <c r="Z17" s="2">
        <v>2921.14902876002</v>
      </c>
      <c r="AA17" s="2">
        <v>4.7837500000000004</v>
      </c>
      <c r="AB17" s="2">
        <v>-74.044138888888895</v>
      </c>
      <c r="AC17" s="2">
        <v>2580</v>
      </c>
      <c r="AD17" s="2">
        <v>0</v>
      </c>
      <c r="AE17" s="2" t="s">
        <v>133</v>
      </c>
      <c r="AF17" s="2" t="s">
        <v>86</v>
      </c>
      <c r="AG17" s="2" t="s">
        <v>61</v>
      </c>
      <c r="AH17" s="2" t="s">
        <v>62</v>
      </c>
      <c r="AI17" s="2" t="s">
        <v>100</v>
      </c>
      <c r="AJ17" s="2">
        <v>2.2429084280702698</v>
      </c>
      <c r="AK17" s="2">
        <v>3.7498935979611998</v>
      </c>
      <c r="AL17" s="2">
        <v>1.9215422897321801</v>
      </c>
      <c r="AM17" s="2">
        <v>0.58874580187233805</v>
      </c>
      <c r="AN17" s="2">
        <v>3.65416159275664</v>
      </c>
      <c r="AO17" s="2">
        <v>0.13631840953580601</v>
      </c>
      <c r="AP17" s="2">
        <v>0.13631840953580601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5</v>
      </c>
      <c r="AW17" s="2">
        <v>0</v>
      </c>
      <c r="AX17" s="2">
        <v>0</v>
      </c>
      <c r="AY17" s="2">
        <v>15.3</v>
      </c>
      <c r="AZ17" s="2">
        <v>9.8000000000000007</v>
      </c>
      <c r="BA17" s="2">
        <v>29.7</v>
      </c>
      <c r="BB17" s="2">
        <v>564</v>
      </c>
      <c r="BC17" s="2">
        <v>68</v>
      </c>
      <c r="BD17" s="2">
        <v>1.8</v>
      </c>
      <c r="BE17" s="2">
        <v>43</v>
      </c>
      <c r="BF17" s="2">
        <v>25.4</v>
      </c>
      <c r="BG17" s="2">
        <v>162</v>
      </c>
      <c r="BH17" s="2">
        <v>9.1</v>
      </c>
      <c r="BI17" s="2">
        <v>9.1999999999999993</v>
      </c>
      <c r="BJ17" s="2">
        <v>18.3</v>
      </c>
      <c r="BK17" s="2">
        <v>0.34</v>
      </c>
      <c r="BL17" s="2">
        <v>7.3</v>
      </c>
      <c r="BM17" s="2">
        <v>0.9</v>
      </c>
      <c r="BN17" s="2">
        <v>7.5</v>
      </c>
      <c r="BO17" s="2">
        <v>2.9</v>
      </c>
      <c r="BP17" s="2">
        <f t="shared" si="0"/>
        <v>8.4806365237764183</v>
      </c>
      <c r="BQ17" s="2">
        <f t="shared" si="1"/>
        <v>27.689117587355653</v>
      </c>
    </row>
    <row r="18" spans="1:69" x14ac:dyDescent="0.2">
      <c r="A18" s="2" t="s">
        <v>2102</v>
      </c>
      <c r="B18" s="2" t="s">
        <v>47</v>
      </c>
      <c r="C18" s="2" t="s">
        <v>1935</v>
      </c>
      <c r="D18" s="2" t="s">
        <v>49</v>
      </c>
      <c r="E18" s="2" t="s">
        <v>1703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89</v>
      </c>
      <c r="L18" s="6" t="s">
        <v>103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2103</v>
      </c>
      <c r="R18" s="2">
        <v>4375000</v>
      </c>
      <c r="S18" s="2">
        <v>0</v>
      </c>
      <c r="T18" s="2" t="s">
        <v>130</v>
      </c>
      <c r="U18" s="2" t="s">
        <v>131</v>
      </c>
      <c r="V18" s="2" t="s">
        <v>56</v>
      </c>
      <c r="W18" s="2" t="s">
        <v>98</v>
      </c>
      <c r="X18" s="2" t="s">
        <v>132</v>
      </c>
      <c r="Y18" s="2">
        <v>2.6764328449627701</v>
      </c>
      <c r="Z18" s="2">
        <v>2676.4328449627701</v>
      </c>
      <c r="AA18" s="2">
        <v>4.7837500000000004</v>
      </c>
      <c r="AB18" s="2">
        <v>-74.044138888888895</v>
      </c>
      <c r="AC18" s="2">
        <v>2580</v>
      </c>
      <c r="AD18" s="2">
        <v>0</v>
      </c>
      <c r="AE18" s="2" t="s">
        <v>133</v>
      </c>
      <c r="AF18" s="2" t="s">
        <v>86</v>
      </c>
      <c r="AG18" s="2" t="s">
        <v>61</v>
      </c>
      <c r="AH18" s="2" t="s">
        <v>62</v>
      </c>
      <c r="AI18" s="2" t="s">
        <v>100</v>
      </c>
      <c r="AJ18" s="2">
        <v>1.9873048824605899</v>
      </c>
      <c r="AK18" s="2">
        <v>3.9044561436077201</v>
      </c>
      <c r="AL18" s="2">
        <v>1.8136536994154799</v>
      </c>
      <c r="AM18" s="2">
        <v>0.86683010614943301</v>
      </c>
      <c r="AN18" s="2">
        <v>3.8771974759123702</v>
      </c>
      <c r="AO18" s="2">
        <v>0.339757954763236</v>
      </c>
      <c r="AP18" s="2">
        <v>0.339757954763236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4</v>
      </c>
      <c r="AW18" s="2">
        <v>0</v>
      </c>
      <c r="AX18" s="2">
        <v>0</v>
      </c>
      <c r="AY18" s="2">
        <v>15.3</v>
      </c>
      <c r="AZ18" s="2">
        <v>9.8000000000000007</v>
      </c>
      <c r="BA18" s="2">
        <v>29.7</v>
      </c>
      <c r="BB18" s="2">
        <v>564</v>
      </c>
      <c r="BC18" s="2">
        <v>68</v>
      </c>
      <c r="BD18" s="2">
        <v>1.8</v>
      </c>
      <c r="BE18" s="2">
        <v>43</v>
      </c>
      <c r="BF18" s="2">
        <v>25.4</v>
      </c>
      <c r="BG18" s="2">
        <v>162</v>
      </c>
      <c r="BH18" s="2">
        <v>9.1</v>
      </c>
      <c r="BI18" s="2">
        <v>9.1999999999999993</v>
      </c>
      <c r="BJ18" s="2">
        <v>18.3</v>
      </c>
      <c r="BK18" s="2">
        <v>0.34</v>
      </c>
      <c r="BL18" s="2">
        <v>7.3</v>
      </c>
      <c r="BM18" s="2">
        <v>0.9</v>
      </c>
      <c r="BN18" s="2">
        <v>7.5</v>
      </c>
      <c r="BO18" s="2">
        <v>2.9</v>
      </c>
      <c r="BP18" s="2">
        <f t="shared" si="0"/>
        <v>8.5839910256255898</v>
      </c>
      <c r="BQ18" s="2">
        <f t="shared" si="1"/>
        <v>27.852219487137258</v>
      </c>
    </row>
    <row r="19" spans="1:69" x14ac:dyDescent="0.2">
      <c r="A19" s="2" t="s">
        <v>2008</v>
      </c>
      <c r="B19" s="2" t="s">
        <v>47</v>
      </c>
      <c r="C19" s="2" t="s">
        <v>1935</v>
      </c>
      <c r="D19" s="2" t="s">
        <v>49</v>
      </c>
      <c r="E19" s="2" t="s">
        <v>1703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89</v>
      </c>
      <c r="L19" s="6" t="s">
        <v>103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2009</v>
      </c>
      <c r="R19" s="2">
        <v>4375000</v>
      </c>
      <c r="S19" s="2">
        <v>0</v>
      </c>
      <c r="T19" s="2" t="s">
        <v>130</v>
      </c>
      <c r="U19" s="2" t="s">
        <v>131</v>
      </c>
      <c r="V19" s="2" t="s">
        <v>56</v>
      </c>
      <c r="W19" s="2" t="s">
        <v>98</v>
      </c>
      <c r="X19" s="2" t="s">
        <v>132</v>
      </c>
      <c r="Y19" s="2">
        <v>2.6695222679614798</v>
      </c>
      <c r="Z19" s="2">
        <v>2669.5222679614799</v>
      </c>
      <c r="AA19" s="2">
        <v>4.7837500000000004</v>
      </c>
      <c r="AB19" s="2">
        <v>-74.044138888888895</v>
      </c>
      <c r="AC19" s="2">
        <v>2580</v>
      </c>
      <c r="AD19" s="2">
        <v>0</v>
      </c>
      <c r="AE19" s="2" t="s">
        <v>133</v>
      </c>
      <c r="AF19" s="2" t="s">
        <v>86</v>
      </c>
      <c r="AG19" s="2" t="s">
        <v>61</v>
      </c>
      <c r="AH19" s="2" t="s">
        <v>62</v>
      </c>
      <c r="AI19" s="2" t="s">
        <v>100</v>
      </c>
      <c r="AJ19" s="2">
        <v>2.0849417460296298</v>
      </c>
      <c r="AK19" s="2">
        <v>3.7830395755413799</v>
      </c>
      <c r="AL19" s="2">
        <v>1.9355459168537099</v>
      </c>
      <c r="AM19" s="2">
        <v>0.82989055733511496</v>
      </c>
      <c r="AN19" s="2">
        <v>3.8997031409737399</v>
      </c>
      <c r="AO19" s="2">
        <v>0.221016411394934</v>
      </c>
      <c r="AP19" s="2">
        <v>0.221016411394934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2</v>
      </c>
      <c r="AW19" s="2">
        <v>0</v>
      </c>
      <c r="AX19" s="2">
        <v>0</v>
      </c>
      <c r="AY19" s="2">
        <v>15.3</v>
      </c>
      <c r="AZ19" s="2">
        <v>9.8000000000000007</v>
      </c>
      <c r="BA19" s="2">
        <v>29.7</v>
      </c>
      <c r="BB19" s="2">
        <v>564</v>
      </c>
      <c r="BC19" s="2">
        <v>68</v>
      </c>
      <c r="BD19" s="2">
        <v>1.8</v>
      </c>
      <c r="BE19" s="2">
        <v>43</v>
      </c>
      <c r="BF19" s="2">
        <v>25.4</v>
      </c>
      <c r="BG19" s="2">
        <v>162</v>
      </c>
      <c r="BH19" s="2">
        <v>9.1</v>
      </c>
      <c r="BI19" s="2">
        <v>9.1999999999999993</v>
      </c>
      <c r="BJ19" s="2">
        <v>18.3</v>
      </c>
      <c r="BK19" s="2">
        <v>0.34</v>
      </c>
      <c r="BL19" s="2">
        <v>7.3</v>
      </c>
      <c r="BM19" s="2">
        <v>0.9</v>
      </c>
      <c r="BN19" s="2">
        <v>7.5</v>
      </c>
      <c r="BO19" s="2">
        <v>2.9</v>
      </c>
      <c r="BP19" s="2">
        <f t="shared" si="0"/>
        <v>8.5869278842903718</v>
      </c>
      <c r="BQ19" s="2">
        <f t="shared" si="1"/>
        <v>27.856839268009029</v>
      </c>
    </row>
    <row r="20" spans="1:69" x14ac:dyDescent="0.2">
      <c r="A20" s="2" t="s">
        <v>2138</v>
      </c>
      <c r="B20" s="2" t="s">
        <v>47</v>
      </c>
      <c r="C20" s="2" t="s">
        <v>1935</v>
      </c>
      <c r="D20" s="2" t="s">
        <v>49</v>
      </c>
      <c r="E20" s="2" t="s">
        <v>1703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89</v>
      </c>
      <c r="L20" s="6" t="s">
        <v>103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2139</v>
      </c>
      <c r="R20" s="2">
        <v>3687500</v>
      </c>
      <c r="S20" s="2">
        <v>0</v>
      </c>
      <c r="T20" s="2" t="s">
        <v>130</v>
      </c>
      <c r="U20" s="2" t="s">
        <v>131</v>
      </c>
      <c r="V20" s="2" t="s">
        <v>56</v>
      </c>
      <c r="W20" s="2" t="s">
        <v>98</v>
      </c>
      <c r="X20" s="2" t="s">
        <v>132</v>
      </c>
      <c r="Y20" s="2">
        <v>2.8291475912250301</v>
      </c>
      <c r="Z20" s="2">
        <v>2829.1475912250298</v>
      </c>
      <c r="AA20" s="2">
        <v>4.7837500000000004</v>
      </c>
      <c r="AB20" s="2">
        <v>-74.044138888888895</v>
      </c>
      <c r="AC20" s="2">
        <v>2580</v>
      </c>
      <c r="AD20" s="2">
        <v>0</v>
      </c>
      <c r="AE20" s="2" t="s">
        <v>133</v>
      </c>
      <c r="AF20" s="2" t="s">
        <v>86</v>
      </c>
      <c r="AG20" s="2" t="s">
        <v>61</v>
      </c>
      <c r="AH20" s="2" t="s">
        <v>62</v>
      </c>
      <c r="AI20" s="2" t="s">
        <v>100</v>
      </c>
      <c r="AJ20" s="2">
        <v>2.19476381079421</v>
      </c>
      <c r="AK20" s="2">
        <v>3.7460532833308302</v>
      </c>
      <c r="AL20" s="2">
        <v>1.9375904629949301</v>
      </c>
      <c r="AM20" s="2">
        <v>0.67160974276534802</v>
      </c>
      <c r="AN20" s="2">
        <v>3.7465124411539601</v>
      </c>
      <c r="AO20" s="2">
        <v>0.16541016492492799</v>
      </c>
      <c r="AP20" s="2">
        <v>0.16541016492492799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3</v>
      </c>
      <c r="AW20" s="2">
        <v>0</v>
      </c>
      <c r="AX20" s="2">
        <v>0</v>
      </c>
      <c r="AY20" s="2">
        <v>15.3</v>
      </c>
      <c r="AZ20" s="2">
        <v>9.8000000000000007</v>
      </c>
      <c r="BA20" s="2">
        <v>29.7</v>
      </c>
      <c r="BB20" s="2">
        <v>564</v>
      </c>
      <c r="BC20" s="2">
        <v>68</v>
      </c>
      <c r="BD20" s="2">
        <v>1.8</v>
      </c>
      <c r="BE20" s="2">
        <v>43</v>
      </c>
      <c r="BF20" s="2">
        <v>25.4</v>
      </c>
      <c r="BG20" s="2">
        <v>162</v>
      </c>
      <c r="BH20" s="2">
        <v>9.1</v>
      </c>
      <c r="BI20" s="2">
        <v>9.1999999999999993</v>
      </c>
      <c r="BJ20" s="2">
        <v>18.3</v>
      </c>
      <c r="BK20" s="2">
        <v>0.34</v>
      </c>
      <c r="BL20" s="2">
        <v>7.3</v>
      </c>
      <c r="BM20" s="2">
        <v>0.9</v>
      </c>
      <c r="BN20" s="2">
        <v>7.5</v>
      </c>
      <c r="BO20" s="2">
        <v>2.9</v>
      </c>
      <c r="BP20" s="2">
        <f t="shared" si="0"/>
        <v>8.5193460219738313</v>
      </c>
      <c r="BQ20" s="2">
        <f t="shared" si="1"/>
        <v>27.750323661981469</v>
      </c>
    </row>
    <row r="21" spans="1:69" x14ac:dyDescent="0.2">
      <c r="A21" s="2" t="s">
        <v>2229</v>
      </c>
      <c r="B21" s="2" t="s">
        <v>47</v>
      </c>
      <c r="C21" s="2" t="s">
        <v>1935</v>
      </c>
      <c r="D21" s="2" t="s">
        <v>49</v>
      </c>
      <c r="E21" s="2" t="s">
        <v>1703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89</v>
      </c>
      <c r="L21" s="6" t="s">
        <v>112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2230</v>
      </c>
      <c r="R21" s="2">
        <v>3375000</v>
      </c>
      <c r="S21" s="2">
        <v>0</v>
      </c>
      <c r="T21" s="2" t="s">
        <v>130</v>
      </c>
      <c r="U21" s="2" t="s">
        <v>131</v>
      </c>
      <c r="V21" s="2" t="s">
        <v>56</v>
      </c>
      <c r="W21" s="2" t="s">
        <v>98</v>
      </c>
      <c r="X21" s="2" t="s">
        <v>132</v>
      </c>
      <c r="Y21" s="2">
        <v>2.79617462281908</v>
      </c>
      <c r="Z21" s="2">
        <v>2796.17462281908</v>
      </c>
      <c r="AA21" s="2">
        <v>4.7837500000000004</v>
      </c>
      <c r="AB21" s="2">
        <v>-74.044138888888895</v>
      </c>
      <c r="AC21" s="2">
        <v>2580</v>
      </c>
      <c r="AD21" s="2">
        <v>0</v>
      </c>
      <c r="AE21" s="2" t="s">
        <v>133</v>
      </c>
      <c r="AF21" s="2" t="s">
        <v>86</v>
      </c>
      <c r="AG21" s="2" t="s">
        <v>61</v>
      </c>
      <c r="AH21" s="2" t="s">
        <v>62</v>
      </c>
      <c r="AI21" s="2" t="s">
        <v>100</v>
      </c>
      <c r="AJ21" s="2">
        <v>1.4885281563397399</v>
      </c>
      <c r="AK21" s="2">
        <v>3.90424789596663</v>
      </c>
      <c r="AL21" s="2">
        <v>1.1352276355469599</v>
      </c>
      <c r="AM21" s="2">
        <v>0.47921039253122999</v>
      </c>
      <c r="AN21" s="2">
        <v>3.8455426442801199</v>
      </c>
      <c r="AO21" s="2">
        <v>0.18692662152303099</v>
      </c>
      <c r="AP21" s="2">
        <v>0.18692662152303099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6</v>
      </c>
      <c r="AW21" s="2">
        <v>0</v>
      </c>
      <c r="AX21" s="2">
        <v>1</v>
      </c>
      <c r="AY21" s="2">
        <v>15.3</v>
      </c>
      <c r="AZ21" s="2">
        <v>9.8000000000000007</v>
      </c>
      <c r="BA21" s="2">
        <v>29.7</v>
      </c>
      <c r="BB21" s="2">
        <v>564</v>
      </c>
      <c r="BC21" s="2">
        <v>68</v>
      </c>
      <c r="BD21" s="2">
        <v>1.8</v>
      </c>
      <c r="BE21" s="2">
        <v>43</v>
      </c>
      <c r="BF21" s="2">
        <v>25.4</v>
      </c>
      <c r="BG21" s="2">
        <v>162</v>
      </c>
      <c r="BH21" s="2">
        <v>9.1</v>
      </c>
      <c r="BI21" s="2">
        <v>9.1999999999999993</v>
      </c>
      <c r="BJ21" s="2">
        <v>18.3</v>
      </c>
      <c r="BK21" s="2">
        <v>0.34</v>
      </c>
      <c r="BL21" s="2">
        <v>7.3</v>
      </c>
      <c r="BM21" s="2">
        <v>0.9</v>
      </c>
      <c r="BN21" s="2">
        <v>7.5</v>
      </c>
      <c r="BO21" s="2">
        <v>2.9</v>
      </c>
      <c r="BP21" s="2">
        <f t="shared" si="0"/>
        <v>8.5332623280144535</v>
      </c>
      <c r="BQ21" s="2">
        <f t="shared" si="1"/>
        <v>27.772292606499423</v>
      </c>
    </row>
    <row r="22" spans="1:69" x14ac:dyDescent="0.2">
      <c r="A22" s="2" t="s">
        <v>3223</v>
      </c>
      <c r="B22" s="2" t="s">
        <v>47</v>
      </c>
      <c r="C22" s="2" t="s">
        <v>1935</v>
      </c>
      <c r="D22" s="2" t="s">
        <v>49</v>
      </c>
      <c r="E22" s="2" t="s">
        <v>1703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89</v>
      </c>
      <c r="L22" s="6" t="s">
        <v>103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3224</v>
      </c>
      <c r="R22" s="2">
        <v>3000000</v>
      </c>
      <c r="S22" s="2">
        <v>0</v>
      </c>
      <c r="T22" s="2" t="s">
        <v>130</v>
      </c>
      <c r="U22" s="2" t="s">
        <v>131</v>
      </c>
      <c r="V22" s="2" t="s">
        <v>56</v>
      </c>
      <c r="W22" s="2" t="s">
        <v>98</v>
      </c>
      <c r="X22" s="2" t="s">
        <v>132</v>
      </c>
      <c r="Y22" s="2">
        <v>3.0396776450968099</v>
      </c>
      <c r="Z22" s="2">
        <v>3039.67764509681</v>
      </c>
      <c r="AA22" s="2">
        <v>4.7837500000000004</v>
      </c>
      <c r="AB22" s="2">
        <v>-74.044138888888895</v>
      </c>
      <c r="AC22" s="2">
        <v>2580</v>
      </c>
      <c r="AD22" s="2">
        <v>0</v>
      </c>
      <c r="AE22" s="2" t="s">
        <v>133</v>
      </c>
      <c r="AF22" s="2" t="s">
        <v>86</v>
      </c>
      <c r="AG22" s="2" t="s">
        <v>61</v>
      </c>
      <c r="AH22" s="2" t="s">
        <v>62</v>
      </c>
      <c r="AI22" s="2" t="s">
        <v>100</v>
      </c>
      <c r="AJ22" s="2">
        <v>2.2710455928236599</v>
      </c>
      <c r="AK22" s="2">
        <v>3.8089723466702301</v>
      </c>
      <c r="AL22" s="2">
        <v>1.8565046200259501</v>
      </c>
      <c r="AM22" s="2">
        <v>0.51328058704588997</v>
      </c>
      <c r="AN22" s="2">
        <v>3.5269858226795101</v>
      </c>
      <c r="AO22" s="2">
        <v>7.0847032711356802E-3</v>
      </c>
      <c r="AP22" s="2">
        <v>7.0847032711356802E-3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5</v>
      </c>
      <c r="AW22" s="2">
        <v>0</v>
      </c>
      <c r="AX22" s="2">
        <v>1</v>
      </c>
      <c r="AY22" s="2">
        <v>15.3</v>
      </c>
      <c r="AZ22" s="2">
        <v>9.8000000000000007</v>
      </c>
      <c r="BA22" s="2">
        <v>29.7</v>
      </c>
      <c r="BB22" s="2">
        <v>564</v>
      </c>
      <c r="BC22" s="2">
        <v>68</v>
      </c>
      <c r="BD22" s="2">
        <v>1.8</v>
      </c>
      <c r="BE22" s="2">
        <v>43</v>
      </c>
      <c r="BF22" s="2">
        <v>25.4</v>
      </c>
      <c r="BG22" s="2">
        <v>162</v>
      </c>
      <c r="BH22" s="2">
        <v>9.1</v>
      </c>
      <c r="BI22" s="2">
        <v>9.1999999999999993</v>
      </c>
      <c r="BJ22" s="2">
        <v>18.3</v>
      </c>
      <c r="BK22" s="2">
        <v>0.34</v>
      </c>
      <c r="BL22" s="2">
        <v>7.3</v>
      </c>
      <c r="BM22" s="2">
        <v>0.9</v>
      </c>
      <c r="BN22" s="2">
        <v>7.5</v>
      </c>
      <c r="BO22" s="2">
        <v>2.9</v>
      </c>
      <c r="BP22" s="2">
        <f t="shared" si="0"/>
        <v>8.4310248993402261</v>
      </c>
      <c r="BQ22" s="2">
        <f t="shared" si="1"/>
        <v>27.610462647645761</v>
      </c>
    </row>
    <row r="23" spans="1:69" x14ac:dyDescent="0.2">
      <c r="A23" s="2" t="s">
        <v>2142</v>
      </c>
      <c r="B23" s="2" t="s">
        <v>47</v>
      </c>
      <c r="C23" s="2" t="s">
        <v>1935</v>
      </c>
      <c r="D23" s="2" t="s">
        <v>49</v>
      </c>
      <c r="E23" s="2" t="s">
        <v>1703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89</v>
      </c>
      <c r="L23" s="6" t="s">
        <v>94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2143</v>
      </c>
      <c r="R23" s="2">
        <v>3000000</v>
      </c>
      <c r="S23" s="2">
        <v>0</v>
      </c>
      <c r="T23" s="2" t="s">
        <v>130</v>
      </c>
      <c r="U23" s="2" t="s">
        <v>131</v>
      </c>
      <c r="V23" s="2" t="s">
        <v>56</v>
      </c>
      <c r="W23" s="2" t="s">
        <v>98</v>
      </c>
      <c r="X23" s="2" t="s">
        <v>132</v>
      </c>
      <c r="Y23" s="2">
        <v>2.8291475912250301</v>
      </c>
      <c r="Z23" s="2">
        <v>2829.1475912250298</v>
      </c>
      <c r="AA23" s="2">
        <v>4.7837500000000004</v>
      </c>
      <c r="AB23" s="2">
        <v>-74.044138888888895</v>
      </c>
      <c r="AC23" s="2">
        <v>2580</v>
      </c>
      <c r="AD23" s="2">
        <v>0</v>
      </c>
      <c r="AE23" s="2" t="s">
        <v>133</v>
      </c>
      <c r="AF23" s="2" t="s">
        <v>86</v>
      </c>
      <c r="AG23" s="2" t="s">
        <v>61</v>
      </c>
      <c r="AH23" s="2" t="s">
        <v>62</v>
      </c>
      <c r="AI23" s="2" t="s">
        <v>100</v>
      </c>
      <c r="AJ23" s="2">
        <v>2.19476381079421</v>
      </c>
      <c r="AK23" s="2">
        <v>3.7460532833308302</v>
      </c>
      <c r="AL23" s="2">
        <v>1.9375904629949301</v>
      </c>
      <c r="AM23" s="2">
        <v>0.67160974276534802</v>
      </c>
      <c r="AN23" s="2">
        <v>3.7465124411539601</v>
      </c>
      <c r="AO23" s="2">
        <v>0.16541016492492799</v>
      </c>
      <c r="AP23" s="2">
        <v>0.16541016492492799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3</v>
      </c>
      <c r="AW23" s="2">
        <v>0</v>
      </c>
      <c r="AX23" s="2">
        <v>0</v>
      </c>
      <c r="AY23" s="2">
        <v>15.3</v>
      </c>
      <c r="AZ23" s="2">
        <v>9.8000000000000007</v>
      </c>
      <c r="BA23" s="2">
        <v>29.7</v>
      </c>
      <c r="BB23" s="2">
        <v>564</v>
      </c>
      <c r="BC23" s="2">
        <v>68</v>
      </c>
      <c r="BD23" s="2">
        <v>1.8</v>
      </c>
      <c r="BE23" s="2">
        <v>43</v>
      </c>
      <c r="BF23" s="2">
        <v>25.4</v>
      </c>
      <c r="BG23" s="2">
        <v>162</v>
      </c>
      <c r="BH23" s="2">
        <v>9.1</v>
      </c>
      <c r="BI23" s="2">
        <v>9.1999999999999993</v>
      </c>
      <c r="BJ23" s="2">
        <v>18.3</v>
      </c>
      <c r="BK23" s="2">
        <v>0.34</v>
      </c>
      <c r="BL23" s="2">
        <v>7.3</v>
      </c>
      <c r="BM23" s="2">
        <v>0.9</v>
      </c>
      <c r="BN23" s="2">
        <v>7.5</v>
      </c>
      <c r="BO23" s="2">
        <v>2.9</v>
      </c>
      <c r="BP23" s="2">
        <f t="shared" si="0"/>
        <v>8.5193460219738313</v>
      </c>
      <c r="BQ23" s="2">
        <f t="shared" si="1"/>
        <v>27.750323661981469</v>
      </c>
    </row>
    <row r="24" spans="1:69" x14ac:dyDescent="0.2">
      <c r="A24" s="2" t="s">
        <v>2760</v>
      </c>
      <c r="B24" s="2" t="s">
        <v>47</v>
      </c>
      <c r="C24" s="2" t="s">
        <v>1935</v>
      </c>
      <c r="D24" s="2" t="s">
        <v>49</v>
      </c>
      <c r="E24" s="2" t="s">
        <v>1703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89</v>
      </c>
      <c r="L24" s="6" t="s">
        <v>141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2761</v>
      </c>
      <c r="R24" s="2">
        <v>2612500</v>
      </c>
      <c r="S24" s="2">
        <v>0</v>
      </c>
      <c r="T24" s="2" t="s">
        <v>130</v>
      </c>
      <c r="U24" s="2" t="s">
        <v>131</v>
      </c>
      <c r="V24" s="2" t="s">
        <v>56</v>
      </c>
      <c r="W24" s="2" t="s">
        <v>98</v>
      </c>
      <c r="X24" s="2" t="s">
        <v>132</v>
      </c>
      <c r="Y24" s="2">
        <v>2.6838889189606299</v>
      </c>
      <c r="Z24" s="2">
        <v>2683.8889189606298</v>
      </c>
      <c r="AA24" s="2">
        <v>4.7837500000000004</v>
      </c>
      <c r="AB24" s="2">
        <v>-74.044138888888895</v>
      </c>
      <c r="AC24" s="2">
        <v>2580</v>
      </c>
      <c r="AD24" s="2">
        <v>0</v>
      </c>
      <c r="AE24" s="2" t="s">
        <v>133</v>
      </c>
      <c r="AF24" s="2" t="s">
        <v>86</v>
      </c>
      <c r="AG24" s="2" t="s">
        <v>61</v>
      </c>
      <c r="AH24" s="2" t="s">
        <v>62</v>
      </c>
      <c r="AI24" s="2" t="s">
        <v>100</v>
      </c>
      <c r="AJ24" s="2">
        <v>1.87996382400283</v>
      </c>
      <c r="AK24" s="2">
        <v>4.0378551236991296</v>
      </c>
      <c r="AL24" s="2">
        <v>1.68188043383636</v>
      </c>
      <c r="AM24" s="2">
        <v>0.83020281545074204</v>
      </c>
      <c r="AN24" s="2">
        <v>3.8634618653786799</v>
      </c>
      <c r="AO24" s="2">
        <v>0.31789411643530102</v>
      </c>
      <c r="AP24" s="2">
        <v>0.31789411643530102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4</v>
      </c>
      <c r="AW24" s="2">
        <v>0</v>
      </c>
      <c r="AX24" s="2">
        <v>1</v>
      </c>
      <c r="AY24" s="2">
        <v>15.3</v>
      </c>
      <c r="AZ24" s="2">
        <v>9.8000000000000007</v>
      </c>
      <c r="BA24" s="2">
        <v>29.7</v>
      </c>
      <c r="BB24" s="2">
        <v>564</v>
      </c>
      <c r="BC24" s="2">
        <v>68</v>
      </c>
      <c r="BD24" s="2">
        <v>1.8</v>
      </c>
      <c r="BE24" s="2">
        <v>43</v>
      </c>
      <c r="BF24" s="2">
        <v>25.4</v>
      </c>
      <c r="BG24" s="2">
        <v>162</v>
      </c>
      <c r="BH24" s="2">
        <v>9.1</v>
      </c>
      <c r="BI24" s="2">
        <v>9.1999999999999993</v>
      </c>
      <c r="BJ24" s="2">
        <v>18.3</v>
      </c>
      <c r="BK24" s="2">
        <v>0.34</v>
      </c>
      <c r="BL24" s="2">
        <v>7.3</v>
      </c>
      <c r="BM24" s="2">
        <v>0.9</v>
      </c>
      <c r="BN24" s="2">
        <v>7.5</v>
      </c>
      <c r="BO24" s="2">
        <v>2.9</v>
      </c>
      <c r="BP24" s="2">
        <f t="shared" si="0"/>
        <v>8.580823468017698</v>
      </c>
      <c r="BQ24" s="2">
        <f t="shared" si="1"/>
        <v>27.84723589601883</v>
      </c>
    </row>
    <row r="25" spans="1:69" x14ac:dyDescent="0.2">
      <c r="A25" s="2" t="s">
        <v>2439</v>
      </c>
      <c r="B25" s="2" t="s">
        <v>47</v>
      </c>
      <c r="C25" s="2" t="s">
        <v>1935</v>
      </c>
      <c r="D25" s="2" t="s">
        <v>49</v>
      </c>
      <c r="E25" s="2" t="s">
        <v>1703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89</v>
      </c>
      <c r="L25" s="6" t="s">
        <v>103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2440</v>
      </c>
      <c r="R25" s="2">
        <v>2325000</v>
      </c>
      <c r="S25" s="2">
        <v>0</v>
      </c>
      <c r="T25" s="2" t="s">
        <v>130</v>
      </c>
      <c r="U25" s="2" t="s">
        <v>131</v>
      </c>
      <c r="V25" s="2" t="s">
        <v>56</v>
      </c>
      <c r="W25" s="2" t="s">
        <v>98</v>
      </c>
      <c r="X25" s="2" t="s">
        <v>132</v>
      </c>
      <c r="Y25" s="2">
        <v>2.9182437900970801</v>
      </c>
      <c r="Z25" s="2">
        <v>2918.2437900970799</v>
      </c>
      <c r="AA25" s="2">
        <v>4.7837500000000004</v>
      </c>
      <c r="AB25" s="2">
        <v>-74.044138888888895</v>
      </c>
      <c r="AC25" s="2">
        <v>2580</v>
      </c>
      <c r="AD25" s="2">
        <v>0</v>
      </c>
      <c r="AE25" s="2" t="s">
        <v>133</v>
      </c>
      <c r="AF25" s="2" t="s">
        <v>86</v>
      </c>
      <c r="AG25" s="2" t="s">
        <v>61</v>
      </c>
      <c r="AH25" s="2" t="s">
        <v>62</v>
      </c>
      <c r="AI25" s="2" t="s">
        <v>100</v>
      </c>
      <c r="AJ25" s="2">
        <v>2.2620231370126098</v>
      </c>
      <c r="AK25" s="2">
        <v>3.7229348208066</v>
      </c>
      <c r="AL25" s="2">
        <v>1.9488679745086499</v>
      </c>
      <c r="AM25" s="2">
        <v>0.58243404697476397</v>
      </c>
      <c r="AN25" s="2">
        <v>3.6621848777225101</v>
      </c>
      <c r="AO25" s="2">
        <v>0.12975210837593101</v>
      </c>
      <c r="AP25" s="2">
        <v>0.12975210837593101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3</v>
      </c>
      <c r="AW25" s="2">
        <v>0</v>
      </c>
      <c r="AX25" s="2">
        <v>0</v>
      </c>
      <c r="AY25" s="2">
        <v>15.3</v>
      </c>
      <c r="AZ25" s="2">
        <v>9.8000000000000007</v>
      </c>
      <c r="BA25" s="2">
        <v>29.7</v>
      </c>
      <c r="BB25" s="2">
        <v>564</v>
      </c>
      <c r="BC25" s="2">
        <v>68</v>
      </c>
      <c r="BD25" s="2">
        <v>1.8</v>
      </c>
      <c r="BE25" s="2">
        <v>43</v>
      </c>
      <c r="BF25" s="2">
        <v>25.4</v>
      </c>
      <c r="BG25" s="2">
        <v>162</v>
      </c>
      <c r="BH25" s="2">
        <v>9.1</v>
      </c>
      <c r="BI25" s="2">
        <v>9.1999999999999993</v>
      </c>
      <c r="BJ25" s="2">
        <v>18.3</v>
      </c>
      <c r="BK25" s="2">
        <v>0.34</v>
      </c>
      <c r="BL25" s="2">
        <v>7.3</v>
      </c>
      <c r="BM25" s="2">
        <v>0.9</v>
      </c>
      <c r="BN25" s="2">
        <v>7.5</v>
      </c>
      <c r="BO25" s="2">
        <v>2.9</v>
      </c>
      <c r="BP25" s="2">
        <f t="shared" si="0"/>
        <v>8.4818562059943492</v>
      </c>
      <c r="BQ25" s="2">
        <f t="shared" si="1"/>
        <v>27.691048298543969</v>
      </c>
    </row>
    <row r="26" spans="1:69" x14ac:dyDescent="0.2">
      <c r="A26" s="2" t="s">
        <v>2522</v>
      </c>
      <c r="B26" s="2" t="s">
        <v>47</v>
      </c>
      <c r="C26" s="2" t="s">
        <v>1935</v>
      </c>
      <c r="D26" s="2" t="s">
        <v>49</v>
      </c>
      <c r="E26" s="2" t="s">
        <v>1703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89</v>
      </c>
      <c r="L26" s="6" t="s">
        <v>94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2523</v>
      </c>
      <c r="R26" s="2">
        <v>1937500</v>
      </c>
      <c r="S26" s="2">
        <v>0</v>
      </c>
      <c r="T26" s="2" t="s">
        <v>130</v>
      </c>
      <c r="U26" s="2" t="s">
        <v>131</v>
      </c>
      <c r="V26" s="2" t="s">
        <v>56</v>
      </c>
      <c r="W26" s="2" t="s">
        <v>98</v>
      </c>
      <c r="X26" s="2" t="s">
        <v>132</v>
      </c>
      <c r="Y26" s="2">
        <v>2.8021985739372899</v>
      </c>
      <c r="Z26" s="2">
        <v>2802.1985739372899</v>
      </c>
      <c r="AA26" s="2">
        <v>4.7837500000000004</v>
      </c>
      <c r="AB26" s="2">
        <v>-74.044138888888895</v>
      </c>
      <c r="AC26" s="2">
        <v>2580</v>
      </c>
      <c r="AD26" s="2">
        <v>0</v>
      </c>
      <c r="AE26" s="2" t="s">
        <v>133</v>
      </c>
      <c r="AF26" s="2" t="s">
        <v>86</v>
      </c>
      <c r="AG26" s="2" t="s">
        <v>61</v>
      </c>
      <c r="AH26" s="2" t="s">
        <v>62</v>
      </c>
      <c r="AI26" s="2" t="s">
        <v>100</v>
      </c>
      <c r="AJ26" s="2">
        <v>2.20093202384655</v>
      </c>
      <c r="AK26" s="2">
        <v>3.7206393461723102</v>
      </c>
      <c r="AL26" s="2">
        <v>1.96790671742106</v>
      </c>
      <c r="AM26" s="2">
        <v>0.69004633469012899</v>
      </c>
      <c r="AN26" s="2">
        <v>3.7783837932031301</v>
      </c>
      <c r="AO26" s="2">
        <v>0.14425265453729899</v>
      </c>
      <c r="AP26" s="2">
        <v>0.14425265453729899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3</v>
      </c>
      <c r="AW26" s="2">
        <v>0</v>
      </c>
      <c r="AX26" s="2">
        <v>0</v>
      </c>
      <c r="AY26" s="2">
        <v>15.3</v>
      </c>
      <c r="AZ26" s="2">
        <v>9.8000000000000007</v>
      </c>
      <c r="BA26" s="2">
        <v>29.7</v>
      </c>
      <c r="BB26" s="2">
        <v>564</v>
      </c>
      <c r="BC26" s="2">
        <v>68</v>
      </c>
      <c r="BD26" s="2">
        <v>1.8</v>
      </c>
      <c r="BE26" s="2">
        <v>43</v>
      </c>
      <c r="BF26" s="2">
        <v>25.4</v>
      </c>
      <c r="BG26" s="2">
        <v>162</v>
      </c>
      <c r="BH26" s="2">
        <v>9.1</v>
      </c>
      <c r="BI26" s="2">
        <v>9.1999999999999993</v>
      </c>
      <c r="BJ26" s="2">
        <v>18.3</v>
      </c>
      <c r="BK26" s="2">
        <v>0.34</v>
      </c>
      <c r="BL26" s="2">
        <v>7.3</v>
      </c>
      <c r="BM26" s="2">
        <v>0.9</v>
      </c>
      <c r="BN26" s="2">
        <v>7.5</v>
      </c>
      <c r="BO26" s="2">
        <v>2.9</v>
      </c>
      <c r="BP26" s="2">
        <f t="shared" si="0"/>
        <v>8.5307182115631566</v>
      </c>
      <c r="BQ26" s="2">
        <f t="shared" si="1"/>
        <v>27.768277722337555</v>
      </c>
    </row>
    <row r="27" spans="1:69" x14ac:dyDescent="0.2">
      <c r="A27" s="2" t="s">
        <v>2324</v>
      </c>
      <c r="B27" s="2" t="s">
        <v>47</v>
      </c>
      <c r="C27" s="2" t="s">
        <v>1935</v>
      </c>
      <c r="D27" s="2" t="s">
        <v>49</v>
      </c>
      <c r="E27" s="2" t="s">
        <v>246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89</v>
      </c>
      <c r="L27" s="6" t="s">
        <v>103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2325</v>
      </c>
      <c r="R27" s="2">
        <v>5076923.0769999996</v>
      </c>
      <c r="S27" s="2">
        <v>0</v>
      </c>
      <c r="T27" s="2" t="s">
        <v>130</v>
      </c>
      <c r="U27" s="2" t="s">
        <v>131</v>
      </c>
      <c r="V27" s="2" t="s">
        <v>56</v>
      </c>
      <c r="W27" s="2" t="s">
        <v>98</v>
      </c>
      <c r="X27" s="2" t="s">
        <v>132</v>
      </c>
      <c r="Y27" s="2">
        <v>4.1105587331789204</v>
      </c>
      <c r="Z27" s="2">
        <v>4110.5587331789202</v>
      </c>
      <c r="AA27" s="2">
        <v>4.7837500000000004</v>
      </c>
      <c r="AB27" s="2">
        <v>-74.044138888888895</v>
      </c>
      <c r="AC27" s="2">
        <v>2580</v>
      </c>
      <c r="AD27" s="2">
        <v>0</v>
      </c>
      <c r="AE27" s="2" t="s">
        <v>133</v>
      </c>
      <c r="AF27" s="2" t="s">
        <v>86</v>
      </c>
      <c r="AG27" s="2" t="s">
        <v>61</v>
      </c>
      <c r="AH27" s="2" t="s">
        <v>62</v>
      </c>
      <c r="AI27" s="2" t="s">
        <v>100</v>
      </c>
      <c r="AJ27" s="2">
        <v>5.70661893542173</v>
      </c>
      <c r="AK27" s="2">
        <v>0.75594310485893401</v>
      </c>
      <c r="AL27" s="2">
        <v>2.2612206892240101</v>
      </c>
      <c r="AM27" s="2">
        <v>4.1599099082114197</v>
      </c>
      <c r="AN27" s="2">
        <v>9.1089198403950107</v>
      </c>
      <c r="AO27" s="2">
        <v>0.53607127048732395</v>
      </c>
      <c r="AP27" s="2">
        <v>0.53607127048732395</v>
      </c>
      <c r="AQ27" s="2">
        <v>0</v>
      </c>
      <c r="AR27" s="2">
        <v>0</v>
      </c>
      <c r="AS27" s="2">
        <v>0</v>
      </c>
      <c r="AT27" s="2">
        <v>1</v>
      </c>
      <c r="AU27" s="2">
        <v>0</v>
      </c>
      <c r="AV27" s="2">
        <v>0</v>
      </c>
      <c r="AW27" s="2">
        <v>0</v>
      </c>
      <c r="AX27" s="2">
        <v>0</v>
      </c>
      <c r="AY27" s="2">
        <v>15.3</v>
      </c>
      <c r="AZ27" s="2">
        <v>9.8000000000000007</v>
      </c>
      <c r="BA27" s="2">
        <v>29.7</v>
      </c>
      <c r="BB27" s="2">
        <v>564</v>
      </c>
      <c r="BC27" s="2">
        <v>68</v>
      </c>
      <c r="BD27" s="2">
        <v>1.8</v>
      </c>
      <c r="BE27" s="2">
        <v>43</v>
      </c>
      <c r="BF27" s="2">
        <v>25.4</v>
      </c>
      <c r="BG27" s="2">
        <v>162</v>
      </c>
      <c r="BH27" s="2">
        <v>9.1</v>
      </c>
      <c r="BI27" s="2">
        <v>9.1999999999999993</v>
      </c>
      <c r="BJ27" s="2">
        <v>18.3</v>
      </c>
      <c r="BK27" s="2">
        <v>0.34</v>
      </c>
      <c r="BL27" s="2">
        <v>7.3</v>
      </c>
      <c r="BM27" s="2">
        <v>0.9</v>
      </c>
      <c r="BN27" s="2">
        <v>7.5</v>
      </c>
      <c r="BO27" s="2">
        <v>2.9</v>
      </c>
      <c r="BP27" s="2">
        <f t="shared" si="0"/>
        <v>7.9957466247356761</v>
      </c>
      <c r="BQ27" s="2">
        <f t="shared" si="1"/>
        <v>26.909883519605202</v>
      </c>
    </row>
    <row r="28" spans="1:69" x14ac:dyDescent="0.2">
      <c r="A28" s="2" t="s">
        <v>2106</v>
      </c>
      <c r="B28" s="2" t="s">
        <v>47</v>
      </c>
      <c r="C28" s="2" t="s">
        <v>1935</v>
      </c>
      <c r="D28" s="2" t="s">
        <v>49</v>
      </c>
      <c r="E28" s="2" t="s">
        <v>1703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89</v>
      </c>
      <c r="L28" s="6" t="s">
        <v>103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2107</v>
      </c>
      <c r="R28" s="2">
        <v>3000000</v>
      </c>
      <c r="S28" s="2">
        <v>0</v>
      </c>
      <c r="T28" s="2" t="s">
        <v>96</v>
      </c>
      <c r="U28" s="2" t="s">
        <v>97</v>
      </c>
      <c r="V28" s="2" t="s">
        <v>56</v>
      </c>
      <c r="W28" s="2" t="s">
        <v>98</v>
      </c>
      <c r="X28" s="2" t="s">
        <v>99</v>
      </c>
      <c r="Y28" s="2">
        <v>2.9578814889487202</v>
      </c>
      <c r="Z28" s="2">
        <v>2957.8814889487198</v>
      </c>
      <c r="AA28" s="2">
        <v>4.73719444444444</v>
      </c>
      <c r="AB28" s="2">
        <v>-74.069472222222203</v>
      </c>
      <c r="AC28" s="2">
        <v>2555</v>
      </c>
      <c r="AD28" s="2">
        <v>0</v>
      </c>
      <c r="AE28" s="2" t="s">
        <v>59</v>
      </c>
      <c r="AF28" s="2" t="s">
        <v>86</v>
      </c>
      <c r="AG28" s="2" t="s">
        <v>61</v>
      </c>
      <c r="AH28" s="2" t="s">
        <v>62</v>
      </c>
      <c r="AI28" s="2" t="s">
        <v>100</v>
      </c>
      <c r="AJ28" s="2">
        <v>1.6663333633025199</v>
      </c>
      <c r="AK28" s="2">
        <v>4.0869924955383201</v>
      </c>
      <c r="AL28" s="2">
        <v>1.1367865492928899</v>
      </c>
      <c r="AM28" s="2">
        <v>0.31504281901537801</v>
      </c>
      <c r="AN28" s="2">
        <v>3.65091583118648</v>
      </c>
      <c r="AO28" s="2">
        <v>6.9784134266593096E-3</v>
      </c>
      <c r="AP28" s="2">
        <v>6.9784134266593096E-3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6</v>
      </c>
      <c r="AW28" s="2">
        <v>0</v>
      </c>
      <c r="AX28" s="2">
        <v>1</v>
      </c>
      <c r="AY28" s="2">
        <v>15.3</v>
      </c>
      <c r="AZ28" s="2">
        <v>9.8000000000000007</v>
      </c>
      <c r="BA28" s="2">
        <v>29.7</v>
      </c>
      <c r="BB28" s="2">
        <v>564</v>
      </c>
      <c r="BC28" s="2">
        <v>68</v>
      </c>
      <c r="BD28" s="2">
        <v>1.8</v>
      </c>
      <c r="BE28" s="2">
        <v>43</v>
      </c>
      <c r="BF28" s="2">
        <v>25.4</v>
      </c>
      <c r="BG28" s="2">
        <v>162</v>
      </c>
      <c r="BH28" s="2">
        <v>9.1</v>
      </c>
      <c r="BI28" s="2">
        <v>9.1999999999999993</v>
      </c>
      <c r="BJ28" s="2">
        <v>18.3</v>
      </c>
      <c r="BK28" s="2">
        <v>0.34</v>
      </c>
      <c r="BL28" s="2">
        <v>7.3</v>
      </c>
      <c r="BM28" s="2">
        <v>0.9</v>
      </c>
      <c r="BN28" s="2">
        <v>7.5</v>
      </c>
      <c r="BO28" s="2">
        <v>2.9</v>
      </c>
      <c r="BP28" s="2">
        <f t="shared" si="0"/>
        <v>8.46523055916815</v>
      </c>
      <c r="BQ28" s="2">
        <f t="shared" si="1"/>
        <v>27.664718198104506</v>
      </c>
    </row>
    <row r="29" spans="1:69" x14ac:dyDescent="0.2">
      <c r="A29" s="2" t="s">
        <v>2017</v>
      </c>
      <c r="B29" s="2" t="s">
        <v>47</v>
      </c>
      <c r="C29" s="2" t="s">
        <v>1935</v>
      </c>
      <c r="D29" s="2" t="s">
        <v>49</v>
      </c>
      <c r="E29" s="2" t="s">
        <v>1703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89</v>
      </c>
      <c r="L29" s="6" t="s">
        <v>103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2018</v>
      </c>
      <c r="R29" s="2">
        <v>6472491.909</v>
      </c>
      <c r="S29" s="2">
        <v>0</v>
      </c>
      <c r="T29" s="2" t="s">
        <v>130</v>
      </c>
      <c r="U29" s="2" t="s">
        <v>131</v>
      </c>
      <c r="V29" s="2" t="s">
        <v>56</v>
      </c>
      <c r="W29" s="2" t="s">
        <v>98</v>
      </c>
      <c r="X29" s="2" t="s">
        <v>132</v>
      </c>
      <c r="Y29" s="2">
        <v>2.3713660970983499</v>
      </c>
      <c r="Z29" s="2">
        <v>2371.3660970983501</v>
      </c>
      <c r="AA29" s="2">
        <v>4.7837500000000004</v>
      </c>
      <c r="AB29" s="2">
        <v>-74.044138888888895</v>
      </c>
      <c r="AC29" s="2">
        <v>2580</v>
      </c>
      <c r="AD29" s="2">
        <v>0</v>
      </c>
      <c r="AE29" s="2" t="s">
        <v>133</v>
      </c>
      <c r="AF29" s="2" t="s">
        <v>86</v>
      </c>
      <c r="AG29" s="2" t="s">
        <v>61</v>
      </c>
      <c r="AH29" s="2" t="s">
        <v>62</v>
      </c>
      <c r="AI29" s="2" t="s">
        <v>100</v>
      </c>
      <c r="AJ29" s="2">
        <v>1.98104781459684</v>
      </c>
      <c r="AK29" s="2">
        <v>3.67160273100076</v>
      </c>
      <c r="AL29" s="2">
        <v>2.1361438092155298</v>
      </c>
      <c r="AM29" s="2">
        <v>1.10453057450254</v>
      </c>
      <c r="AN29" s="2">
        <v>4.2205885746857499</v>
      </c>
      <c r="AO29" s="2">
        <v>1.3439842702131701E-3</v>
      </c>
      <c r="AP29" s="2">
        <v>1.3439842702131701E-3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15.3</v>
      </c>
      <c r="AZ29" s="2">
        <v>9.8000000000000007</v>
      </c>
      <c r="BA29" s="2">
        <v>29.7</v>
      </c>
      <c r="BB29" s="2">
        <v>564</v>
      </c>
      <c r="BC29" s="2">
        <v>68</v>
      </c>
      <c r="BD29" s="2">
        <v>1.8</v>
      </c>
      <c r="BE29" s="2">
        <v>43</v>
      </c>
      <c r="BF29" s="2">
        <v>25.4</v>
      </c>
      <c r="BG29" s="2">
        <v>162</v>
      </c>
      <c r="BH29" s="2">
        <v>9.1</v>
      </c>
      <c r="BI29" s="2">
        <v>9.1999999999999993</v>
      </c>
      <c r="BJ29" s="2">
        <v>18.3</v>
      </c>
      <c r="BK29" s="2">
        <v>0.34</v>
      </c>
      <c r="BL29" s="2">
        <v>7.3</v>
      </c>
      <c r="BM29" s="2">
        <v>0.9</v>
      </c>
      <c r="BN29" s="2">
        <v>7.5</v>
      </c>
      <c r="BO29" s="2">
        <v>2.9</v>
      </c>
      <c r="BP29" s="2">
        <f t="shared" si="0"/>
        <v>8.7145998590739104</v>
      </c>
      <c r="BQ29" s="2">
        <f t="shared" si="1"/>
        <v>28.056890697881784</v>
      </c>
    </row>
    <row r="30" spans="1:69" x14ac:dyDescent="0.2">
      <c r="A30" s="2" t="s">
        <v>3100</v>
      </c>
      <c r="B30" s="2" t="s">
        <v>47</v>
      </c>
      <c r="C30" s="2" t="s">
        <v>1935</v>
      </c>
      <c r="D30" s="2" t="s">
        <v>49</v>
      </c>
      <c r="E30" s="2" t="s">
        <v>3101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89</v>
      </c>
      <c r="L30" s="6" t="s">
        <v>141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3102</v>
      </c>
      <c r="R30" s="2">
        <v>6666666.6670000004</v>
      </c>
      <c r="S30" s="2">
        <v>0</v>
      </c>
      <c r="T30" s="2" t="s">
        <v>96</v>
      </c>
      <c r="U30" s="2" t="s">
        <v>97</v>
      </c>
      <c r="V30" s="2" t="s">
        <v>56</v>
      </c>
      <c r="W30" s="2" t="s">
        <v>98</v>
      </c>
      <c r="X30" s="2" t="s">
        <v>99</v>
      </c>
      <c r="Y30" s="2">
        <v>2.5385466162987802</v>
      </c>
      <c r="Z30" s="2">
        <v>2538.54661629878</v>
      </c>
      <c r="AA30" s="2">
        <v>4.73719444444444</v>
      </c>
      <c r="AB30" s="2">
        <v>-74.069472222222203</v>
      </c>
      <c r="AC30" s="2">
        <v>2555</v>
      </c>
      <c r="AD30" s="2">
        <v>0</v>
      </c>
      <c r="AE30" s="2" t="s">
        <v>59</v>
      </c>
      <c r="AF30" s="2" t="s">
        <v>86</v>
      </c>
      <c r="AG30" s="2" t="s">
        <v>61</v>
      </c>
      <c r="AH30" s="2" t="s">
        <v>62</v>
      </c>
      <c r="AI30" s="2" t="s">
        <v>100</v>
      </c>
      <c r="AJ30" s="2">
        <v>0.81922158178506599</v>
      </c>
      <c r="AK30" s="2">
        <v>5.0192088388221299</v>
      </c>
      <c r="AL30" s="2">
        <v>1.0776062556278401</v>
      </c>
      <c r="AM30" s="2">
        <v>0.36967843036527098</v>
      </c>
      <c r="AN30" s="2">
        <v>2.6770009976990301</v>
      </c>
      <c r="AO30" s="2">
        <v>0.29353017745225901</v>
      </c>
      <c r="AP30" s="2">
        <v>0.29353017745225901</v>
      </c>
      <c r="AQ30" s="2">
        <v>0</v>
      </c>
      <c r="AR30" s="2">
        <v>1</v>
      </c>
      <c r="AS30" s="2">
        <v>0</v>
      </c>
      <c r="AT30" s="2">
        <v>0</v>
      </c>
      <c r="AU30" s="2">
        <v>0</v>
      </c>
      <c r="AV30" s="2">
        <v>10</v>
      </c>
      <c r="AW30" s="2">
        <v>0</v>
      </c>
      <c r="AX30" s="2">
        <v>0</v>
      </c>
      <c r="AY30" s="2">
        <v>15.3</v>
      </c>
      <c r="AZ30" s="2">
        <v>9.8000000000000007</v>
      </c>
      <c r="BA30" s="2">
        <v>29.7</v>
      </c>
      <c r="BB30" s="2">
        <v>564</v>
      </c>
      <c r="BC30" s="2">
        <v>68</v>
      </c>
      <c r="BD30" s="2">
        <v>1.8</v>
      </c>
      <c r="BE30" s="2">
        <v>43</v>
      </c>
      <c r="BF30" s="2">
        <v>25.4</v>
      </c>
      <c r="BG30" s="2">
        <v>162</v>
      </c>
      <c r="BH30" s="2">
        <v>9.1</v>
      </c>
      <c r="BI30" s="2">
        <v>9.1999999999999993</v>
      </c>
      <c r="BJ30" s="2">
        <v>18.3</v>
      </c>
      <c r="BK30" s="2">
        <v>0.34</v>
      </c>
      <c r="BL30" s="2">
        <v>7.3</v>
      </c>
      <c r="BM30" s="2">
        <v>0.9</v>
      </c>
      <c r="BN30" s="2">
        <v>7.5</v>
      </c>
      <c r="BO30" s="2">
        <v>2.9</v>
      </c>
      <c r="BP30" s="2">
        <f t="shared" si="0"/>
        <v>8.6427803271112733</v>
      </c>
      <c r="BQ30" s="2">
        <f t="shared" si="1"/>
        <v>27.94454266413906</v>
      </c>
    </row>
    <row r="31" spans="1:69" x14ac:dyDescent="0.2">
      <c r="A31" s="2" t="s">
        <v>2108</v>
      </c>
      <c r="B31" s="2" t="s">
        <v>47</v>
      </c>
      <c r="C31" s="2" t="s">
        <v>1935</v>
      </c>
      <c r="D31" s="2" t="s">
        <v>49</v>
      </c>
      <c r="E31" s="2" t="s">
        <v>2109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89</v>
      </c>
      <c r="L31" s="6" t="s">
        <v>103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2110</v>
      </c>
      <c r="R31" s="2">
        <v>6166666.6670000004</v>
      </c>
      <c r="S31" s="2">
        <v>0</v>
      </c>
      <c r="T31" s="2" t="s">
        <v>96</v>
      </c>
      <c r="U31" s="2" t="s">
        <v>97</v>
      </c>
      <c r="V31" s="2" t="s">
        <v>56</v>
      </c>
      <c r="W31" s="2" t="s">
        <v>98</v>
      </c>
      <c r="X31" s="2" t="s">
        <v>99</v>
      </c>
      <c r="Y31" s="2">
        <v>4.5377541495757496</v>
      </c>
      <c r="Z31" s="2">
        <v>4537.7541495757496</v>
      </c>
      <c r="AA31" s="2">
        <v>4.73719444444444</v>
      </c>
      <c r="AB31" s="2">
        <v>-74.069472222222203</v>
      </c>
      <c r="AC31" s="2">
        <v>2555</v>
      </c>
      <c r="AD31" s="2">
        <v>0</v>
      </c>
      <c r="AE31" s="2" t="s">
        <v>59</v>
      </c>
      <c r="AF31" s="2" t="s">
        <v>86</v>
      </c>
      <c r="AG31" s="2" t="s">
        <v>61</v>
      </c>
      <c r="AH31" s="2" t="s">
        <v>62</v>
      </c>
      <c r="AI31" s="2" t="s">
        <v>100</v>
      </c>
      <c r="AJ31" s="2">
        <v>0.68329733557755101</v>
      </c>
      <c r="AK31" s="2">
        <v>5.1920778158007597</v>
      </c>
      <c r="AL31" s="2">
        <v>0.37114059792222298</v>
      </c>
      <c r="AM31" s="2">
        <v>0.577893621375834</v>
      </c>
      <c r="AN31" s="2">
        <v>2.12343840964283</v>
      </c>
      <c r="AO31" s="2">
        <v>0.601196273728409</v>
      </c>
      <c r="AP31" s="2">
        <v>0.601196273728409</v>
      </c>
      <c r="AQ31" s="2">
        <v>0</v>
      </c>
      <c r="AR31" s="2">
        <v>2</v>
      </c>
      <c r="AS31" s="2">
        <v>0</v>
      </c>
      <c r="AT31" s="2">
        <v>0</v>
      </c>
      <c r="AU31" s="2">
        <v>2</v>
      </c>
      <c r="AV31" s="2">
        <v>13</v>
      </c>
      <c r="AW31" s="2">
        <v>0</v>
      </c>
      <c r="AX31" s="2">
        <v>0</v>
      </c>
      <c r="AY31" s="2">
        <v>15.3</v>
      </c>
      <c r="AZ31" s="2">
        <v>9.8000000000000007</v>
      </c>
      <c r="BA31" s="2">
        <v>29.7</v>
      </c>
      <c r="BB31" s="2">
        <v>564</v>
      </c>
      <c r="BC31" s="2">
        <v>68</v>
      </c>
      <c r="BD31" s="2">
        <v>1.8</v>
      </c>
      <c r="BE31" s="2">
        <v>43</v>
      </c>
      <c r="BF31" s="2">
        <v>25.4</v>
      </c>
      <c r="BG31" s="2">
        <v>162</v>
      </c>
      <c r="BH31" s="2">
        <v>9.1</v>
      </c>
      <c r="BI31" s="2">
        <v>9.1999999999999993</v>
      </c>
      <c r="BJ31" s="2">
        <v>18.3</v>
      </c>
      <c r="BK31" s="2">
        <v>0.34</v>
      </c>
      <c r="BL31" s="2">
        <v>7.3</v>
      </c>
      <c r="BM31" s="2">
        <v>0.9</v>
      </c>
      <c r="BN31" s="2">
        <v>7.5</v>
      </c>
      <c r="BO31" s="2">
        <v>2.9</v>
      </c>
      <c r="BP31" s="2">
        <f t="shared" si="0"/>
        <v>7.8284423394197598</v>
      </c>
      <c r="BQ31" s="2">
        <f t="shared" si="1"/>
        <v>26.635394356730764</v>
      </c>
    </row>
    <row r="32" spans="1:69" x14ac:dyDescent="0.2">
      <c r="A32" s="2" t="s">
        <v>2936</v>
      </c>
      <c r="B32" s="2" t="s">
        <v>47</v>
      </c>
      <c r="C32" s="2" t="s">
        <v>1935</v>
      </c>
      <c r="D32" s="2" t="s">
        <v>49</v>
      </c>
      <c r="E32" s="2" t="s">
        <v>246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89</v>
      </c>
      <c r="L32" s="6" t="s">
        <v>90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2937</v>
      </c>
      <c r="R32" s="2">
        <v>5500000</v>
      </c>
      <c r="S32" s="2">
        <v>0</v>
      </c>
      <c r="T32" s="2" t="s">
        <v>130</v>
      </c>
      <c r="U32" s="2" t="s">
        <v>131</v>
      </c>
      <c r="V32" s="2" t="s">
        <v>56</v>
      </c>
      <c r="W32" s="2" t="s">
        <v>98</v>
      </c>
      <c r="X32" s="2" t="s">
        <v>132</v>
      </c>
      <c r="Y32" s="2">
        <v>3.94056353292856</v>
      </c>
      <c r="Z32" s="2">
        <v>3940.5635329285601</v>
      </c>
      <c r="AA32" s="2">
        <v>4.7837500000000004</v>
      </c>
      <c r="AB32" s="2">
        <v>-74.044138888888895</v>
      </c>
      <c r="AC32" s="2">
        <v>2580</v>
      </c>
      <c r="AD32" s="2">
        <v>0</v>
      </c>
      <c r="AE32" s="2" t="s">
        <v>133</v>
      </c>
      <c r="AF32" s="2" t="s">
        <v>86</v>
      </c>
      <c r="AG32" s="2" t="s">
        <v>61</v>
      </c>
      <c r="AH32" s="2" t="s">
        <v>62</v>
      </c>
      <c r="AI32" s="2" t="s">
        <v>100</v>
      </c>
      <c r="AJ32" s="2">
        <v>5.5625071435306603</v>
      </c>
      <c r="AK32" s="2">
        <v>0.92589351545951204</v>
      </c>
      <c r="AL32" s="2">
        <v>2.0988111872115098</v>
      </c>
      <c r="AM32" s="2">
        <v>4.6069634031514299</v>
      </c>
      <c r="AN32" s="2">
        <v>8.8515036469124695</v>
      </c>
      <c r="AO32" s="2">
        <v>0.17873824348672299</v>
      </c>
      <c r="AP32" s="2">
        <v>0.17873824348672299</v>
      </c>
      <c r="AQ32" s="2">
        <v>0</v>
      </c>
      <c r="AR32" s="2">
        <v>0</v>
      </c>
      <c r="AS32" s="2">
        <v>0</v>
      </c>
      <c r="AT32" s="2">
        <v>1</v>
      </c>
      <c r="AU32" s="2">
        <v>0</v>
      </c>
      <c r="AV32" s="2">
        <v>0</v>
      </c>
      <c r="AW32" s="2">
        <v>0</v>
      </c>
      <c r="AX32" s="2">
        <v>0</v>
      </c>
      <c r="AY32" s="2">
        <v>15.3</v>
      </c>
      <c r="AZ32" s="2">
        <v>9.8000000000000007</v>
      </c>
      <c r="BA32" s="2">
        <v>29.7</v>
      </c>
      <c r="BB32" s="2">
        <v>564</v>
      </c>
      <c r="BC32" s="2">
        <v>68</v>
      </c>
      <c r="BD32" s="2">
        <v>1.8</v>
      </c>
      <c r="BE32" s="2">
        <v>43</v>
      </c>
      <c r="BF32" s="2">
        <v>25.4</v>
      </c>
      <c r="BG32" s="2">
        <v>162</v>
      </c>
      <c r="BH32" s="2">
        <v>9.1</v>
      </c>
      <c r="BI32" s="2">
        <v>9.1999999999999993</v>
      </c>
      <c r="BJ32" s="2">
        <v>18.3</v>
      </c>
      <c r="BK32" s="2">
        <v>0.34</v>
      </c>
      <c r="BL32" s="2">
        <v>7.3</v>
      </c>
      <c r="BM32" s="2">
        <v>0.9</v>
      </c>
      <c r="BN32" s="2">
        <v>7.5</v>
      </c>
      <c r="BO32" s="2">
        <v>2.9</v>
      </c>
      <c r="BP32" s="2">
        <f t="shared" si="0"/>
        <v>8.0633128109080481</v>
      </c>
      <c r="BQ32" s="2">
        <f t="shared" si="1"/>
        <v>27.019897013096518</v>
      </c>
    </row>
    <row r="33" spans="1:69" x14ac:dyDescent="0.2">
      <c r="A33" s="2" t="s">
        <v>2019</v>
      </c>
      <c r="B33" s="2" t="s">
        <v>47</v>
      </c>
      <c r="C33" s="2" t="s">
        <v>1935</v>
      </c>
      <c r="D33" s="2" t="s">
        <v>49</v>
      </c>
      <c r="E33" s="2" t="s">
        <v>246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89</v>
      </c>
      <c r="L33" s="6" t="s">
        <v>112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2020</v>
      </c>
      <c r="R33" s="2">
        <v>5500000</v>
      </c>
      <c r="S33" s="2">
        <v>0</v>
      </c>
      <c r="T33" s="2" t="s">
        <v>130</v>
      </c>
      <c r="U33" s="2" t="s">
        <v>131</v>
      </c>
      <c r="V33" s="2" t="s">
        <v>56</v>
      </c>
      <c r="W33" s="2" t="s">
        <v>98</v>
      </c>
      <c r="X33" s="2" t="s">
        <v>132</v>
      </c>
      <c r="Y33" s="2">
        <v>3.8740135642625599</v>
      </c>
      <c r="Z33" s="2">
        <v>3874.0135642625601</v>
      </c>
      <c r="AA33" s="2">
        <v>4.7837500000000004</v>
      </c>
      <c r="AB33" s="2">
        <v>-74.044138888888895</v>
      </c>
      <c r="AC33" s="2">
        <v>2580</v>
      </c>
      <c r="AD33" s="2">
        <v>0</v>
      </c>
      <c r="AE33" s="2" t="s">
        <v>133</v>
      </c>
      <c r="AF33" s="2" t="s">
        <v>86</v>
      </c>
      <c r="AG33" s="2" t="s">
        <v>61</v>
      </c>
      <c r="AH33" s="2" t="s">
        <v>62</v>
      </c>
      <c r="AI33" s="2" t="s">
        <v>100</v>
      </c>
      <c r="AJ33" s="2">
        <v>5.4920640217483001</v>
      </c>
      <c r="AK33" s="2">
        <v>1.0220037629538801</v>
      </c>
      <c r="AL33" s="2">
        <v>2.0187995390631102</v>
      </c>
      <c r="AM33" s="2">
        <v>4.4247126716954099</v>
      </c>
      <c r="AN33" s="2">
        <v>8.8234534355339296</v>
      </c>
      <c r="AO33" s="2">
        <v>0.37615942350075299</v>
      </c>
      <c r="AP33" s="2">
        <v>0.37615942350075299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15.3</v>
      </c>
      <c r="AZ33" s="2">
        <v>9.8000000000000007</v>
      </c>
      <c r="BA33" s="2">
        <v>29.7</v>
      </c>
      <c r="BB33" s="2">
        <v>564</v>
      </c>
      <c r="BC33" s="2">
        <v>68</v>
      </c>
      <c r="BD33" s="2">
        <v>1.8</v>
      </c>
      <c r="BE33" s="2">
        <v>43</v>
      </c>
      <c r="BF33" s="2">
        <v>25.4</v>
      </c>
      <c r="BG33" s="2">
        <v>162</v>
      </c>
      <c r="BH33" s="2">
        <v>9.1</v>
      </c>
      <c r="BI33" s="2">
        <v>9.1999999999999993</v>
      </c>
      <c r="BJ33" s="2">
        <v>18.3</v>
      </c>
      <c r="BK33" s="2">
        <v>0.34</v>
      </c>
      <c r="BL33" s="2">
        <v>7.3</v>
      </c>
      <c r="BM33" s="2">
        <v>0.9</v>
      </c>
      <c r="BN33" s="2">
        <v>7.5</v>
      </c>
      <c r="BO33" s="2">
        <v>2.9</v>
      </c>
      <c r="BP33" s="2">
        <f t="shared" si="0"/>
        <v>8.0899189642926554</v>
      </c>
      <c r="BQ33" s="2">
        <f t="shared" si="1"/>
        <v>27.063087655135156</v>
      </c>
    </row>
    <row r="34" spans="1:69" x14ac:dyDescent="0.2">
      <c r="A34" s="2" t="s">
        <v>2119</v>
      </c>
      <c r="B34" s="2" t="s">
        <v>47</v>
      </c>
      <c r="C34" s="2" t="s">
        <v>1935</v>
      </c>
      <c r="D34" s="2" t="s">
        <v>49</v>
      </c>
      <c r="E34" s="2" t="s">
        <v>1703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89</v>
      </c>
      <c r="L34" s="6" t="s">
        <v>103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2120</v>
      </c>
      <c r="R34" s="2">
        <v>4466666.6670000004</v>
      </c>
      <c r="S34" s="2">
        <v>0</v>
      </c>
      <c r="T34" s="2" t="s">
        <v>130</v>
      </c>
      <c r="U34" s="2" t="s">
        <v>131</v>
      </c>
      <c r="V34" s="2" t="s">
        <v>56</v>
      </c>
      <c r="W34" s="2" t="s">
        <v>98</v>
      </c>
      <c r="X34" s="2" t="s">
        <v>132</v>
      </c>
      <c r="Y34" s="2">
        <v>3.0396776450968099</v>
      </c>
      <c r="Z34" s="2">
        <v>3039.67764509681</v>
      </c>
      <c r="AA34" s="2">
        <v>4.7837500000000004</v>
      </c>
      <c r="AB34" s="2">
        <v>-74.044138888888895</v>
      </c>
      <c r="AC34" s="2">
        <v>2580</v>
      </c>
      <c r="AD34" s="2">
        <v>0</v>
      </c>
      <c r="AE34" s="2" t="s">
        <v>133</v>
      </c>
      <c r="AF34" s="2" t="s">
        <v>86</v>
      </c>
      <c r="AG34" s="2" t="s">
        <v>61</v>
      </c>
      <c r="AH34" s="2" t="s">
        <v>62</v>
      </c>
      <c r="AI34" s="2" t="s">
        <v>100</v>
      </c>
      <c r="AJ34" s="2">
        <v>2.2710455928236599</v>
      </c>
      <c r="AK34" s="2">
        <v>3.8089723466702301</v>
      </c>
      <c r="AL34" s="2">
        <v>1.8565046200259501</v>
      </c>
      <c r="AM34" s="2">
        <v>0.51328058704588997</v>
      </c>
      <c r="AN34" s="2">
        <v>3.5269858226795101</v>
      </c>
      <c r="AO34" s="2">
        <v>7.0847032711356802E-3</v>
      </c>
      <c r="AP34" s="2">
        <v>7.0847032711356802E-3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5</v>
      </c>
      <c r="AW34" s="2">
        <v>0</v>
      </c>
      <c r="AX34" s="2">
        <v>1</v>
      </c>
      <c r="AY34" s="2">
        <v>15.3</v>
      </c>
      <c r="AZ34" s="2">
        <v>9.8000000000000007</v>
      </c>
      <c r="BA34" s="2">
        <v>29.7</v>
      </c>
      <c r="BB34" s="2">
        <v>564</v>
      </c>
      <c r="BC34" s="2">
        <v>68</v>
      </c>
      <c r="BD34" s="2">
        <v>1.8</v>
      </c>
      <c r="BE34" s="2">
        <v>43</v>
      </c>
      <c r="BF34" s="2">
        <v>25.4</v>
      </c>
      <c r="BG34" s="2">
        <v>162</v>
      </c>
      <c r="BH34" s="2">
        <v>9.1</v>
      </c>
      <c r="BI34" s="2">
        <v>9.1999999999999993</v>
      </c>
      <c r="BJ34" s="2">
        <v>18.3</v>
      </c>
      <c r="BK34" s="2">
        <v>0.34</v>
      </c>
      <c r="BL34" s="2">
        <v>7.3</v>
      </c>
      <c r="BM34" s="2">
        <v>0.9</v>
      </c>
      <c r="BN34" s="2">
        <v>7.5</v>
      </c>
      <c r="BO34" s="2">
        <v>2.9</v>
      </c>
      <c r="BP34" s="2">
        <f t="shared" si="0"/>
        <v>8.4310248993402261</v>
      </c>
      <c r="BQ34" s="2">
        <f t="shared" si="1"/>
        <v>27.610462647645761</v>
      </c>
    </row>
    <row r="35" spans="1:69" x14ac:dyDescent="0.2">
      <c r="A35" s="2" t="s">
        <v>2010</v>
      </c>
      <c r="B35" s="2" t="s">
        <v>47</v>
      </c>
      <c r="C35" s="2" t="s">
        <v>1935</v>
      </c>
      <c r="D35" s="2" t="s">
        <v>49</v>
      </c>
      <c r="E35" s="2" t="s">
        <v>1703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89</v>
      </c>
      <c r="L35" s="6" t="s">
        <v>103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2011</v>
      </c>
      <c r="R35" s="2">
        <v>2916666.6669999999</v>
      </c>
      <c r="S35" s="2">
        <v>0</v>
      </c>
      <c r="T35" s="2" t="s">
        <v>130</v>
      </c>
      <c r="U35" s="2" t="s">
        <v>131</v>
      </c>
      <c r="V35" s="2" t="s">
        <v>56</v>
      </c>
      <c r="W35" s="2" t="s">
        <v>98</v>
      </c>
      <c r="X35" s="2" t="s">
        <v>132</v>
      </c>
      <c r="Y35" s="2">
        <v>2.6718471791561602</v>
      </c>
      <c r="Z35" s="2">
        <v>2671.8471791561601</v>
      </c>
      <c r="AA35" s="2">
        <v>4.7837500000000004</v>
      </c>
      <c r="AB35" s="2">
        <v>-74.044138888888895</v>
      </c>
      <c r="AC35" s="2">
        <v>2580</v>
      </c>
      <c r="AD35" s="2">
        <v>0</v>
      </c>
      <c r="AE35" s="2" t="s">
        <v>133</v>
      </c>
      <c r="AF35" s="2" t="s">
        <v>86</v>
      </c>
      <c r="AG35" s="2" t="s">
        <v>61</v>
      </c>
      <c r="AH35" s="2" t="s">
        <v>62</v>
      </c>
      <c r="AI35" s="2" t="s">
        <v>100</v>
      </c>
      <c r="AJ35" s="2">
        <v>2.1850630191417402</v>
      </c>
      <c r="AK35" s="2">
        <v>3.66289270778974</v>
      </c>
      <c r="AL35" s="2">
        <v>2.05539891172754</v>
      </c>
      <c r="AM35" s="2">
        <v>0.80670277287478698</v>
      </c>
      <c r="AN35" s="2">
        <v>3.9220686850226198</v>
      </c>
      <c r="AO35" s="2">
        <v>0.103229470861002</v>
      </c>
      <c r="AP35" s="2">
        <v>0.103229470861002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2</v>
      </c>
      <c r="AW35" s="2">
        <v>0</v>
      </c>
      <c r="AX35" s="2">
        <v>0</v>
      </c>
      <c r="AY35" s="2">
        <v>15.3</v>
      </c>
      <c r="AZ35" s="2">
        <v>9.8000000000000007</v>
      </c>
      <c r="BA35" s="2">
        <v>29.7</v>
      </c>
      <c r="BB35" s="2">
        <v>564</v>
      </c>
      <c r="BC35" s="2">
        <v>68</v>
      </c>
      <c r="BD35" s="2">
        <v>1.8</v>
      </c>
      <c r="BE35" s="2">
        <v>43</v>
      </c>
      <c r="BF35" s="2">
        <v>25.4</v>
      </c>
      <c r="BG35" s="2">
        <v>162</v>
      </c>
      <c r="BH35" s="2">
        <v>9.1</v>
      </c>
      <c r="BI35" s="2">
        <v>9.1999999999999993</v>
      </c>
      <c r="BJ35" s="2">
        <v>18.3</v>
      </c>
      <c r="BK35" s="2">
        <v>0.34</v>
      </c>
      <c r="BL35" s="2">
        <v>7.3</v>
      </c>
      <c r="BM35" s="2">
        <v>0.9</v>
      </c>
      <c r="BN35" s="2">
        <v>7.5</v>
      </c>
      <c r="BO35" s="2">
        <v>2.9</v>
      </c>
      <c r="BP35" s="2">
        <f t="shared" si="0"/>
        <v>8.5859397308354239</v>
      </c>
      <c r="BQ35" s="2">
        <f t="shared" si="1"/>
        <v>27.855284959113895</v>
      </c>
    </row>
    <row r="36" spans="1:69" x14ac:dyDescent="0.2">
      <c r="A36" s="2" t="s">
        <v>2478</v>
      </c>
      <c r="B36" s="2" t="s">
        <v>47</v>
      </c>
      <c r="C36" s="2" t="s">
        <v>1935</v>
      </c>
      <c r="D36" s="2" t="s">
        <v>49</v>
      </c>
      <c r="E36" s="2" t="s">
        <v>527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89</v>
      </c>
      <c r="L36" s="6" t="s">
        <v>141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2479</v>
      </c>
      <c r="R36" s="2">
        <v>4912280.7019999996</v>
      </c>
      <c r="S36" s="2">
        <v>0</v>
      </c>
      <c r="T36" s="2" t="s">
        <v>96</v>
      </c>
      <c r="U36" s="2" t="s">
        <v>97</v>
      </c>
      <c r="V36" s="2" t="s">
        <v>56</v>
      </c>
      <c r="W36" s="2" t="s">
        <v>98</v>
      </c>
      <c r="X36" s="2" t="s">
        <v>99</v>
      </c>
      <c r="Y36" s="2">
        <v>2.8573438721511302</v>
      </c>
      <c r="Z36" s="2">
        <v>2857.3438721511302</v>
      </c>
      <c r="AA36" s="2">
        <v>4.73719444444444</v>
      </c>
      <c r="AB36" s="2">
        <v>-74.069472222222203</v>
      </c>
      <c r="AC36" s="2">
        <v>2555</v>
      </c>
      <c r="AD36" s="2">
        <v>0</v>
      </c>
      <c r="AE36" s="2" t="s">
        <v>59</v>
      </c>
      <c r="AF36" s="2" t="s">
        <v>86</v>
      </c>
      <c r="AG36" s="2" t="s">
        <v>61</v>
      </c>
      <c r="AH36" s="2" t="s">
        <v>62</v>
      </c>
      <c r="AI36" s="2" t="s">
        <v>100</v>
      </c>
      <c r="AJ36" s="2">
        <v>1.0657949431040199</v>
      </c>
      <c r="AK36" s="2">
        <v>5.0335894044544398</v>
      </c>
      <c r="AL36" s="2">
        <v>1.15921938460953</v>
      </c>
      <c r="AM36" s="2">
        <v>0.46180920654273899</v>
      </c>
      <c r="AN36" s="2">
        <v>2.9957450232700298</v>
      </c>
      <c r="AO36" s="2">
        <v>0.519241717539207</v>
      </c>
      <c r="AP36" s="2">
        <v>0.519241717539207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11</v>
      </c>
      <c r="AW36" s="2">
        <v>0</v>
      </c>
      <c r="AX36" s="2">
        <v>0</v>
      </c>
      <c r="AY36" s="2">
        <v>15.3</v>
      </c>
      <c r="AZ36" s="2">
        <v>9.8000000000000007</v>
      </c>
      <c r="BA36" s="2">
        <v>29.7</v>
      </c>
      <c r="BB36" s="2">
        <v>564</v>
      </c>
      <c r="BC36" s="2">
        <v>68</v>
      </c>
      <c r="BD36" s="2">
        <v>1.8</v>
      </c>
      <c r="BE36" s="2">
        <v>43</v>
      </c>
      <c r="BF36" s="2">
        <v>25.4</v>
      </c>
      <c r="BG36" s="2">
        <v>162</v>
      </c>
      <c r="BH36" s="2">
        <v>9.1</v>
      </c>
      <c r="BI36" s="2">
        <v>9.1999999999999993</v>
      </c>
      <c r="BJ36" s="2">
        <v>18.3</v>
      </c>
      <c r="BK36" s="2">
        <v>0.34</v>
      </c>
      <c r="BL36" s="2">
        <v>7.3</v>
      </c>
      <c r="BM36" s="2">
        <v>0.9</v>
      </c>
      <c r="BN36" s="2">
        <v>7.5</v>
      </c>
      <c r="BO36" s="2">
        <v>2.9</v>
      </c>
      <c r="BP36" s="2">
        <f t="shared" si="0"/>
        <v>8.5074637293049431</v>
      </c>
      <c r="BQ36" s="2">
        <f t="shared" si="1"/>
        <v>27.731551072382057</v>
      </c>
    </row>
    <row r="37" spans="1:69" x14ac:dyDescent="0.2">
      <c r="A37" s="2" t="s">
        <v>2533</v>
      </c>
      <c r="B37" s="2" t="s">
        <v>47</v>
      </c>
      <c r="C37" s="2" t="s">
        <v>1935</v>
      </c>
      <c r="D37" s="2" t="s">
        <v>49</v>
      </c>
      <c r="E37" s="2" t="s">
        <v>527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89</v>
      </c>
      <c r="L37" s="6" t="s">
        <v>141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2534</v>
      </c>
      <c r="R37" s="2">
        <v>7181818.182</v>
      </c>
      <c r="S37" s="2">
        <v>0</v>
      </c>
      <c r="T37" s="2" t="s">
        <v>96</v>
      </c>
      <c r="U37" s="2" t="s">
        <v>97</v>
      </c>
      <c r="V37" s="2" t="s">
        <v>56</v>
      </c>
      <c r="W37" s="2" t="s">
        <v>98</v>
      </c>
      <c r="X37" s="2" t="s">
        <v>99</v>
      </c>
      <c r="Y37" s="2">
        <v>2.9817532525348698</v>
      </c>
      <c r="Z37" s="2">
        <v>2981.7532525348702</v>
      </c>
      <c r="AA37" s="2">
        <v>4.73719444444444</v>
      </c>
      <c r="AB37" s="2">
        <v>-74.069472222222203</v>
      </c>
      <c r="AC37" s="2">
        <v>2555</v>
      </c>
      <c r="AD37" s="2">
        <v>0</v>
      </c>
      <c r="AE37" s="2" t="s">
        <v>59</v>
      </c>
      <c r="AF37" s="2" t="s">
        <v>86</v>
      </c>
      <c r="AG37" s="2" t="s">
        <v>61</v>
      </c>
      <c r="AH37" s="2" t="s">
        <v>62</v>
      </c>
      <c r="AI37" s="2" t="s">
        <v>100</v>
      </c>
      <c r="AJ37" s="2">
        <v>0.73286240091747901</v>
      </c>
      <c r="AK37" s="2">
        <v>5.3931868431287002</v>
      </c>
      <c r="AL37" s="2">
        <v>0.98243980144731402</v>
      </c>
      <c r="AM37" s="2">
        <v>0.20327555509552001</v>
      </c>
      <c r="AN37" s="2">
        <v>3.3144418532687601</v>
      </c>
      <c r="AO37" s="2">
        <v>0.30457715781231598</v>
      </c>
      <c r="AP37" s="2">
        <v>0.30457715781231598</v>
      </c>
      <c r="AQ37" s="2">
        <v>0</v>
      </c>
      <c r="AR37" s="2">
        <v>1</v>
      </c>
      <c r="AS37" s="2">
        <v>0</v>
      </c>
      <c r="AT37" s="2">
        <v>0</v>
      </c>
      <c r="AU37" s="2">
        <v>1</v>
      </c>
      <c r="AV37" s="2">
        <v>25</v>
      </c>
      <c r="AW37" s="2">
        <v>0</v>
      </c>
      <c r="AX37" s="2">
        <v>0</v>
      </c>
      <c r="AY37" s="2">
        <v>15.3</v>
      </c>
      <c r="AZ37" s="2">
        <v>9.8000000000000007</v>
      </c>
      <c r="BA37" s="2">
        <v>29.7</v>
      </c>
      <c r="BB37" s="2">
        <v>564</v>
      </c>
      <c r="BC37" s="2">
        <v>68</v>
      </c>
      <c r="BD37" s="2">
        <v>1.8</v>
      </c>
      <c r="BE37" s="2">
        <v>43</v>
      </c>
      <c r="BF37" s="2">
        <v>25.4</v>
      </c>
      <c r="BG37" s="2">
        <v>162</v>
      </c>
      <c r="BH37" s="2">
        <v>9.1</v>
      </c>
      <c r="BI37" s="2">
        <v>9.1999999999999993</v>
      </c>
      <c r="BJ37" s="2">
        <v>18.3</v>
      </c>
      <c r="BK37" s="2">
        <v>0.34</v>
      </c>
      <c r="BL37" s="2">
        <v>7.3</v>
      </c>
      <c r="BM37" s="2">
        <v>0.9</v>
      </c>
      <c r="BN37" s="2">
        <v>7.5</v>
      </c>
      <c r="BO37" s="2">
        <v>2.9</v>
      </c>
      <c r="BP37" s="2">
        <f t="shared" si="0"/>
        <v>8.4552335077115721</v>
      </c>
      <c r="BQ37" s="2">
        <f t="shared" si="1"/>
        <v>27.648873002870918</v>
      </c>
    </row>
    <row r="38" spans="1:69" x14ac:dyDescent="0.2">
      <c r="A38" s="2" t="s">
        <v>2002</v>
      </c>
      <c r="B38" s="2" t="s">
        <v>47</v>
      </c>
      <c r="C38" s="2" t="s">
        <v>1935</v>
      </c>
      <c r="D38" s="2" t="s">
        <v>49</v>
      </c>
      <c r="E38" s="2" t="s">
        <v>246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89</v>
      </c>
      <c r="L38" s="6" t="s">
        <v>112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2003</v>
      </c>
      <c r="R38" s="2">
        <v>3545454.5449999999</v>
      </c>
      <c r="S38" s="2">
        <v>0</v>
      </c>
      <c r="T38" s="2" t="s">
        <v>130</v>
      </c>
      <c r="U38" s="2" t="s">
        <v>131</v>
      </c>
      <c r="V38" s="2" t="s">
        <v>56</v>
      </c>
      <c r="W38" s="2" t="s">
        <v>98</v>
      </c>
      <c r="X38" s="2" t="s">
        <v>132</v>
      </c>
      <c r="Y38" s="2">
        <v>3.4151876565085701</v>
      </c>
      <c r="Z38" s="2">
        <v>3415.1876565085699</v>
      </c>
      <c r="AA38" s="2">
        <v>4.7837500000000004</v>
      </c>
      <c r="AB38" s="2">
        <v>-74.044138888888895</v>
      </c>
      <c r="AC38" s="2">
        <v>2580</v>
      </c>
      <c r="AD38" s="2">
        <v>0</v>
      </c>
      <c r="AE38" s="2" t="s">
        <v>133</v>
      </c>
      <c r="AF38" s="2" t="s">
        <v>86</v>
      </c>
      <c r="AG38" s="2" t="s">
        <v>61</v>
      </c>
      <c r="AH38" s="2" t="s">
        <v>62</v>
      </c>
      <c r="AI38" s="2" t="s">
        <v>100</v>
      </c>
      <c r="AJ38" s="2">
        <v>5.0199828737223102</v>
      </c>
      <c r="AK38" s="2">
        <v>1.44794109202475</v>
      </c>
      <c r="AL38" s="2">
        <v>1.56923909481288</v>
      </c>
      <c r="AM38" s="2">
        <v>3.8751381141096899</v>
      </c>
      <c r="AN38" s="2">
        <v>8.4171033728344504</v>
      </c>
      <c r="AO38" s="2">
        <v>0.96646018304994896</v>
      </c>
      <c r="AP38" s="2">
        <v>0.96646018304994896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15.3</v>
      </c>
      <c r="AZ38" s="2">
        <v>9.8000000000000007</v>
      </c>
      <c r="BA38" s="2">
        <v>29.7</v>
      </c>
      <c r="BB38" s="2">
        <v>564</v>
      </c>
      <c r="BC38" s="2">
        <v>68</v>
      </c>
      <c r="BD38" s="2">
        <v>1.8</v>
      </c>
      <c r="BE38" s="2">
        <v>43</v>
      </c>
      <c r="BF38" s="2">
        <v>25.4</v>
      </c>
      <c r="BG38" s="2">
        <v>162</v>
      </c>
      <c r="BH38" s="2">
        <v>9.1</v>
      </c>
      <c r="BI38" s="2">
        <v>9.1999999999999993</v>
      </c>
      <c r="BJ38" s="2">
        <v>18.3</v>
      </c>
      <c r="BK38" s="2">
        <v>0.34</v>
      </c>
      <c r="BL38" s="2">
        <v>7.3</v>
      </c>
      <c r="BM38" s="2">
        <v>0.9</v>
      </c>
      <c r="BN38" s="2">
        <v>7.5</v>
      </c>
      <c r="BO38" s="2">
        <v>2.9</v>
      </c>
      <c r="BP38" s="2">
        <f t="shared" si="0"/>
        <v>8.2757586488434587</v>
      </c>
      <c r="BQ38" s="2">
        <f t="shared" si="1"/>
        <v>27.362748430832639</v>
      </c>
    </row>
    <row r="39" spans="1:69" x14ac:dyDescent="0.2">
      <c r="A39" s="2" t="s">
        <v>2176</v>
      </c>
      <c r="B39" s="2" t="s">
        <v>47</v>
      </c>
      <c r="C39" s="2" t="s">
        <v>1935</v>
      </c>
      <c r="D39" s="2" t="s">
        <v>49</v>
      </c>
      <c r="E39" s="2" t="s">
        <v>246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89</v>
      </c>
      <c r="L39" s="6" t="s">
        <v>103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2177</v>
      </c>
      <c r="R39" s="2">
        <v>5350553.5060000001</v>
      </c>
      <c r="S39" s="2">
        <v>0</v>
      </c>
      <c r="T39" s="2" t="s">
        <v>130</v>
      </c>
      <c r="U39" s="2" t="s">
        <v>131</v>
      </c>
      <c r="V39" s="2" t="s">
        <v>56</v>
      </c>
      <c r="W39" s="2" t="s">
        <v>98</v>
      </c>
      <c r="X39" s="2" t="s">
        <v>132</v>
      </c>
      <c r="Y39" s="2">
        <v>3.7547637663028599</v>
      </c>
      <c r="Z39" s="2">
        <v>3754.7637663028599</v>
      </c>
      <c r="AA39" s="2">
        <v>4.7837500000000004</v>
      </c>
      <c r="AB39" s="2">
        <v>-74.044138888888895</v>
      </c>
      <c r="AC39" s="2">
        <v>2580</v>
      </c>
      <c r="AD39" s="2">
        <v>0</v>
      </c>
      <c r="AE39" s="2" t="s">
        <v>133</v>
      </c>
      <c r="AF39" s="2" t="s">
        <v>86</v>
      </c>
      <c r="AG39" s="2" t="s">
        <v>61</v>
      </c>
      <c r="AH39" s="2" t="s">
        <v>62</v>
      </c>
      <c r="AI39" s="2" t="s">
        <v>100</v>
      </c>
      <c r="AJ39" s="2">
        <v>5.3788281283284496</v>
      </c>
      <c r="AK39" s="2">
        <v>1.10350409633276</v>
      </c>
      <c r="AL39" s="2">
        <v>1.9291083259891699</v>
      </c>
      <c r="AM39" s="2">
        <v>4.4230446012343902</v>
      </c>
      <c r="AN39" s="2">
        <v>8.6459028322607594</v>
      </c>
      <c r="AO39" s="2">
        <v>0.25195960356421099</v>
      </c>
      <c r="AP39" s="2">
        <v>0.25195960356421099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15.3</v>
      </c>
      <c r="AZ39" s="2">
        <v>9.8000000000000007</v>
      </c>
      <c r="BA39" s="2">
        <v>29.7</v>
      </c>
      <c r="BB39" s="2">
        <v>564</v>
      </c>
      <c r="BC39" s="2">
        <v>68</v>
      </c>
      <c r="BD39" s="2">
        <v>1.8</v>
      </c>
      <c r="BE39" s="2">
        <v>43</v>
      </c>
      <c r="BF39" s="2">
        <v>25.4</v>
      </c>
      <c r="BG39" s="2">
        <v>162</v>
      </c>
      <c r="BH39" s="2">
        <v>9.1</v>
      </c>
      <c r="BI39" s="2">
        <v>9.1999999999999993</v>
      </c>
      <c r="BJ39" s="2">
        <v>18.3</v>
      </c>
      <c r="BK39" s="2">
        <v>0.34</v>
      </c>
      <c r="BL39" s="2">
        <v>7.3</v>
      </c>
      <c r="BM39" s="2">
        <v>0.9</v>
      </c>
      <c r="BN39" s="2">
        <v>7.5</v>
      </c>
      <c r="BO39" s="2">
        <v>2.9</v>
      </c>
      <c r="BP39" s="2">
        <f t="shared" si="0"/>
        <v>8.1378138833423499</v>
      </c>
      <c r="BQ39" s="2">
        <f t="shared" si="1"/>
        <v>27.140653023685548</v>
      </c>
    </row>
    <row r="40" spans="1:69" x14ac:dyDescent="0.2">
      <c r="A40" s="2" t="s">
        <v>2958</v>
      </c>
      <c r="B40" s="2" t="s">
        <v>47</v>
      </c>
      <c r="C40" s="2" t="s">
        <v>1935</v>
      </c>
      <c r="D40" s="2" t="s">
        <v>49</v>
      </c>
      <c r="E40" s="2" t="s">
        <v>246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89</v>
      </c>
      <c r="L40" s="6" t="s">
        <v>141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2959</v>
      </c>
      <c r="R40" s="2">
        <v>3525046.3820000002</v>
      </c>
      <c r="S40" s="2">
        <v>0</v>
      </c>
      <c r="T40" s="2" t="s">
        <v>130</v>
      </c>
      <c r="U40" s="2" t="s">
        <v>131</v>
      </c>
      <c r="V40" s="2" t="s">
        <v>56</v>
      </c>
      <c r="W40" s="2" t="s">
        <v>98</v>
      </c>
      <c r="X40" s="2" t="s">
        <v>132</v>
      </c>
      <c r="Y40" s="2">
        <v>3.5393332588851498</v>
      </c>
      <c r="Z40" s="2">
        <v>3539.3332588851499</v>
      </c>
      <c r="AA40" s="2">
        <v>4.7837500000000004</v>
      </c>
      <c r="AB40" s="2">
        <v>-74.044138888888895</v>
      </c>
      <c r="AC40" s="2">
        <v>2580</v>
      </c>
      <c r="AD40" s="2">
        <v>0</v>
      </c>
      <c r="AE40" s="2" t="s">
        <v>133</v>
      </c>
      <c r="AF40" s="2" t="s">
        <v>86</v>
      </c>
      <c r="AG40" s="2" t="s">
        <v>61</v>
      </c>
      <c r="AH40" s="2" t="s">
        <v>62</v>
      </c>
      <c r="AI40" s="2" t="s">
        <v>100</v>
      </c>
      <c r="AJ40" s="2">
        <v>5.1019747262262003</v>
      </c>
      <c r="AK40" s="2">
        <v>1.3265334265858899</v>
      </c>
      <c r="AL40" s="2">
        <v>1.76383460825947</v>
      </c>
      <c r="AM40" s="2">
        <v>3.4717839025134101</v>
      </c>
      <c r="AN40" s="2">
        <v>8.5651922665369593</v>
      </c>
      <c r="AO40" s="2">
        <v>1.26954881358238</v>
      </c>
      <c r="AP40" s="2">
        <v>1.26954881358238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15.3</v>
      </c>
      <c r="AZ40" s="2">
        <v>9.8000000000000007</v>
      </c>
      <c r="BA40" s="2">
        <v>29.7</v>
      </c>
      <c r="BB40" s="2">
        <v>564</v>
      </c>
      <c r="BC40" s="2">
        <v>68</v>
      </c>
      <c r="BD40" s="2">
        <v>1.8</v>
      </c>
      <c r="BE40" s="2">
        <v>43</v>
      </c>
      <c r="BF40" s="2">
        <v>25.4</v>
      </c>
      <c r="BG40" s="2">
        <v>162</v>
      </c>
      <c r="BH40" s="2">
        <v>9.1</v>
      </c>
      <c r="BI40" s="2">
        <v>9.1999999999999993</v>
      </c>
      <c r="BJ40" s="2">
        <v>18.3</v>
      </c>
      <c r="BK40" s="2">
        <v>0.34</v>
      </c>
      <c r="BL40" s="2">
        <v>7.3</v>
      </c>
      <c r="BM40" s="2">
        <v>0.9</v>
      </c>
      <c r="BN40" s="2">
        <v>7.5</v>
      </c>
      <c r="BO40" s="2">
        <v>2.9</v>
      </c>
      <c r="BP40" s="2">
        <f t="shared" si="0"/>
        <v>8.225058337748905</v>
      </c>
      <c r="BQ40" s="2">
        <f t="shared" si="1"/>
        <v>27.281342607875363</v>
      </c>
    </row>
    <row r="41" spans="1:69" x14ac:dyDescent="0.2">
      <c r="A41" s="2" t="s">
        <v>2124</v>
      </c>
      <c r="B41" s="2" t="s">
        <v>47</v>
      </c>
      <c r="C41" s="2" t="s">
        <v>1935</v>
      </c>
      <c r="D41" s="2" t="s">
        <v>49</v>
      </c>
      <c r="E41" s="2" t="s">
        <v>1703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89</v>
      </c>
      <c r="L41" s="6" t="s">
        <v>103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2125</v>
      </c>
      <c r="R41" s="2">
        <v>6730769.2309999997</v>
      </c>
      <c r="S41" s="2">
        <v>0</v>
      </c>
      <c r="T41" s="2" t="s">
        <v>130</v>
      </c>
      <c r="U41" s="2" t="s">
        <v>131</v>
      </c>
      <c r="V41" s="2" t="s">
        <v>56</v>
      </c>
      <c r="W41" s="2" t="s">
        <v>98</v>
      </c>
      <c r="X41" s="2" t="s">
        <v>132</v>
      </c>
      <c r="Y41" s="2">
        <v>2.8908097963291901</v>
      </c>
      <c r="Z41" s="2">
        <v>2890.8097963291898</v>
      </c>
      <c r="AA41" s="2">
        <v>4.7837500000000004</v>
      </c>
      <c r="AB41" s="2">
        <v>-74.044138888888895</v>
      </c>
      <c r="AC41" s="2">
        <v>2580</v>
      </c>
      <c r="AD41" s="2">
        <v>0</v>
      </c>
      <c r="AE41" s="2" t="s">
        <v>133</v>
      </c>
      <c r="AF41" s="2" t="s">
        <v>86</v>
      </c>
      <c r="AG41" s="2" t="s">
        <v>61</v>
      </c>
      <c r="AH41" s="2" t="s">
        <v>62</v>
      </c>
      <c r="AI41" s="2" t="s">
        <v>100</v>
      </c>
      <c r="AJ41" s="2">
        <v>1.68626289108858</v>
      </c>
      <c r="AK41" s="2">
        <v>4.0986739193947503</v>
      </c>
      <c r="AL41" s="2">
        <v>1.2518684715486299</v>
      </c>
      <c r="AM41" s="2">
        <v>0.42524646266294602</v>
      </c>
      <c r="AN41" s="2">
        <v>3.7046530357400602</v>
      </c>
      <c r="AO41" s="2">
        <v>8.6677316745727498E-2</v>
      </c>
      <c r="AP41" s="2">
        <v>8.6677316745727498E-2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5</v>
      </c>
      <c r="AW41" s="2">
        <v>0</v>
      </c>
      <c r="AX41" s="2">
        <v>1</v>
      </c>
      <c r="AY41" s="2">
        <v>15.3</v>
      </c>
      <c r="AZ41" s="2">
        <v>9.8000000000000007</v>
      </c>
      <c r="BA41" s="2">
        <v>29.7</v>
      </c>
      <c r="BB41" s="2">
        <v>564</v>
      </c>
      <c r="BC41" s="2">
        <v>68</v>
      </c>
      <c r="BD41" s="2">
        <v>1.8</v>
      </c>
      <c r="BE41" s="2">
        <v>43</v>
      </c>
      <c r="BF41" s="2">
        <v>25.4</v>
      </c>
      <c r="BG41" s="2">
        <v>162</v>
      </c>
      <c r="BH41" s="2">
        <v>9.1</v>
      </c>
      <c r="BI41" s="2">
        <v>9.1999999999999993</v>
      </c>
      <c r="BJ41" s="2">
        <v>18.3</v>
      </c>
      <c r="BK41" s="2">
        <v>0.34</v>
      </c>
      <c r="BL41" s="2">
        <v>7.3</v>
      </c>
      <c r="BM41" s="2">
        <v>0.9</v>
      </c>
      <c r="BN41" s="2">
        <v>7.5</v>
      </c>
      <c r="BO41" s="2">
        <v>2.9</v>
      </c>
      <c r="BP41" s="2">
        <f t="shared" si="0"/>
        <v>8.4933822442229001</v>
      </c>
      <c r="BQ41" s="2">
        <f t="shared" si="1"/>
        <v>27.709286527169269</v>
      </c>
    </row>
    <row r="42" spans="1:69" x14ac:dyDescent="0.2">
      <c r="A42" s="2" t="s">
        <v>2276</v>
      </c>
      <c r="B42" s="2" t="s">
        <v>47</v>
      </c>
      <c r="C42" s="2" t="s">
        <v>1935</v>
      </c>
      <c r="D42" s="2" t="s">
        <v>49</v>
      </c>
      <c r="E42" s="2" t="s">
        <v>2277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89</v>
      </c>
      <c r="L42" s="6" t="s">
        <v>94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2278</v>
      </c>
      <c r="R42" s="2">
        <v>5098039.216</v>
      </c>
      <c r="S42" s="2">
        <v>0</v>
      </c>
      <c r="T42" s="2" t="s">
        <v>130</v>
      </c>
      <c r="U42" s="2" t="s">
        <v>131</v>
      </c>
      <c r="V42" s="2" t="s">
        <v>56</v>
      </c>
      <c r="W42" s="2" t="s">
        <v>98</v>
      </c>
      <c r="X42" s="2" t="s">
        <v>132</v>
      </c>
      <c r="Y42" s="2">
        <v>3.1885946928703301</v>
      </c>
      <c r="Z42" s="2">
        <v>3188.5946928703302</v>
      </c>
      <c r="AA42" s="2">
        <v>4.7837500000000004</v>
      </c>
      <c r="AB42" s="2">
        <v>-74.044138888888895</v>
      </c>
      <c r="AC42" s="2">
        <v>2580</v>
      </c>
      <c r="AD42" s="2">
        <v>0</v>
      </c>
      <c r="AE42" s="2" t="s">
        <v>133</v>
      </c>
      <c r="AF42" s="2" t="s">
        <v>86</v>
      </c>
      <c r="AG42" s="2" t="s">
        <v>61</v>
      </c>
      <c r="AH42" s="2" t="s">
        <v>62</v>
      </c>
      <c r="AI42" s="2" t="s">
        <v>87</v>
      </c>
      <c r="AJ42" s="2">
        <v>4.6623486576644897</v>
      </c>
      <c r="AK42" s="2">
        <v>2.7090149515865898</v>
      </c>
      <c r="AL42" s="2">
        <v>2.0984175187076701</v>
      </c>
      <c r="AM42" s="2">
        <v>3.7856117185075</v>
      </c>
      <c r="AN42" s="2">
        <v>7.4486587410695497</v>
      </c>
      <c r="AO42" s="2">
        <v>1.15831421540242</v>
      </c>
      <c r="AP42" s="2">
        <v>1.15831421540242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15.3</v>
      </c>
      <c r="AZ42" s="2">
        <v>9.8000000000000007</v>
      </c>
      <c r="BA42" s="2">
        <v>29.7</v>
      </c>
      <c r="BB42" s="2">
        <v>564</v>
      </c>
      <c r="BC42" s="2">
        <v>68</v>
      </c>
      <c r="BD42" s="2">
        <v>1.8</v>
      </c>
      <c r="BE42" s="2">
        <v>43</v>
      </c>
      <c r="BF42" s="2">
        <v>25.4</v>
      </c>
      <c r="BG42" s="2">
        <v>162</v>
      </c>
      <c r="BH42" s="2">
        <v>9.1</v>
      </c>
      <c r="BI42" s="2">
        <v>9.1999999999999993</v>
      </c>
      <c r="BJ42" s="2">
        <v>18.3</v>
      </c>
      <c r="BK42" s="2">
        <v>0.34</v>
      </c>
      <c r="BL42" s="2">
        <v>7.3</v>
      </c>
      <c r="BM42" s="2">
        <v>0.9</v>
      </c>
      <c r="BN42" s="2">
        <v>7.5</v>
      </c>
      <c r="BO42" s="2">
        <v>2.9</v>
      </c>
      <c r="BP42" s="2">
        <f t="shared" si="0"/>
        <v>8.3691049925145382</v>
      </c>
      <c r="BQ42" s="2">
        <f t="shared" si="1"/>
        <v>27.51195873340107</v>
      </c>
    </row>
    <row r="43" spans="1:69" x14ac:dyDescent="0.2">
      <c r="A43" s="2" t="s">
        <v>2926</v>
      </c>
      <c r="B43" s="2" t="s">
        <v>47</v>
      </c>
      <c r="C43" s="2" t="s">
        <v>1935</v>
      </c>
      <c r="D43" s="2" t="s">
        <v>49</v>
      </c>
      <c r="E43" s="2" t="s">
        <v>1496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89</v>
      </c>
      <c r="L43" s="6" t="s">
        <v>141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2927</v>
      </c>
      <c r="R43" s="2">
        <v>2750491.159</v>
      </c>
      <c r="S43" s="2">
        <v>0</v>
      </c>
      <c r="T43" s="2" t="s">
        <v>96</v>
      </c>
      <c r="U43" s="2" t="s">
        <v>97</v>
      </c>
      <c r="V43" s="2" t="s">
        <v>56</v>
      </c>
      <c r="W43" s="2" t="s">
        <v>98</v>
      </c>
      <c r="X43" s="2" t="s">
        <v>99</v>
      </c>
      <c r="Y43" s="2">
        <v>3.3981300651644699</v>
      </c>
      <c r="Z43" s="2">
        <v>3398.1300651644701</v>
      </c>
      <c r="AA43" s="2">
        <v>4.73719444444444</v>
      </c>
      <c r="AB43" s="2">
        <v>-74.069472222222203</v>
      </c>
      <c r="AC43" s="2">
        <v>2555</v>
      </c>
      <c r="AD43" s="2">
        <v>0</v>
      </c>
      <c r="AE43" s="2" t="s">
        <v>59</v>
      </c>
      <c r="AF43" s="2" t="s">
        <v>86</v>
      </c>
      <c r="AG43" s="2" t="s">
        <v>61</v>
      </c>
      <c r="AH43" s="2" t="s">
        <v>62</v>
      </c>
      <c r="AI43" s="2" t="s">
        <v>100</v>
      </c>
      <c r="AJ43" s="2">
        <v>0.66064061921026696</v>
      </c>
      <c r="AK43" s="2">
        <v>5.5422527163417703</v>
      </c>
      <c r="AL43" s="2">
        <v>1.19682051415188</v>
      </c>
      <c r="AM43" s="2">
        <v>0.103822001318383</v>
      </c>
      <c r="AN43" s="2">
        <v>3.4429952593268398</v>
      </c>
      <c r="AO43" s="2">
        <v>0.168797113946519</v>
      </c>
      <c r="AP43" s="2">
        <v>0.168797113946519</v>
      </c>
      <c r="AQ43" s="2">
        <v>0</v>
      </c>
      <c r="AR43" s="2">
        <v>2</v>
      </c>
      <c r="AS43" s="2">
        <v>0</v>
      </c>
      <c r="AT43" s="2">
        <v>0</v>
      </c>
      <c r="AU43" s="2">
        <v>0</v>
      </c>
      <c r="AV43" s="2">
        <v>32</v>
      </c>
      <c r="AW43" s="2">
        <v>0</v>
      </c>
      <c r="AX43" s="2">
        <v>0</v>
      </c>
      <c r="AY43" s="2">
        <v>15.3</v>
      </c>
      <c r="AZ43" s="2">
        <v>9.8000000000000007</v>
      </c>
      <c r="BA43" s="2">
        <v>29.7</v>
      </c>
      <c r="BB43" s="2">
        <v>564</v>
      </c>
      <c r="BC43" s="2">
        <v>68</v>
      </c>
      <c r="BD43" s="2">
        <v>1.8</v>
      </c>
      <c r="BE43" s="2">
        <v>43</v>
      </c>
      <c r="BF43" s="2">
        <v>25.4</v>
      </c>
      <c r="BG43" s="2">
        <v>162</v>
      </c>
      <c r="BH43" s="2">
        <v>9.1</v>
      </c>
      <c r="BI43" s="2">
        <v>9.1999999999999993</v>
      </c>
      <c r="BJ43" s="2">
        <v>18.3</v>
      </c>
      <c r="BK43" s="2">
        <v>0.34</v>
      </c>
      <c r="BL43" s="2">
        <v>7.3</v>
      </c>
      <c r="BM43" s="2">
        <v>0.9</v>
      </c>
      <c r="BN43" s="2">
        <v>7.5</v>
      </c>
      <c r="BO43" s="2">
        <v>2.9</v>
      </c>
      <c r="BP43" s="2">
        <f t="shared" si="0"/>
        <v>8.2827492428850515</v>
      </c>
      <c r="BQ43" s="2">
        <f t="shared" si="1"/>
        <v>27.373952545997604</v>
      </c>
    </row>
    <row r="44" spans="1:69" x14ac:dyDescent="0.2">
      <c r="A44" s="2" t="s">
        <v>3198</v>
      </c>
      <c r="B44" s="2" t="s">
        <v>47</v>
      </c>
      <c r="C44" s="2" t="s">
        <v>1935</v>
      </c>
      <c r="D44" s="2" t="s">
        <v>49</v>
      </c>
      <c r="E44" s="2" t="s">
        <v>1703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89</v>
      </c>
      <c r="L44" s="6" t="s">
        <v>103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3199</v>
      </c>
      <c r="R44" s="2">
        <v>4400000</v>
      </c>
      <c r="S44" s="2">
        <v>0</v>
      </c>
      <c r="T44" s="2" t="s">
        <v>130</v>
      </c>
      <c r="U44" s="2" t="s">
        <v>131</v>
      </c>
      <c r="V44" s="2" t="s">
        <v>56</v>
      </c>
      <c r="W44" s="2" t="s">
        <v>98</v>
      </c>
      <c r="X44" s="2" t="s">
        <v>132</v>
      </c>
      <c r="Y44" s="2">
        <v>2.7020133144431102</v>
      </c>
      <c r="Z44" s="2">
        <v>2702.0133144431102</v>
      </c>
      <c r="AA44" s="2">
        <v>4.7837500000000004</v>
      </c>
      <c r="AB44" s="2">
        <v>-74.044138888888895</v>
      </c>
      <c r="AC44" s="2">
        <v>2580</v>
      </c>
      <c r="AD44" s="2">
        <v>0</v>
      </c>
      <c r="AE44" s="2" t="s">
        <v>133</v>
      </c>
      <c r="AF44" s="2" t="s">
        <v>86</v>
      </c>
      <c r="AG44" s="2" t="s">
        <v>61</v>
      </c>
      <c r="AH44" s="2" t="s">
        <v>62</v>
      </c>
      <c r="AI44" s="2" t="s">
        <v>100</v>
      </c>
      <c r="AJ44" s="2">
        <v>1.72910043504564</v>
      </c>
      <c r="AK44" s="2">
        <v>4.1063153761878297</v>
      </c>
      <c r="AL44" s="2">
        <v>1.4939056181656201</v>
      </c>
      <c r="AM44" s="2">
        <v>0.683818886989351</v>
      </c>
      <c r="AN44" s="2">
        <v>3.8561940890220998</v>
      </c>
      <c r="AO44" s="2">
        <v>0.28030815564509498</v>
      </c>
      <c r="AP44" s="2">
        <v>0.28030815564509498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3</v>
      </c>
      <c r="AW44" s="2">
        <v>0</v>
      </c>
      <c r="AX44" s="2">
        <v>1</v>
      </c>
      <c r="AY44" s="2">
        <v>15.3</v>
      </c>
      <c r="AZ44" s="2">
        <v>9.8000000000000007</v>
      </c>
      <c r="BA44" s="2">
        <v>29.7</v>
      </c>
      <c r="BB44" s="2">
        <v>564</v>
      </c>
      <c r="BC44" s="2">
        <v>68</v>
      </c>
      <c r="BD44" s="2">
        <v>1.8</v>
      </c>
      <c r="BE44" s="2">
        <v>43</v>
      </c>
      <c r="BF44" s="2">
        <v>25.4</v>
      </c>
      <c r="BG44" s="2">
        <v>162</v>
      </c>
      <c r="BH44" s="2">
        <v>9.1</v>
      </c>
      <c r="BI44" s="2">
        <v>9.1999999999999993</v>
      </c>
      <c r="BJ44" s="2">
        <v>18.3</v>
      </c>
      <c r="BK44" s="2">
        <v>0.34</v>
      </c>
      <c r="BL44" s="2">
        <v>7.3</v>
      </c>
      <c r="BM44" s="2">
        <v>0.9</v>
      </c>
      <c r="BN44" s="2">
        <v>7.5</v>
      </c>
      <c r="BO44" s="2">
        <v>2.9</v>
      </c>
      <c r="BP44" s="2">
        <f t="shared" si="0"/>
        <v>8.5731285695161379</v>
      </c>
      <c r="BQ44" s="2">
        <f t="shared" si="1"/>
        <v>27.835125386562378</v>
      </c>
    </row>
    <row r="45" spans="1:69" x14ac:dyDescent="0.2">
      <c r="A45" s="2" t="s">
        <v>2416</v>
      </c>
      <c r="B45" s="2" t="s">
        <v>47</v>
      </c>
      <c r="C45" s="2" t="s">
        <v>1935</v>
      </c>
      <c r="D45" s="2" t="s">
        <v>49</v>
      </c>
      <c r="E45" s="2" t="s">
        <v>246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89</v>
      </c>
      <c r="L45" s="6" t="s">
        <v>103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2417</v>
      </c>
      <c r="R45" s="2">
        <v>7070707.0710000005</v>
      </c>
      <c r="S45" s="2">
        <v>0</v>
      </c>
      <c r="T45" s="2" t="s">
        <v>130</v>
      </c>
      <c r="U45" s="2" t="s">
        <v>131</v>
      </c>
      <c r="V45" s="2" t="s">
        <v>56</v>
      </c>
      <c r="W45" s="2" t="s">
        <v>98</v>
      </c>
      <c r="X45" s="2" t="s">
        <v>132</v>
      </c>
      <c r="Y45" s="2">
        <v>3.9608536790384101</v>
      </c>
      <c r="Z45" s="2">
        <v>3960.8536790384101</v>
      </c>
      <c r="AA45" s="2">
        <v>4.7837500000000004</v>
      </c>
      <c r="AB45" s="2">
        <v>-74.044138888888895</v>
      </c>
      <c r="AC45" s="2">
        <v>2580</v>
      </c>
      <c r="AD45" s="2">
        <v>0</v>
      </c>
      <c r="AE45" s="2" t="s">
        <v>133</v>
      </c>
      <c r="AF45" s="2" t="s">
        <v>86</v>
      </c>
      <c r="AG45" s="2" t="s">
        <v>61</v>
      </c>
      <c r="AH45" s="2" t="s">
        <v>62</v>
      </c>
      <c r="AI45" s="2" t="s">
        <v>100</v>
      </c>
      <c r="AJ45" s="2">
        <v>5.5746097397625398</v>
      </c>
      <c r="AK45" s="2">
        <v>1.07227956348163</v>
      </c>
      <c r="AL45" s="2">
        <v>2.21721150407698</v>
      </c>
      <c r="AM45" s="2">
        <v>4.6239717682486399</v>
      </c>
      <c r="AN45" s="2">
        <v>8.7289186934471701</v>
      </c>
      <c r="AO45" s="2">
        <v>2.0650607888673699E-2</v>
      </c>
      <c r="AP45" s="2">
        <v>2.0650607888673699E-2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15.3</v>
      </c>
      <c r="AZ45" s="2">
        <v>9.8000000000000007</v>
      </c>
      <c r="BA45" s="2">
        <v>29.7</v>
      </c>
      <c r="BB45" s="2">
        <v>564</v>
      </c>
      <c r="BC45" s="2">
        <v>68</v>
      </c>
      <c r="BD45" s="2">
        <v>1.8</v>
      </c>
      <c r="BE45" s="2">
        <v>43</v>
      </c>
      <c r="BF45" s="2">
        <v>25.4</v>
      </c>
      <c r="BG45" s="2">
        <v>162</v>
      </c>
      <c r="BH45" s="2">
        <v>9.1</v>
      </c>
      <c r="BI45" s="2">
        <v>9.1999999999999993</v>
      </c>
      <c r="BJ45" s="2">
        <v>18.3</v>
      </c>
      <c r="BK45" s="2">
        <v>0.34</v>
      </c>
      <c r="BL45" s="2">
        <v>7.3</v>
      </c>
      <c r="BM45" s="2">
        <v>0.9</v>
      </c>
      <c r="BN45" s="2">
        <v>7.5</v>
      </c>
      <c r="BO45" s="2">
        <v>2.9</v>
      </c>
      <c r="BP45" s="2">
        <f t="shared" si="0"/>
        <v>8.0552183895984015</v>
      </c>
      <c r="BQ45" s="2">
        <f t="shared" si="1"/>
        <v>27.006742512438898</v>
      </c>
    </row>
    <row r="46" spans="1:69" x14ac:dyDescent="0.2">
      <c r="A46" s="2" t="s">
        <v>2172</v>
      </c>
      <c r="B46" s="2" t="s">
        <v>47</v>
      </c>
      <c r="C46" s="2" t="s">
        <v>1935</v>
      </c>
      <c r="D46" s="2" t="s">
        <v>49</v>
      </c>
      <c r="E46" s="2" t="s">
        <v>246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89</v>
      </c>
      <c r="L46" s="6" t="s">
        <v>103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2173</v>
      </c>
      <c r="R46" s="2">
        <v>5070993.915</v>
      </c>
      <c r="S46" s="2">
        <v>0</v>
      </c>
      <c r="T46" s="2" t="s">
        <v>130</v>
      </c>
      <c r="U46" s="2" t="s">
        <v>131</v>
      </c>
      <c r="V46" s="2" t="s">
        <v>56</v>
      </c>
      <c r="W46" s="2" t="s">
        <v>98</v>
      </c>
      <c r="X46" s="2" t="s">
        <v>132</v>
      </c>
      <c r="Y46" s="2">
        <v>3.6910614205457302</v>
      </c>
      <c r="Z46" s="2">
        <v>3691.06142054573</v>
      </c>
      <c r="AA46" s="2">
        <v>4.7837500000000004</v>
      </c>
      <c r="AB46" s="2">
        <v>-74.044138888888895</v>
      </c>
      <c r="AC46" s="2">
        <v>2580</v>
      </c>
      <c r="AD46" s="2">
        <v>0</v>
      </c>
      <c r="AE46" s="2" t="s">
        <v>133</v>
      </c>
      <c r="AF46" s="2" t="s">
        <v>86</v>
      </c>
      <c r="AG46" s="2" t="s">
        <v>61</v>
      </c>
      <c r="AH46" s="2" t="s">
        <v>62</v>
      </c>
      <c r="AI46" s="2" t="s">
        <v>100</v>
      </c>
      <c r="AJ46" s="2">
        <v>5.2684145542287997</v>
      </c>
      <c r="AK46" s="2">
        <v>1.1715929137780901</v>
      </c>
      <c r="AL46" s="2">
        <v>1.8803962180473299</v>
      </c>
      <c r="AM46" s="2">
        <v>3.6872401604240101</v>
      </c>
      <c r="AN46" s="2">
        <v>8.7117108681348991</v>
      </c>
      <c r="AO46" s="2">
        <v>1.04261447138145</v>
      </c>
      <c r="AP46" s="2">
        <v>1.04261447138145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15.3</v>
      </c>
      <c r="AZ46" s="2">
        <v>9.8000000000000007</v>
      </c>
      <c r="BA46" s="2">
        <v>29.7</v>
      </c>
      <c r="BB46" s="2">
        <v>564</v>
      </c>
      <c r="BC46" s="2">
        <v>68</v>
      </c>
      <c r="BD46" s="2">
        <v>1.8</v>
      </c>
      <c r="BE46" s="2">
        <v>43</v>
      </c>
      <c r="BF46" s="2">
        <v>25.4</v>
      </c>
      <c r="BG46" s="2">
        <v>162</v>
      </c>
      <c r="BH46" s="2">
        <v>9.1</v>
      </c>
      <c r="BI46" s="2">
        <v>9.1999999999999993</v>
      </c>
      <c r="BJ46" s="2">
        <v>18.3</v>
      </c>
      <c r="BK46" s="2">
        <v>0.34</v>
      </c>
      <c r="BL46" s="2">
        <v>7.3</v>
      </c>
      <c r="BM46" s="2">
        <v>0.9</v>
      </c>
      <c r="BN46" s="2">
        <v>7.5</v>
      </c>
      <c r="BO46" s="2">
        <v>2.9</v>
      </c>
      <c r="BP46" s="2">
        <f t="shared" si="0"/>
        <v>8.1635150761651492</v>
      </c>
      <c r="BQ46" s="2">
        <f t="shared" si="1"/>
        <v>27.18217891747085</v>
      </c>
    </row>
    <row r="47" spans="1:69" x14ac:dyDescent="0.2">
      <c r="A47" s="2" t="s">
        <v>2469</v>
      </c>
      <c r="B47" s="2" t="s">
        <v>47</v>
      </c>
      <c r="C47" s="2" t="s">
        <v>1935</v>
      </c>
      <c r="D47" s="2" t="s">
        <v>49</v>
      </c>
      <c r="E47" s="2" t="s">
        <v>1703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89</v>
      </c>
      <c r="L47" s="6" t="s">
        <v>141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2470</v>
      </c>
      <c r="R47" s="2">
        <v>3773584.906</v>
      </c>
      <c r="S47" s="2">
        <v>0</v>
      </c>
      <c r="T47" s="2" t="s">
        <v>96</v>
      </c>
      <c r="U47" s="2" t="s">
        <v>97</v>
      </c>
      <c r="V47" s="2" t="s">
        <v>56</v>
      </c>
      <c r="W47" s="2" t="s">
        <v>98</v>
      </c>
      <c r="X47" s="2" t="s">
        <v>99</v>
      </c>
      <c r="Y47" s="2">
        <v>2.5738178721590499</v>
      </c>
      <c r="Z47" s="2">
        <v>2573.8178721590498</v>
      </c>
      <c r="AA47" s="2">
        <v>4.73719444444444</v>
      </c>
      <c r="AB47" s="2">
        <v>-74.069472222222203</v>
      </c>
      <c r="AC47" s="2">
        <v>2555</v>
      </c>
      <c r="AD47" s="2">
        <v>0</v>
      </c>
      <c r="AE47" s="2" t="s">
        <v>59</v>
      </c>
      <c r="AF47" s="2" t="s">
        <v>86</v>
      </c>
      <c r="AG47" s="2" t="s">
        <v>61</v>
      </c>
      <c r="AH47" s="2" t="s">
        <v>62</v>
      </c>
      <c r="AI47" s="2" t="s">
        <v>100</v>
      </c>
      <c r="AJ47" s="2">
        <v>1.7183987391308899</v>
      </c>
      <c r="AK47" s="2">
        <v>4.30677279347662</v>
      </c>
      <c r="AL47" s="2">
        <v>1.0192898894320901</v>
      </c>
      <c r="AM47" s="2">
        <v>8.9532573366316606E-2</v>
      </c>
      <c r="AN47" s="2">
        <v>3.3051159669152699</v>
      </c>
      <c r="AO47" s="2">
        <v>0.36248705651072399</v>
      </c>
      <c r="AP47" s="2">
        <v>0.36248705651072399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10</v>
      </c>
      <c r="AW47" s="2">
        <v>0</v>
      </c>
      <c r="AX47" s="2">
        <v>1</v>
      </c>
      <c r="AY47" s="2">
        <v>15.3</v>
      </c>
      <c r="AZ47" s="2">
        <v>9.8000000000000007</v>
      </c>
      <c r="BA47" s="2">
        <v>29.7</v>
      </c>
      <c r="BB47" s="2">
        <v>564</v>
      </c>
      <c r="BC47" s="2">
        <v>68</v>
      </c>
      <c r="BD47" s="2">
        <v>1.8</v>
      </c>
      <c r="BE47" s="2">
        <v>43</v>
      </c>
      <c r="BF47" s="2">
        <v>25.4</v>
      </c>
      <c r="BG47" s="2">
        <v>162</v>
      </c>
      <c r="BH47" s="2">
        <v>9.1</v>
      </c>
      <c r="BI47" s="2">
        <v>9.1999999999999993</v>
      </c>
      <c r="BJ47" s="2">
        <v>18.3</v>
      </c>
      <c r="BK47" s="2">
        <v>0.34</v>
      </c>
      <c r="BL47" s="2">
        <v>7.3</v>
      </c>
      <c r="BM47" s="2">
        <v>0.9</v>
      </c>
      <c r="BN47" s="2">
        <v>7.5</v>
      </c>
      <c r="BO47" s="2">
        <v>2.9</v>
      </c>
      <c r="BP47" s="2">
        <f t="shared" si="0"/>
        <v>8.6277038272214384</v>
      </c>
      <c r="BQ47" s="2">
        <f t="shared" si="1"/>
        <v>27.920897334815642</v>
      </c>
    </row>
    <row r="48" spans="1:69" x14ac:dyDescent="0.2">
      <c r="A48" s="2" t="s">
        <v>2004</v>
      </c>
      <c r="B48" s="2" t="s">
        <v>47</v>
      </c>
      <c r="C48" s="2" t="s">
        <v>1935</v>
      </c>
      <c r="D48" s="2" t="s">
        <v>49</v>
      </c>
      <c r="E48" s="2" t="s">
        <v>246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89</v>
      </c>
      <c r="L48" s="6" t="s">
        <v>103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2005</v>
      </c>
      <c r="R48" s="2">
        <v>6960410.0310000004</v>
      </c>
      <c r="S48" s="2">
        <v>0</v>
      </c>
      <c r="T48" s="2" t="s">
        <v>130</v>
      </c>
      <c r="U48" s="2" t="s">
        <v>131</v>
      </c>
      <c r="V48" s="2" t="s">
        <v>56</v>
      </c>
      <c r="W48" s="2" t="s">
        <v>98</v>
      </c>
      <c r="X48" s="2" t="s">
        <v>132</v>
      </c>
      <c r="Y48" s="2">
        <v>3.9608536790384101</v>
      </c>
      <c r="Z48" s="2">
        <v>3960.8536790384101</v>
      </c>
      <c r="AA48" s="2">
        <v>4.7837500000000004</v>
      </c>
      <c r="AB48" s="2">
        <v>-74.044138888888895</v>
      </c>
      <c r="AC48" s="2">
        <v>2580</v>
      </c>
      <c r="AD48" s="2">
        <v>0</v>
      </c>
      <c r="AE48" s="2" t="s">
        <v>133</v>
      </c>
      <c r="AF48" s="2" t="s">
        <v>86</v>
      </c>
      <c r="AG48" s="2" t="s">
        <v>61</v>
      </c>
      <c r="AH48" s="2" t="s">
        <v>62</v>
      </c>
      <c r="AI48" s="2" t="s">
        <v>100</v>
      </c>
      <c r="AJ48" s="2">
        <v>5.5746097397625398</v>
      </c>
      <c r="AK48" s="2">
        <v>1.07227956348163</v>
      </c>
      <c r="AL48" s="2">
        <v>2.21721150407698</v>
      </c>
      <c r="AM48" s="2">
        <v>4.6239717682486399</v>
      </c>
      <c r="AN48" s="2">
        <v>8.7289186934471701</v>
      </c>
      <c r="AO48" s="2">
        <v>2.0650607888673699E-2</v>
      </c>
      <c r="AP48" s="2">
        <v>2.0650607888673699E-2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15.3</v>
      </c>
      <c r="AZ48" s="2">
        <v>9.8000000000000007</v>
      </c>
      <c r="BA48" s="2">
        <v>29.7</v>
      </c>
      <c r="BB48" s="2">
        <v>564</v>
      </c>
      <c r="BC48" s="2">
        <v>68</v>
      </c>
      <c r="BD48" s="2">
        <v>1.8</v>
      </c>
      <c r="BE48" s="2">
        <v>43</v>
      </c>
      <c r="BF48" s="2">
        <v>25.4</v>
      </c>
      <c r="BG48" s="2">
        <v>162</v>
      </c>
      <c r="BH48" s="2">
        <v>9.1</v>
      </c>
      <c r="BI48" s="2">
        <v>9.1999999999999993</v>
      </c>
      <c r="BJ48" s="2">
        <v>18.3</v>
      </c>
      <c r="BK48" s="2">
        <v>0.34</v>
      </c>
      <c r="BL48" s="2">
        <v>7.3</v>
      </c>
      <c r="BM48" s="2">
        <v>0.9</v>
      </c>
      <c r="BN48" s="2">
        <v>7.5</v>
      </c>
      <c r="BO48" s="2">
        <v>2.9</v>
      </c>
      <c r="BP48" s="2">
        <f t="shared" si="0"/>
        <v>8.0552183895984015</v>
      </c>
      <c r="BQ48" s="2">
        <f t="shared" si="1"/>
        <v>27.006742512438898</v>
      </c>
    </row>
    <row r="49" spans="1:69" x14ac:dyDescent="0.2">
      <c r="A49" s="2" t="s">
        <v>2212</v>
      </c>
      <c r="B49" s="2" t="s">
        <v>47</v>
      </c>
      <c r="C49" s="2" t="s">
        <v>1935</v>
      </c>
      <c r="D49" s="2" t="s">
        <v>49</v>
      </c>
      <c r="E49" s="2" t="s">
        <v>1001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89</v>
      </c>
      <c r="L49" s="6" t="s">
        <v>141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2213</v>
      </c>
      <c r="R49" s="2">
        <v>6338072.8030000003</v>
      </c>
      <c r="S49" s="2">
        <v>0</v>
      </c>
      <c r="T49" s="2" t="s">
        <v>96</v>
      </c>
      <c r="U49" s="2" t="s">
        <v>97</v>
      </c>
      <c r="V49" s="2" t="s">
        <v>56</v>
      </c>
      <c r="W49" s="2" t="s">
        <v>98</v>
      </c>
      <c r="X49" s="2" t="s">
        <v>99</v>
      </c>
      <c r="Y49" s="2">
        <v>4.2156988374359603</v>
      </c>
      <c r="Z49" s="2">
        <v>4215.6988374359598</v>
      </c>
      <c r="AA49" s="2">
        <v>4.73719444444444</v>
      </c>
      <c r="AB49" s="2">
        <v>-74.069472222222203</v>
      </c>
      <c r="AC49" s="2">
        <v>2555</v>
      </c>
      <c r="AD49" s="2">
        <v>0</v>
      </c>
      <c r="AE49" s="2" t="s">
        <v>59</v>
      </c>
      <c r="AF49" s="2" t="s">
        <v>86</v>
      </c>
      <c r="AG49" s="2" t="s">
        <v>61</v>
      </c>
      <c r="AH49" s="2" t="s">
        <v>62</v>
      </c>
      <c r="AI49" s="2" t="s">
        <v>100</v>
      </c>
      <c r="AJ49" s="2">
        <v>0.884125723959301</v>
      </c>
      <c r="AK49" s="2">
        <v>5.1380666850569998</v>
      </c>
      <c r="AL49" s="2">
        <v>0.94159720541020997</v>
      </c>
      <c r="AM49" s="2">
        <v>6.4723721717084001E-2</v>
      </c>
      <c r="AN49" s="2">
        <v>2.9553560277415101</v>
      </c>
      <c r="AO49" s="2">
        <v>0.14562688472768501</v>
      </c>
      <c r="AP49" s="2">
        <v>0.14562688472768501</v>
      </c>
      <c r="AQ49" s="2">
        <v>0</v>
      </c>
      <c r="AR49" s="2">
        <v>1</v>
      </c>
      <c r="AS49" s="2">
        <v>0</v>
      </c>
      <c r="AT49" s="2">
        <v>0</v>
      </c>
      <c r="AU49" s="2">
        <v>1</v>
      </c>
      <c r="AV49" s="2">
        <v>36</v>
      </c>
      <c r="AW49" s="2">
        <v>0</v>
      </c>
      <c r="AX49" s="2">
        <v>0</v>
      </c>
      <c r="AY49" s="2">
        <v>15.3</v>
      </c>
      <c r="AZ49" s="2">
        <v>9.8000000000000007</v>
      </c>
      <c r="BA49" s="2">
        <v>29.7</v>
      </c>
      <c r="BB49" s="2">
        <v>564</v>
      </c>
      <c r="BC49" s="2">
        <v>68</v>
      </c>
      <c r="BD49" s="2">
        <v>1.8</v>
      </c>
      <c r="BE49" s="2">
        <v>43</v>
      </c>
      <c r="BF49" s="2">
        <v>25.4</v>
      </c>
      <c r="BG49" s="2">
        <v>162</v>
      </c>
      <c r="BH49" s="2">
        <v>9.1</v>
      </c>
      <c r="BI49" s="2">
        <v>9.1999999999999993</v>
      </c>
      <c r="BJ49" s="2">
        <v>18.3</v>
      </c>
      <c r="BK49" s="2">
        <v>0.34</v>
      </c>
      <c r="BL49" s="2">
        <v>7.3</v>
      </c>
      <c r="BM49" s="2">
        <v>0.9</v>
      </c>
      <c r="BN49" s="2">
        <v>7.5</v>
      </c>
      <c r="BO49" s="2">
        <v>2.9</v>
      </c>
      <c r="BP49" s="2">
        <f t="shared" si="0"/>
        <v>7.9542413792299147</v>
      </c>
      <c r="BQ49" s="2">
        <f t="shared" si="1"/>
        <v>26.842065729013985</v>
      </c>
    </row>
    <row r="50" spans="1:69" x14ac:dyDescent="0.2">
      <c r="A50" s="2" t="s">
        <v>2700</v>
      </c>
      <c r="B50" s="2" t="s">
        <v>47</v>
      </c>
      <c r="C50" s="2" t="s">
        <v>1935</v>
      </c>
      <c r="D50" s="2" t="s">
        <v>49</v>
      </c>
      <c r="E50" s="2" t="s">
        <v>246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89</v>
      </c>
      <c r="L50" s="6" t="s">
        <v>103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2701</v>
      </c>
      <c r="R50" s="2">
        <v>7173913.0429999996</v>
      </c>
      <c r="S50" s="2">
        <v>0</v>
      </c>
      <c r="T50" s="2" t="s">
        <v>130</v>
      </c>
      <c r="U50" s="2" t="s">
        <v>131</v>
      </c>
      <c r="V50" s="2" t="s">
        <v>56</v>
      </c>
      <c r="W50" s="2" t="s">
        <v>98</v>
      </c>
      <c r="X50" s="2" t="s">
        <v>132</v>
      </c>
      <c r="Y50" s="2">
        <v>3.31870995841189</v>
      </c>
      <c r="Z50" s="2">
        <v>3318.7099584118901</v>
      </c>
      <c r="AA50" s="2">
        <v>4.7837500000000004</v>
      </c>
      <c r="AB50" s="2">
        <v>-74.044138888888895</v>
      </c>
      <c r="AC50" s="2">
        <v>2580</v>
      </c>
      <c r="AD50" s="2">
        <v>0</v>
      </c>
      <c r="AE50" s="2" t="s">
        <v>133</v>
      </c>
      <c r="AF50" s="2" t="s">
        <v>86</v>
      </c>
      <c r="AG50" s="2" t="s">
        <v>61</v>
      </c>
      <c r="AH50" s="2" t="s">
        <v>62</v>
      </c>
      <c r="AI50" s="2" t="s">
        <v>100</v>
      </c>
      <c r="AJ50" s="2">
        <v>4.9362118483059003</v>
      </c>
      <c r="AK50" s="2">
        <v>1.5785624216147001</v>
      </c>
      <c r="AL50" s="2">
        <v>1.46475331815375</v>
      </c>
      <c r="AM50" s="2">
        <v>3.98464559435036</v>
      </c>
      <c r="AN50" s="2">
        <v>8.2968377490917309</v>
      </c>
      <c r="AO50" s="2">
        <v>0.874621925454797</v>
      </c>
      <c r="AP50" s="2">
        <v>0.874621925454797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15.3</v>
      </c>
      <c r="AZ50" s="2">
        <v>9.8000000000000007</v>
      </c>
      <c r="BA50" s="2">
        <v>29.7</v>
      </c>
      <c r="BB50" s="2">
        <v>564</v>
      </c>
      <c r="BC50" s="2">
        <v>68</v>
      </c>
      <c r="BD50" s="2">
        <v>1.8</v>
      </c>
      <c r="BE50" s="2">
        <v>43</v>
      </c>
      <c r="BF50" s="2">
        <v>25.4</v>
      </c>
      <c r="BG50" s="2">
        <v>162</v>
      </c>
      <c r="BH50" s="2">
        <v>9.1</v>
      </c>
      <c r="BI50" s="2">
        <v>9.1999999999999993</v>
      </c>
      <c r="BJ50" s="2">
        <v>18.3</v>
      </c>
      <c r="BK50" s="2">
        <v>0.34</v>
      </c>
      <c r="BL50" s="2">
        <v>7.3</v>
      </c>
      <c r="BM50" s="2">
        <v>0.9</v>
      </c>
      <c r="BN50" s="2">
        <v>7.5</v>
      </c>
      <c r="BO50" s="2">
        <v>2.9</v>
      </c>
      <c r="BP50" s="2">
        <f t="shared" si="0"/>
        <v>8.315375265168214</v>
      </c>
      <c r="BQ50" s="2">
        <f t="shared" si="1"/>
        <v>27.426179318057677</v>
      </c>
    </row>
    <row r="51" spans="1:69" x14ac:dyDescent="0.2">
      <c r="A51" s="2" t="s">
        <v>3159</v>
      </c>
      <c r="B51" s="2" t="s">
        <v>47</v>
      </c>
      <c r="C51" s="2" t="s">
        <v>1935</v>
      </c>
      <c r="D51" s="2" t="s">
        <v>49</v>
      </c>
      <c r="E51" s="2" t="s">
        <v>246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89</v>
      </c>
      <c r="L51" s="6" t="s">
        <v>103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3160</v>
      </c>
      <c r="R51" s="2">
        <v>6304347.8260000004</v>
      </c>
      <c r="S51" s="2">
        <v>0</v>
      </c>
      <c r="T51" s="2" t="s">
        <v>130</v>
      </c>
      <c r="U51" s="2" t="s">
        <v>131</v>
      </c>
      <c r="V51" s="2" t="s">
        <v>56</v>
      </c>
      <c r="W51" s="2" t="s">
        <v>98</v>
      </c>
      <c r="X51" s="2" t="s">
        <v>132</v>
      </c>
      <c r="Y51" s="2">
        <v>3.9780420995420198</v>
      </c>
      <c r="Z51" s="2">
        <v>3978.04209954202</v>
      </c>
      <c r="AA51" s="2">
        <v>4.7837500000000004</v>
      </c>
      <c r="AB51" s="2">
        <v>-74.044138888888895</v>
      </c>
      <c r="AC51" s="2">
        <v>2580</v>
      </c>
      <c r="AD51" s="2">
        <v>0</v>
      </c>
      <c r="AE51" s="2" t="s">
        <v>133</v>
      </c>
      <c r="AF51" s="2" t="s">
        <v>86</v>
      </c>
      <c r="AG51" s="2" t="s">
        <v>61</v>
      </c>
      <c r="AH51" s="2" t="s">
        <v>62</v>
      </c>
      <c r="AI51" s="2" t="s">
        <v>100</v>
      </c>
      <c r="AJ51" s="2">
        <v>5.5762511392270797</v>
      </c>
      <c r="AK51" s="2">
        <v>0.88840745561341194</v>
      </c>
      <c r="AL51" s="2">
        <v>2.1287733491823801</v>
      </c>
      <c r="AM51" s="2">
        <v>4.1062349004348704</v>
      </c>
      <c r="AN51" s="2">
        <v>8.9763353170427695</v>
      </c>
      <c r="AO51" s="2">
        <v>0.61125127769407095</v>
      </c>
      <c r="AP51" s="2">
        <v>0.61125127769407095</v>
      </c>
      <c r="AQ51" s="2">
        <v>0</v>
      </c>
      <c r="AR51" s="2">
        <v>0</v>
      </c>
      <c r="AS51" s="2">
        <v>0</v>
      </c>
      <c r="AT51" s="2">
        <v>1</v>
      </c>
      <c r="AU51" s="2">
        <v>0</v>
      </c>
      <c r="AV51" s="2">
        <v>0</v>
      </c>
      <c r="AW51" s="2">
        <v>0</v>
      </c>
      <c r="AX51" s="2">
        <v>0</v>
      </c>
      <c r="AY51" s="2">
        <v>15.3</v>
      </c>
      <c r="AZ51" s="2">
        <v>9.8000000000000007</v>
      </c>
      <c r="BA51" s="2">
        <v>29.7</v>
      </c>
      <c r="BB51" s="2">
        <v>564</v>
      </c>
      <c r="BC51" s="2">
        <v>68</v>
      </c>
      <c r="BD51" s="2">
        <v>1.8</v>
      </c>
      <c r="BE51" s="2">
        <v>43</v>
      </c>
      <c r="BF51" s="2">
        <v>25.4</v>
      </c>
      <c r="BG51" s="2">
        <v>162</v>
      </c>
      <c r="BH51" s="2">
        <v>9.1</v>
      </c>
      <c r="BI51" s="2">
        <v>9.1999999999999993</v>
      </c>
      <c r="BJ51" s="2">
        <v>18.3</v>
      </c>
      <c r="BK51" s="2">
        <v>0.34</v>
      </c>
      <c r="BL51" s="2">
        <v>7.3</v>
      </c>
      <c r="BM51" s="2">
        <v>0.9</v>
      </c>
      <c r="BN51" s="2">
        <v>7.5</v>
      </c>
      <c r="BO51" s="2">
        <v>2.9</v>
      </c>
      <c r="BP51" s="2">
        <f t="shared" si="0"/>
        <v>8.0483677085772527</v>
      </c>
      <c r="BQ51" s="2">
        <f t="shared" si="1"/>
        <v>26.995603932130408</v>
      </c>
    </row>
    <row r="52" spans="1:69" x14ac:dyDescent="0.2">
      <c r="A52" s="2" t="s">
        <v>3188</v>
      </c>
      <c r="B52" s="2" t="s">
        <v>47</v>
      </c>
      <c r="C52" s="2" t="s">
        <v>1935</v>
      </c>
      <c r="D52" s="2" t="s">
        <v>49</v>
      </c>
      <c r="E52" s="2" t="s">
        <v>1496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89</v>
      </c>
      <c r="L52" s="6" t="s">
        <v>141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3189</v>
      </c>
      <c r="R52" s="2">
        <v>3414096.9160000002</v>
      </c>
      <c r="S52" s="2">
        <v>0</v>
      </c>
      <c r="T52" s="2" t="s">
        <v>96</v>
      </c>
      <c r="U52" s="2" t="s">
        <v>97</v>
      </c>
      <c r="V52" s="2" t="s">
        <v>56</v>
      </c>
      <c r="W52" s="2" t="s">
        <v>98</v>
      </c>
      <c r="X52" s="2" t="s">
        <v>99</v>
      </c>
      <c r="Y52" s="2">
        <v>3.32122152104313</v>
      </c>
      <c r="Z52" s="2">
        <v>3321.22152104313</v>
      </c>
      <c r="AA52" s="2">
        <v>4.73719444444444</v>
      </c>
      <c r="AB52" s="2">
        <v>-74.069472222222203</v>
      </c>
      <c r="AC52" s="2">
        <v>2555</v>
      </c>
      <c r="AD52" s="2">
        <v>0</v>
      </c>
      <c r="AE52" s="2" t="s">
        <v>59</v>
      </c>
      <c r="AF52" s="2" t="s">
        <v>86</v>
      </c>
      <c r="AG52" s="2" t="s">
        <v>61</v>
      </c>
      <c r="AH52" s="2" t="s">
        <v>62</v>
      </c>
      <c r="AI52" s="2" t="s">
        <v>100</v>
      </c>
      <c r="AJ52" s="2">
        <v>0.39248974396638597</v>
      </c>
      <c r="AK52" s="2">
        <v>5.32992028564201</v>
      </c>
      <c r="AL52" s="2">
        <v>1.05962481483981</v>
      </c>
      <c r="AM52" s="2">
        <v>0.107264660847208</v>
      </c>
      <c r="AN52" s="2">
        <v>3.6868666977393798</v>
      </c>
      <c r="AO52" s="2">
        <v>0.191316503522269</v>
      </c>
      <c r="AP52" s="2">
        <v>0.191316503522269</v>
      </c>
      <c r="AQ52" s="2">
        <v>1</v>
      </c>
      <c r="AR52" s="2">
        <v>2</v>
      </c>
      <c r="AS52" s="2">
        <v>0</v>
      </c>
      <c r="AT52" s="2">
        <v>0</v>
      </c>
      <c r="AU52" s="2">
        <v>0</v>
      </c>
      <c r="AV52" s="2">
        <v>35</v>
      </c>
      <c r="AW52" s="2">
        <v>0</v>
      </c>
      <c r="AX52" s="2">
        <v>0</v>
      </c>
      <c r="AY52" s="2">
        <v>15.3</v>
      </c>
      <c r="AZ52" s="2">
        <v>9.8000000000000007</v>
      </c>
      <c r="BA52" s="2">
        <v>29.7</v>
      </c>
      <c r="BB52" s="2">
        <v>564</v>
      </c>
      <c r="BC52" s="2">
        <v>68</v>
      </c>
      <c r="BD52" s="2">
        <v>1.8</v>
      </c>
      <c r="BE52" s="2">
        <v>43</v>
      </c>
      <c r="BF52" s="2">
        <v>25.4</v>
      </c>
      <c r="BG52" s="2">
        <v>162</v>
      </c>
      <c r="BH52" s="2">
        <v>9.1</v>
      </c>
      <c r="BI52" s="2">
        <v>9.1999999999999993</v>
      </c>
      <c r="BJ52" s="2">
        <v>18.3</v>
      </c>
      <c r="BK52" s="2">
        <v>0.34</v>
      </c>
      <c r="BL52" s="2">
        <v>7.3</v>
      </c>
      <c r="BM52" s="2">
        <v>0.9</v>
      </c>
      <c r="BN52" s="2">
        <v>7.5</v>
      </c>
      <c r="BO52" s="2">
        <v>2.9</v>
      </c>
      <c r="BP52" s="2">
        <f t="shared" si="0"/>
        <v>8.3143415424308174</v>
      </c>
      <c r="BQ52" s="2">
        <f t="shared" si="1"/>
        <v>27.424526186271276</v>
      </c>
    </row>
    <row r="53" spans="1:69" x14ac:dyDescent="0.2">
      <c r="A53" s="2" t="s">
        <v>2480</v>
      </c>
      <c r="B53" s="2" t="s">
        <v>47</v>
      </c>
      <c r="C53" s="2" t="s">
        <v>1935</v>
      </c>
      <c r="D53" s="2" t="s">
        <v>49</v>
      </c>
      <c r="E53" s="2" t="s">
        <v>2481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89</v>
      </c>
      <c r="L53" s="6" t="s">
        <v>141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2482</v>
      </c>
      <c r="R53" s="2">
        <v>7333333.3329999996</v>
      </c>
      <c r="S53" s="2">
        <v>0</v>
      </c>
      <c r="T53" s="2" t="s">
        <v>130</v>
      </c>
      <c r="U53" s="2" t="s">
        <v>131</v>
      </c>
      <c r="V53" s="2" t="s">
        <v>56</v>
      </c>
      <c r="W53" s="2" t="s">
        <v>98</v>
      </c>
      <c r="X53" s="2" t="s">
        <v>132</v>
      </c>
      <c r="Y53" s="2">
        <v>4.7761869816625202</v>
      </c>
      <c r="Z53" s="2">
        <v>4776.1869816625203</v>
      </c>
      <c r="AA53" s="2">
        <v>4.7837500000000004</v>
      </c>
      <c r="AB53" s="2">
        <v>-74.044138888888895</v>
      </c>
      <c r="AC53" s="2">
        <v>2580</v>
      </c>
      <c r="AD53" s="2">
        <v>0</v>
      </c>
      <c r="AE53" s="2" t="s">
        <v>133</v>
      </c>
      <c r="AF53" s="2" t="s">
        <v>86</v>
      </c>
      <c r="AG53" s="2" t="s">
        <v>61</v>
      </c>
      <c r="AH53" s="2" t="s">
        <v>62</v>
      </c>
      <c r="AI53" s="2" t="s">
        <v>100</v>
      </c>
      <c r="AJ53" s="2">
        <v>6.3241283579626604</v>
      </c>
      <c r="AK53" s="2">
        <v>1.5903960203776499</v>
      </c>
      <c r="AL53" s="2">
        <v>3.2357101988881798</v>
      </c>
      <c r="AM53" s="2">
        <v>5.4065212987776503</v>
      </c>
      <c r="AN53" s="2">
        <v>9.2053026097110404</v>
      </c>
      <c r="AO53" s="2">
        <v>0.62225834454731099</v>
      </c>
      <c r="AP53" s="2">
        <v>0.62225834454731099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15.3</v>
      </c>
      <c r="AZ53" s="2">
        <v>9.8000000000000007</v>
      </c>
      <c r="BA53" s="2">
        <v>29.7</v>
      </c>
      <c r="BB53" s="2">
        <v>564</v>
      </c>
      <c r="BC53" s="2">
        <v>68</v>
      </c>
      <c r="BD53" s="2">
        <v>1.8</v>
      </c>
      <c r="BE53" s="2">
        <v>43</v>
      </c>
      <c r="BF53" s="2">
        <v>25.4</v>
      </c>
      <c r="BG53" s="2">
        <v>162</v>
      </c>
      <c r="BH53" s="2">
        <v>9.1</v>
      </c>
      <c r="BI53" s="2">
        <v>9.1999999999999993</v>
      </c>
      <c r="BJ53" s="2">
        <v>18.3</v>
      </c>
      <c r="BK53" s="2">
        <v>0.34</v>
      </c>
      <c r="BL53" s="2">
        <v>7.3</v>
      </c>
      <c r="BM53" s="2">
        <v>0.9</v>
      </c>
      <c r="BN53" s="2">
        <v>7.5</v>
      </c>
      <c r="BO53" s="2">
        <v>2.9</v>
      </c>
      <c r="BP53" s="2">
        <f t="shared" si="0"/>
        <v>7.736590835836882</v>
      </c>
      <c r="BQ53" s="2">
        <f t="shared" si="1"/>
        <v>26.483411563471304</v>
      </c>
    </row>
    <row r="54" spans="1:69" x14ac:dyDescent="0.2">
      <c r="A54" s="2" t="s">
        <v>2024</v>
      </c>
      <c r="B54" s="2" t="s">
        <v>47</v>
      </c>
      <c r="C54" s="2" t="s">
        <v>1935</v>
      </c>
      <c r="D54" s="2" t="s">
        <v>49</v>
      </c>
      <c r="E54" s="2" t="s">
        <v>511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89</v>
      </c>
      <c r="L54" s="6" t="s">
        <v>141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2025</v>
      </c>
      <c r="R54" s="2">
        <v>7288888.8890000004</v>
      </c>
      <c r="S54" s="2">
        <v>0</v>
      </c>
      <c r="T54" s="2" t="s">
        <v>96</v>
      </c>
      <c r="U54" s="2" t="s">
        <v>97</v>
      </c>
      <c r="V54" s="2" t="s">
        <v>56</v>
      </c>
      <c r="W54" s="2" t="s">
        <v>98</v>
      </c>
      <c r="X54" s="2" t="s">
        <v>99</v>
      </c>
      <c r="Y54" s="2">
        <v>2.8985413751468099</v>
      </c>
      <c r="Z54" s="2">
        <v>2898.54137514681</v>
      </c>
      <c r="AA54" s="2">
        <v>4.73719444444444</v>
      </c>
      <c r="AB54" s="2">
        <v>-74.069472222222203</v>
      </c>
      <c r="AC54" s="2">
        <v>2555</v>
      </c>
      <c r="AD54" s="2">
        <v>0</v>
      </c>
      <c r="AE54" s="2" t="s">
        <v>59</v>
      </c>
      <c r="AF54" s="2" t="s">
        <v>86</v>
      </c>
      <c r="AG54" s="2" t="s">
        <v>61</v>
      </c>
      <c r="AH54" s="2" t="s">
        <v>62</v>
      </c>
      <c r="AI54" s="2" t="s">
        <v>100</v>
      </c>
      <c r="AJ54" s="2">
        <v>0.80060104631868501</v>
      </c>
      <c r="AK54" s="2">
        <v>5.3072687223304396</v>
      </c>
      <c r="AL54" s="2">
        <v>0.98029607779975503</v>
      </c>
      <c r="AM54" s="2">
        <v>0.32285162892941199</v>
      </c>
      <c r="AN54" s="2">
        <v>3.1932305902167202</v>
      </c>
      <c r="AO54" s="2">
        <v>0.41358870872957099</v>
      </c>
      <c r="AP54" s="2">
        <v>0.41358870872957099</v>
      </c>
      <c r="AQ54" s="2">
        <v>0</v>
      </c>
      <c r="AR54" s="2">
        <v>1</v>
      </c>
      <c r="AS54" s="2">
        <v>0</v>
      </c>
      <c r="AT54" s="2">
        <v>0</v>
      </c>
      <c r="AU54" s="2">
        <v>1</v>
      </c>
      <c r="AV54" s="2">
        <v>16</v>
      </c>
      <c r="AW54" s="2">
        <v>0</v>
      </c>
      <c r="AX54" s="2">
        <v>0</v>
      </c>
      <c r="AY54" s="2">
        <v>15.3</v>
      </c>
      <c r="AZ54" s="2">
        <v>9.8000000000000007</v>
      </c>
      <c r="BA54" s="2">
        <v>29.7</v>
      </c>
      <c r="BB54" s="2">
        <v>564</v>
      </c>
      <c r="BC54" s="2">
        <v>68</v>
      </c>
      <c r="BD54" s="2">
        <v>1.8</v>
      </c>
      <c r="BE54" s="2">
        <v>43</v>
      </c>
      <c r="BF54" s="2">
        <v>25.4</v>
      </c>
      <c r="BG54" s="2">
        <v>162</v>
      </c>
      <c r="BH54" s="2">
        <v>9.1</v>
      </c>
      <c r="BI54" s="2">
        <v>9.1999999999999993</v>
      </c>
      <c r="BJ54" s="2">
        <v>18.3</v>
      </c>
      <c r="BK54" s="2">
        <v>0.34</v>
      </c>
      <c r="BL54" s="2">
        <v>7.3</v>
      </c>
      <c r="BM54" s="2">
        <v>0.9</v>
      </c>
      <c r="BN54" s="2">
        <v>7.5</v>
      </c>
      <c r="BO54" s="2">
        <v>2.9</v>
      </c>
      <c r="BP54" s="2">
        <f t="shared" si="0"/>
        <v>8.4901323370683279</v>
      </c>
      <c r="BQ54" s="2">
        <f t="shared" si="1"/>
        <v>27.704145327392762</v>
      </c>
    </row>
    <row r="55" spans="1:69" x14ac:dyDescent="0.2">
      <c r="A55" s="2" t="s">
        <v>2268</v>
      </c>
      <c r="B55" s="2" t="s">
        <v>47</v>
      </c>
      <c r="C55" s="2" t="s">
        <v>1935</v>
      </c>
      <c r="D55" s="2" t="s">
        <v>49</v>
      </c>
      <c r="E55" s="2" t="s">
        <v>1703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89</v>
      </c>
      <c r="L55" s="6" t="s">
        <v>103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2269</v>
      </c>
      <c r="R55" s="2">
        <v>5222222.2220000001</v>
      </c>
      <c r="S55" s="2">
        <v>0</v>
      </c>
      <c r="T55" s="2" t="s">
        <v>130</v>
      </c>
      <c r="U55" s="2" t="s">
        <v>131</v>
      </c>
      <c r="V55" s="2" t="s">
        <v>56</v>
      </c>
      <c r="W55" s="2" t="s">
        <v>98</v>
      </c>
      <c r="X55" s="2" t="s">
        <v>132</v>
      </c>
      <c r="Y55" s="2">
        <v>2.8980010651138302</v>
      </c>
      <c r="Z55" s="2">
        <v>2898.00106511383</v>
      </c>
      <c r="AA55" s="2">
        <v>4.7837500000000004</v>
      </c>
      <c r="AB55" s="2">
        <v>-74.044138888888895</v>
      </c>
      <c r="AC55" s="2">
        <v>2580</v>
      </c>
      <c r="AD55" s="2">
        <v>0</v>
      </c>
      <c r="AE55" s="2" t="s">
        <v>133</v>
      </c>
      <c r="AF55" s="2" t="s">
        <v>86</v>
      </c>
      <c r="AG55" s="2" t="s">
        <v>61</v>
      </c>
      <c r="AH55" s="2" t="s">
        <v>62</v>
      </c>
      <c r="AI55" s="2" t="s">
        <v>100</v>
      </c>
      <c r="AJ55" s="2">
        <v>1.8478857785298699</v>
      </c>
      <c r="AK55" s="2">
        <v>4.2379587308217701</v>
      </c>
      <c r="AL55" s="2">
        <v>1.4404799007548701</v>
      </c>
      <c r="AM55" s="2">
        <v>0.54535766989502799</v>
      </c>
      <c r="AN55" s="2">
        <v>3.6617279374652201</v>
      </c>
      <c r="AO55" s="2">
        <v>8.6007372629043594E-2</v>
      </c>
      <c r="AP55" s="2">
        <v>8.6007372629043594E-2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4</v>
      </c>
      <c r="AW55" s="2">
        <v>0</v>
      </c>
      <c r="AX55" s="2">
        <v>1</v>
      </c>
      <c r="AY55" s="2">
        <v>15.3</v>
      </c>
      <c r="AZ55" s="2">
        <v>9.8000000000000007</v>
      </c>
      <c r="BA55" s="2">
        <v>29.7</v>
      </c>
      <c r="BB55" s="2">
        <v>564</v>
      </c>
      <c r="BC55" s="2">
        <v>68</v>
      </c>
      <c r="BD55" s="2">
        <v>1.8</v>
      </c>
      <c r="BE55" s="2">
        <v>43</v>
      </c>
      <c r="BF55" s="2">
        <v>25.4</v>
      </c>
      <c r="BG55" s="2">
        <v>162</v>
      </c>
      <c r="BH55" s="2">
        <v>9.1</v>
      </c>
      <c r="BI55" s="2">
        <v>9.1999999999999993</v>
      </c>
      <c r="BJ55" s="2">
        <v>18.3</v>
      </c>
      <c r="BK55" s="2">
        <v>0.34</v>
      </c>
      <c r="BL55" s="2">
        <v>7.3</v>
      </c>
      <c r="BM55" s="2">
        <v>0.9</v>
      </c>
      <c r="BN55" s="2">
        <v>7.5</v>
      </c>
      <c r="BO55" s="2">
        <v>2.9</v>
      </c>
      <c r="BP55" s="2">
        <f t="shared" si="0"/>
        <v>8.4903594116372183</v>
      </c>
      <c r="BQ55" s="2">
        <f t="shared" si="1"/>
        <v>27.704504581586271</v>
      </c>
    </row>
    <row r="56" spans="1:69" x14ac:dyDescent="0.2">
      <c r="A56" s="2" t="s">
        <v>3021</v>
      </c>
      <c r="B56" s="2" t="s">
        <v>47</v>
      </c>
      <c r="C56" s="2" t="s">
        <v>1935</v>
      </c>
      <c r="D56" s="2" t="s">
        <v>49</v>
      </c>
      <c r="E56" s="2" t="s">
        <v>1496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89</v>
      </c>
      <c r="L56" s="6" t="s">
        <v>141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3022</v>
      </c>
      <c r="R56" s="2">
        <v>4000000</v>
      </c>
      <c r="S56" s="2">
        <v>0</v>
      </c>
      <c r="T56" s="2" t="s">
        <v>96</v>
      </c>
      <c r="U56" s="2" t="s">
        <v>97</v>
      </c>
      <c r="V56" s="2" t="s">
        <v>56</v>
      </c>
      <c r="W56" s="2" t="s">
        <v>98</v>
      </c>
      <c r="X56" s="2" t="s">
        <v>99</v>
      </c>
      <c r="Y56" s="2">
        <v>3.1171728858336598</v>
      </c>
      <c r="Z56" s="2">
        <v>3117.1728858336601</v>
      </c>
      <c r="AA56" s="2">
        <v>4.73719444444444</v>
      </c>
      <c r="AB56" s="2">
        <v>-74.069472222222203</v>
      </c>
      <c r="AC56" s="2">
        <v>2555</v>
      </c>
      <c r="AD56" s="2">
        <v>0</v>
      </c>
      <c r="AE56" s="2" t="s">
        <v>59</v>
      </c>
      <c r="AF56" s="2" t="s">
        <v>86</v>
      </c>
      <c r="AG56" s="2" t="s">
        <v>61</v>
      </c>
      <c r="AH56" s="2" t="s">
        <v>62</v>
      </c>
      <c r="AI56" s="2" t="s">
        <v>100</v>
      </c>
      <c r="AJ56" s="2">
        <v>0.42520841876850501</v>
      </c>
      <c r="AK56" s="2">
        <v>5.55235674903009</v>
      </c>
      <c r="AL56" s="2">
        <v>0.89634067029709896</v>
      </c>
      <c r="AM56" s="2">
        <v>0.14557579501982901</v>
      </c>
      <c r="AN56" s="2">
        <v>3.6556175285423098</v>
      </c>
      <c r="AO56" s="2">
        <v>0.37824771553757502</v>
      </c>
      <c r="AP56" s="2">
        <v>0.37824771553757502</v>
      </c>
      <c r="AQ56" s="2">
        <v>1</v>
      </c>
      <c r="AR56" s="2">
        <v>2</v>
      </c>
      <c r="AS56" s="2">
        <v>0</v>
      </c>
      <c r="AT56" s="2">
        <v>0</v>
      </c>
      <c r="AU56" s="2">
        <v>1</v>
      </c>
      <c r="AV56" s="2">
        <v>32</v>
      </c>
      <c r="AW56" s="2">
        <v>0</v>
      </c>
      <c r="AX56" s="2">
        <v>0</v>
      </c>
      <c r="AY56" s="2">
        <v>15.3</v>
      </c>
      <c r="AZ56" s="2">
        <v>9.8000000000000007</v>
      </c>
      <c r="BA56" s="2">
        <v>29.7</v>
      </c>
      <c r="BB56" s="2">
        <v>564</v>
      </c>
      <c r="BC56" s="2">
        <v>68</v>
      </c>
      <c r="BD56" s="2">
        <v>1.8</v>
      </c>
      <c r="BE56" s="2">
        <v>43</v>
      </c>
      <c r="BF56" s="2">
        <v>25.4</v>
      </c>
      <c r="BG56" s="2">
        <v>162</v>
      </c>
      <c r="BH56" s="2">
        <v>9.1</v>
      </c>
      <c r="BI56" s="2">
        <v>9.1999999999999993</v>
      </c>
      <c r="BJ56" s="2">
        <v>18.3</v>
      </c>
      <c r="BK56" s="2">
        <v>0.34</v>
      </c>
      <c r="BL56" s="2">
        <v>7.3</v>
      </c>
      <c r="BM56" s="2">
        <v>0.9</v>
      </c>
      <c r="BN56" s="2">
        <v>7.5</v>
      </c>
      <c r="BO56" s="2">
        <v>2.9</v>
      </c>
      <c r="BP56" s="2">
        <f t="shared" si="0"/>
        <v>8.3987453183325993</v>
      </c>
      <c r="BQ56" s="2">
        <f t="shared" si="1"/>
        <v>27.559158065972305</v>
      </c>
    </row>
    <row r="57" spans="1:69" x14ac:dyDescent="0.2">
      <c r="A57" s="2" t="s">
        <v>2632</v>
      </c>
      <c r="B57" s="2" t="s">
        <v>47</v>
      </c>
      <c r="C57" s="2" t="s">
        <v>1935</v>
      </c>
      <c r="D57" s="2" t="s">
        <v>49</v>
      </c>
      <c r="E57" s="2" t="s">
        <v>357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89</v>
      </c>
      <c r="L57" s="6" t="s">
        <v>141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2633</v>
      </c>
      <c r="R57" s="2">
        <v>3146067.4160000002</v>
      </c>
      <c r="S57" s="2">
        <v>0</v>
      </c>
      <c r="T57" s="2" t="s">
        <v>96</v>
      </c>
      <c r="U57" s="2" t="s">
        <v>97</v>
      </c>
      <c r="V57" s="2" t="s">
        <v>56</v>
      </c>
      <c r="W57" s="2" t="s">
        <v>98</v>
      </c>
      <c r="X57" s="2" t="s">
        <v>99</v>
      </c>
      <c r="Y57" s="2">
        <v>1.70797345235394</v>
      </c>
      <c r="Z57" s="2">
        <v>1707.97345235394</v>
      </c>
      <c r="AA57" s="2">
        <v>4.73719444444444</v>
      </c>
      <c r="AB57" s="2">
        <v>-74.069472222222203</v>
      </c>
      <c r="AC57" s="2">
        <v>2555</v>
      </c>
      <c r="AD57" s="2">
        <v>0</v>
      </c>
      <c r="AE57" s="2" t="s">
        <v>59</v>
      </c>
      <c r="AF57" s="2" t="s">
        <v>86</v>
      </c>
      <c r="AG57" s="2" t="s">
        <v>61</v>
      </c>
      <c r="AH57" s="2" t="s">
        <v>62</v>
      </c>
      <c r="AI57" s="2" t="s">
        <v>100</v>
      </c>
      <c r="AJ57" s="2">
        <v>1.20812552619262</v>
      </c>
      <c r="AK57" s="2">
        <v>4.4906945055463003</v>
      </c>
      <c r="AL57" s="2">
        <v>1.06387459294801</v>
      </c>
      <c r="AM57" s="2">
        <v>8.1195827406925006E-2</v>
      </c>
      <c r="AN57" s="2">
        <v>3.1326453397663001</v>
      </c>
      <c r="AO57" s="2">
        <v>0.50908793779003803</v>
      </c>
      <c r="AP57" s="2">
        <v>0.50908793779003803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30</v>
      </c>
      <c r="AW57" s="2">
        <v>0</v>
      </c>
      <c r="AX57" s="2">
        <v>0</v>
      </c>
      <c r="AY57" s="2">
        <v>15.3</v>
      </c>
      <c r="AZ57" s="2">
        <v>9.8000000000000007</v>
      </c>
      <c r="BA57" s="2">
        <v>29.7</v>
      </c>
      <c r="BB57" s="2">
        <v>564</v>
      </c>
      <c r="BC57" s="2">
        <v>68</v>
      </c>
      <c r="BD57" s="2">
        <v>1.8</v>
      </c>
      <c r="BE57" s="2">
        <v>43</v>
      </c>
      <c r="BF57" s="2">
        <v>25.4</v>
      </c>
      <c r="BG57" s="2">
        <v>162</v>
      </c>
      <c r="BH57" s="2">
        <v>9.1</v>
      </c>
      <c r="BI57" s="2">
        <v>9.1999999999999993</v>
      </c>
      <c r="BJ57" s="2">
        <v>18.3</v>
      </c>
      <c r="BK57" s="2">
        <v>0.34</v>
      </c>
      <c r="BL57" s="2">
        <v>7.3</v>
      </c>
      <c r="BM57" s="2">
        <v>0.9</v>
      </c>
      <c r="BN57" s="2">
        <v>7.5</v>
      </c>
      <c r="BO57" s="2">
        <v>2.9</v>
      </c>
      <c r="BP57" s="2">
        <f t="shared" si="0"/>
        <v>9.0055197940209784</v>
      </c>
      <c r="BQ57" s="2">
        <f t="shared" si="1"/>
        <v>28.507171378916443</v>
      </c>
    </row>
    <row r="58" spans="1:69" x14ac:dyDescent="0.2">
      <c r="A58" s="2" t="s">
        <v>569</v>
      </c>
      <c r="B58" s="2" t="s">
        <v>47</v>
      </c>
      <c r="C58" s="2" t="s">
        <v>48</v>
      </c>
      <c r="D58" s="2" t="s">
        <v>49</v>
      </c>
      <c r="E58" s="2" t="s">
        <v>570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89</v>
      </c>
      <c r="L58" s="6" t="s">
        <v>141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571</v>
      </c>
      <c r="R58" s="2">
        <v>6704545.4550000001</v>
      </c>
      <c r="S58" s="2">
        <v>0</v>
      </c>
      <c r="T58" s="2" t="s">
        <v>96</v>
      </c>
      <c r="U58" s="2" t="s">
        <v>97</v>
      </c>
      <c r="V58" s="2" t="s">
        <v>56</v>
      </c>
      <c r="W58" s="2" t="s">
        <v>98</v>
      </c>
      <c r="X58" s="2" t="s">
        <v>99</v>
      </c>
      <c r="Y58" s="2">
        <v>1.73364233155037</v>
      </c>
      <c r="Z58" s="2">
        <v>1733.64233155037</v>
      </c>
      <c r="AA58" s="2">
        <v>4.73719444444444</v>
      </c>
      <c r="AB58" s="2">
        <v>-74.069472222222203</v>
      </c>
      <c r="AC58" s="2">
        <v>2555</v>
      </c>
      <c r="AD58" s="2">
        <v>0</v>
      </c>
      <c r="AE58" s="2" t="s">
        <v>59</v>
      </c>
      <c r="AF58" s="2" t="s">
        <v>86</v>
      </c>
      <c r="AG58" s="2" t="s">
        <v>61</v>
      </c>
      <c r="AH58" s="2" t="s">
        <v>62</v>
      </c>
      <c r="AI58" s="2" t="s">
        <v>100</v>
      </c>
      <c r="AJ58" s="2">
        <v>0.2149649956694</v>
      </c>
      <c r="AK58" s="2">
        <v>5.4979575435107</v>
      </c>
      <c r="AL58" s="2">
        <v>0.82388174564803895</v>
      </c>
      <c r="AM58" s="2">
        <v>0.47874980477349699</v>
      </c>
      <c r="AN58" s="2">
        <v>2.3031539012082298</v>
      </c>
      <c r="AO58" s="2">
        <v>0.17347837366487501</v>
      </c>
      <c r="AP58" s="2">
        <v>0.17347837366487501</v>
      </c>
      <c r="AQ58" s="2">
        <v>1</v>
      </c>
      <c r="AR58" s="2">
        <v>2</v>
      </c>
      <c r="AS58" s="2">
        <v>0</v>
      </c>
      <c r="AT58" s="2">
        <v>0</v>
      </c>
      <c r="AU58" s="2">
        <v>1</v>
      </c>
      <c r="AV58" s="2">
        <v>19</v>
      </c>
      <c r="AW58" s="2">
        <v>0</v>
      </c>
      <c r="AX58" s="2">
        <v>0</v>
      </c>
      <c r="AY58" s="2">
        <v>15.3</v>
      </c>
      <c r="AZ58" s="2">
        <v>9.8000000000000007</v>
      </c>
      <c r="BA58" s="2">
        <v>29.7</v>
      </c>
      <c r="BB58" s="2">
        <v>564</v>
      </c>
      <c r="BC58" s="2">
        <v>68</v>
      </c>
      <c r="BD58" s="2">
        <v>1.8</v>
      </c>
      <c r="BE58" s="2">
        <v>43</v>
      </c>
      <c r="BF58" s="2">
        <v>25.4</v>
      </c>
      <c r="BG58" s="2">
        <v>162</v>
      </c>
      <c r="BH58" s="2">
        <v>9.1</v>
      </c>
      <c r="BI58" s="2">
        <v>9.1999999999999993</v>
      </c>
      <c r="BJ58" s="2">
        <v>18.3</v>
      </c>
      <c r="BK58" s="2">
        <v>0.34</v>
      </c>
      <c r="BL58" s="2">
        <v>7.3</v>
      </c>
      <c r="BM58" s="2">
        <v>0.9</v>
      </c>
      <c r="BN58" s="2">
        <v>7.5</v>
      </c>
      <c r="BO58" s="2">
        <v>2.9</v>
      </c>
      <c r="BP58" s="2">
        <f t="shared" si="0"/>
        <v>8.9940845612324267</v>
      </c>
      <c r="BQ58" s="2">
        <f t="shared" si="1"/>
        <v>28.489614856026307</v>
      </c>
    </row>
    <row r="59" spans="1:69" x14ac:dyDescent="0.2">
      <c r="A59" s="2" t="s">
        <v>707</v>
      </c>
      <c r="B59" s="2" t="s">
        <v>47</v>
      </c>
      <c r="C59" s="2" t="s">
        <v>48</v>
      </c>
      <c r="D59" s="2" t="s">
        <v>49</v>
      </c>
      <c r="E59" s="2" t="s">
        <v>546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89</v>
      </c>
      <c r="L59" s="6" t="s">
        <v>141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708</v>
      </c>
      <c r="R59" s="2">
        <v>6363636.3640000001</v>
      </c>
      <c r="S59" s="2">
        <v>0</v>
      </c>
      <c r="T59" s="2" t="s">
        <v>96</v>
      </c>
      <c r="U59" s="2" t="s">
        <v>97</v>
      </c>
      <c r="V59" s="2" t="s">
        <v>56</v>
      </c>
      <c r="W59" s="2" t="s">
        <v>98</v>
      </c>
      <c r="X59" s="2" t="s">
        <v>99</v>
      </c>
      <c r="Y59" s="2">
        <v>1.9084748684067101</v>
      </c>
      <c r="Z59" s="2">
        <v>1908.4748684067099</v>
      </c>
      <c r="AA59" s="2">
        <v>4.73719444444444</v>
      </c>
      <c r="AB59" s="2">
        <v>-74.069472222222203</v>
      </c>
      <c r="AC59" s="2">
        <v>2555</v>
      </c>
      <c r="AD59" s="2">
        <v>0</v>
      </c>
      <c r="AE59" s="2" t="s">
        <v>59</v>
      </c>
      <c r="AF59" s="2" t="s">
        <v>86</v>
      </c>
      <c r="AG59" s="2" t="s">
        <v>61</v>
      </c>
      <c r="AH59" s="2" t="s">
        <v>62</v>
      </c>
      <c r="AI59" s="2" t="s">
        <v>100</v>
      </c>
      <c r="AJ59" s="2">
        <v>0.185264258053877</v>
      </c>
      <c r="AK59" s="2">
        <v>5.4501225159782303</v>
      </c>
      <c r="AL59" s="2">
        <v>0.75093535039807802</v>
      </c>
      <c r="AM59" s="2">
        <v>0.47100613690063597</v>
      </c>
      <c r="AN59" s="2">
        <v>2.4150179935992502</v>
      </c>
      <c r="AO59" s="2">
        <v>0.16999881258147401</v>
      </c>
      <c r="AP59" s="2">
        <v>0.16999881258147401</v>
      </c>
      <c r="AQ59" s="2">
        <v>1</v>
      </c>
      <c r="AR59" s="2">
        <v>2</v>
      </c>
      <c r="AS59" s="2">
        <v>0</v>
      </c>
      <c r="AT59" s="2">
        <v>0</v>
      </c>
      <c r="AU59" s="2">
        <v>1</v>
      </c>
      <c r="AV59" s="2">
        <v>21</v>
      </c>
      <c r="AW59" s="2">
        <v>0</v>
      </c>
      <c r="AX59" s="2">
        <v>0</v>
      </c>
      <c r="AY59" s="2">
        <v>15.3</v>
      </c>
      <c r="AZ59" s="2">
        <v>9.8000000000000007</v>
      </c>
      <c r="BA59" s="2">
        <v>29.7</v>
      </c>
      <c r="BB59" s="2">
        <v>564</v>
      </c>
      <c r="BC59" s="2">
        <v>68</v>
      </c>
      <c r="BD59" s="2">
        <v>1.8</v>
      </c>
      <c r="BE59" s="2">
        <v>43</v>
      </c>
      <c r="BF59" s="2">
        <v>25.4</v>
      </c>
      <c r="BG59" s="2">
        <v>162</v>
      </c>
      <c r="BH59" s="2">
        <v>9.1</v>
      </c>
      <c r="BI59" s="2">
        <v>9.1999999999999993</v>
      </c>
      <c r="BJ59" s="2">
        <v>18.3</v>
      </c>
      <c r="BK59" s="2">
        <v>0.34</v>
      </c>
      <c r="BL59" s="2">
        <v>7.3</v>
      </c>
      <c r="BM59" s="2">
        <v>0.9</v>
      </c>
      <c r="BN59" s="2">
        <v>7.5</v>
      </c>
      <c r="BO59" s="2">
        <v>2.9</v>
      </c>
      <c r="BP59" s="2">
        <f t="shared" si="0"/>
        <v>8.9165836976163675</v>
      </c>
      <c r="BQ59" s="2">
        <f t="shared" si="1"/>
        <v>28.370323423989326</v>
      </c>
    </row>
    <row r="60" spans="1:69" x14ac:dyDescent="0.2">
      <c r="A60" s="2" t="s">
        <v>2859</v>
      </c>
      <c r="B60" s="2" t="s">
        <v>47</v>
      </c>
      <c r="C60" s="2" t="s">
        <v>1935</v>
      </c>
      <c r="D60" s="2" t="s">
        <v>49</v>
      </c>
      <c r="E60" s="2" t="s">
        <v>2240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89</v>
      </c>
      <c r="L60" s="6" t="s">
        <v>103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2860</v>
      </c>
      <c r="R60" s="2">
        <v>6136363.6359999999</v>
      </c>
      <c r="S60" s="2">
        <v>0</v>
      </c>
      <c r="T60" s="2" t="s">
        <v>130</v>
      </c>
      <c r="U60" s="2" t="s">
        <v>131</v>
      </c>
      <c r="V60" s="2" t="s">
        <v>56</v>
      </c>
      <c r="W60" s="2" t="s">
        <v>98</v>
      </c>
      <c r="X60" s="2" t="s">
        <v>132</v>
      </c>
      <c r="Y60" s="2">
        <v>3.5485790355580602</v>
      </c>
      <c r="Z60" s="2">
        <v>3548.5790355580598</v>
      </c>
      <c r="AA60" s="2">
        <v>4.7837500000000004</v>
      </c>
      <c r="AB60" s="2">
        <v>-74.044138888888895</v>
      </c>
      <c r="AC60" s="2">
        <v>2580</v>
      </c>
      <c r="AD60" s="2">
        <v>0</v>
      </c>
      <c r="AE60" s="2" t="s">
        <v>133</v>
      </c>
      <c r="AF60" s="2" t="s">
        <v>86</v>
      </c>
      <c r="AG60" s="2" t="s">
        <v>61</v>
      </c>
      <c r="AH60" s="2" t="s">
        <v>62</v>
      </c>
      <c r="AI60" s="2" t="s">
        <v>100</v>
      </c>
      <c r="AJ60" s="2">
        <v>5.11186108784411</v>
      </c>
      <c r="AK60" s="2">
        <v>1.3166096005351</v>
      </c>
      <c r="AL60" s="2">
        <v>1.77127460269208</v>
      </c>
      <c r="AM60" s="2">
        <v>3.48173718787841</v>
      </c>
      <c r="AN60" s="2">
        <v>8.5742973687338395</v>
      </c>
      <c r="AO60" s="2">
        <v>1.2584123196380901</v>
      </c>
      <c r="AP60" s="2">
        <v>1.2584123196380901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15.3</v>
      </c>
      <c r="AZ60" s="2">
        <v>9.8000000000000007</v>
      </c>
      <c r="BA60" s="2">
        <v>29.7</v>
      </c>
      <c r="BB60" s="2">
        <v>564</v>
      </c>
      <c r="BC60" s="2">
        <v>68</v>
      </c>
      <c r="BD60" s="2">
        <v>1.8</v>
      </c>
      <c r="BE60" s="2">
        <v>43</v>
      </c>
      <c r="BF60" s="2">
        <v>25.4</v>
      </c>
      <c r="BG60" s="2">
        <v>162</v>
      </c>
      <c r="BH60" s="2">
        <v>9.1</v>
      </c>
      <c r="BI60" s="2">
        <v>9.1999999999999993</v>
      </c>
      <c r="BJ60" s="2">
        <v>18.3</v>
      </c>
      <c r="BK60" s="2">
        <v>0.34</v>
      </c>
      <c r="BL60" s="2">
        <v>7.3</v>
      </c>
      <c r="BM60" s="2">
        <v>0.9</v>
      </c>
      <c r="BN60" s="2">
        <v>7.5</v>
      </c>
      <c r="BO60" s="2">
        <v>2.9</v>
      </c>
      <c r="BP60" s="2">
        <f t="shared" si="0"/>
        <v>8.221294869920758</v>
      </c>
      <c r="BQ60" s="2">
        <f t="shared" si="1"/>
        <v>27.27528958665264</v>
      </c>
    </row>
    <row r="61" spans="1:69" x14ac:dyDescent="0.2">
      <c r="A61" s="2" t="s">
        <v>3118</v>
      </c>
      <c r="B61" s="2" t="s">
        <v>47</v>
      </c>
      <c r="C61" s="2" t="s">
        <v>1935</v>
      </c>
      <c r="D61" s="2" t="s">
        <v>49</v>
      </c>
      <c r="E61" s="2" t="s">
        <v>1703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89</v>
      </c>
      <c r="L61" s="6" t="s">
        <v>141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3119</v>
      </c>
      <c r="R61" s="2">
        <v>4147465.4380000001</v>
      </c>
      <c r="S61" s="2">
        <v>0</v>
      </c>
      <c r="T61" s="2" t="s">
        <v>130</v>
      </c>
      <c r="U61" s="2" t="s">
        <v>131</v>
      </c>
      <c r="V61" s="2" t="s">
        <v>56</v>
      </c>
      <c r="W61" s="2" t="s">
        <v>98</v>
      </c>
      <c r="X61" s="2" t="s">
        <v>132</v>
      </c>
      <c r="Y61" s="2">
        <v>2.7726098003874902</v>
      </c>
      <c r="Z61" s="2">
        <v>2772.6098003874899</v>
      </c>
      <c r="AA61" s="2">
        <v>4.7837500000000004</v>
      </c>
      <c r="AB61" s="2">
        <v>-74.044138888888895</v>
      </c>
      <c r="AC61" s="2">
        <v>2580</v>
      </c>
      <c r="AD61" s="2">
        <v>0</v>
      </c>
      <c r="AE61" s="2" t="s">
        <v>133</v>
      </c>
      <c r="AF61" s="2" t="s">
        <v>86</v>
      </c>
      <c r="AG61" s="2" t="s">
        <v>61</v>
      </c>
      <c r="AH61" s="2" t="s">
        <v>62</v>
      </c>
      <c r="AI61" s="2" t="s">
        <v>100</v>
      </c>
      <c r="AJ61" s="2">
        <v>1.7731996291961001</v>
      </c>
      <c r="AK61" s="2">
        <v>4.1589609980499</v>
      </c>
      <c r="AL61" s="2">
        <v>1.4752271836798301</v>
      </c>
      <c r="AM61" s="2">
        <v>0.63279767467354597</v>
      </c>
      <c r="AN61" s="2">
        <v>3.7857280248363301</v>
      </c>
      <c r="AO61" s="2">
        <v>0.21062522005224199</v>
      </c>
      <c r="AP61" s="2">
        <v>0.21062522005224199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4</v>
      </c>
      <c r="AW61" s="2">
        <v>0</v>
      </c>
      <c r="AX61" s="2">
        <v>1</v>
      </c>
      <c r="AY61" s="2">
        <v>15.3</v>
      </c>
      <c r="AZ61" s="2">
        <v>9.8000000000000007</v>
      </c>
      <c r="BA61" s="2">
        <v>29.7</v>
      </c>
      <c r="BB61" s="2">
        <v>564</v>
      </c>
      <c r="BC61" s="2">
        <v>68</v>
      </c>
      <c r="BD61" s="2">
        <v>1.8</v>
      </c>
      <c r="BE61" s="2">
        <v>43</v>
      </c>
      <c r="BF61" s="2">
        <v>25.4</v>
      </c>
      <c r="BG61" s="2">
        <v>162</v>
      </c>
      <c r="BH61" s="2">
        <v>9.1</v>
      </c>
      <c r="BI61" s="2">
        <v>9.1999999999999993</v>
      </c>
      <c r="BJ61" s="2">
        <v>18.3</v>
      </c>
      <c r="BK61" s="2">
        <v>0.34</v>
      </c>
      <c r="BL61" s="2">
        <v>7.3</v>
      </c>
      <c r="BM61" s="2">
        <v>0.9</v>
      </c>
      <c r="BN61" s="2">
        <v>7.5</v>
      </c>
      <c r="BO61" s="2">
        <v>2.9</v>
      </c>
      <c r="BP61" s="2">
        <f t="shared" si="0"/>
        <v>8.5432218337316197</v>
      </c>
      <c r="BQ61" s="2">
        <f t="shared" si="1"/>
        <v>27.788003828317446</v>
      </c>
    </row>
    <row r="62" spans="1:69" x14ac:dyDescent="0.2">
      <c r="A62" s="2" t="s">
        <v>2537</v>
      </c>
      <c r="B62" s="2" t="s">
        <v>47</v>
      </c>
      <c r="C62" s="2" t="s">
        <v>1935</v>
      </c>
      <c r="D62" s="2" t="s">
        <v>49</v>
      </c>
      <c r="E62" s="2" t="s">
        <v>2240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89</v>
      </c>
      <c r="L62" s="6" t="s">
        <v>141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2538</v>
      </c>
      <c r="R62" s="2">
        <v>5555555.5559999999</v>
      </c>
      <c r="S62" s="2">
        <v>0</v>
      </c>
      <c r="T62" s="2" t="s">
        <v>130</v>
      </c>
      <c r="U62" s="2" t="s">
        <v>131</v>
      </c>
      <c r="V62" s="2" t="s">
        <v>56</v>
      </c>
      <c r="W62" s="2" t="s">
        <v>98</v>
      </c>
      <c r="X62" s="2" t="s">
        <v>132</v>
      </c>
      <c r="Y62" s="2">
        <v>3.8749874992227702</v>
      </c>
      <c r="Z62" s="2">
        <v>3874.9874992227701</v>
      </c>
      <c r="AA62" s="2">
        <v>4.7837500000000004</v>
      </c>
      <c r="AB62" s="2">
        <v>-74.044138888888895</v>
      </c>
      <c r="AC62" s="2">
        <v>2580</v>
      </c>
      <c r="AD62" s="2">
        <v>0</v>
      </c>
      <c r="AE62" s="2" t="s">
        <v>133</v>
      </c>
      <c r="AF62" s="2" t="s">
        <v>86</v>
      </c>
      <c r="AG62" s="2" t="s">
        <v>61</v>
      </c>
      <c r="AH62" s="2" t="s">
        <v>62</v>
      </c>
      <c r="AI62" s="2" t="s">
        <v>100</v>
      </c>
      <c r="AJ62" s="2">
        <v>5.4479881426497503</v>
      </c>
      <c r="AK62" s="2">
        <v>0.98756805615827203</v>
      </c>
      <c r="AL62" s="2">
        <v>2.0653010803591298</v>
      </c>
      <c r="AM62" s="2">
        <v>3.7401053578022401</v>
      </c>
      <c r="AN62" s="2">
        <v>8.8953224952892391</v>
      </c>
      <c r="AO62" s="2">
        <v>0.95510282384575496</v>
      </c>
      <c r="AP62" s="2">
        <v>0.95510282384575496</v>
      </c>
      <c r="AQ62" s="2">
        <v>0</v>
      </c>
      <c r="AR62" s="2">
        <v>0</v>
      </c>
      <c r="AS62" s="2">
        <v>0</v>
      </c>
      <c r="AT62" s="2">
        <v>1</v>
      </c>
      <c r="AU62" s="2">
        <v>0</v>
      </c>
      <c r="AV62" s="2">
        <v>0</v>
      </c>
      <c r="AW62" s="2">
        <v>0</v>
      </c>
      <c r="AX62" s="2">
        <v>0</v>
      </c>
      <c r="AY62" s="2">
        <v>15.3</v>
      </c>
      <c r="AZ62" s="2">
        <v>9.8000000000000007</v>
      </c>
      <c r="BA62" s="2">
        <v>29.7</v>
      </c>
      <c r="BB62" s="2">
        <v>564</v>
      </c>
      <c r="BC62" s="2">
        <v>68</v>
      </c>
      <c r="BD62" s="2">
        <v>1.8</v>
      </c>
      <c r="BE62" s="2">
        <v>43</v>
      </c>
      <c r="BF62" s="2">
        <v>25.4</v>
      </c>
      <c r="BG62" s="2">
        <v>162</v>
      </c>
      <c r="BH62" s="2">
        <v>9.1</v>
      </c>
      <c r="BI62" s="2">
        <v>9.1999999999999993</v>
      </c>
      <c r="BJ62" s="2">
        <v>18.3</v>
      </c>
      <c r="BK62" s="2">
        <v>0.34</v>
      </c>
      <c r="BL62" s="2">
        <v>7.3</v>
      </c>
      <c r="BM62" s="2">
        <v>0.9</v>
      </c>
      <c r="BN62" s="2">
        <v>7.5</v>
      </c>
      <c r="BO62" s="2">
        <v>2.9</v>
      </c>
      <c r="BP62" s="2">
        <f t="shared" si="0"/>
        <v>8.0895289604759526</v>
      </c>
      <c r="BQ62" s="2">
        <f t="shared" si="1"/>
        <v>27.062455078035491</v>
      </c>
    </row>
    <row r="63" spans="1:69" x14ac:dyDescent="0.2">
      <c r="A63" s="2" t="s">
        <v>3150</v>
      </c>
      <c r="B63" s="2" t="s">
        <v>47</v>
      </c>
      <c r="C63" s="2" t="s">
        <v>1935</v>
      </c>
      <c r="D63" s="2" t="s">
        <v>49</v>
      </c>
      <c r="E63" s="2" t="s">
        <v>3145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89</v>
      </c>
      <c r="L63" s="6" t="s">
        <v>103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3151</v>
      </c>
      <c r="R63" s="2">
        <v>6557377.0489999996</v>
      </c>
      <c r="S63" s="2">
        <v>0</v>
      </c>
      <c r="T63" s="2" t="s">
        <v>130</v>
      </c>
      <c r="U63" s="2" t="s">
        <v>131</v>
      </c>
      <c r="V63" s="2" t="s">
        <v>56</v>
      </c>
      <c r="W63" s="2" t="s">
        <v>98</v>
      </c>
      <c r="X63" s="2" t="s">
        <v>132</v>
      </c>
      <c r="Y63" s="2">
        <v>4.1331190856013498</v>
      </c>
      <c r="Z63" s="2">
        <v>4133.11908560135</v>
      </c>
      <c r="AA63" s="2">
        <v>4.7837500000000004</v>
      </c>
      <c r="AB63" s="2">
        <v>-74.044138888888895</v>
      </c>
      <c r="AC63" s="2">
        <v>2580</v>
      </c>
      <c r="AD63" s="2">
        <v>0</v>
      </c>
      <c r="AE63" s="2" t="s">
        <v>133</v>
      </c>
      <c r="AF63" s="2" t="s">
        <v>86</v>
      </c>
      <c r="AG63" s="2" t="s">
        <v>61</v>
      </c>
      <c r="AH63" s="2" t="s">
        <v>62</v>
      </c>
      <c r="AI63" s="2" t="s">
        <v>100</v>
      </c>
      <c r="AJ63" s="2">
        <v>5.7395165538877402</v>
      </c>
      <c r="AK63" s="2">
        <v>0.76506765924192699</v>
      </c>
      <c r="AL63" s="2">
        <v>2.2747367742370499</v>
      </c>
      <c r="AM63" s="2">
        <v>4.3435939883250398</v>
      </c>
      <c r="AN63" s="2">
        <v>9.1121175454978296</v>
      </c>
      <c r="AO63" s="2">
        <v>0.37209261312414599</v>
      </c>
      <c r="AP63" s="2">
        <v>0.37209261312414599</v>
      </c>
      <c r="AQ63" s="2">
        <v>0</v>
      </c>
      <c r="AR63" s="2">
        <v>0</v>
      </c>
      <c r="AS63" s="2">
        <v>0</v>
      </c>
      <c r="AT63" s="2">
        <v>1</v>
      </c>
      <c r="AU63" s="2">
        <v>0</v>
      </c>
      <c r="AV63" s="2">
        <v>0</v>
      </c>
      <c r="AW63" s="2">
        <v>0</v>
      </c>
      <c r="AX63" s="2">
        <v>0</v>
      </c>
      <c r="AY63" s="2">
        <v>15.3</v>
      </c>
      <c r="AZ63" s="2">
        <v>9.8000000000000007</v>
      </c>
      <c r="BA63" s="2">
        <v>29.7</v>
      </c>
      <c r="BB63" s="2">
        <v>564</v>
      </c>
      <c r="BC63" s="2">
        <v>68</v>
      </c>
      <c r="BD63" s="2">
        <v>1.8</v>
      </c>
      <c r="BE63" s="2">
        <v>43</v>
      </c>
      <c r="BF63" s="2">
        <v>25.4</v>
      </c>
      <c r="BG63" s="2">
        <v>162</v>
      </c>
      <c r="BH63" s="2">
        <v>9.1</v>
      </c>
      <c r="BI63" s="2">
        <v>9.1999999999999993</v>
      </c>
      <c r="BJ63" s="2">
        <v>18.3</v>
      </c>
      <c r="BK63" s="2">
        <v>0.34</v>
      </c>
      <c r="BL63" s="2">
        <v>7.3</v>
      </c>
      <c r="BM63" s="2">
        <v>0.9</v>
      </c>
      <c r="BN63" s="2">
        <v>7.5</v>
      </c>
      <c r="BO63" s="2">
        <v>2.9</v>
      </c>
      <c r="BP63" s="2">
        <f t="shared" si="0"/>
        <v>7.9868224589822949</v>
      </c>
      <c r="BQ63" s="2">
        <f t="shared" si="1"/>
        <v>26.895317148490285</v>
      </c>
    </row>
    <row r="64" spans="1:69" x14ac:dyDescent="0.2">
      <c r="A64" s="2" t="s">
        <v>2750</v>
      </c>
      <c r="B64" s="2" t="s">
        <v>47</v>
      </c>
      <c r="C64" s="2" t="s">
        <v>1935</v>
      </c>
      <c r="D64" s="2" t="s">
        <v>49</v>
      </c>
      <c r="E64" s="2" t="s">
        <v>521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89</v>
      </c>
      <c r="L64" s="6" t="s">
        <v>141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2751</v>
      </c>
      <c r="R64" s="2">
        <v>8753252.898</v>
      </c>
      <c r="S64" s="2">
        <v>0</v>
      </c>
      <c r="T64" s="2" t="s">
        <v>96</v>
      </c>
      <c r="U64" s="2" t="s">
        <v>97</v>
      </c>
      <c r="V64" s="2" t="s">
        <v>56</v>
      </c>
      <c r="W64" s="2" t="s">
        <v>98</v>
      </c>
      <c r="X64" s="2" t="s">
        <v>99</v>
      </c>
      <c r="Y64" s="2">
        <v>1.7381036321939201</v>
      </c>
      <c r="Z64" s="2">
        <v>1738.10363219392</v>
      </c>
      <c r="AA64" s="2">
        <v>4.73719444444444</v>
      </c>
      <c r="AB64" s="2">
        <v>-74.069472222222203</v>
      </c>
      <c r="AC64" s="2">
        <v>2555</v>
      </c>
      <c r="AD64" s="2">
        <v>0</v>
      </c>
      <c r="AE64" s="2" t="s">
        <v>59</v>
      </c>
      <c r="AF64" s="2" t="s">
        <v>86</v>
      </c>
      <c r="AG64" s="2" t="s">
        <v>61</v>
      </c>
      <c r="AH64" s="2" t="s">
        <v>62</v>
      </c>
      <c r="AI64" s="2" t="s">
        <v>100</v>
      </c>
      <c r="AJ64" s="2">
        <v>0.55761715522047794</v>
      </c>
      <c r="AK64" s="2">
        <v>4.5354579583136996</v>
      </c>
      <c r="AL64" s="2">
        <v>2.1437555617052499</v>
      </c>
      <c r="AM64" s="2">
        <v>0.29278141584735201</v>
      </c>
      <c r="AN64" s="2">
        <v>1.1019794537007199</v>
      </c>
      <c r="AO64" s="2">
        <v>2.8258551972585302E-3</v>
      </c>
      <c r="AP64" s="2">
        <v>2.8258551972585302E-3</v>
      </c>
      <c r="AQ64" s="2">
        <v>0</v>
      </c>
      <c r="AR64" s="2">
        <v>2</v>
      </c>
      <c r="AS64" s="2">
        <v>0</v>
      </c>
      <c r="AT64" s="2">
        <v>0</v>
      </c>
      <c r="AU64" s="2">
        <v>0</v>
      </c>
      <c r="AV64" s="2">
        <v>16</v>
      </c>
      <c r="AW64" s="2">
        <v>0</v>
      </c>
      <c r="AX64" s="2">
        <v>0</v>
      </c>
      <c r="AY64" s="2">
        <v>15.3</v>
      </c>
      <c r="AZ64" s="2">
        <v>9.8000000000000007</v>
      </c>
      <c r="BA64" s="2">
        <v>29.7</v>
      </c>
      <c r="BB64" s="2">
        <v>564</v>
      </c>
      <c r="BC64" s="2">
        <v>68</v>
      </c>
      <c r="BD64" s="2">
        <v>1.8</v>
      </c>
      <c r="BE64" s="2">
        <v>43</v>
      </c>
      <c r="BF64" s="2">
        <v>25.4</v>
      </c>
      <c r="BG64" s="2">
        <v>162</v>
      </c>
      <c r="BH64" s="2">
        <v>9.1</v>
      </c>
      <c r="BI64" s="2">
        <v>9.1999999999999993</v>
      </c>
      <c r="BJ64" s="2">
        <v>18.3</v>
      </c>
      <c r="BK64" s="2">
        <v>0.34</v>
      </c>
      <c r="BL64" s="2">
        <v>7.3</v>
      </c>
      <c r="BM64" s="2">
        <v>0.9</v>
      </c>
      <c r="BN64" s="2">
        <v>7.5</v>
      </c>
      <c r="BO64" s="2">
        <v>2.9</v>
      </c>
      <c r="BP64" s="2">
        <f t="shared" si="0"/>
        <v>8.9920985774228139</v>
      </c>
      <c r="BQ64" s="2">
        <f t="shared" si="1"/>
        <v>28.486564601636243</v>
      </c>
    </row>
    <row r="65" spans="1:69" x14ac:dyDescent="0.2">
      <c r="A65" s="2" t="s">
        <v>2051</v>
      </c>
      <c r="B65" s="2" t="s">
        <v>47</v>
      </c>
      <c r="C65" s="2" t="s">
        <v>1935</v>
      </c>
      <c r="D65" s="2" t="s">
        <v>49</v>
      </c>
      <c r="E65" s="2" t="s">
        <v>1703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89</v>
      </c>
      <c r="L65" s="6" t="s">
        <v>141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2052</v>
      </c>
      <c r="R65" s="2">
        <v>5595238.0949999997</v>
      </c>
      <c r="S65" s="2">
        <v>0</v>
      </c>
      <c r="T65" s="2" t="s">
        <v>96</v>
      </c>
      <c r="U65" s="2" t="s">
        <v>97</v>
      </c>
      <c r="V65" s="2" t="s">
        <v>56</v>
      </c>
      <c r="W65" s="2" t="s">
        <v>98</v>
      </c>
      <c r="X65" s="2" t="s">
        <v>99</v>
      </c>
      <c r="Y65" s="2">
        <v>2.9385031424983801</v>
      </c>
      <c r="Z65" s="2">
        <v>2938.5031424983799</v>
      </c>
      <c r="AA65" s="2">
        <v>4.73719444444444</v>
      </c>
      <c r="AB65" s="2">
        <v>-74.069472222222203</v>
      </c>
      <c r="AC65" s="2">
        <v>2555</v>
      </c>
      <c r="AD65" s="2">
        <v>0</v>
      </c>
      <c r="AE65" s="2" t="s">
        <v>59</v>
      </c>
      <c r="AF65" s="2" t="s">
        <v>86</v>
      </c>
      <c r="AG65" s="2" t="s">
        <v>61</v>
      </c>
      <c r="AH65" s="2" t="s">
        <v>62</v>
      </c>
      <c r="AI65" s="2" t="s">
        <v>100</v>
      </c>
      <c r="AJ65" s="2">
        <v>2.10309342720746</v>
      </c>
      <c r="AK65" s="2">
        <v>4.1496649793445597</v>
      </c>
      <c r="AL65" s="2">
        <v>1.52040602028392</v>
      </c>
      <c r="AM65" s="2">
        <v>0.40249848844393499</v>
      </c>
      <c r="AN65" s="2">
        <v>3.3956500947505601</v>
      </c>
      <c r="AO65" s="2">
        <v>0.15124218243073301</v>
      </c>
      <c r="AP65" s="2">
        <v>0.15124218243073301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6</v>
      </c>
      <c r="AW65" s="2">
        <v>0</v>
      </c>
      <c r="AX65" s="2">
        <v>1</v>
      </c>
      <c r="AY65" s="2">
        <v>15.3</v>
      </c>
      <c r="AZ65" s="2">
        <v>9.8000000000000007</v>
      </c>
      <c r="BA65" s="2">
        <v>29.7</v>
      </c>
      <c r="BB65" s="2">
        <v>564</v>
      </c>
      <c r="BC65" s="2">
        <v>68</v>
      </c>
      <c r="BD65" s="2">
        <v>1.8</v>
      </c>
      <c r="BE65" s="2">
        <v>43</v>
      </c>
      <c r="BF65" s="2">
        <v>25.4</v>
      </c>
      <c r="BG65" s="2">
        <v>162</v>
      </c>
      <c r="BH65" s="2">
        <v>9.1</v>
      </c>
      <c r="BI65" s="2">
        <v>9.1999999999999993</v>
      </c>
      <c r="BJ65" s="2">
        <v>18.3</v>
      </c>
      <c r="BK65" s="2">
        <v>0.34</v>
      </c>
      <c r="BL65" s="2">
        <v>7.3</v>
      </c>
      <c r="BM65" s="2">
        <v>0.9</v>
      </c>
      <c r="BN65" s="2">
        <v>7.5</v>
      </c>
      <c r="BO65" s="2">
        <v>2.9</v>
      </c>
      <c r="BP65" s="2">
        <f t="shared" si="0"/>
        <v>8.4733545423645129</v>
      </c>
      <c r="BQ65" s="2">
        <f t="shared" si="1"/>
        <v>27.677587506352154</v>
      </c>
    </row>
    <row r="66" spans="1:69" x14ac:dyDescent="0.2">
      <c r="A66" s="2" t="s">
        <v>3256</v>
      </c>
      <c r="B66" s="2" t="s">
        <v>47</v>
      </c>
      <c r="C66" s="2" t="s">
        <v>1935</v>
      </c>
      <c r="D66" s="2" t="s">
        <v>49</v>
      </c>
      <c r="E66" s="2" t="s">
        <v>2240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89</v>
      </c>
      <c r="L66" s="6" t="s">
        <v>103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3257</v>
      </c>
      <c r="R66" s="2">
        <v>8114558.4730000002</v>
      </c>
      <c r="S66" s="2">
        <v>0</v>
      </c>
      <c r="T66" s="2" t="s">
        <v>130</v>
      </c>
      <c r="U66" s="2" t="s">
        <v>131</v>
      </c>
      <c r="V66" s="2" t="s">
        <v>56</v>
      </c>
      <c r="W66" s="2" t="s">
        <v>98</v>
      </c>
      <c r="X66" s="2" t="s">
        <v>132</v>
      </c>
      <c r="Y66" s="2">
        <v>3.7473175945618502</v>
      </c>
      <c r="Z66" s="2">
        <v>3747.31759456185</v>
      </c>
      <c r="AA66" s="2">
        <v>4.7837500000000004</v>
      </c>
      <c r="AB66" s="2">
        <v>-74.044138888888895</v>
      </c>
      <c r="AC66" s="2">
        <v>2580</v>
      </c>
      <c r="AD66" s="2">
        <v>0</v>
      </c>
      <c r="AE66" s="2" t="s">
        <v>133</v>
      </c>
      <c r="AF66" s="2" t="s">
        <v>86</v>
      </c>
      <c r="AG66" s="2" t="s">
        <v>61</v>
      </c>
      <c r="AH66" s="2" t="s">
        <v>62</v>
      </c>
      <c r="AI66" s="2" t="s">
        <v>100</v>
      </c>
      <c r="AJ66" s="2">
        <v>5.3714392463335399</v>
      </c>
      <c r="AK66" s="2">
        <v>1.11173576139759</v>
      </c>
      <c r="AL66" s="2">
        <v>1.9249184253062299</v>
      </c>
      <c r="AM66" s="2">
        <v>4.41568454062147</v>
      </c>
      <c r="AN66" s="2">
        <v>8.6337718745358192</v>
      </c>
      <c r="AO66" s="2">
        <v>0.24623060467906999</v>
      </c>
      <c r="AP66" s="2">
        <v>0.24623060467906999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>
        <v>15.3</v>
      </c>
      <c r="AZ66" s="2">
        <v>9.8000000000000007</v>
      </c>
      <c r="BA66" s="2">
        <v>29.7</v>
      </c>
      <c r="BB66" s="2">
        <v>564</v>
      </c>
      <c r="BC66" s="2">
        <v>68</v>
      </c>
      <c r="BD66" s="2">
        <v>1.8</v>
      </c>
      <c r="BE66" s="2">
        <v>43</v>
      </c>
      <c r="BF66" s="2">
        <v>25.4</v>
      </c>
      <c r="BG66" s="2">
        <v>162</v>
      </c>
      <c r="BH66" s="2">
        <v>9.1</v>
      </c>
      <c r="BI66" s="2">
        <v>9.1999999999999993</v>
      </c>
      <c r="BJ66" s="2">
        <v>18.3</v>
      </c>
      <c r="BK66" s="2">
        <v>0.34</v>
      </c>
      <c r="BL66" s="2">
        <v>7.3</v>
      </c>
      <c r="BM66" s="2">
        <v>0.9</v>
      </c>
      <c r="BN66" s="2">
        <v>7.5</v>
      </c>
      <c r="BO66" s="2">
        <v>2.9</v>
      </c>
      <c r="BP66" s="2">
        <f t="shared" ref="BP66:BP129" si="2">+AZ66*EXP(-0.0495*Y66)</f>
        <v>8.1408139164014326</v>
      </c>
      <c r="BQ66" s="2">
        <f t="shared" ref="BQ66:BQ129" si="3">+BA66*EXP(-0.024*Y66)</f>
        <v>27.145503712227217</v>
      </c>
    </row>
    <row r="67" spans="1:69" x14ac:dyDescent="0.2">
      <c r="A67" s="2" t="s">
        <v>2954</v>
      </c>
      <c r="B67" s="2" t="s">
        <v>47</v>
      </c>
      <c r="C67" s="2" t="s">
        <v>1935</v>
      </c>
      <c r="D67" s="2" t="s">
        <v>49</v>
      </c>
      <c r="E67" s="2" t="s">
        <v>2240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89</v>
      </c>
      <c r="L67" s="6" t="s">
        <v>103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2955</v>
      </c>
      <c r="R67" s="2">
        <v>8114558.4730000002</v>
      </c>
      <c r="S67" s="2">
        <v>0</v>
      </c>
      <c r="T67" s="2" t="s">
        <v>130</v>
      </c>
      <c r="U67" s="2" t="s">
        <v>131</v>
      </c>
      <c r="V67" s="2" t="s">
        <v>56</v>
      </c>
      <c r="W67" s="2" t="s">
        <v>98</v>
      </c>
      <c r="X67" s="2" t="s">
        <v>132</v>
      </c>
      <c r="Y67" s="2">
        <v>3.7398956755904602</v>
      </c>
      <c r="Z67" s="2">
        <v>3739.8956755904601</v>
      </c>
      <c r="AA67" s="2">
        <v>4.7837500000000004</v>
      </c>
      <c r="AB67" s="2">
        <v>-74.044138888888895</v>
      </c>
      <c r="AC67" s="2">
        <v>2580</v>
      </c>
      <c r="AD67" s="2">
        <v>0</v>
      </c>
      <c r="AE67" s="2" t="s">
        <v>133</v>
      </c>
      <c r="AF67" s="2" t="s">
        <v>86</v>
      </c>
      <c r="AG67" s="2" t="s">
        <v>61</v>
      </c>
      <c r="AH67" s="2" t="s">
        <v>62</v>
      </c>
      <c r="AI67" s="2" t="s">
        <v>100</v>
      </c>
      <c r="AJ67" s="2">
        <v>5.36404295388677</v>
      </c>
      <c r="AK67" s="2">
        <v>1.1201734393198901</v>
      </c>
      <c r="AL67" s="2">
        <v>1.9200930719145</v>
      </c>
      <c r="AM67" s="2">
        <v>4.4083256717905597</v>
      </c>
      <c r="AN67" s="2">
        <v>8.6228087528740094</v>
      </c>
      <c r="AO67" s="2">
        <v>0.24416912651563599</v>
      </c>
      <c r="AP67" s="2">
        <v>0.24416912651563599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>
        <v>15.3</v>
      </c>
      <c r="AZ67" s="2">
        <v>9.8000000000000007</v>
      </c>
      <c r="BA67" s="2">
        <v>29.7</v>
      </c>
      <c r="BB67" s="2">
        <v>564</v>
      </c>
      <c r="BC67" s="2">
        <v>68</v>
      </c>
      <c r="BD67" s="2">
        <v>1.8</v>
      </c>
      <c r="BE67" s="2">
        <v>43</v>
      </c>
      <c r="BF67" s="2">
        <v>25.4</v>
      </c>
      <c r="BG67" s="2">
        <v>162</v>
      </c>
      <c r="BH67" s="2">
        <v>9.1</v>
      </c>
      <c r="BI67" s="2">
        <v>9.1999999999999993</v>
      </c>
      <c r="BJ67" s="2">
        <v>18.3</v>
      </c>
      <c r="BK67" s="2">
        <v>0.34</v>
      </c>
      <c r="BL67" s="2">
        <v>7.3</v>
      </c>
      <c r="BM67" s="2">
        <v>0.9</v>
      </c>
      <c r="BN67" s="2">
        <v>7.5</v>
      </c>
      <c r="BO67" s="2">
        <v>2.9</v>
      </c>
      <c r="BP67" s="2">
        <f t="shared" si="2"/>
        <v>8.1438052786903974</v>
      </c>
      <c r="BQ67" s="2">
        <f t="shared" si="3"/>
        <v>27.150339464396911</v>
      </c>
    </row>
    <row r="68" spans="1:69" x14ac:dyDescent="0.2">
      <c r="A68" s="2" t="s">
        <v>2764</v>
      </c>
      <c r="B68" s="2" t="s">
        <v>47</v>
      </c>
      <c r="C68" s="2" t="s">
        <v>1935</v>
      </c>
      <c r="D68" s="2" t="s">
        <v>49</v>
      </c>
      <c r="E68" s="2" t="s">
        <v>527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89</v>
      </c>
      <c r="L68" s="6" t="s">
        <v>141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2765</v>
      </c>
      <c r="R68" s="2">
        <v>3333333.3330000001</v>
      </c>
      <c r="S68" s="2">
        <v>0</v>
      </c>
      <c r="T68" s="2" t="s">
        <v>96</v>
      </c>
      <c r="U68" s="2" t="s">
        <v>97</v>
      </c>
      <c r="V68" s="2" t="s">
        <v>56</v>
      </c>
      <c r="W68" s="2" t="s">
        <v>98</v>
      </c>
      <c r="X68" s="2" t="s">
        <v>99</v>
      </c>
      <c r="Y68" s="2">
        <v>2.10583058365195</v>
      </c>
      <c r="Z68" s="2">
        <v>2105.8305836519498</v>
      </c>
      <c r="AA68" s="2">
        <v>4.73719444444444</v>
      </c>
      <c r="AB68" s="2">
        <v>-74.069472222222203</v>
      </c>
      <c r="AC68" s="2">
        <v>2555</v>
      </c>
      <c r="AD68" s="2">
        <v>0</v>
      </c>
      <c r="AE68" s="2" t="s">
        <v>59</v>
      </c>
      <c r="AF68" s="2" t="s">
        <v>86</v>
      </c>
      <c r="AG68" s="2" t="s">
        <v>61</v>
      </c>
      <c r="AH68" s="2" t="s">
        <v>62</v>
      </c>
      <c r="AI68" s="2" t="s">
        <v>100</v>
      </c>
      <c r="AJ68" s="2">
        <v>0.49089883547554403</v>
      </c>
      <c r="AK68" s="2">
        <v>5.1594994302809196</v>
      </c>
      <c r="AL68" s="2">
        <v>0.964925159542254</v>
      </c>
      <c r="AM68" s="2">
        <v>0.50206283400047802</v>
      </c>
      <c r="AN68" s="2">
        <v>2.3679417310072601</v>
      </c>
      <c r="AO68" s="2">
        <v>5.6942108278335402E-2</v>
      </c>
      <c r="AP68" s="2">
        <v>5.6942108278335402E-2</v>
      </c>
      <c r="AQ68" s="2">
        <v>1</v>
      </c>
      <c r="AR68" s="2">
        <v>2</v>
      </c>
      <c r="AS68" s="2">
        <v>0</v>
      </c>
      <c r="AT68" s="2">
        <v>0</v>
      </c>
      <c r="AU68" s="2">
        <v>1</v>
      </c>
      <c r="AV68" s="2">
        <v>11</v>
      </c>
      <c r="AW68" s="2">
        <v>0</v>
      </c>
      <c r="AX68" s="2">
        <v>0</v>
      </c>
      <c r="AY68" s="2">
        <v>15.3</v>
      </c>
      <c r="AZ68" s="2">
        <v>9.8000000000000007</v>
      </c>
      <c r="BA68" s="2">
        <v>29.7</v>
      </c>
      <c r="BB68" s="2">
        <v>564</v>
      </c>
      <c r="BC68" s="2">
        <v>68</v>
      </c>
      <c r="BD68" s="2">
        <v>1.8</v>
      </c>
      <c r="BE68" s="2">
        <v>43</v>
      </c>
      <c r="BF68" s="2">
        <v>25.4</v>
      </c>
      <c r="BG68" s="2">
        <v>162</v>
      </c>
      <c r="BH68" s="2">
        <v>9.1</v>
      </c>
      <c r="BI68" s="2">
        <v>9.1999999999999993</v>
      </c>
      <c r="BJ68" s="2">
        <v>18.3</v>
      </c>
      <c r="BK68" s="2">
        <v>0.34</v>
      </c>
      <c r="BL68" s="2">
        <v>7.3</v>
      </c>
      <c r="BM68" s="2">
        <v>0.9</v>
      </c>
      <c r="BN68" s="2">
        <v>7.5</v>
      </c>
      <c r="BO68" s="2">
        <v>2.9</v>
      </c>
      <c r="BP68" s="2">
        <f t="shared" si="2"/>
        <v>8.8299007263681553</v>
      </c>
      <c r="BQ68" s="2">
        <f t="shared" si="3"/>
        <v>28.236264071867907</v>
      </c>
    </row>
    <row r="69" spans="1:69" x14ac:dyDescent="0.2">
      <c r="A69" s="2" t="s">
        <v>2015</v>
      </c>
      <c r="B69" s="2" t="s">
        <v>47</v>
      </c>
      <c r="C69" s="2" t="s">
        <v>1935</v>
      </c>
      <c r="D69" s="2" t="s">
        <v>49</v>
      </c>
      <c r="E69" s="2" t="s">
        <v>1703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89</v>
      </c>
      <c r="L69" s="6" t="s">
        <v>103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2016</v>
      </c>
      <c r="R69" s="2">
        <v>5301204.8190000001</v>
      </c>
      <c r="S69" s="2">
        <v>0</v>
      </c>
      <c r="T69" s="2" t="s">
        <v>130</v>
      </c>
      <c r="U69" s="2" t="s">
        <v>131</v>
      </c>
      <c r="V69" s="2" t="s">
        <v>56</v>
      </c>
      <c r="W69" s="2" t="s">
        <v>98</v>
      </c>
      <c r="X69" s="2" t="s">
        <v>132</v>
      </c>
      <c r="Y69" s="2">
        <v>2.7020133144431102</v>
      </c>
      <c r="Z69" s="2">
        <v>2702.0133144431102</v>
      </c>
      <c r="AA69" s="2">
        <v>4.7837500000000004</v>
      </c>
      <c r="AB69" s="2">
        <v>-74.044138888888895</v>
      </c>
      <c r="AC69" s="2">
        <v>2580</v>
      </c>
      <c r="AD69" s="2">
        <v>0</v>
      </c>
      <c r="AE69" s="2" t="s">
        <v>133</v>
      </c>
      <c r="AF69" s="2" t="s">
        <v>86</v>
      </c>
      <c r="AG69" s="2" t="s">
        <v>61</v>
      </c>
      <c r="AH69" s="2" t="s">
        <v>62</v>
      </c>
      <c r="AI69" s="2" t="s">
        <v>100</v>
      </c>
      <c r="AJ69" s="2">
        <v>1.72910043504564</v>
      </c>
      <c r="AK69" s="2">
        <v>4.1063153761878297</v>
      </c>
      <c r="AL69" s="2">
        <v>1.4939056181656201</v>
      </c>
      <c r="AM69" s="2">
        <v>0.683818886989351</v>
      </c>
      <c r="AN69" s="2">
        <v>3.8561940890220998</v>
      </c>
      <c r="AO69" s="2">
        <v>0.28030815564509498</v>
      </c>
      <c r="AP69" s="2">
        <v>0.28030815564509498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3</v>
      </c>
      <c r="AW69" s="2">
        <v>0</v>
      </c>
      <c r="AX69" s="2">
        <v>1</v>
      </c>
      <c r="AY69" s="2">
        <v>15.3</v>
      </c>
      <c r="AZ69" s="2">
        <v>9.8000000000000007</v>
      </c>
      <c r="BA69" s="2">
        <v>29.7</v>
      </c>
      <c r="BB69" s="2">
        <v>564</v>
      </c>
      <c r="BC69" s="2">
        <v>68</v>
      </c>
      <c r="BD69" s="2">
        <v>1.8</v>
      </c>
      <c r="BE69" s="2">
        <v>43</v>
      </c>
      <c r="BF69" s="2">
        <v>25.4</v>
      </c>
      <c r="BG69" s="2">
        <v>162</v>
      </c>
      <c r="BH69" s="2">
        <v>9.1</v>
      </c>
      <c r="BI69" s="2">
        <v>9.1999999999999993</v>
      </c>
      <c r="BJ69" s="2">
        <v>18.3</v>
      </c>
      <c r="BK69" s="2">
        <v>0.34</v>
      </c>
      <c r="BL69" s="2">
        <v>7.3</v>
      </c>
      <c r="BM69" s="2">
        <v>0.9</v>
      </c>
      <c r="BN69" s="2">
        <v>7.5</v>
      </c>
      <c r="BO69" s="2">
        <v>2.9</v>
      </c>
      <c r="BP69" s="2">
        <f t="shared" si="2"/>
        <v>8.5731285695161379</v>
      </c>
      <c r="BQ69" s="2">
        <f t="shared" si="3"/>
        <v>27.835125386562378</v>
      </c>
    </row>
    <row r="70" spans="1:69" x14ac:dyDescent="0.2">
      <c r="A70" s="2" t="s">
        <v>3152</v>
      </c>
      <c r="B70" s="2" t="s">
        <v>47</v>
      </c>
      <c r="C70" s="2" t="s">
        <v>1935</v>
      </c>
      <c r="D70" s="2" t="s">
        <v>49</v>
      </c>
      <c r="E70" s="2" t="s">
        <v>1703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89</v>
      </c>
      <c r="L70" s="6" t="s">
        <v>141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3153</v>
      </c>
      <c r="R70" s="2">
        <v>5574572.1270000003</v>
      </c>
      <c r="S70" s="2">
        <v>0</v>
      </c>
      <c r="T70" s="2" t="s">
        <v>130</v>
      </c>
      <c r="U70" s="2" t="s">
        <v>131</v>
      </c>
      <c r="V70" s="2" t="s">
        <v>56</v>
      </c>
      <c r="W70" s="2" t="s">
        <v>98</v>
      </c>
      <c r="X70" s="2" t="s">
        <v>132</v>
      </c>
      <c r="Y70" s="2">
        <v>2.8703256862548199</v>
      </c>
      <c r="Z70" s="2">
        <v>2870.3256862548201</v>
      </c>
      <c r="AA70" s="2">
        <v>4.7837500000000004</v>
      </c>
      <c r="AB70" s="2">
        <v>-74.044138888888895</v>
      </c>
      <c r="AC70" s="2">
        <v>2580</v>
      </c>
      <c r="AD70" s="2">
        <v>0</v>
      </c>
      <c r="AE70" s="2" t="s">
        <v>133</v>
      </c>
      <c r="AF70" s="2" t="s">
        <v>86</v>
      </c>
      <c r="AG70" s="2" t="s">
        <v>61</v>
      </c>
      <c r="AH70" s="2" t="s">
        <v>62</v>
      </c>
      <c r="AI70" s="2" t="s">
        <v>100</v>
      </c>
      <c r="AJ70" s="2">
        <v>1.67901637222947</v>
      </c>
      <c r="AK70" s="2">
        <v>4.0895983640148303</v>
      </c>
      <c r="AL70" s="2">
        <v>1.2653627385078301</v>
      </c>
      <c r="AM70" s="2">
        <v>0.446433636059345</v>
      </c>
      <c r="AN70" s="2">
        <v>3.72288848503857</v>
      </c>
      <c r="AO70" s="2">
        <v>0.10706631484806001</v>
      </c>
      <c r="AP70" s="2">
        <v>0.10706631484806001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4</v>
      </c>
      <c r="AW70" s="2">
        <v>0</v>
      </c>
      <c r="AX70" s="2">
        <v>1</v>
      </c>
      <c r="AY70" s="2">
        <v>15.3</v>
      </c>
      <c r="AZ70" s="2">
        <v>9.8000000000000007</v>
      </c>
      <c r="BA70" s="2">
        <v>29.7</v>
      </c>
      <c r="BB70" s="2">
        <v>564</v>
      </c>
      <c r="BC70" s="2">
        <v>68</v>
      </c>
      <c r="BD70" s="2">
        <v>1.8</v>
      </c>
      <c r="BE70" s="2">
        <v>43</v>
      </c>
      <c r="BF70" s="2">
        <v>25.4</v>
      </c>
      <c r="BG70" s="2">
        <v>162</v>
      </c>
      <c r="BH70" s="2">
        <v>9.1</v>
      </c>
      <c r="BI70" s="2">
        <v>9.1999999999999993</v>
      </c>
      <c r="BJ70" s="2">
        <v>18.3</v>
      </c>
      <c r="BK70" s="2">
        <v>0.34</v>
      </c>
      <c r="BL70" s="2">
        <v>7.3</v>
      </c>
      <c r="BM70" s="2">
        <v>0.9</v>
      </c>
      <c r="BN70" s="2">
        <v>7.5</v>
      </c>
      <c r="BO70" s="2">
        <v>2.9</v>
      </c>
      <c r="BP70" s="2">
        <f t="shared" si="2"/>
        <v>8.5019985909663287</v>
      </c>
      <c r="BQ70" s="2">
        <f t="shared" si="3"/>
        <v>27.722912278038716</v>
      </c>
    </row>
    <row r="71" spans="1:69" x14ac:dyDescent="0.2">
      <c r="A71" s="2" t="s">
        <v>3136</v>
      </c>
      <c r="B71" s="2" t="s">
        <v>47</v>
      </c>
      <c r="C71" s="2" t="s">
        <v>1935</v>
      </c>
      <c r="D71" s="2" t="s">
        <v>49</v>
      </c>
      <c r="E71" s="2" t="s">
        <v>1398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89</v>
      </c>
      <c r="L71" s="6" t="s">
        <v>141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3137</v>
      </c>
      <c r="R71" s="2">
        <v>3676470.588</v>
      </c>
      <c r="S71" s="2">
        <v>0</v>
      </c>
      <c r="T71" s="2" t="s">
        <v>96</v>
      </c>
      <c r="U71" s="2" t="s">
        <v>97</v>
      </c>
      <c r="V71" s="2" t="s">
        <v>56</v>
      </c>
      <c r="W71" s="2" t="s">
        <v>98</v>
      </c>
      <c r="X71" s="2" t="s">
        <v>99</v>
      </c>
      <c r="Y71" s="2">
        <v>2.6738492560182601</v>
      </c>
      <c r="Z71" s="2">
        <v>2673.8492560182599</v>
      </c>
      <c r="AA71" s="2">
        <v>4.73719444444444</v>
      </c>
      <c r="AB71" s="2">
        <v>-74.069472222222203</v>
      </c>
      <c r="AC71" s="2">
        <v>2555</v>
      </c>
      <c r="AD71" s="2">
        <v>0</v>
      </c>
      <c r="AE71" s="2" t="s">
        <v>59</v>
      </c>
      <c r="AF71" s="2" t="s">
        <v>86</v>
      </c>
      <c r="AG71" s="2" t="s">
        <v>61</v>
      </c>
      <c r="AH71" s="2" t="s">
        <v>62</v>
      </c>
      <c r="AI71" s="2" t="s">
        <v>100</v>
      </c>
      <c r="AJ71" s="2">
        <v>0.797840072461657</v>
      </c>
      <c r="AK71" s="2">
        <v>4.4830793961802602</v>
      </c>
      <c r="AL71" s="2">
        <v>0.772794719923102</v>
      </c>
      <c r="AM71" s="2">
        <v>0.11693073599155</v>
      </c>
      <c r="AN71" s="2">
        <v>3.79762946359866</v>
      </c>
      <c r="AO71" s="2">
        <v>0.16143108102322101</v>
      </c>
      <c r="AP71" s="2">
        <v>0.16143108102322101</v>
      </c>
      <c r="AQ71" s="2">
        <v>0</v>
      </c>
      <c r="AR71" s="2">
        <v>1</v>
      </c>
      <c r="AS71" s="2">
        <v>0</v>
      </c>
      <c r="AT71" s="2">
        <v>0</v>
      </c>
      <c r="AU71" s="2">
        <v>1</v>
      </c>
      <c r="AV71" s="2">
        <v>39</v>
      </c>
      <c r="AW71" s="2">
        <v>0</v>
      </c>
      <c r="AX71" s="2">
        <v>0</v>
      </c>
      <c r="AY71" s="2">
        <v>15.3</v>
      </c>
      <c r="AZ71" s="2">
        <v>9.8000000000000007</v>
      </c>
      <c r="BA71" s="2">
        <v>29.7</v>
      </c>
      <c r="BB71" s="2">
        <v>564</v>
      </c>
      <c r="BC71" s="2">
        <v>68</v>
      </c>
      <c r="BD71" s="2">
        <v>1.8</v>
      </c>
      <c r="BE71" s="2">
        <v>43</v>
      </c>
      <c r="BF71" s="2">
        <v>25.4</v>
      </c>
      <c r="BG71" s="2">
        <v>162</v>
      </c>
      <c r="BH71" s="2">
        <v>9.1</v>
      </c>
      <c r="BI71" s="2">
        <v>9.1999999999999993</v>
      </c>
      <c r="BJ71" s="2">
        <v>18.3</v>
      </c>
      <c r="BK71" s="2">
        <v>0.34</v>
      </c>
      <c r="BL71" s="2">
        <v>7.3</v>
      </c>
      <c r="BM71" s="2">
        <v>0.9</v>
      </c>
      <c r="BN71" s="2">
        <v>7.5</v>
      </c>
      <c r="BO71" s="2">
        <v>2.9</v>
      </c>
      <c r="BP71" s="2">
        <f t="shared" si="2"/>
        <v>8.5850888822887708</v>
      </c>
      <c r="BQ71" s="2">
        <f t="shared" si="3"/>
        <v>27.853946549153253</v>
      </c>
    </row>
    <row r="72" spans="1:69" x14ac:dyDescent="0.2">
      <c r="A72" s="2" t="s">
        <v>3193</v>
      </c>
      <c r="B72" s="2" t="s">
        <v>47</v>
      </c>
      <c r="C72" s="2" t="s">
        <v>1935</v>
      </c>
      <c r="D72" s="2" t="s">
        <v>49</v>
      </c>
      <c r="E72" s="2" t="s">
        <v>246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89</v>
      </c>
      <c r="L72" s="6" t="s">
        <v>141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3194</v>
      </c>
      <c r="R72" s="2">
        <v>5295566.5020000003</v>
      </c>
      <c r="S72" s="2">
        <v>0</v>
      </c>
      <c r="T72" s="2" t="s">
        <v>130</v>
      </c>
      <c r="U72" s="2" t="s">
        <v>131</v>
      </c>
      <c r="V72" s="2" t="s">
        <v>56</v>
      </c>
      <c r="W72" s="2" t="s">
        <v>98</v>
      </c>
      <c r="X72" s="2" t="s">
        <v>132</v>
      </c>
      <c r="Y72" s="2">
        <v>3.8748649920765899</v>
      </c>
      <c r="Z72" s="2">
        <v>3874.8649920765902</v>
      </c>
      <c r="AA72" s="2">
        <v>4.7837500000000004</v>
      </c>
      <c r="AB72" s="2">
        <v>-74.044138888888895</v>
      </c>
      <c r="AC72" s="2">
        <v>2580</v>
      </c>
      <c r="AD72" s="2">
        <v>0</v>
      </c>
      <c r="AE72" s="2" t="s">
        <v>133</v>
      </c>
      <c r="AF72" s="2" t="s">
        <v>86</v>
      </c>
      <c r="AG72" s="2" t="s">
        <v>61</v>
      </c>
      <c r="AH72" s="2" t="s">
        <v>62</v>
      </c>
      <c r="AI72" s="2" t="s">
        <v>100</v>
      </c>
      <c r="AJ72" s="2">
        <v>5.44789323464021</v>
      </c>
      <c r="AK72" s="2">
        <v>0.98770306699590504</v>
      </c>
      <c r="AL72" s="2">
        <v>2.0651354092196699</v>
      </c>
      <c r="AM72" s="2">
        <v>3.7403237188057701</v>
      </c>
      <c r="AN72" s="2">
        <v>8.8951907677257704</v>
      </c>
      <c r="AO72" s="2">
        <v>0.95493157140229101</v>
      </c>
      <c r="AP72" s="2">
        <v>0.95493157140229101</v>
      </c>
      <c r="AQ72" s="2">
        <v>0</v>
      </c>
      <c r="AR72" s="2">
        <v>0</v>
      </c>
      <c r="AS72" s="2">
        <v>0</v>
      </c>
      <c r="AT72" s="2">
        <v>1</v>
      </c>
      <c r="AU72" s="2">
        <v>0</v>
      </c>
      <c r="AV72" s="2">
        <v>0</v>
      </c>
      <c r="AW72" s="2">
        <v>0</v>
      </c>
      <c r="AX72" s="2">
        <v>0</v>
      </c>
      <c r="AY72" s="2">
        <v>15.3</v>
      </c>
      <c r="AZ72" s="2">
        <v>9.8000000000000007</v>
      </c>
      <c r="BA72" s="2">
        <v>29.7</v>
      </c>
      <c r="BB72" s="2">
        <v>564</v>
      </c>
      <c r="BC72" s="2">
        <v>68</v>
      </c>
      <c r="BD72" s="2">
        <v>1.8</v>
      </c>
      <c r="BE72" s="2">
        <v>43</v>
      </c>
      <c r="BF72" s="2">
        <v>25.4</v>
      </c>
      <c r="BG72" s="2">
        <v>162</v>
      </c>
      <c r="BH72" s="2">
        <v>9.1</v>
      </c>
      <c r="BI72" s="2">
        <v>9.1999999999999993</v>
      </c>
      <c r="BJ72" s="2">
        <v>18.3</v>
      </c>
      <c r="BK72" s="2">
        <v>0.34</v>
      </c>
      <c r="BL72" s="2">
        <v>7.3</v>
      </c>
      <c r="BM72" s="2">
        <v>0.9</v>
      </c>
      <c r="BN72" s="2">
        <v>7.5</v>
      </c>
      <c r="BO72" s="2">
        <v>2.9</v>
      </c>
      <c r="BP72" s="2">
        <f t="shared" si="2"/>
        <v>8.0895780163674846</v>
      </c>
      <c r="BQ72" s="2">
        <f t="shared" si="3"/>
        <v>27.06253464641183</v>
      </c>
    </row>
    <row r="73" spans="1:69" x14ac:dyDescent="0.2">
      <c r="A73" s="2" t="s">
        <v>2550</v>
      </c>
      <c r="B73" s="2" t="s">
        <v>47</v>
      </c>
      <c r="C73" s="2" t="s">
        <v>1935</v>
      </c>
      <c r="D73" s="2" t="s">
        <v>49</v>
      </c>
      <c r="E73" s="2" t="s">
        <v>328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89</v>
      </c>
      <c r="L73" s="6" t="s">
        <v>103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2551</v>
      </c>
      <c r="R73" s="2">
        <v>4613466.3339999998</v>
      </c>
      <c r="S73" s="2">
        <v>0</v>
      </c>
      <c r="T73" s="2" t="s">
        <v>96</v>
      </c>
      <c r="U73" s="2" t="s">
        <v>97</v>
      </c>
      <c r="V73" s="2" t="s">
        <v>56</v>
      </c>
      <c r="W73" s="2" t="s">
        <v>98</v>
      </c>
      <c r="X73" s="2" t="s">
        <v>99</v>
      </c>
      <c r="Y73" s="2">
        <v>2.17034461826356</v>
      </c>
      <c r="Z73" s="2">
        <v>2170.3446182635598</v>
      </c>
      <c r="AA73" s="2">
        <v>4.73719444444444</v>
      </c>
      <c r="AB73" s="2">
        <v>-74.069472222222203</v>
      </c>
      <c r="AC73" s="2">
        <v>2555</v>
      </c>
      <c r="AD73" s="2">
        <v>0</v>
      </c>
      <c r="AE73" s="2" t="s">
        <v>59</v>
      </c>
      <c r="AF73" s="2" t="s">
        <v>86</v>
      </c>
      <c r="AG73" s="2" t="s">
        <v>61</v>
      </c>
      <c r="AH73" s="2" t="s">
        <v>62</v>
      </c>
      <c r="AI73" s="2" t="s">
        <v>100</v>
      </c>
      <c r="AJ73" s="2">
        <v>0.51033076319145398</v>
      </c>
      <c r="AK73" s="2">
        <v>5.1629378754471302</v>
      </c>
      <c r="AL73" s="2">
        <v>0.94357820886950095</v>
      </c>
      <c r="AM73" s="2">
        <v>0.439036426513433</v>
      </c>
      <c r="AN73" s="2">
        <v>2.4311481557949999</v>
      </c>
      <c r="AO73" s="2">
        <v>5.1934928666953397E-3</v>
      </c>
      <c r="AP73" s="2">
        <v>5.1934928666953397E-3</v>
      </c>
      <c r="AQ73" s="2">
        <v>0</v>
      </c>
      <c r="AR73" s="2">
        <v>2</v>
      </c>
      <c r="AS73" s="2">
        <v>0</v>
      </c>
      <c r="AT73" s="2">
        <v>0</v>
      </c>
      <c r="AU73" s="2">
        <v>1</v>
      </c>
      <c r="AV73" s="2">
        <v>12</v>
      </c>
      <c r="AW73" s="2">
        <v>0</v>
      </c>
      <c r="AX73" s="2">
        <v>0</v>
      </c>
      <c r="AY73" s="2">
        <v>15.3</v>
      </c>
      <c r="AZ73" s="2">
        <v>9.8000000000000007</v>
      </c>
      <c r="BA73" s="2">
        <v>29.7</v>
      </c>
      <c r="BB73" s="2">
        <v>564</v>
      </c>
      <c r="BC73" s="2">
        <v>68</v>
      </c>
      <c r="BD73" s="2">
        <v>1.8</v>
      </c>
      <c r="BE73" s="2">
        <v>43</v>
      </c>
      <c r="BF73" s="2">
        <v>25.4</v>
      </c>
      <c r="BG73" s="2">
        <v>162</v>
      </c>
      <c r="BH73" s="2">
        <v>9.1</v>
      </c>
      <c r="BI73" s="2">
        <v>9.1999999999999993</v>
      </c>
      <c r="BJ73" s="2">
        <v>18.3</v>
      </c>
      <c r="BK73" s="2">
        <v>0.34</v>
      </c>
      <c r="BL73" s="2">
        <v>7.3</v>
      </c>
      <c r="BM73" s="2">
        <v>0.9</v>
      </c>
      <c r="BN73" s="2">
        <v>7.5</v>
      </c>
      <c r="BO73" s="2">
        <v>2.9</v>
      </c>
      <c r="BP73" s="2">
        <f t="shared" si="2"/>
        <v>8.8017479027430898</v>
      </c>
      <c r="BQ73" s="2">
        <f t="shared" si="3"/>
        <v>28.192578652843711</v>
      </c>
    </row>
    <row r="74" spans="1:69" x14ac:dyDescent="0.2">
      <c r="A74" s="2" t="s">
        <v>2111</v>
      </c>
      <c r="B74" s="2" t="s">
        <v>47</v>
      </c>
      <c r="C74" s="2" t="s">
        <v>1935</v>
      </c>
      <c r="D74" s="2" t="s">
        <v>49</v>
      </c>
      <c r="E74" s="2" t="s">
        <v>546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89</v>
      </c>
      <c r="L74" s="6" t="s">
        <v>103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2112</v>
      </c>
      <c r="R74" s="2">
        <v>8736022.3640000001</v>
      </c>
      <c r="S74" s="2">
        <v>0</v>
      </c>
      <c r="T74" s="2" t="s">
        <v>96</v>
      </c>
      <c r="U74" s="2" t="s">
        <v>97</v>
      </c>
      <c r="V74" s="2" t="s">
        <v>56</v>
      </c>
      <c r="W74" s="2" t="s">
        <v>98</v>
      </c>
      <c r="X74" s="2" t="s">
        <v>99</v>
      </c>
      <c r="Y74" s="2">
        <v>1.8554825359001299</v>
      </c>
      <c r="Z74" s="2">
        <v>1855.48253590013</v>
      </c>
      <c r="AA74" s="2">
        <v>4.73719444444444</v>
      </c>
      <c r="AB74" s="2">
        <v>-74.069472222222203</v>
      </c>
      <c r="AC74" s="2">
        <v>2555</v>
      </c>
      <c r="AD74" s="2">
        <v>0</v>
      </c>
      <c r="AE74" s="2" t="s">
        <v>59</v>
      </c>
      <c r="AF74" s="2" t="s">
        <v>86</v>
      </c>
      <c r="AG74" s="2" t="s">
        <v>61</v>
      </c>
      <c r="AH74" s="2" t="s">
        <v>62</v>
      </c>
      <c r="AI74" s="2" t="s">
        <v>100</v>
      </c>
      <c r="AJ74" s="2">
        <v>0.17953740312150501</v>
      </c>
      <c r="AK74" s="2">
        <v>5.4622287302391896</v>
      </c>
      <c r="AL74" s="2">
        <v>0.77140429792693199</v>
      </c>
      <c r="AM74" s="2">
        <v>0.46850056312758598</v>
      </c>
      <c r="AN74" s="2">
        <v>2.3788857568179802</v>
      </c>
      <c r="AO74" s="2">
        <v>0.222174455952555</v>
      </c>
      <c r="AP74" s="2">
        <v>0.222174455952555</v>
      </c>
      <c r="AQ74" s="2">
        <v>1</v>
      </c>
      <c r="AR74" s="2">
        <v>2</v>
      </c>
      <c r="AS74" s="2">
        <v>0</v>
      </c>
      <c r="AT74" s="2">
        <v>0</v>
      </c>
      <c r="AU74" s="2">
        <v>1</v>
      </c>
      <c r="AV74" s="2">
        <v>21</v>
      </c>
      <c r="AW74" s="2">
        <v>0</v>
      </c>
      <c r="AX74" s="2">
        <v>0</v>
      </c>
      <c r="AY74" s="2">
        <v>15.3</v>
      </c>
      <c r="AZ74" s="2">
        <v>9.8000000000000007</v>
      </c>
      <c r="BA74" s="2">
        <v>29.7</v>
      </c>
      <c r="BB74" s="2">
        <v>564</v>
      </c>
      <c r="BC74" s="2">
        <v>68</v>
      </c>
      <c r="BD74" s="2">
        <v>1.8</v>
      </c>
      <c r="BE74" s="2">
        <v>43</v>
      </c>
      <c r="BF74" s="2">
        <v>25.4</v>
      </c>
      <c r="BG74" s="2">
        <v>162</v>
      </c>
      <c r="BH74" s="2">
        <v>9.1</v>
      </c>
      <c r="BI74" s="2">
        <v>9.1999999999999993</v>
      </c>
      <c r="BJ74" s="2">
        <v>18.3</v>
      </c>
      <c r="BK74" s="2">
        <v>0.34</v>
      </c>
      <c r="BL74" s="2">
        <v>7.3</v>
      </c>
      <c r="BM74" s="2">
        <v>0.9</v>
      </c>
      <c r="BN74" s="2">
        <v>7.5</v>
      </c>
      <c r="BO74" s="2">
        <v>2.9</v>
      </c>
      <c r="BP74" s="2">
        <f t="shared" si="2"/>
        <v>8.9400036740193354</v>
      </c>
      <c r="BQ74" s="2">
        <f t="shared" si="3"/>
        <v>28.406428209136891</v>
      </c>
    </row>
    <row r="75" spans="1:69" x14ac:dyDescent="0.2">
      <c r="A75" s="2" t="s">
        <v>3055</v>
      </c>
      <c r="B75" s="2" t="s">
        <v>47</v>
      </c>
      <c r="C75" s="2" t="s">
        <v>1935</v>
      </c>
      <c r="D75" s="2" t="s">
        <v>49</v>
      </c>
      <c r="E75" s="2" t="s">
        <v>1354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89</v>
      </c>
      <c r="L75" s="6" t="s">
        <v>141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3056</v>
      </c>
      <c r="R75" s="2">
        <v>9750000</v>
      </c>
      <c r="S75" s="2">
        <v>0</v>
      </c>
      <c r="T75" s="2" t="s">
        <v>96</v>
      </c>
      <c r="U75" s="2" t="s">
        <v>97</v>
      </c>
      <c r="V75" s="2" t="s">
        <v>56</v>
      </c>
      <c r="W75" s="2" t="s">
        <v>98</v>
      </c>
      <c r="X75" s="2" t="s">
        <v>99</v>
      </c>
      <c r="Y75" s="2">
        <v>1.9732588260017401</v>
      </c>
      <c r="Z75" s="2">
        <v>1973.2588260017401</v>
      </c>
      <c r="AA75" s="2">
        <v>4.73719444444444</v>
      </c>
      <c r="AB75" s="2">
        <v>-74.069472222222203</v>
      </c>
      <c r="AC75" s="2">
        <v>2555</v>
      </c>
      <c r="AD75" s="2">
        <v>0</v>
      </c>
      <c r="AE75" s="2" t="s">
        <v>59</v>
      </c>
      <c r="AF75" s="2" t="s">
        <v>86</v>
      </c>
      <c r="AG75" s="2" t="s">
        <v>61</v>
      </c>
      <c r="AH75" s="2" t="s">
        <v>62</v>
      </c>
      <c r="AI75" s="2" t="s">
        <v>100</v>
      </c>
      <c r="AJ75" s="2">
        <v>1.91963881167615</v>
      </c>
      <c r="AK75" s="2">
        <v>4.1571858677012496</v>
      </c>
      <c r="AL75" s="2">
        <v>2.6178818669042698</v>
      </c>
      <c r="AM75" s="2">
        <v>0.30190180033527497</v>
      </c>
      <c r="AN75" s="2">
        <v>1.5884862430091899</v>
      </c>
      <c r="AO75" s="2">
        <v>1.81545773935528E-2</v>
      </c>
      <c r="AP75" s="2">
        <v>1.81545773935528E-2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3</v>
      </c>
      <c r="AW75" s="2">
        <v>0</v>
      </c>
      <c r="AX75" s="2">
        <v>0</v>
      </c>
      <c r="AY75" s="2">
        <v>15.3</v>
      </c>
      <c r="AZ75" s="2">
        <v>9.8000000000000007</v>
      </c>
      <c r="BA75" s="2">
        <v>29.7</v>
      </c>
      <c r="BB75" s="2">
        <v>564</v>
      </c>
      <c r="BC75" s="2">
        <v>68</v>
      </c>
      <c r="BD75" s="2">
        <v>1.8</v>
      </c>
      <c r="BE75" s="2">
        <v>43</v>
      </c>
      <c r="BF75" s="2">
        <v>25.4</v>
      </c>
      <c r="BG75" s="2">
        <v>162</v>
      </c>
      <c r="BH75" s="2">
        <v>9.1</v>
      </c>
      <c r="BI75" s="2">
        <v>9.1999999999999993</v>
      </c>
      <c r="BJ75" s="2">
        <v>18.3</v>
      </c>
      <c r="BK75" s="2">
        <v>0.34</v>
      </c>
      <c r="BL75" s="2">
        <v>7.3</v>
      </c>
      <c r="BM75" s="2">
        <v>0.9</v>
      </c>
      <c r="BN75" s="2">
        <v>7.5</v>
      </c>
      <c r="BO75" s="2">
        <v>2.9</v>
      </c>
      <c r="BP75" s="2">
        <f t="shared" si="2"/>
        <v>8.8880357427382339</v>
      </c>
      <c r="BQ75" s="2">
        <f t="shared" si="3"/>
        <v>28.32624709422586</v>
      </c>
    </row>
    <row r="76" spans="1:69" x14ac:dyDescent="0.2">
      <c r="A76" s="2" t="s">
        <v>2041</v>
      </c>
      <c r="B76" s="2" t="s">
        <v>47</v>
      </c>
      <c r="C76" s="2" t="s">
        <v>1935</v>
      </c>
      <c r="D76" s="2" t="s">
        <v>49</v>
      </c>
      <c r="E76" s="2" t="s">
        <v>2042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89</v>
      </c>
      <c r="L76" s="6" t="s">
        <v>141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2043</v>
      </c>
      <c r="R76" s="2">
        <v>7175000</v>
      </c>
      <c r="S76" s="2">
        <v>0</v>
      </c>
      <c r="T76" s="2" t="s">
        <v>130</v>
      </c>
      <c r="U76" s="2" t="s">
        <v>131</v>
      </c>
      <c r="V76" s="2" t="s">
        <v>56</v>
      </c>
      <c r="W76" s="2" t="s">
        <v>98</v>
      </c>
      <c r="X76" s="2" t="s">
        <v>132</v>
      </c>
      <c r="Y76" s="2">
        <v>3.9258951203328598</v>
      </c>
      <c r="Z76" s="2">
        <v>3925.8951203328602</v>
      </c>
      <c r="AA76" s="2">
        <v>4.7837500000000004</v>
      </c>
      <c r="AB76" s="2">
        <v>-74.044138888888895</v>
      </c>
      <c r="AC76" s="2">
        <v>2580</v>
      </c>
      <c r="AD76" s="2">
        <v>0</v>
      </c>
      <c r="AE76" s="2" t="s">
        <v>133</v>
      </c>
      <c r="AF76" s="2" t="s">
        <v>86</v>
      </c>
      <c r="AG76" s="2" t="s">
        <v>61</v>
      </c>
      <c r="AH76" s="2" t="s">
        <v>62</v>
      </c>
      <c r="AI76" s="2" t="s">
        <v>100</v>
      </c>
      <c r="AJ76" s="2">
        <v>5.3844793155142998</v>
      </c>
      <c r="AK76" s="2">
        <v>1.31257661116464</v>
      </c>
      <c r="AL76" s="2">
        <v>2.3399611483549001</v>
      </c>
      <c r="AM76" s="2">
        <v>2.8916766171991402</v>
      </c>
      <c r="AN76" s="2">
        <v>8.2912223415881598</v>
      </c>
      <c r="AO76" s="2">
        <v>1.73572615568512</v>
      </c>
      <c r="AP76" s="2">
        <v>1.73572615568512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15.3</v>
      </c>
      <c r="AZ76" s="2">
        <v>9.8000000000000007</v>
      </c>
      <c r="BA76" s="2">
        <v>29.7</v>
      </c>
      <c r="BB76" s="2">
        <v>564</v>
      </c>
      <c r="BC76" s="2">
        <v>68</v>
      </c>
      <c r="BD76" s="2">
        <v>1.8</v>
      </c>
      <c r="BE76" s="2">
        <v>43</v>
      </c>
      <c r="BF76" s="2">
        <v>25.4</v>
      </c>
      <c r="BG76" s="2">
        <v>162</v>
      </c>
      <c r="BH76" s="2">
        <v>9.1</v>
      </c>
      <c r="BI76" s="2">
        <v>9.1999999999999993</v>
      </c>
      <c r="BJ76" s="2">
        <v>18.3</v>
      </c>
      <c r="BK76" s="2">
        <v>0.34</v>
      </c>
      <c r="BL76" s="2">
        <v>7.3</v>
      </c>
      <c r="BM76" s="2">
        <v>0.9</v>
      </c>
      <c r="BN76" s="2">
        <v>7.5</v>
      </c>
      <c r="BO76" s="2">
        <v>2.9</v>
      </c>
      <c r="BP76" s="2">
        <f t="shared" si="2"/>
        <v>8.0691695988781849</v>
      </c>
      <c r="BQ76" s="2">
        <f t="shared" si="3"/>
        <v>27.029410823572583</v>
      </c>
    </row>
    <row r="77" spans="1:69" x14ac:dyDescent="0.2">
      <c r="A77" s="2" t="s">
        <v>2664</v>
      </c>
      <c r="B77" s="2" t="s">
        <v>47</v>
      </c>
      <c r="C77" s="2" t="s">
        <v>1935</v>
      </c>
      <c r="D77" s="2" t="s">
        <v>49</v>
      </c>
      <c r="E77" s="2" t="s">
        <v>892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89</v>
      </c>
      <c r="L77" s="6" t="s">
        <v>103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2665</v>
      </c>
      <c r="R77" s="2">
        <v>6500000</v>
      </c>
      <c r="S77" s="2">
        <v>0</v>
      </c>
      <c r="T77" s="2" t="s">
        <v>96</v>
      </c>
      <c r="U77" s="2" t="s">
        <v>97</v>
      </c>
      <c r="V77" s="2" t="s">
        <v>56</v>
      </c>
      <c r="W77" s="2" t="s">
        <v>98</v>
      </c>
      <c r="X77" s="2" t="s">
        <v>99</v>
      </c>
      <c r="Y77" s="2">
        <v>2.3334665868327602</v>
      </c>
      <c r="Z77" s="2">
        <v>2333.4665868327602</v>
      </c>
      <c r="AA77" s="2">
        <v>4.73719444444444</v>
      </c>
      <c r="AB77" s="2">
        <v>-74.069472222222203</v>
      </c>
      <c r="AC77" s="2">
        <v>2555</v>
      </c>
      <c r="AD77" s="2">
        <v>0</v>
      </c>
      <c r="AE77" s="2" t="s">
        <v>59</v>
      </c>
      <c r="AF77" s="2" t="s">
        <v>86</v>
      </c>
      <c r="AG77" s="2" t="s">
        <v>61</v>
      </c>
      <c r="AH77" s="2" t="s">
        <v>62</v>
      </c>
      <c r="AI77" s="2" t="s">
        <v>100</v>
      </c>
      <c r="AJ77" s="2">
        <v>0.83910566580303503</v>
      </c>
      <c r="AK77" s="2">
        <v>4.8272434313148098</v>
      </c>
      <c r="AL77" s="2">
        <v>1.2678926376421</v>
      </c>
      <c r="AM77" s="2">
        <v>0.65194787648876296</v>
      </c>
      <c r="AN77" s="2">
        <v>2.3317479363748301</v>
      </c>
      <c r="AO77" s="2">
        <v>4.0137645605442902E-3</v>
      </c>
      <c r="AP77" s="2">
        <v>4.0137645605442902E-3</v>
      </c>
      <c r="AQ77" s="2">
        <v>0</v>
      </c>
      <c r="AR77" s="2">
        <v>1</v>
      </c>
      <c r="AS77" s="2">
        <v>0</v>
      </c>
      <c r="AT77" s="2">
        <v>0</v>
      </c>
      <c r="AU77" s="2">
        <v>0</v>
      </c>
      <c r="AV77" s="2">
        <v>1</v>
      </c>
      <c r="AW77" s="2">
        <v>0</v>
      </c>
      <c r="AX77" s="2">
        <v>0</v>
      </c>
      <c r="AY77" s="2">
        <v>15.3</v>
      </c>
      <c r="AZ77" s="2">
        <v>9.8000000000000007</v>
      </c>
      <c r="BA77" s="2">
        <v>29.7</v>
      </c>
      <c r="BB77" s="2">
        <v>564</v>
      </c>
      <c r="BC77" s="2">
        <v>68</v>
      </c>
      <c r="BD77" s="2">
        <v>1.8</v>
      </c>
      <c r="BE77" s="2">
        <v>43</v>
      </c>
      <c r="BF77" s="2">
        <v>25.4</v>
      </c>
      <c r="BG77" s="2">
        <v>162</v>
      </c>
      <c r="BH77" s="2">
        <v>9.1</v>
      </c>
      <c r="BI77" s="2">
        <v>9.1999999999999993</v>
      </c>
      <c r="BJ77" s="2">
        <v>18.3</v>
      </c>
      <c r="BK77" s="2">
        <v>0.34</v>
      </c>
      <c r="BL77" s="2">
        <v>7.3</v>
      </c>
      <c r="BM77" s="2">
        <v>0.9</v>
      </c>
      <c r="BN77" s="2">
        <v>7.5</v>
      </c>
      <c r="BO77" s="2">
        <v>2.9</v>
      </c>
      <c r="BP77" s="2">
        <f t="shared" si="2"/>
        <v>8.7309640178737506</v>
      </c>
      <c r="BQ77" s="2">
        <f t="shared" si="3"/>
        <v>28.082422525855382</v>
      </c>
    </row>
    <row r="78" spans="1:69" x14ac:dyDescent="0.2">
      <c r="A78" s="2" t="s">
        <v>3322</v>
      </c>
      <c r="B78" s="2" t="s">
        <v>47</v>
      </c>
      <c r="C78" s="2" t="s">
        <v>3273</v>
      </c>
      <c r="D78" s="2" t="s">
        <v>49</v>
      </c>
      <c r="E78" s="2" t="s">
        <v>2240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89</v>
      </c>
      <c r="L78" s="6" t="s">
        <v>112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3323</v>
      </c>
      <c r="R78" s="2">
        <v>6250000</v>
      </c>
      <c r="S78" s="2">
        <v>0</v>
      </c>
      <c r="T78" s="2" t="s">
        <v>130</v>
      </c>
      <c r="U78" s="2" t="s">
        <v>131</v>
      </c>
      <c r="V78" s="2" t="s">
        <v>56</v>
      </c>
      <c r="W78" s="2" t="s">
        <v>98</v>
      </c>
      <c r="X78" s="2" t="s">
        <v>132</v>
      </c>
      <c r="Y78" s="2">
        <v>2.9169711359150901</v>
      </c>
      <c r="Z78" s="2">
        <v>2916.9711359150901</v>
      </c>
      <c r="AA78" s="2">
        <v>4.7837500000000004</v>
      </c>
      <c r="AB78" s="2">
        <v>-74.044138888888895</v>
      </c>
      <c r="AC78" s="2">
        <v>2580</v>
      </c>
      <c r="AD78" s="2">
        <v>0</v>
      </c>
      <c r="AE78" s="2" t="s">
        <v>133</v>
      </c>
      <c r="AF78" s="2" t="s">
        <v>86</v>
      </c>
      <c r="AG78" s="2" t="s">
        <v>61</v>
      </c>
      <c r="AH78" s="2" t="s">
        <v>62</v>
      </c>
      <c r="AI78" s="2" t="s">
        <v>87</v>
      </c>
      <c r="AJ78" s="2">
        <v>4.48655746507574</v>
      </c>
      <c r="AK78" s="2">
        <v>2.3410488721346701</v>
      </c>
      <c r="AL78" s="2">
        <v>1.53575762414021</v>
      </c>
      <c r="AM78" s="2">
        <v>3.5617849164069999</v>
      </c>
      <c r="AN78" s="2">
        <v>7.5020023862185896</v>
      </c>
      <c r="AO78" s="2">
        <v>0.54679447941438097</v>
      </c>
      <c r="AP78" s="2">
        <v>0.54679447941438097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>
        <v>15.3</v>
      </c>
      <c r="AZ78" s="2">
        <v>9.8000000000000007</v>
      </c>
      <c r="BA78" s="2">
        <v>29.7</v>
      </c>
      <c r="BB78" s="2">
        <v>564</v>
      </c>
      <c r="BC78" s="2">
        <v>68</v>
      </c>
      <c r="BD78" s="2">
        <v>1.8</v>
      </c>
      <c r="BE78" s="2">
        <v>43</v>
      </c>
      <c r="BF78" s="2">
        <v>25.4</v>
      </c>
      <c r="BG78" s="2">
        <v>162</v>
      </c>
      <c r="BH78" s="2">
        <v>9.1</v>
      </c>
      <c r="BI78" s="2">
        <v>9.1999999999999993</v>
      </c>
      <c r="BJ78" s="2">
        <v>18.3</v>
      </c>
      <c r="BK78" s="2">
        <v>0.34</v>
      </c>
      <c r="BL78" s="2">
        <v>7.3</v>
      </c>
      <c r="BM78" s="2">
        <v>0.9</v>
      </c>
      <c r="BN78" s="2">
        <v>7.5</v>
      </c>
      <c r="BO78" s="2">
        <v>2.9</v>
      </c>
      <c r="BP78" s="2">
        <f t="shared" si="2"/>
        <v>8.4823905490787084</v>
      </c>
      <c r="BQ78" s="2">
        <f t="shared" si="3"/>
        <v>27.691894098542935</v>
      </c>
    </row>
    <row r="79" spans="1:69" x14ac:dyDescent="0.2">
      <c r="A79" s="2" t="s">
        <v>3195</v>
      </c>
      <c r="B79" s="2" t="s">
        <v>47</v>
      </c>
      <c r="C79" s="2" t="s">
        <v>1935</v>
      </c>
      <c r="D79" s="2" t="s">
        <v>49</v>
      </c>
      <c r="E79" s="2" t="s">
        <v>3196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89</v>
      </c>
      <c r="L79" s="6" t="s">
        <v>141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3197</v>
      </c>
      <c r="R79" s="2">
        <v>6250000</v>
      </c>
      <c r="S79" s="2">
        <v>0</v>
      </c>
      <c r="T79" s="2" t="s">
        <v>130</v>
      </c>
      <c r="U79" s="2" t="s">
        <v>131</v>
      </c>
      <c r="V79" s="2" t="s">
        <v>56</v>
      </c>
      <c r="W79" s="2" t="s">
        <v>98</v>
      </c>
      <c r="X79" s="2" t="s">
        <v>132</v>
      </c>
      <c r="Y79" s="2">
        <v>2.19116614883679</v>
      </c>
      <c r="Z79" s="2">
        <v>2191.1661488367899</v>
      </c>
      <c r="AA79" s="2">
        <v>4.7837500000000004</v>
      </c>
      <c r="AB79" s="2">
        <v>-74.044138888888895</v>
      </c>
      <c r="AC79" s="2">
        <v>2580</v>
      </c>
      <c r="AD79" s="2">
        <v>0</v>
      </c>
      <c r="AE79" s="2" t="s">
        <v>133</v>
      </c>
      <c r="AF79" s="2" t="s">
        <v>86</v>
      </c>
      <c r="AG79" s="2" t="s">
        <v>61</v>
      </c>
      <c r="AH79" s="2" t="s">
        <v>62</v>
      </c>
      <c r="AI79" s="2" t="s">
        <v>100</v>
      </c>
      <c r="AJ79" s="2">
        <v>2.86477160462923</v>
      </c>
      <c r="AK79" s="2">
        <v>2.5613574997700499</v>
      </c>
      <c r="AL79" s="2">
        <v>2.5065344329311698</v>
      </c>
      <c r="AM79" s="2">
        <v>1.8912292840520699</v>
      </c>
      <c r="AN79" s="2">
        <v>5.3596582282679996</v>
      </c>
      <c r="AO79" s="2">
        <v>1.4446296747096401</v>
      </c>
      <c r="AP79" s="2">
        <v>1.4446296747096401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>
        <v>15.3</v>
      </c>
      <c r="AZ79" s="2">
        <v>9.8000000000000007</v>
      </c>
      <c r="BA79" s="2">
        <v>29.7</v>
      </c>
      <c r="BB79" s="2">
        <v>564</v>
      </c>
      <c r="BC79" s="2">
        <v>68</v>
      </c>
      <c r="BD79" s="2">
        <v>1.8</v>
      </c>
      <c r="BE79" s="2">
        <v>43</v>
      </c>
      <c r="BF79" s="2">
        <v>25.4</v>
      </c>
      <c r="BG79" s="2">
        <v>162</v>
      </c>
      <c r="BH79" s="2">
        <v>9.1</v>
      </c>
      <c r="BI79" s="2">
        <v>9.1999999999999993</v>
      </c>
      <c r="BJ79" s="2">
        <v>18.3</v>
      </c>
      <c r="BK79" s="2">
        <v>0.34</v>
      </c>
      <c r="BL79" s="2">
        <v>7.3</v>
      </c>
      <c r="BM79" s="2">
        <v>0.9</v>
      </c>
      <c r="BN79" s="2">
        <v>7.5</v>
      </c>
      <c r="BO79" s="2">
        <v>2.9</v>
      </c>
      <c r="BP79" s="2">
        <f t="shared" si="2"/>
        <v>8.7926809158409984</v>
      </c>
      <c r="BQ79" s="2">
        <f t="shared" si="3"/>
        <v>28.178493869017295</v>
      </c>
    </row>
    <row r="80" spans="1:69" x14ac:dyDescent="0.2">
      <c r="A80" s="2" t="s">
        <v>2418</v>
      </c>
      <c r="B80" s="2" t="s">
        <v>47</v>
      </c>
      <c r="C80" s="2" t="s">
        <v>1935</v>
      </c>
      <c r="D80" s="2" t="s">
        <v>49</v>
      </c>
      <c r="E80" s="2" t="s">
        <v>1703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89</v>
      </c>
      <c r="L80" s="6" t="s">
        <v>103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2419</v>
      </c>
      <c r="R80" s="2">
        <v>4250000</v>
      </c>
      <c r="S80" s="2">
        <v>0</v>
      </c>
      <c r="T80" s="2" t="s">
        <v>130</v>
      </c>
      <c r="U80" s="2" t="s">
        <v>131</v>
      </c>
      <c r="V80" s="2" t="s">
        <v>56</v>
      </c>
      <c r="W80" s="2" t="s">
        <v>98</v>
      </c>
      <c r="X80" s="2" t="s">
        <v>132</v>
      </c>
      <c r="Y80" s="2">
        <v>2.7020133144431102</v>
      </c>
      <c r="Z80" s="2">
        <v>2702.0133144431102</v>
      </c>
      <c r="AA80" s="2">
        <v>4.7837500000000004</v>
      </c>
      <c r="AB80" s="2">
        <v>-74.044138888888895</v>
      </c>
      <c r="AC80" s="2">
        <v>2580</v>
      </c>
      <c r="AD80" s="2">
        <v>0</v>
      </c>
      <c r="AE80" s="2" t="s">
        <v>133</v>
      </c>
      <c r="AF80" s="2" t="s">
        <v>86</v>
      </c>
      <c r="AG80" s="2" t="s">
        <v>61</v>
      </c>
      <c r="AH80" s="2" t="s">
        <v>62</v>
      </c>
      <c r="AI80" s="2" t="s">
        <v>100</v>
      </c>
      <c r="AJ80" s="2">
        <v>1.72910043504564</v>
      </c>
      <c r="AK80" s="2">
        <v>4.1063153761878297</v>
      </c>
      <c r="AL80" s="2">
        <v>1.4939056181656201</v>
      </c>
      <c r="AM80" s="2">
        <v>0.683818886989351</v>
      </c>
      <c r="AN80" s="2">
        <v>3.8561940890220998</v>
      </c>
      <c r="AO80" s="2">
        <v>0.28030815564509498</v>
      </c>
      <c r="AP80" s="2">
        <v>0.28030815564509498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3</v>
      </c>
      <c r="AW80" s="2">
        <v>0</v>
      </c>
      <c r="AX80" s="2">
        <v>1</v>
      </c>
      <c r="AY80" s="2">
        <v>15.3</v>
      </c>
      <c r="AZ80" s="2">
        <v>9.8000000000000007</v>
      </c>
      <c r="BA80" s="2">
        <v>29.7</v>
      </c>
      <c r="BB80" s="2">
        <v>564</v>
      </c>
      <c r="BC80" s="2">
        <v>68</v>
      </c>
      <c r="BD80" s="2">
        <v>1.8</v>
      </c>
      <c r="BE80" s="2">
        <v>43</v>
      </c>
      <c r="BF80" s="2">
        <v>25.4</v>
      </c>
      <c r="BG80" s="2">
        <v>162</v>
      </c>
      <c r="BH80" s="2">
        <v>9.1</v>
      </c>
      <c r="BI80" s="2">
        <v>9.1999999999999993</v>
      </c>
      <c r="BJ80" s="2">
        <v>18.3</v>
      </c>
      <c r="BK80" s="2">
        <v>0.34</v>
      </c>
      <c r="BL80" s="2">
        <v>7.3</v>
      </c>
      <c r="BM80" s="2">
        <v>0.9</v>
      </c>
      <c r="BN80" s="2">
        <v>7.5</v>
      </c>
      <c r="BO80" s="2">
        <v>2.9</v>
      </c>
      <c r="BP80" s="2">
        <f t="shared" si="2"/>
        <v>8.5731285695161379</v>
      </c>
      <c r="BQ80" s="2">
        <f t="shared" si="3"/>
        <v>27.835125386562378</v>
      </c>
    </row>
    <row r="81" spans="1:69" x14ac:dyDescent="0.2">
      <c r="A81" s="2" t="s">
        <v>2486</v>
      </c>
      <c r="B81" s="2" t="s">
        <v>47</v>
      </c>
      <c r="C81" s="2" t="s">
        <v>1935</v>
      </c>
      <c r="D81" s="2" t="s">
        <v>49</v>
      </c>
      <c r="E81" s="2" t="s">
        <v>93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89</v>
      </c>
      <c r="L81" s="6" t="s">
        <v>141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2487</v>
      </c>
      <c r="R81" s="2">
        <v>3964646.4649999999</v>
      </c>
      <c r="S81" s="2">
        <v>0</v>
      </c>
      <c r="T81" s="2" t="s">
        <v>96</v>
      </c>
      <c r="U81" s="2" t="s">
        <v>97</v>
      </c>
      <c r="V81" s="2" t="s">
        <v>56</v>
      </c>
      <c r="W81" s="2" t="s">
        <v>98</v>
      </c>
      <c r="X81" s="2" t="s">
        <v>99</v>
      </c>
      <c r="Y81" s="2">
        <v>2.8234406322633201</v>
      </c>
      <c r="Z81" s="2">
        <v>2823.4406322633199</v>
      </c>
      <c r="AA81" s="2">
        <v>4.73719444444444</v>
      </c>
      <c r="AB81" s="2">
        <v>-74.069472222222203</v>
      </c>
      <c r="AC81" s="2">
        <v>2555</v>
      </c>
      <c r="AD81" s="2">
        <v>0</v>
      </c>
      <c r="AE81" s="2" t="s">
        <v>59</v>
      </c>
      <c r="AF81" s="2" t="s">
        <v>86</v>
      </c>
      <c r="AG81" s="2" t="s">
        <v>61</v>
      </c>
      <c r="AH81" s="2" t="s">
        <v>62</v>
      </c>
      <c r="AI81" s="2" t="s">
        <v>100</v>
      </c>
      <c r="AJ81" s="2">
        <v>0.545638223172213</v>
      </c>
      <c r="AK81" s="2">
        <v>5.55883700713684</v>
      </c>
      <c r="AL81" s="2">
        <v>0.76248414413489196</v>
      </c>
      <c r="AM81" s="2">
        <v>0.27039578619730997</v>
      </c>
      <c r="AN81" s="2">
        <v>3.26809232516647</v>
      </c>
      <c r="AO81" s="2">
        <v>0.25184254634119202</v>
      </c>
      <c r="AP81" s="2">
        <v>0.25184254634119202</v>
      </c>
      <c r="AQ81" s="2">
        <v>0</v>
      </c>
      <c r="AR81" s="2">
        <v>3</v>
      </c>
      <c r="AS81" s="2">
        <v>0</v>
      </c>
      <c r="AT81" s="2">
        <v>0</v>
      </c>
      <c r="AU81" s="2">
        <v>1</v>
      </c>
      <c r="AV81" s="2">
        <v>36</v>
      </c>
      <c r="AW81" s="2">
        <v>0</v>
      </c>
      <c r="AX81" s="2">
        <v>0</v>
      </c>
      <c r="AY81" s="2">
        <v>15.3</v>
      </c>
      <c r="AZ81" s="2">
        <v>9.8000000000000007</v>
      </c>
      <c r="BA81" s="2">
        <v>29.7</v>
      </c>
      <c r="BB81" s="2">
        <v>564</v>
      </c>
      <c r="BC81" s="2">
        <v>68</v>
      </c>
      <c r="BD81" s="2">
        <v>1.8</v>
      </c>
      <c r="BE81" s="2">
        <v>43</v>
      </c>
      <c r="BF81" s="2">
        <v>25.4</v>
      </c>
      <c r="BG81" s="2">
        <v>162</v>
      </c>
      <c r="BH81" s="2">
        <v>9.1</v>
      </c>
      <c r="BI81" s="2">
        <v>9.1999999999999993</v>
      </c>
      <c r="BJ81" s="2">
        <v>18.3</v>
      </c>
      <c r="BK81" s="2">
        <v>0.34</v>
      </c>
      <c r="BL81" s="2">
        <v>7.3</v>
      </c>
      <c r="BM81" s="2">
        <v>0.9</v>
      </c>
      <c r="BN81" s="2">
        <v>7.5</v>
      </c>
      <c r="BO81" s="2">
        <v>2.9</v>
      </c>
      <c r="BP81" s="2">
        <f t="shared" si="2"/>
        <v>8.5217530300683961</v>
      </c>
      <c r="BQ81" s="2">
        <f t="shared" si="3"/>
        <v>27.754124801290391</v>
      </c>
    </row>
    <row r="82" spans="1:69" x14ac:dyDescent="0.2">
      <c r="A82" s="2" t="s">
        <v>685</v>
      </c>
      <c r="B82" s="2" t="s">
        <v>47</v>
      </c>
      <c r="C82" s="2" t="s">
        <v>48</v>
      </c>
      <c r="D82" s="2" t="s">
        <v>49</v>
      </c>
      <c r="E82" s="2" t="s">
        <v>328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89</v>
      </c>
      <c r="L82" s="6" t="s">
        <v>103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686</v>
      </c>
      <c r="R82" s="2">
        <v>7125951.1869999999</v>
      </c>
      <c r="S82" s="2">
        <v>0</v>
      </c>
      <c r="T82" s="2" t="s">
        <v>96</v>
      </c>
      <c r="U82" s="2" t="s">
        <v>97</v>
      </c>
      <c r="V82" s="2" t="s">
        <v>56</v>
      </c>
      <c r="W82" s="2" t="s">
        <v>98</v>
      </c>
      <c r="X82" s="2" t="s">
        <v>99</v>
      </c>
      <c r="Y82" s="2">
        <v>0.783051371804378</v>
      </c>
      <c r="Z82" s="2">
        <v>783.05137180437805</v>
      </c>
      <c r="AA82" s="2">
        <v>4.73719444444444</v>
      </c>
      <c r="AB82" s="2">
        <v>-74.069472222222203</v>
      </c>
      <c r="AC82" s="2">
        <v>2555</v>
      </c>
      <c r="AD82" s="2">
        <v>0</v>
      </c>
      <c r="AE82" s="2" t="s">
        <v>59</v>
      </c>
      <c r="AF82" s="2" t="s">
        <v>86</v>
      </c>
      <c r="AG82" s="2" t="s">
        <v>61</v>
      </c>
      <c r="AH82" s="2" t="s">
        <v>62</v>
      </c>
      <c r="AI82" s="2" t="s">
        <v>100</v>
      </c>
      <c r="AJ82" s="2">
        <v>0.54827765781916205</v>
      </c>
      <c r="AK82" s="2">
        <v>4.9056608409869096</v>
      </c>
      <c r="AL82" s="2">
        <v>2.36497834892059</v>
      </c>
      <c r="AM82" s="2">
        <v>0.56050034973964502</v>
      </c>
      <c r="AN82" s="2">
        <v>1.06088553111615</v>
      </c>
      <c r="AO82" s="2">
        <v>5.8042860338053601E-3</v>
      </c>
      <c r="AP82" s="2">
        <v>5.8042860338053601E-3</v>
      </c>
      <c r="AQ82" s="2">
        <v>0</v>
      </c>
      <c r="AR82" s="2">
        <v>1</v>
      </c>
      <c r="AS82" s="2">
        <v>0</v>
      </c>
      <c r="AT82" s="2">
        <v>0</v>
      </c>
      <c r="AU82" s="2">
        <v>0</v>
      </c>
      <c r="AV82" s="2">
        <v>6</v>
      </c>
      <c r="AW82" s="2">
        <v>0</v>
      </c>
      <c r="AX82" s="2">
        <v>0</v>
      </c>
      <c r="AY82" s="2">
        <v>15.3</v>
      </c>
      <c r="AZ82" s="2">
        <v>9.8000000000000007</v>
      </c>
      <c r="BA82" s="2">
        <v>29.7</v>
      </c>
      <c r="BB82" s="2">
        <v>564</v>
      </c>
      <c r="BC82" s="2">
        <v>68</v>
      </c>
      <c r="BD82" s="2">
        <v>1.8</v>
      </c>
      <c r="BE82" s="2">
        <v>43</v>
      </c>
      <c r="BF82" s="2">
        <v>25.4</v>
      </c>
      <c r="BG82" s="2">
        <v>162</v>
      </c>
      <c r="BH82" s="2">
        <v>9.1</v>
      </c>
      <c r="BI82" s="2">
        <v>9.1999999999999993</v>
      </c>
      <c r="BJ82" s="2">
        <v>18.3</v>
      </c>
      <c r="BK82" s="2">
        <v>0.34</v>
      </c>
      <c r="BL82" s="2">
        <v>7.3</v>
      </c>
      <c r="BM82" s="2">
        <v>0.9</v>
      </c>
      <c r="BN82" s="2">
        <v>7.5</v>
      </c>
      <c r="BO82" s="2">
        <v>2.9</v>
      </c>
      <c r="BP82" s="2">
        <f t="shared" si="2"/>
        <v>9.4274094268774302</v>
      </c>
      <c r="BQ82" s="2">
        <f t="shared" si="3"/>
        <v>29.147053086558756</v>
      </c>
    </row>
    <row r="83" spans="1:69" x14ac:dyDescent="0.2">
      <c r="A83" s="2" t="s">
        <v>2710</v>
      </c>
      <c r="B83" s="2" t="s">
        <v>47</v>
      </c>
      <c r="C83" s="2" t="s">
        <v>1935</v>
      </c>
      <c r="D83" s="2" t="s">
        <v>49</v>
      </c>
      <c r="E83" s="2" t="s">
        <v>328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89</v>
      </c>
      <c r="L83" s="6" t="s">
        <v>103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2711</v>
      </c>
      <c r="R83" s="2">
        <v>7935695.2690000003</v>
      </c>
      <c r="S83" s="2">
        <v>0</v>
      </c>
      <c r="T83" s="2" t="s">
        <v>96</v>
      </c>
      <c r="U83" s="2" t="s">
        <v>97</v>
      </c>
      <c r="V83" s="2" t="s">
        <v>56</v>
      </c>
      <c r="W83" s="2" t="s">
        <v>98</v>
      </c>
      <c r="X83" s="2" t="s">
        <v>99</v>
      </c>
      <c r="Y83" s="2">
        <v>1.8554825359001299</v>
      </c>
      <c r="Z83" s="2">
        <v>1855.48253590013</v>
      </c>
      <c r="AA83" s="2">
        <v>4.73719444444444</v>
      </c>
      <c r="AB83" s="2">
        <v>-74.069472222222203</v>
      </c>
      <c r="AC83" s="2">
        <v>2555</v>
      </c>
      <c r="AD83" s="2">
        <v>0</v>
      </c>
      <c r="AE83" s="2" t="s">
        <v>59</v>
      </c>
      <c r="AF83" s="2" t="s">
        <v>86</v>
      </c>
      <c r="AG83" s="2" t="s">
        <v>61</v>
      </c>
      <c r="AH83" s="2" t="s">
        <v>62</v>
      </c>
      <c r="AI83" s="2" t="s">
        <v>100</v>
      </c>
      <c r="AJ83" s="2">
        <v>0.17953740312150501</v>
      </c>
      <c r="AK83" s="2">
        <v>5.4622287302391896</v>
      </c>
      <c r="AL83" s="2">
        <v>0.77140429792693199</v>
      </c>
      <c r="AM83" s="2">
        <v>0.46850056312758598</v>
      </c>
      <c r="AN83" s="2">
        <v>2.3788857568179802</v>
      </c>
      <c r="AO83" s="2">
        <v>0.222174455952555</v>
      </c>
      <c r="AP83" s="2">
        <v>0.222174455952555</v>
      </c>
      <c r="AQ83" s="2">
        <v>1</v>
      </c>
      <c r="AR83" s="2">
        <v>2</v>
      </c>
      <c r="AS83" s="2">
        <v>0</v>
      </c>
      <c r="AT83" s="2">
        <v>0</v>
      </c>
      <c r="AU83" s="2">
        <v>1</v>
      </c>
      <c r="AV83" s="2">
        <v>21</v>
      </c>
      <c r="AW83" s="2">
        <v>0</v>
      </c>
      <c r="AX83" s="2">
        <v>0</v>
      </c>
      <c r="AY83" s="2">
        <v>15.3</v>
      </c>
      <c r="AZ83" s="2">
        <v>9.8000000000000007</v>
      </c>
      <c r="BA83" s="2">
        <v>29.7</v>
      </c>
      <c r="BB83" s="2">
        <v>564</v>
      </c>
      <c r="BC83" s="2">
        <v>68</v>
      </c>
      <c r="BD83" s="2">
        <v>1.8</v>
      </c>
      <c r="BE83" s="2">
        <v>43</v>
      </c>
      <c r="BF83" s="2">
        <v>25.4</v>
      </c>
      <c r="BG83" s="2">
        <v>162</v>
      </c>
      <c r="BH83" s="2">
        <v>9.1</v>
      </c>
      <c r="BI83" s="2">
        <v>9.1999999999999993</v>
      </c>
      <c r="BJ83" s="2">
        <v>18.3</v>
      </c>
      <c r="BK83" s="2">
        <v>0.34</v>
      </c>
      <c r="BL83" s="2">
        <v>7.3</v>
      </c>
      <c r="BM83" s="2">
        <v>0.9</v>
      </c>
      <c r="BN83" s="2">
        <v>7.5</v>
      </c>
      <c r="BO83" s="2">
        <v>2.9</v>
      </c>
      <c r="BP83" s="2">
        <f t="shared" si="2"/>
        <v>8.9400036740193354</v>
      </c>
      <c r="BQ83" s="2">
        <f t="shared" si="3"/>
        <v>28.406428209136891</v>
      </c>
    </row>
    <row r="84" spans="1:69" x14ac:dyDescent="0.2">
      <c r="A84" s="2" t="s">
        <v>3148</v>
      </c>
      <c r="B84" s="2" t="s">
        <v>47</v>
      </c>
      <c r="C84" s="2" t="s">
        <v>1935</v>
      </c>
      <c r="D84" s="2" t="s">
        <v>49</v>
      </c>
      <c r="E84" s="2" t="s">
        <v>570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89</v>
      </c>
      <c r="L84" s="6" t="s">
        <v>103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3149</v>
      </c>
      <c r="R84" s="2">
        <v>8974358.9739999995</v>
      </c>
      <c r="S84" s="2">
        <v>0</v>
      </c>
      <c r="T84" s="2" t="s">
        <v>96</v>
      </c>
      <c r="U84" s="2" t="s">
        <v>97</v>
      </c>
      <c r="V84" s="2" t="s">
        <v>56</v>
      </c>
      <c r="W84" s="2" t="s">
        <v>98</v>
      </c>
      <c r="X84" s="2" t="s">
        <v>99</v>
      </c>
      <c r="Y84" s="2">
        <v>1.96576704792914</v>
      </c>
      <c r="Z84" s="2">
        <v>1965.7670479291401</v>
      </c>
      <c r="AA84" s="2">
        <v>4.73719444444444</v>
      </c>
      <c r="AB84" s="2">
        <v>-74.069472222222203</v>
      </c>
      <c r="AC84" s="2">
        <v>2555</v>
      </c>
      <c r="AD84" s="2">
        <v>0</v>
      </c>
      <c r="AE84" s="2" t="s">
        <v>59</v>
      </c>
      <c r="AF84" s="2" t="s">
        <v>86</v>
      </c>
      <c r="AG84" s="2" t="s">
        <v>61</v>
      </c>
      <c r="AH84" s="2" t="s">
        <v>62</v>
      </c>
      <c r="AI84" s="2" t="s">
        <v>100</v>
      </c>
      <c r="AJ84" s="2">
        <v>0.18843462614937501</v>
      </c>
      <c r="AK84" s="2">
        <v>5.4589627859113197</v>
      </c>
      <c r="AL84" s="2">
        <v>0.71129000095696504</v>
      </c>
      <c r="AM84" s="2">
        <v>0.45891925660539501</v>
      </c>
      <c r="AN84" s="2">
        <v>2.4707293376466701</v>
      </c>
      <c r="AO84" s="2">
        <v>0.114268287622876</v>
      </c>
      <c r="AP84" s="2">
        <v>0.114268287622876</v>
      </c>
      <c r="AQ84" s="2">
        <v>1</v>
      </c>
      <c r="AR84" s="2">
        <v>2</v>
      </c>
      <c r="AS84" s="2">
        <v>0</v>
      </c>
      <c r="AT84" s="2">
        <v>0</v>
      </c>
      <c r="AU84" s="2">
        <v>1</v>
      </c>
      <c r="AV84" s="2">
        <v>24</v>
      </c>
      <c r="AW84" s="2">
        <v>0</v>
      </c>
      <c r="AX84" s="2">
        <v>0</v>
      </c>
      <c r="AY84" s="2">
        <v>15.3</v>
      </c>
      <c r="AZ84" s="2">
        <v>9.8000000000000007</v>
      </c>
      <c r="BA84" s="2">
        <v>29.7</v>
      </c>
      <c r="BB84" s="2">
        <v>564</v>
      </c>
      <c r="BC84" s="2">
        <v>68</v>
      </c>
      <c r="BD84" s="2">
        <v>1.8</v>
      </c>
      <c r="BE84" s="2">
        <v>43</v>
      </c>
      <c r="BF84" s="2">
        <v>25.4</v>
      </c>
      <c r="BG84" s="2">
        <v>162</v>
      </c>
      <c r="BH84" s="2">
        <v>9.1</v>
      </c>
      <c r="BI84" s="2">
        <v>9.1999999999999993</v>
      </c>
      <c r="BJ84" s="2">
        <v>18.3</v>
      </c>
      <c r="BK84" s="2">
        <v>0.34</v>
      </c>
      <c r="BL84" s="2">
        <v>7.3</v>
      </c>
      <c r="BM84" s="2">
        <v>0.9</v>
      </c>
      <c r="BN84" s="2">
        <v>7.5</v>
      </c>
      <c r="BO84" s="2">
        <v>2.9</v>
      </c>
      <c r="BP84" s="2">
        <f t="shared" si="2"/>
        <v>8.8913324199439625</v>
      </c>
      <c r="BQ84" s="2">
        <f t="shared" si="3"/>
        <v>28.331340687097573</v>
      </c>
    </row>
    <row r="85" spans="1:69" x14ac:dyDescent="0.2">
      <c r="A85" s="2" t="s">
        <v>3260</v>
      </c>
      <c r="B85" s="2" t="s">
        <v>47</v>
      </c>
      <c r="C85" s="2" t="s">
        <v>1935</v>
      </c>
      <c r="D85" s="2" t="s">
        <v>49</v>
      </c>
      <c r="E85" s="2" t="s">
        <v>52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89</v>
      </c>
      <c r="L85" s="6" t="s">
        <v>141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3261</v>
      </c>
      <c r="R85" s="2">
        <v>6025641.0259999996</v>
      </c>
      <c r="S85" s="2">
        <v>0</v>
      </c>
      <c r="T85" s="2" t="s">
        <v>130</v>
      </c>
      <c r="U85" s="2" t="s">
        <v>131</v>
      </c>
      <c r="V85" s="2" t="s">
        <v>56</v>
      </c>
      <c r="W85" s="2" t="s">
        <v>98</v>
      </c>
      <c r="X85" s="2" t="s">
        <v>132</v>
      </c>
      <c r="Y85" s="2">
        <v>1.8165534590891099</v>
      </c>
      <c r="Z85" s="2">
        <v>1816.55345908911</v>
      </c>
      <c r="AA85" s="2">
        <v>4.7837500000000004</v>
      </c>
      <c r="AB85" s="2">
        <v>-74.044138888888895</v>
      </c>
      <c r="AC85" s="2">
        <v>2580</v>
      </c>
      <c r="AD85" s="2">
        <v>0</v>
      </c>
      <c r="AE85" s="2" t="s">
        <v>133</v>
      </c>
      <c r="AF85" s="2" t="s">
        <v>86</v>
      </c>
      <c r="AG85" s="2" t="s">
        <v>61</v>
      </c>
      <c r="AH85" s="2" t="s">
        <v>62</v>
      </c>
      <c r="AI85" s="2" t="s">
        <v>87</v>
      </c>
      <c r="AJ85" s="2">
        <v>2.53447284692193</v>
      </c>
      <c r="AK85" s="2">
        <v>1.9391345933648501</v>
      </c>
      <c r="AL85" s="2">
        <v>2.6700011545656399</v>
      </c>
      <c r="AM85" s="2">
        <v>1.86346386706036</v>
      </c>
      <c r="AN85" s="2">
        <v>4.8569096426894101</v>
      </c>
      <c r="AO85" s="2">
        <v>0.20309214369145701</v>
      </c>
      <c r="AP85" s="2">
        <v>0.20309214369145701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>
        <v>15.3</v>
      </c>
      <c r="AZ85" s="2">
        <v>9.8000000000000007</v>
      </c>
      <c r="BA85" s="2">
        <v>29.7</v>
      </c>
      <c r="BB85" s="2">
        <v>564</v>
      </c>
      <c r="BC85" s="2">
        <v>68</v>
      </c>
      <c r="BD85" s="2">
        <v>1.8</v>
      </c>
      <c r="BE85" s="2">
        <v>43</v>
      </c>
      <c r="BF85" s="2">
        <v>25.4</v>
      </c>
      <c r="BG85" s="2">
        <v>162</v>
      </c>
      <c r="BH85" s="2">
        <v>9.1</v>
      </c>
      <c r="BI85" s="2">
        <v>9.1999999999999993</v>
      </c>
      <c r="BJ85" s="2">
        <v>18.3</v>
      </c>
      <c r="BK85" s="2">
        <v>0.34</v>
      </c>
      <c r="BL85" s="2">
        <v>7.3</v>
      </c>
      <c r="BM85" s="2">
        <v>0.9</v>
      </c>
      <c r="BN85" s="2">
        <v>7.5</v>
      </c>
      <c r="BO85" s="2">
        <v>2.9</v>
      </c>
      <c r="BP85" s="2">
        <f t="shared" si="2"/>
        <v>8.9572475745302551</v>
      </c>
      <c r="BQ85" s="2">
        <f t="shared" si="3"/>
        <v>28.432980675777877</v>
      </c>
    </row>
    <row r="86" spans="1:69" x14ac:dyDescent="0.2">
      <c r="A86" s="2" t="s">
        <v>2428</v>
      </c>
      <c r="B86" s="2" t="s">
        <v>47</v>
      </c>
      <c r="C86" s="2" t="s">
        <v>1935</v>
      </c>
      <c r="D86" s="2" t="s">
        <v>49</v>
      </c>
      <c r="E86" s="2" t="s">
        <v>246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89</v>
      </c>
      <c r="L86" s="6" t="s">
        <v>103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2429</v>
      </c>
      <c r="R86" s="2">
        <v>5897435.8969999999</v>
      </c>
      <c r="S86" s="2">
        <v>0</v>
      </c>
      <c r="T86" s="2" t="s">
        <v>130</v>
      </c>
      <c r="U86" s="2" t="s">
        <v>131</v>
      </c>
      <c r="V86" s="2" t="s">
        <v>56</v>
      </c>
      <c r="W86" s="2" t="s">
        <v>98</v>
      </c>
      <c r="X86" s="2" t="s">
        <v>132</v>
      </c>
      <c r="Y86" s="2">
        <v>4.1105587331789204</v>
      </c>
      <c r="Z86" s="2">
        <v>4110.5587331789202</v>
      </c>
      <c r="AA86" s="2">
        <v>4.7837500000000004</v>
      </c>
      <c r="AB86" s="2">
        <v>-74.044138888888895</v>
      </c>
      <c r="AC86" s="2">
        <v>2580</v>
      </c>
      <c r="AD86" s="2">
        <v>0</v>
      </c>
      <c r="AE86" s="2" t="s">
        <v>133</v>
      </c>
      <c r="AF86" s="2" t="s">
        <v>86</v>
      </c>
      <c r="AG86" s="2" t="s">
        <v>61</v>
      </c>
      <c r="AH86" s="2" t="s">
        <v>62</v>
      </c>
      <c r="AI86" s="2" t="s">
        <v>100</v>
      </c>
      <c r="AJ86" s="2">
        <v>5.70661893542173</v>
      </c>
      <c r="AK86" s="2">
        <v>0.75594310485893401</v>
      </c>
      <c r="AL86" s="2">
        <v>2.2612206892240101</v>
      </c>
      <c r="AM86" s="2">
        <v>4.1599099082114197</v>
      </c>
      <c r="AN86" s="2">
        <v>9.1089198403950107</v>
      </c>
      <c r="AO86" s="2">
        <v>0.53607127048732395</v>
      </c>
      <c r="AP86" s="2">
        <v>0.53607127048732395</v>
      </c>
      <c r="AQ86" s="2">
        <v>0</v>
      </c>
      <c r="AR86" s="2">
        <v>0</v>
      </c>
      <c r="AS86" s="2">
        <v>0</v>
      </c>
      <c r="AT86" s="2">
        <v>1</v>
      </c>
      <c r="AU86" s="2">
        <v>0</v>
      </c>
      <c r="AV86" s="2">
        <v>0</v>
      </c>
      <c r="AW86" s="2">
        <v>0</v>
      </c>
      <c r="AX86" s="2">
        <v>0</v>
      </c>
      <c r="AY86" s="2">
        <v>15.3</v>
      </c>
      <c r="AZ86" s="2">
        <v>9.8000000000000007</v>
      </c>
      <c r="BA86" s="2">
        <v>29.7</v>
      </c>
      <c r="BB86" s="2">
        <v>564</v>
      </c>
      <c r="BC86" s="2">
        <v>68</v>
      </c>
      <c r="BD86" s="2">
        <v>1.8</v>
      </c>
      <c r="BE86" s="2">
        <v>43</v>
      </c>
      <c r="BF86" s="2">
        <v>25.4</v>
      </c>
      <c r="BG86" s="2">
        <v>162</v>
      </c>
      <c r="BH86" s="2">
        <v>9.1</v>
      </c>
      <c r="BI86" s="2">
        <v>9.1999999999999993</v>
      </c>
      <c r="BJ86" s="2">
        <v>18.3</v>
      </c>
      <c r="BK86" s="2">
        <v>0.34</v>
      </c>
      <c r="BL86" s="2">
        <v>7.3</v>
      </c>
      <c r="BM86" s="2">
        <v>0.9</v>
      </c>
      <c r="BN86" s="2">
        <v>7.5</v>
      </c>
      <c r="BO86" s="2">
        <v>2.9</v>
      </c>
      <c r="BP86" s="2">
        <f t="shared" si="2"/>
        <v>7.9957466247356761</v>
      </c>
      <c r="BQ86" s="2">
        <f t="shared" si="3"/>
        <v>26.909883519605202</v>
      </c>
    </row>
    <row r="87" spans="1:69" x14ac:dyDescent="0.2">
      <c r="A87" s="2" t="s">
        <v>2309</v>
      </c>
      <c r="B87" s="2" t="s">
        <v>47</v>
      </c>
      <c r="C87" s="2" t="s">
        <v>1935</v>
      </c>
      <c r="D87" s="2" t="s">
        <v>49</v>
      </c>
      <c r="E87" s="2" t="s">
        <v>471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89</v>
      </c>
      <c r="L87" s="6" t="s">
        <v>141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2310</v>
      </c>
      <c r="R87" s="2">
        <v>4921004.9210000001</v>
      </c>
      <c r="S87" s="2">
        <v>0</v>
      </c>
      <c r="T87" s="2" t="s">
        <v>96</v>
      </c>
      <c r="U87" s="2" t="s">
        <v>97</v>
      </c>
      <c r="V87" s="2" t="s">
        <v>56</v>
      </c>
      <c r="W87" s="2" t="s">
        <v>98</v>
      </c>
      <c r="X87" s="2" t="s">
        <v>99</v>
      </c>
      <c r="Y87" s="2">
        <v>2.38863999559663</v>
      </c>
      <c r="Z87" s="2">
        <v>2388.6399955966299</v>
      </c>
      <c r="AA87" s="2">
        <v>4.73719444444444</v>
      </c>
      <c r="AB87" s="2">
        <v>-74.069472222222203</v>
      </c>
      <c r="AC87" s="2">
        <v>2555</v>
      </c>
      <c r="AD87" s="2">
        <v>0</v>
      </c>
      <c r="AE87" s="2" t="s">
        <v>59</v>
      </c>
      <c r="AF87" s="2" t="s">
        <v>86</v>
      </c>
      <c r="AG87" s="2" t="s">
        <v>61</v>
      </c>
      <c r="AH87" s="2" t="s">
        <v>62</v>
      </c>
      <c r="AI87" s="2" t="s">
        <v>100</v>
      </c>
      <c r="AJ87" s="2">
        <v>0.43034149980737901</v>
      </c>
      <c r="AK87" s="2">
        <v>5.2439081264265104</v>
      </c>
      <c r="AL87" s="2">
        <v>0.120712127979758</v>
      </c>
      <c r="AM87" s="2">
        <v>0.119471983392428</v>
      </c>
      <c r="AN87" s="2">
        <v>3.1901113644825498</v>
      </c>
      <c r="AO87" s="2">
        <v>0.12768147735724</v>
      </c>
      <c r="AP87" s="2">
        <v>0.12768147735724</v>
      </c>
      <c r="AQ87" s="2">
        <v>1</v>
      </c>
      <c r="AR87" s="2">
        <v>2</v>
      </c>
      <c r="AS87" s="2">
        <v>0</v>
      </c>
      <c r="AT87" s="2">
        <v>0</v>
      </c>
      <c r="AU87" s="2">
        <v>1</v>
      </c>
      <c r="AV87" s="2">
        <v>41</v>
      </c>
      <c r="AW87" s="2">
        <v>0</v>
      </c>
      <c r="AX87" s="2">
        <v>0</v>
      </c>
      <c r="AY87" s="2">
        <v>15.3</v>
      </c>
      <c r="AZ87" s="2">
        <v>9.8000000000000007</v>
      </c>
      <c r="BA87" s="2">
        <v>29.7</v>
      </c>
      <c r="BB87" s="2">
        <v>564</v>
      </c>
      <c r="BC87" s="2">
        <v>68</v>
      </c>
      <c r="BD87" s="2">
        <v>1.8</v>
      </c>
      <c r="BE87" s="2">
        <v>43</v>
      </c>
      <c r="BF87" s="2">
        <v>25.4</v>
      </c>
      <c r="BG87" s="2">
        <v>162</v>
      </c>
      <c r="BH87" s="2">
        <v>9.1</v>
      </c>
      <c r="BI87" s="2">
        <v>9.1999999999999993</v>
      </c>
      <c r="BJ87" s="2">
        <v>18.3</v>
      </c>
      <c r="BK87" s="2">
        <v>0.34</v>
      </c>
      <c r="BL87" s="2">
        <v>7.3</v>
      </c>
      <c r="BM87" s="2">
        <v>0.9</v>
      </c>
      <c r="BN87" s="2">
        <v>7.5</v>
      </c>
      <c r="BO87" s="2">
        <v>2.9</v>
      </c>
      <c r="BP87" s="2">
        <f t="shared" si="2"/>
        <v>8.7071515557790526</v>
      </c>
      <c r="BQ87" s="2">
        <f t="shared" si="3"/>
        <v>28.045261463464701</v>
      </c>
    </row>
    <row r="88" spans="1:69" x14ac:dyDescent="0.2">
      <c r="A88" s="2" t="s">
        <v>2221</v>
      </c>
      <c r="B88" s="2" t="s">
        <v>47</v>
      </c>
      <c r="C88" s="2" t="s">
        <v>1935</v>
      </c>
      <c r="D88" s="2" t="s">
        <v>49</v>
      </c>
      <c r="E88" s="2" t="s">
        <v>471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89</v>
      </c>
      <c r="L88" s="6" t="s">
        <v>141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2222</v>
      </c>
      <c r="R88" s="2">
        <v>4144004.1439999999</v>
      </c>
      <c r="S88" s="2">
        <v>0</v>
      </c>
      <c r="T88" s="2" t="s">
        <v>96</v>
      </c>
      <c r="U88" s="2" t="s">
        <v>97</v>
      </c>
      <c r="V88" s="2" t="s">
        <v>56</v>
      </c>
      <c r="W88" s="2" t="s">
        <v>98</v>
      </c>
      <c r="X88" s="2" t="s">
        <v>99</v>
      </c>
      <c r="Y88" s="2">
        <v>2.3715629522093802</v>
      </c>
      <c r="Z88" s="2">
        <v>2371.56295220938</v>
      </c>
      <c r="AA88" s="2">
        <v>4.73719444444444</v>
      </c>
      <c r="AB88" s="2">
        <v>-74.069472222222203</v>
      </c>
      <c r="AC88" s="2">
        <v>2555</v>
      </c>
      <c r="AD88" s="2">
        <v>0</v>
      </c>
      <c r="AE88" s="2" t="s">
        <v>59</v>
      </c>
      <c r="AF88" s="2" t="s">
        <v>86</v>
      </c>
      <c r="AG88" s="2" t="s">
        <v>61</v>
      </c>
      <c r="AH88" s="2" t="s">
        <v>62</v>
      </c>
      <c r="AI88" s="2" t="s">
        <v>100</v>
      </c>
      <c r="AJ88" s="2">
        <v>0.44733771203740003</v>
      </c>
      <c r="AK88" s="2">
        <v>5.2478879958412898</v>
      </c>
      <c r="AL88" s="2">
        <v>0.106360172692697</v>
      </c>
      <c r="AM88" s="2">
        <v>0.110734229145386</v>
      </c>
      <c r="AN88" s="2">
        <v>3.1741415952573102</v>
      </c>
      <c r="AO88" s="2">
        <v>0.112406665654827</v>
      </c>
      <c r="AP88" s="2">
        <v>0.112406665654827</v>
      </c>
      <c r="AQ88" s="2">
        <v>1</v>
      </c>
      <c r="AR88" s="2">
        <v>2</v>
      </c>
      <c r="AS88" s="2">
        <v>0</v>
      </c>
      <c r="AT88" s="2">
        <v>0</v>
      </c>
      <c r="AU88" s="2">
        <v>1</v>
      </c>
      <c r="AV88" s="2">
        <v>41</v>
      </c>
      <c r="AW88" s="2">
        <v>0</v>
      </c>
      <c r="AX88" s="2">
        <v>0</v>
      </c>
      <c r="AY88" s="2">
        <v>15.3</v>
      </c>
      <c r="AZ88" s="2">
        <v>9.8000000000000007</v>
      </c>
      <c r="BA88" s="2">
        <v>29.7</v>
      </c>
      <c r="BB88" s="2">
        <v>564</v>
      </c>
      <c r="BC88" s="2">
        <v>68</v>
      </c>
      <c r="BD88" s="2">
        <v>1.8</v>
      </c>
      <c r="BE88" s="2">
        <v>43</v>
      </c>
      <c r="BF88" s="2">
        <v>25.4</v>
      </c>
      <c r="BG88" s="2">
        <v>162</v>
      </c>
      <c r="BH88" s="2">
        <v>9.1</v>
      </c>
      <c r="BI88" s="2">
        <v>9.1999999999999993</v>
      </c>
      <c r="BJ88" s="2">
        <v>18.3</v>
      </c>
      <c r="BK88" s="2">
        <v>0.34</v>
      </c>
      <c r="BL88" s="2">
        <v>7.3</v>
      </c>
      <c r="BM88" s="2">
        <v>0.9</v>
      </c>
      <c r="BN88" s="2">
        <v>7.5</v>
      </c>
      <c r="BO88" s="2">
        <v>2.9</v>
      </c>
      <c r="BP88" s="2">
        <f t="shared" si="2"/>
        <v>8.7145149415682628</v>
      </c>
      <c r="BQ88" s="2">
        <f t="shared" si="3"/>
        <v>28.056758142778911</v>
      </c>
    </row>
    <row r="89" spans="1:69" x14ac:dyDescent="0.2">
      <c r="A89" s="2" t="s">
        <v>2857</v>
      </c>
      <c r="B89" s="2" t="s">
        <v>47</v>
      </c>
      <c r="C89" s="2" t="s">
        <v>1935</v>
      </c>
      <c r="D89" s="2" t="s">
        <v>49</v>
      </c>
      <c r="E89" s="2" t="s">
        <v>1582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89</v>
      </c>
      <c r="L89" s="6" t="s">
        <v>141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2858</v>
      </c>
      <c r="R89" s="2">
        <v>6578947.3679999998</v>
      </c>
      <c r="S89" s="2">
        <v>0</v>
      </c>
      <c r="T89" s="2" t="s">
        <v>96</v>
      </c>
      <c r="U89" s="2" t="s">
        <v>97</v>
      </c>
      <c r="V89" s="2" t="s">
        <v>56</v>
      </c>
      <c r="W89" s="2" t="s">
        <v>98</v>
      </c>
      <c r="X89" s="2" t="s">
        <v>99</v>
      </c>
      <c r="Y89" s="2">
        <v>2.5931188173737199</v>
      </c>
      <c r="Z89" s="2">
        <v>2593.11881737372</v>
      </c>
      <c r="AA89" s="2">
        <v>4.73719444444444</v>
      </c>
      <c r="AB89" s="2">
        <v>-74.069472222222203</v>
      </c>
      <c r="AC89" s="2">
        <v>2555</v>
      </c>
      <c r="AD89" s="2">
        <v>0</v>
      </c>
      <c r="AE89" s="2" t="s">
        <v>59</v>
      </c>
      <c r="AF89" s="2" t="s">
        <v>86</v>
      </c>
      <c r="AG89" s="2" t="s">
        <v>61</v>
      </c>
      <c r="AH89" s="2" t="s">
        <v>62</v>
      </c>
      <c r="AI89" s="2" t="s">
        <v>87</v>
      </c>
      <c r="AJ89" s="2">
        <v>0.33803336040799697</v>
      </c>
      <c r="AK89" s="2">
        <v>2.70761702263788</v>
      </c>
      <c r="AL89" s="2">
        <v>0.715801796268829</v>
      </c>
      <c r="AM89" s="2">
        <v>0.31780847531515399</v>
      </c>
      <c r="AN89" s="2">
        <v>2.3582226679287599</v>
      </c>
      <c r="AO89" s="2">
        <v>0.21337155469614899</v>
      </c>
      <c r="AP89" s="2">
        <v>0.21337155469614899</v>
      </c>
      <c r="AQ89" s="2">
        <v>2</v>
      </c>
      <c r="AR89" s="2">
        <v>4</v>
      </c>
      <c r="AS89" s="2">
        <v>0</v>
      </c>
      <c r="AT89" s="2">
        <v>0</v>
      </c>
      <c r="AU89" s="2">
        <v>1</v>
      </c>
      <c r="AV89" s="2">
        <v>30</v>
      </c>
      <c r="AW89" s="2">
        <v>0</v>
      </c>
      <c r="AX89" s="2">
        <v>0</v>
      </c>
      <c r="AY89" s="2">
        <v>15.3</v>
      </c>
      <c r="AZ89" s="2">
        <v>9.8000000000000007</v>
      </c>
      <c r="BA89" s="2">
        <v>29.7</v>
      </c>
      <c r="BB89" s="2">
        <v>564</v>
      </c>
      <c r="BC89" s="2">
        <v>68</v>
      </c>
      <c r="BD89" s="2">
        <v>1.8</v>
      </c>
      <c r="BE89" s="2">
        <v>43</v>
      </c>
      <c r="BF89" s="2">
        <v>25.4</v>
      </c>
      <c r="BG89" s="2">
        <v>162</v>
      </c>
      <c r="BH89" s="2">
        <v>9.1</v>
      </c>
      <c r="BI89" s="2">
        <v>9.1999999999999993</v>
      </c>
      <c r="BJ89" s="2">
        <v>18.3</v>
      </c>
      <c r="BK89" s="2">
        <v>0.34</v>
      </c>
      <c r="BL89" s="2">
        <v>7.3</v>
      </c>
      <c r="BM89" s="2">
        <v>0.9</v>
      </c>
      <c r="BN89" s="2">
        <v>7.5</v>
      </c>
      <c r="BO89" s="2">
        <v>2.9</v>
      </c>
      <c r="BP89" s="2">
        <f t="shared" si="2"/>
        <v>8.6194648830531015</v>
      </c>
      <c r="BQ89" s="2">
        <f t="shared" si="3"/>
        <v>27.907966736884717</v>
      </c>
    </row>
    <row r="90" spans="1:69" x14ac:dyDescent="0.2">
      <c r="A90" s="2" t="s">
        <v>2311</v>
      </c>
      <c r="B90" s="2" t="s">
        <v>47</v>
      </c>
      <c r="C90" s="2" t="s">
        <v>1935</v>
      </c>
      <c r="D90" s="2" t="s">
        <v>49</v>
      </c>
      <c r="E90" s="2" t="s">
        <v>1703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89</v>
      </c>
      <c r="L90" s="6" t="s">
        <v>141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2312</v>
      </c>
      <c r="R90" s="2">
        <v>4780368.62</v>
      </c>
      <c r="S90" s="2">
        <v>0</v>
      </c>
      <c r="T90" s="2" t="s">
        <v>130</v>
      </c>
      <c r="U90" s="2" t="s">
        <v>131</v>
      </c>
      <c r="V90" s="2" t="s">
        <v>56</v>
      </c>
      <c r="W90" s="2" t="s">
        <v>98</v>
      </c>
      <c r="X90" s="2" t="s">
        <v>132</v>
      </c>
      <c r="Y90" s="2">
        <v>2.81567004547269</v>
      </c>
      <c r="Z90" s="2">
        <v>2815.6700454726902</v>
      </c>
      <c r="AA90" s="2">
        <v>4.7837500000000004</v>
      </c>
      <c r="AB90" s="2">
        <v>-74.044138888888895</v>
      </c>
      <c r="AC90" s="2">
        <v>2580</v>
      </c>
      <c r="AD90" s="2">
        <v>0</v>
      </c>
      <c r="AE90" s="2" t="s">
        <v>133</v>
      </c>
      <c r="AF90" s="2" t="s">
        <v>86</v>
      </c>
      <c r="AG90" s="2" t="s">
        <v>61</v>
      </c>
      <c r="AH90" s="2" t="s">
        <v>62</v>
      </c>
      <c r="AI90" s="2" t="s">
        <v>100</v>
      </c>
      <c r="AJ90" s="2">
        <v>2.3174750669037798</v>
      </c>
      <c r="AK90" s="2">
        <v>3.5827234545683502</v>
      </c>
      <c r="AL90" s="2">
        <v>2.10469992309128</v>
      </c>
      <c r="AM90" s="2">
        <v>0.661512489808458</v>
      </c>
      <c r="AN90" s="2">
        <v>3.79867237466713</v>
      </c>
      <c r="AO90" s="2">
        <v>8.2882446054565392E-3</v>
      </c>
      <c r="AP90" s="2">
        <v>8.2882446054565392E-3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2</v>
      </c>
      <c r="AW90" s="2">
        <v>0</v>
      </c>
      <c r="AX90" s="2">
        <v>0</v>
      </c>
      <c r="AY90" s="2">
        <v>15.3</v>
      </c>
      <c r="AZ90" s="2">
        <v>9.8000000000000007</v>
      </c>
      <c r="BA90" s="2">
        <v>29.7</v>
      </c>
      <c r="BB90" s="2">
        <v>564</v>
      </c>
      <c r="BC90" s="2">
        <v>68</v>
      </c>
      <c r="BD90" s="2">
        <v>1.8</v>
      </c>
      <c r="BE90" s="2">
        <v>43</v>
      </c>
      <c r="BF90" s="2">
        <v>25.4</v>
      </c>
      <c r="BG90" s="2">
        <v>162</v>
      </c>
      <c r="BH90" s="2">
        <v>9.1</v>
      </c>
      <c r="BI90" s="2">
        <v>9.1999999999999993</v>
      </c>
      <c r="BJ90" s="2">
        <v>18.3</v>
      </c>
      <c r="BK90" s="2">
        <v>0.34</v>
      </c>
      <c r="BL90" s="2">
        <v>7.3</v>
      </c>
      <c r="BM90" s="2">
        <v>0.9</v>
      </c>
      <c r="BN90" s="2">
        <v>7.5</v>
      </c>
      <c r="BO90" s="2">
        <v>2.9</v>
      </c>
      <c r="BP90" s="2">
        <f t="shared" si="2"/>
        <v>8.5250315021160112</v>
      </c>
      <c r="BQ90" s="2">
        <f t="shared" si="3"/>
        <v>27.759301264018816</v>
      </c>
    </row>
    <row r="91" spans="1:69" x14ac:dyDescent="0.2">
      <c r="A91" s="2" t="s">
        <v>2146</v>
      </c>
      <c r="B91" s="2" t="s">
        <v>47</v>
      </c>
      <c r="C91" s="2" t="s">
        <v>1935</v>
      </c>
      <c r="D91" s="2" t="s">
        <v>49</v>
      </c>
      <c r="E91" s="2" t="s">
        <v>462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89</v>
      </c>
      <c r="L91" s="6" t="s">
        <v>141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2147</v>
      </c>
      <c r="R91" s="2">
        <v>5080213.9040000001</v>
      </c>
      <c r="S91" s="2">
        <v>0</v>
      </c>
      <c r="T91" s="2" t="s">
        <v>96</v>
      </c>
      <c r="U91" s="2" t="s">
        <v>97</v>
      </c>
      <c r="V91" s="2" t="s">
        <v>56</v>
      </c>
      <c r="W91" s="2" t="s">
        <v>98</v>
      </c>
      <c r="X91" s="2" t="s">
        <v>99</v>
      </c>
      <c r="Y91" s="2">
        <v>1.48080752277637</v>
      </c>
      <c r="Z91" s="2">
        <v>1480.80752277637</v>
      </c>
      <c r="AA91" s="2">
        <v>4.73719444444444</v>
      </c>
      <c r="AB91" s="2">
        <v>-74.069472222222203</v>
      </c>
      <c r="AC91" s="2">
        <v>2555</v>
      </c>
      <c r="AD91" s="2">
        <v>0</v>
      </c>
      <c r="AE91" s="2" t="s">
        <v>59</v>
      </c>
      <c r="AF91" s="2" t="s">
        <v>86</v>
      </c>
      <c r="AG91" s="2" t="s">
        <v>61</v>
      </c>
      <c r="AH91" s="2" t="s">
        <v>62</v>
      </c>
      <c r="AI91" s="2" t="s">
        <v>100</v>
      </c>
      <c r="AJ91" s="2">
        <v>0.43722822190449301</v>
      </c>
      <c r="AK91" s="2">
        <v>5.3924413078289</v>
      </c>
      <c r="AL91" s="2">
        <v>0.80697924807513999</v>
      </c>
      <c r="AM91" s="2">
        <v>0.423724134796582</v>
      </c>
      <c r="AN91" s="2">
        <v>2.4143550482257399</v>
      </c>
      <c r="AO91" s="2">
        <v>0.27475024011299098</v>
      </c>
      <c r="AP91" s="2">
        <v>0.27475024011299098</v>
      </c>
      <c r="AQ91" s="2">
        <v>2</v>
      </c>
      <c r="AR91" s="2">
        <v>2</v>
      </c>
      <c r="AS91" s="2">
        <v>0</v>
      </c>
      <c r="AT91" s="2">
        <v>0</v>
      </c>
      <c r="AU91" s="2">
        <v>1</v>
      </c>
      <c r="AV91" s="2">
        <v>29</v>
      </c>
      <c r="AW91" s="2">
        <v>0</v>
      </c>
      <c r="AX91" s="2">
        <v>0</v>
      </c>
      <c r="AY91" s="2">
        <v>15.3</v>
      </c>
      <c r="AZ91" s="2">
        <v>9.8000000000000007</v>
      </c>
      <c r="BA91" s="2">
        <v>29.7</v>
      </c>
      <c r="BB91" s="2">
        <v>564</v>
      </c>
      <c r="BC91" s="2">
        <v>68</v>
      </c>
      <c r="BD91" s="2">
        <v>1.8</v>
      </c>
      <c r="BE91" s="2">
        <v>43</v>
      </c>
      <c r="BF91" s="2">
        <v>25.4</v>
      </c>
      <c r="BG91" s="2">
        <v>162</v>
      </c>
      <c r="BH91" s="2">
        <v>9.1</v>
      </c>
      <c r="BI91" s="2">
        <v>9.1999999999999993</v>
      </c>
      <c r="BJ91" s="2">
        <v>18.3</v>
      </c>
      <c r="BK91" s="2">
        <v>0.34</v>
      </c>
      <c r="BL91" s="2">
        <v>7.3</v>
      </c>
      <c r="BM91" s="2">
        <v>0.9</v>
      </c>
      <c r="BN91" s="2">
        <v>7.5</v>
      </c>
      <c r="BO91" s="2">
        <v>2.9</v>
      </c>
      <c r="BP91" s="2">
        <f t="shared" si="2"/>
        <v>9.107355769294033</v>
      </c>
      <c r="BQ91" s="2">
        <f t="shared" si="3"/>
        <v>28.663016419150289</v>
      </c>
    </row>
    <row r="92" spans="1:69" x14ac:dyDescent="0.2">
      <c r="A92" s="2" t="s">
        <v>3065</v>
      </c>
      <c r="B92" s="2" t="s">
        <v>47</v>
      </c>
      <c r="C92" s="2" t="s">
        <v>1935</v>
      </c>
      <c r="D92" s="2" t="s">
        <v>49</v>
      </c>
      <c r="E92" s="2" t="s">
        <v>1703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89</v>
      </c>
      <c r="L92" s="6" t="s">
        <v>141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3066</v>
      </c>
      <c r="R92" s="2">
        <v>3351206.4339999999</v>
      </c>
      <c r="S92" s="2">
        <v>0</v>
      </c>
      <c r="T92" s="2" t="s">
        <v>130</v>
      </c>
      <c r="U92" s="2" t="s">
        <v>131</v>
      </c>
      <c r="V92" s="2" t="s">
        <v>56</v>
      </c>
      <c r="W92" s="2" t="s">
        <v>98</v>
      </c>
      <c r="X92" s="2" t="s">
        <v>132</v>
      </c>
      <c r="Y92" s="2">
        <v>3.0398963379070398</v>
      </c>
      <c r="Z92" s="2">
        <v>3039.8963379070401</v>
      </c>
      <c r="AA92" s="2">
        <v>4.7837500000000004</v>
      </c>
      <c r="AB92" s="2">
        <v>-74.044138888888895</v>
      </c>
      <c r="AC92" s="2">
        <v>2580</v>
      </c>
      <c r="AD92" s="2">
        <v>0</v>
      </c>
      <c r="AE92" s="2" t="s">
        <v>133</v>
      </c>
      <c r="AF92" s="2" t="s">
        <v>86</v>
      </c>
      <c r="AG92" s="2" t="s">
        <v>61</v>
      </c>
      <c r="AH92" s="2" t="s">
        <v>62</v>
      </c>
      <c r="AI92" s="2" t="s">
        <v>100</v>
      </c>
      <c r="AJ92" s="2">
        <v>2.0363497832789998</v>
      </c>
      <c r="AK92" s="2">
        <v>4.1226578419186097</v>
      </c>
      <c r="AL92" s="2">
        <v>1.54288917042121</v>
      </c>
      <c r="AM92" s="2">
        <v>0.49929724503377598</v>
      </c>
      <c r="AN92" s="2">
        <v>3.51047872571433</v>
      </c>
      <c r="AO92" s="2">
        <v>3.4432385586606003E-2</v>
      </c>
      <c r="AP92" s="2">
        <v>3.4432385586606003E-2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5</v>
      </c>
      <c r="AW92" s="2">
        <v>0</v>
      </c>
      <c r="AX92" s="2">
        <v>1</v>
      </c>
      <c r="AY92" s="2">
        <v>15.3</v>
      </c>
      <c r="AZ92" s="2">
        <v>9.8000000000000007</v>
      </c>
      <c r="BA92" s="2">
        <v>29.7</v>
      </c>
      <c r="BB92" s="2">
        <v>564</v>
      </c>
      <c r="BC92" s="2">
        <v>68</v>
      </c>
      <c r="BD92" s="2">
        <v>1.8</v>
      </c>
      <c r="BE92" s="2">
        <v>43</v>
      </c>
      <c r="BF92" s="2">
        <v>25.4</v>
      </c>
      <c r="BG92" s="2">
        <v>162</v>
      </c>
      <c r="BH92" s="2">
        <v>9.1</v>
      </c>
      <c r="BI92" s="2">
        <v>9.1999999999999993</v>
      </c>
      <c r="BJ92" s="2">
        <v>18.3</v>
      </c>
      <c r="BK92" s="2">
        <v>0.34</v>
      </c>
      <c r="BL92" s="2">
        <v>7.3</v>
      </c>
      <c r="BM92" s="2">
        <v>0.9</v>
      </c>
      <c r="BN92" s="2">
        <v>7.5</v>
      </c>
      <c r="BO92" s="2">
        <v>2.9</v>
      </c>
      <c r="BP92" s="2">
        <f t="shared" si="2"/>
        <v>8.430933631510074</v>
      </c>
      <c r="BQ92" s="2">
        <f t="shared" si="3"/>
        <v>27.610317730994037</v>
      </c>
    </row>
    <row r="93" spans="1:69" x14ac:dyDescent="0.2">
      <c r="A93" s="2" t="s">
        <v>2608</v>
      </c>
      <c r="B93" s="2" t="s">
        <v>47</v>
      </c>
      <c r="C93" s="2" t="s">
        <v>1935</v>
      </c>
      <c r="D93" s="2" t="s">
        <v>49</v>
      </c>
      <c r="E93" s="2" t="s">
        <v>1496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89</v>
      </c>
      <c r="L93" s="6" t="s">
        <v>141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2609</v>
      </c>
      <c r="R93" s="2">
        <v>4324324.324</v>
      </c>
      <c r="S93" s="2">
        <v>0</v>
      </c>
      <c r="T93" s="2" t="s">
        <v>96</v>
      </c>
      <c r="U93" s="2" t="s">
        <v>97</v>
      </c>
      <c r="V93" s="2" t="s">
        <v>56</v>
      </c>
      <c r="W93" s="2" t="s">
        <v>98</v>
      </c>
      <c r="X93" s="2" t="s">
        <v>99</v>
      </c>
      <c r="Y93" s="2">
        <v>3.3248479860168301</v>
      </c>
      <c r="Z93" s="2">
        <v>3324.84798601683</v>
      </c>
      <c r="AA93" s="2">
        <v>4.73719444444444</v>
      </c>
      <c r="AB93" s="2">
        <v>-74.069472222222203</v>
      </c>
      <c r="AC93" s="2">
        <v>2555</v>
      </c>
      <c r="AD93" s="2">
        <v>0</v>
      </c>
      <c r="AE93" s="2" t="s">
        <v>59</v>
      </c>
      <c r="AF93" s="2" t="s">
        <v>86</v>
      </c>
      <c r="AG93" s="2" t="s">
        <v>61</v>
      </c>
      <c r="AH93" s="2" t="s">
        <v>62</v>
      </c>
      <c r="AI93" s="2" t="s">
        <v>100</v>
      </c>
      <c r="AJ93" s="2">
        <v>0.80666196076680796</v>
      </c>
      <c r="AK93" s="2">
        <v>5.51049313668985</v>
      </c>
      <c r="AL93" s="2">
        <v>1.2111977997936001</v>
      </c>
      <c r="AM93" s="2">
        <v>0.16093809442993601</v>
      </c>
      <c r="AN93" s="2">
        <v>3.3613442481159401</v>
      </c>
      <c r="AO93" s="2">
        <v>2.13765266243295E-4</v>
      </c>
      <c r="AP93" s="2">
        <v>2.13765266243295E-4</v>
      </c>
      <c r="AQ93" s="2">
        <v>0</v>
      </c>
      <c r="AR93" s="2">
        <v>2</v>
      </c>
      <c r="AS93" s="2">
        <v>0</v>
      </c>
      <c r="AT93" s="2">
        <v>0</v>
      </c>
      <c r="AU93" s="2">
        <v>0</v>
      </c>
      <c r="AV93" s="2">
        <v>23</v>
      </c>
      <c r="AW93" s="2">
        <v>0</v>
      </c>
      <c r="AX93" s="2">
        <v>0</v>
      </c>
      <c r="AY93" s="2">
        <v>15.3</v>
      </c>
      <c r="AZ93" s="2">
        <v>9.8000000000000007</v>
      </c>
      <c r="BA93" s="2">
        <v>29.7</v>
      </c>
      <c r="BB93" s="2">
        <v>564</v>
      </c>
      <c r="BC93" s="2">
        <v>68</v>
      </c>
      <c r="BD93" s="2">
        <v>1.8</v>
      </c>
      <c r="BE93" s="2">
        <v>43</v>
      </c>
      <c r="BF93" s="2">
        <v>25.4</v>
      </c>
      <c r="BG93" s="2">
        <v>162</v>
      </c>
      <c r="BH93" s="2">
        <v>9.1</v>
      </c>
      <c r="BI93" s="2">
        <v>9.1999999999999993</v>
      </c>
      <c r="BJ93" s="2">
        <v>18.3</v>
      </c>
      <c r="BK93" s="2">
        <v>0.34</v>
      </c>
      <c r="BL93" s="2">
        <v>7.3</v>
      </c>
      <c r="BM93" s="2">
        <v>0.9</v>
      </c>
      <c r="BN93" s="2">
        <v>7.5</v>
      </c>
      <c r="BO93" s="2">
        <v>2.9</v>
      </c>
      <c r="BP93" s="2">
        <f t="shared" si="2"/>
        <v>8.3128491687978752</v>
      </c>
      <c r="BQ93" s="2">
        <f t="shared" si="3"/>
        <v>27.422139392133055</v>
      </c>
    </row>
    <row r="94" spans="1:69" x14ac:dyDescent="0.2">
      <c r="A94" s="2" t="s">
        <v>2290</v>
      </c>
      <c r="B94" s="2" t="s">
        <v>47</v>
      </c>
      <c r="C94" s="2" t="s">
        <v>1935</v>
      </c>
      <c r="D94" s="2" t="s">
        <v>49</v>
      </c>
      <c r="E94" s="2" t="s">
        <v>527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89</v>
      </c>
      <c r="L94" s="6" t="s">
        <v>141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2291</v>
      </c>
      <c r="R94" s="2">
        <v>4340395.5190000003</v>
      </c>
      <c r="S94" s="2">
        <v>0</v>
      </c>
      <c r="T94" s="2" t="s">
        <v>96</v>
      </c>
      <c r="U94" s="2" t="s">
        <v>97</v>
      </c>
      <c r="V94" s="2" t="s">
        <v>56</v>
      </c>
      <c r="W94" s="2" t="s">
        <v>98</v>
      </c>
      <c r="X94" s="2" t="s">
        <v>99</v>
      </c>
      <c r="Y94" s="2">
        <v>2.2087791346439398</v>
      </c>
      <c r="Z94" s="2">
        <v>2208.7791346439399</v>
      </c>
      <c r="AA94" s="2">
        <v>4.73719444444444</v>
      </c>
      <c r="AB94" s="2">
        <v>-74.069472222222203</v>
      </c>
      <c r="AC94" s="2">
        <v>2555</v>
      </c>
      <c r="AD94" s="2">
        <v>0</v>
      </c>
      <c r="AE94" s="2" t="s">
        <v>59</v>
      </c>
      <c r="AF94" s="2" t="s">
        <v>86</v>
      </c>
      <c r="AG94" s="2" t="s">
        <v>61</v>
      </c>
      <c r="AH94" s="2" t="s">
        <v>62</v>
      </c>
      <c r="AI94" s="2" t="s">
        <v>100</v>
      </c>
      <c r="AJ94" s="2">
        <v>0.447729470370413</v>
      </c>
      <c r="AK94" s="2">
        <v>5.2807561243603303</v>
      </c>
      <c r="AL94" s="2">
        <v>0.81392840468452399</v>
      </c>
      <c r="AM94" s="2">
        <v>0.32177878969262202</v>
      </c>
      <c r="AN94" s="2">
        <v>2.5529341567761201</v>
      </c>
      <c r="AO94" s="2">
        <v>0.116705588775841</v>
      </c>
      <c r="AP94" s="2">
        <v>0.116705588775841</v>
      </c>
      <c r="AQ94" s="2">
        <v>1</v>
      </c>
      <c r="AR94" s="2">
        <v>2</v>
      </c>
      <c r="AS94" s="2">
        <v>0</v>
      </c>
      <c r="AT94" s="2">
        <v>0</v>
      </c>
      <c r="AU94" s="2">
        <v>1</v>
      </c>
      <c r="AV94" s="2">
        <v>19</v>
      </c>
      <c r="AW94" s="2">
        <v>0</v>
      </c>
      <c r="AX94" s="2">
        <v>0</v>
      </c>
      <c r="AY94" s="2">
        <v>15.3</v>
      </c>
      <c r="AZ94" s="2">
        <v>9.8000000000000007</v>
      </c>
      <c r="BA94" s="2">
        <v>29.7</v>
      </c>
      <c r="BB94" s="2">
        <v>564</v>
      </c>
      <c r="BC94" s="2">
        <v>68</v>
      </c>
      <c r="BD94" s="2">
        <v>1.8</v>
      </c>
      <c r="BE94" s="2">
        <v>43</v>
      </c>
      <c r="BF94" s="2">
        <v>25.4</v>
      </c>
      <c r="BG94" s="2">
        <v>162</v>
      </c>
      <c r="BH94" s="2">
        <v>9.1</v>
      </c>
      <c r="BI94" s="2">
        <v>9.1999999999999993</v>
      </c>
      <c r="BJ94" s="2">
        <v>18.3</v>
      </c>
      <c r="BK94" s="2">
        <v>0.34</v>
      </c>
      <c r="BL94" s="2">
        <v>7.3</v>
      </c>
      <c r="BM94" s="2">
        <v>0.9</v>
      </c>
      <c r="BN94" s="2">
        <v>7.5</v>
      </c>
      <c r="BO94" s="2">
        <v>2.9</v>
      </c>
      <c r="BP94" s="2">
        <f t="shared" si="2"/>
        <v>8.7850184210450237</v>
      </c>
      <c r="BQ94" s="2">
        <f t="shared" si="3"/>
        <v>28.166585008299798</v>
      </c>
    </row>
    <row r="95" spans="1:69" x14ac:dyDescent="0.2">
      <c r="A95" s="2" t="s">
        <v>2053</v>
      </c>
      <c r="B95" s="2" t="s">
        <v>47</v>
      </c>
      <c r="C95" s="2" t="s">
        <v>1935</v>
      </c>
      <c r="D95" s="2" t="s">
        <v>49</v>
      </c>
      <c r="E95" s="2" t="s">
        <v>527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89</v>
      </c>
      <c r="L95" s="6" t="s">
        <v>141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2054</v>
      </c>
      <c r="R95" s="2">
        <v>5027173.9129999997</v>
      </c>
      <c r="S95" s="2">
        <v>0</v>
      </c>
      <c r="T95" s="2" t="s">
        <v>96</v>
      </c>
      <c r="U95" s="2" t="s">
        <v>97</v>
      </c>
      <c r="V95" s="2" t="s">
        <v>56</v>
      </c>
      <c r="W95" s="2" t="s">
        <v>98</v>
      </c>
      <c r="X95" s="2" t="s">
        <v>99</v>
      </c>
      <c r="Y95" s="2">
        <v>2.10583058365195</v>
      </c>
      <c r="Z95" s="2">
        <v>2105.8305836519498</v>
      </c>
      <c r="AA95" s="2">
        <v>4.73719444444444</v>
      </c>
      <c r="AB95" s="2">
        <v>-74.069472222222203</v>
      </c>
      <c r="AC95" s="2">
        <v>2555</v>
      </c>
      <c r="AD95" s="2">
        <v>0</v>
      </c>
      <c r="AE95" s="2" t="s">
        <v>59</v>
      </c>
      <c r="AF95" s="2" t="s">
        <v>86</v>
      </c>
      <c r="AG95" s="2" t="s">
        <v>61</v>
      </c>
      <c r="AH95" s="2" t="s">
        <v>62</v>
      </c>
      <c r="AI95" s="2" t="s">
        <v>100</v>
      </c>
      <c r="AJ95" s="2">
        <v>0.49089883547554403</v>
      </c>
      <c r="AK95" s="2">
        <v>5.1594994302809196</v>
      </c>
      <c r="AL95" s="2">
        <v>0.964925159542254</v>
      </c>
      <c r="AM95" s="2">
        <v>0.50206283400047802</v>
      </c>
      <c r="AN95" s="2">
        <v>2.3679417310072601</v>
      </c>
      <c r="AO95" s="2">
        <v>5.6942108278335402E-2</v>
      </c>
      <c r="AP95" s="2">
        <v>5.6942108278335402E-2</v>
      </c>
      <c r="AQ95" s="2">
        <v>1</v>
      </c>
      <c r="AR95" s="2">
        <v>2</v>
      </c>
      <c r="AS95" s="2">
        <v>0</v>
      </c>
      <c r="AT95" s="2">
        <v>0</v>
      </c>
      <c r="AU95" s="2">
        <v>1</v>
      </c>
      <c r="AV95" s="2">
        <v>11</v>
      </c>
      <c r="AW95" s="2">
        <v>0</v>
      </c>
      <c r="AX95" s="2">
        <v>0</v>
      </c>
      <c r="AY95" s="2">
        <v>15.3</v>
      </c>
      <c r="AZ95" s="2">
        <v>9.8000000000000007</v>
      </c>
      <c r="BA95" s="2">
        <v>29.7</v>
      </c>
      <c r="BB95" s="2">
        <v>564</v>
      </c>
      <c r="BC95" s="2">
        <v>68</v>
      </c>
      <c r="BD95" s="2">
        <v>1.8</v>
      </c>
      <c r="BE95" s="2">
        <v>43</v>
      </c>
      <c r="BF95" s="2">
        <v>25.4</v>
      </c>
      <c r="BG95" s="2">
        <v>162</v>
      </c>
      <c r="BH95" s="2">
        <v>9.1</v>
      </c>
      <c r="BI95" s="2">
        <v>9.1999999999999993</v>
      </c>
      <c r="BJ95" s="2">
        <v>18.3</v>
      </c>
      <c r="BK95" s="2">
        <v>0.34</v>
      </c>
      <c r="BL95" s="2">
        <v>7.3</v>
      </c>
      <c r="BM95" s="2">
        <v>0.9</v>
      </c>
      <c r="BN95" s="2">
        <v>7.5</v>
      </c>
      <c r="BO95" s="2">
        <v>2.9</v>
      </c>
      <c r="BP95" s="2">
        <f t="shared" si="2"/>
        <v>8.8299007263681553</v>
      </c>
      <c r="BQ95" s="2">
        <f t="shared" si="3"/>
        <v>28.236264071867907</v>
      </c>
    </row>
    <row r="96" spans="1:69" x14ac:dyDescent="0.2">
      <c r="A96" s="2" t="s">
        <v>1998</v>
      </c>
      <c r="B96" s="2" t="s">
        <v>47</v>
      </c>
      <c r="C96" s="2" t="s">
        <v>1935</v>
      </c>
      <c r="D96" s="2" t="s">
        <v>49</v>
      </c>
      <c r="E96" s="2" t="s">
        <v>246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89</v>
      </c>
      <c r="L96" s="6" t="s">
        <v>103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1999</v>
      </c>
      <c r="R96" s="2">
        <v>5802547.5949999997</v>
      </c>
      <c r="S96" s="2">
        <v>0</v>
      </c>
      <c r="T96" s="2" t="s">
        <v>130</v>
      </c>
      <c r="U96" s="2" t="s">
        <v>131</v>
      </c>
      <c r="V96" s="2" t="s">
        <v>56</v>
      </c>
      <c r="W96" s="2" t="s">
        <v>98</v>
      </c>
      <c r="X96" s="2" t="s">
        <v>132</v>
      </c>
      <c r="Y96" s="2">
        <v>3.9608536790384101</v>
      </c>
      <c r="Z96" s="2">
        <v>3960.8536790384101</v>
      </c>
      <c r="AA96" s="2">
        <v>4.7837500000000004</v>
      </c>
      <c r="AB96" s="2">
        <v>-74.044138888888895</v>
      </c>
      <c r="AC96" s="2">
        <v>2580</v>
      </c>
      <c r="AD96" s="2">
        <v>0</v>
      </c>
      <c r="AE96" s="2" t="s">
        <v>133</v>
      </c>
      <c r="AF96" s="2" t="s">
        <v>86</v>
      </c>
      <c r="AG96" s="2" t="s">
        <v>61</v>
      </c>
      <c r="AH96" s="2" t="s">
        <v>62</v>
      </c>
      <c r="AI96" s="2" t="s">
        <v>100</v>
      </c>
      <c r="AJ96" s="2">
        <v>5.5746097397625398</v>
      </c>
      <c r="AK96" s="2">
        <v>1.07227956348163</v>
      </c>
      <c r="AL96" s="2">
        <v>2.21721150407698</v>
      </c>
      <c r="AM96" s="2">
        <v>4.6239717682486399</v>
      </c>
      <c r="AN96" s="2">
        <v>8.7289186934471701</v>
      </c>
      <c r="AO96" s="2">
        <v>2.0650607888673699E-2</v>
      </c>
      <c r="AP96" s="2">
        <v>2.0650607888673699E-2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>
        <v>15.3</v>
      </c>
      <c r="AZ96" s="2">
        <v>9.8000000000000007</v>
      </c>
      <c r="BA96" s="2">
        <v>29.7</v>
      </c>
      <c r="BB96" s="2">
        <v>564</v>
      </c>
      <c r="BC96" s="2">
        <v>68</v>
      </c>
      <c r="BD96" s="2">
        <v>1.8</v>
      </c>
      <c r="BE96" s="2">
        <v>43</v>
      </c>
      <c r="BF96" s="2">
        <v>25.4</v>
      </c>
      <c r="BG96" s="2">
        <v>162</v>
      </c>
      <c r="BH96" s="2">
        <v>9.1</v>
      </c>
      <c r="BI96" s="2">
        <v>9.1999999999999993</v>
      </c>
      <c r="BJ96" s="2">
        <v>18.3</v>
      </c>
      <c r="BK96" s="2">
        <v>0.34</v>
      </c>
      <c r="BL96" s="2">
        <v>7.3</v>
      </c>
      <c r="BM96" s="2">
        <v>0.9</v>
      </c>
      <c r="BN96" s="2">
        <v>7.5</v>
      </c>
      <c r="BO96" s="2">
        <v>2.9</v>
      </c>
      <c r="BP96" s="2">
        <f t="shared" si="2"/>
        <v>8.0552183895984015</v>
      </c>
      <c r="BQ96" s="2">
        <f t="shared" si="3"/>
        <v>27.006742512438898</v>
      </c>
    </row>
    <row r="97" spans="1:69" x14ac:dyDescent="0.2">
      <c r="A97" s="2" t="s">
        <v>2998</v>
      </c>
      <c r="B97" s="2" t="s">
        <v>47</v>
      </c>
      <c r="C97" s="2" t="s">
        <v>1935</v>
      </c>
      <c r="D97" s="2" t="s">
        <v>49</v>
      </c>
      <c r="E97" s="2" t="s">
        <v>2042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89</v>
      </c>
      <c r="L97" s="6" t="s">
        <v>141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2999</v>
      </c>
      <c r="R97" s="2">
        <v>6388888.8890000004</v>
      </c>
      <c r="S97" s="2">
        <v>0</v>
      </c>
      <c r="T97" s="2" t="s">
        <v>130</v>
      </c>
      <c r="U97" s="2" t="s">
        <v>131</v>
      </c>
      <c r="V97" s="2" t="s">
        <v>56</v>
      </c>
      <c r="W97" s="2" t="s">
        <v>98</v>
      </c>
      <c r="X97" s="2" t="s">
        <v>132</v>
      </c>
      <c r="Y97" s="2">
        <v>3.8270452877942298</v>
      </c>
      <c r="Z97" s="2">
        <v>3827.0452877942298</v>
      </c>
      <c r="AA97" s="2">
        <v>4.7837500000000004</v>
      </c>
      <c r="AB97" s="2">
        <v>-74.044138888888895</v>
      </c>
      <c r="AC97" s="2">
        <v>2580</v>
      </c>
      <c r="AD97" s="2">
        <v>0</v>
      </c>
      <c r="AE97" s="2" t="s">
        <v>133</v>
      </c>
      <c r="AF97" s="2" t="s">
        <v>86</v>
      </c>
      <c r="AG97" s="2" t="s">
        <v>61</v>
      </c>
      <c r="AH97" s="2" t="s">
        <v>62</v>
      </c>
      <c r="AI97" s="2" t="s">
        <v>100</v>
      </c>
      <c r="AJ97" s="2">
        <v>5.3470994980178101</v>
      </c>
      <c r="AK97" s="2">
        <v>1.1389309103680401</v>
      </c>
      <c r="AL97" s="2">
        <v>2.1219822472616499</v>
      </c>
      <c r="AM97" s="2">
        <v>3.2586074969266501</v>
      </c>
      <c r="AN97" s="2">
        <v>8.54567832024496</v>
      </c>
      <c r="AO97" s="2">
        <v>1.37558930816022</v>
      </c>
      <c r="AP97" s="2">
        <v>1.37558930816022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>
        <v>15.3</v>
      </c>
      <c r="AZ97" s="2">
        <v>9.8000000000000007</v>
      </c>
      <c r="BA97" s="2">
        <v>29.7</v>
      </c>
      <c r="BB97" s="2">
        <v>564</v>
      </c>
      <c r="BC97" s="2">
        <v>68</v>
      </c>
      <c r="BD97" s="2">
        <v>1.8</v>
      </c>
      <c r="BE97" s="2">
        <v>43</v>
      </c>
      <c r="BF97" s="2">
        <v>25.4</v>
      </c>
      <c r="BG97" s="2">
        <v>162</v>
      </c>
      <c r="BH97" s="2">
        <v>9.1</v>
      </c>
      <c r="BI97" s="2">
        <v>9.1999999999999993</v>
      </c>
      <c r="BJ97" s="2">
        <v>18.3</v>
      </c>
      <c r="BK97" s="2">
        <v>0.34</v>
      </c>
      <c r="BL97" s="2">
        <v>7.3</v>
      </c>
      <c r="BM97" s="2">
        <v>0.9</v>
      </c>
      <c r="BN97" s="2">
        <v>7.5</v>
      </c>
      <c r="BO97" s="2">
        <v>2.9</v>
      </c>
      <c r="BP97" s="2">
        <f t="shared" si="2"/>
        <v>8.1087493382091296</v>
      </c>
      <c r="BQ97" s="2">
        <f t="shared" si="3"/>
        <v>27.093611413676744</v>
      </c>
    </row>
    <row r="98" spans="1:69" x14ac:dyDescent="0.2">
      <c r="A98" s="2" t="s">
        <v>2426</v>
      </c>
      <c r="B98" s="2" t="s">
        <v>47</v>
      </c>
      <c r="C98" s="2" t="s">
        <v>1935</v>
      </c>
      <c r="D98" s="2" t="s">
        <v>49</v>
      </c>
      <c r="E98" s="2" t="s">
        <v>246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89</v>
      </c>
      <c r="L98" s="6" t="s">
        <v>103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2427</v>
      </c>
      <c r="R98" s="2">
        <v>5277777.7779999999</v>
      </c>
      <c r="S98" s="2">
        <v>0</v>
      </c>
      <c r="T98" s="2" t="s">
        <v>130</v>
      </c>
      <c r="U98" s="2" t="s">
        <v>131</v>
      </c>
      <c r="V98" s="2" t="s">
        <v>56</v>
      </c>
      <c r="W98" s="2" t="s">
        <v>98</v>
      </c>
      <c r="X98" s="2" t="s">
        <v>132</v>
      </c>
      <c r="Y98" s="2">
        <v>3.5728196301602999</v>
      </c>
      <c r="Z98" s="2">
        <v>3572.8196301603002</v>
      </c>
      <c r="AA98" s="2">
        <v>4.7837500000000004</v>
      </c>
      <c r="AB98" s="2">
        <v>-74.044138888888895</v>
      </c>
      <c r="AC98" s="2">
        <v>2580</v>
      </c>
      <c r="AD98" s="2">
        <v>0</v>
      </c>
      <c r="AE98" s="2" t="s">
        <v>133</v>
      </c>
      <c r="AF98" s="2" t="s">
        <v>86</v>
      </c>
      <c r="AG98" s="2" t="s">
        <v>61</v>
      </c>
      <c r="AH98" s="2" t="s">
        <v>62</v>
      </c>
      <c r="AI98" s="2" t="s">
        <v>100</v>
      </c>
      <c r="AJ98" s="2">
        <v>5.1388017551958702</v>
      </c>
      <c r="AK98" s="2">
        <v>1.2899273188831499</v>
      </c>
      <c r="AL98" s="2">
        <v>1.7888133558371799</v>
      </c>
      <c r="AM98" s="2">
        <v>3.5175728739640899</v>
      </c>
      <c r="AN98" s="2">
        <v>8.5979644772107093</v>
      </c>
      <c r="AO98" s="2">
        <v>1.2207187684043099</v>
      </c>
      <c r="AP98" s="2">
        <v>1.2207187684043099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>
        <v>15.3</v>
      </c>
      <c r="AZ98" s="2">
        <v>9.8000000000000007</v>
      </c>
      <c r="BA98" s="2">
        <v>29.7</v>
      </c>
      <c r="BB98" s="2">
        <v>564</v>
      </c>
      <c r="BC98" s="2">
        <v>68</v>
      </c>
      <c r="BD98" s="2">
        <v>1.8</v>
      </c>
      <c r="BE98" s="2">
        <v>43</v>
      </c>
      <c r="BF98" s="2">
        <v>25.4</v>
      </c>
      <c r="BG98" s="2">
        <v>162</v>
      </c>
      <c r="BH98" s="2">
        <v>9.1</v>
      </c>
      <c r="BI98" s="2">
        <v>9.1999999999999993</v>
      </c>
      <c r="BJ98" s="2">
        <v>18.3</v>
      </c>
      <c r="BK98" s="2">
        <v>0.34</v>
      </c>
      <c r="BL98" s="2">
        <v>7.3</v>
      </c>
      <c r="BM98" s="2">
        <v>0.9</v>
      </c>
      <c r="BN98" s="2">
        <v>7.5</v>
      </c>
      <c r="BO98" s="2">
        <v>2.9</v>
      </c>
      <c r="BP98" s="2">
        <f t="shared" si="2"/>
        <v>8.2114359767287777</v>
      </c>
      <c r="BQ98" s="2">
        <f t="shared" si="3"/>
        <v>27.259426139871966</v>
      </c>
    </row>
    <row r="99" spans="1:69" x14ac:dyDescent="0.2">
      <c r="A99" s="2" t="s">
        <v>2573</v>
      </c>
      <c r="B99" s="2" t="s">
        <v>47</v>
      </c>
      <c r="C99" s="2" t="s">
        <v>1935</v>
      </c>
      <c r="D99" s="2" t="s">
        <v>49</v>
      </c>
      <c r="E99" s="2" t="s">
        <v>1906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89</v>
      </c>
      <c r="L99" s="6" t="s">
        <v>103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2574</v>
      </c>
      <c r="R99" s="2">
        <v>2166666.6669999999</v>
      </c>
      <c r="S99" s="2">
        <v>0</v>
      </c>
      <c r="T99" s="2" t="s">
        <v>96</v>
      </c>
      <c r="U99" s="2" t="s">
        <v>97</v>
      </c>
      <c r="V99" s="2" t="s">
        <v>56</v>
      </c>
      <c r="W99" s="2" t="s">
        <v>98</v>
      </c>
      <c r="X99" s="2" t="s">
        <v>99</v>
      </c>
      <c r="Y99" s="2">
        <v>2.2199917614148701</v>
      </c>
      <c r="Z99" s="2">
        <v>2219.9917614148699</v>
      </c>
      <c r="AA99" s="2">
        <v>4.73719444444444</v>
      </c>
      <c r="AB99" s="2">
        <v>-74.069472222222203</v>
      </c>
      <c r="AC99" s="2">
        <v>2555</v>
      </c>
      <c r="AD99" s="2">
        <v>0</v>
      </c>
      <c r="AE99" s="2" t="s">
        <v>59</v>
      </c>
      <c r="AF99" s="2" t="s">
        <v>86</v>
      </c>
      <c r="AG99" s="2" t="s">
        <v>61</v>
      </c>
      <c r="AH99" s="2" t="s">
        <v>62</v>
      </c>
      <c r="AI99" s="2" t="s">
        <v>100</v>
      </c>
      <c r="AJ99" s="2">
        <v>0.85112822422374301</v>
      </c>
      <c r="AK99" s="2">
        <v>4.0305546157554604</v>
      </c>
      <c r="AL99" s="2">
        <v>2.4956713608746002</v>
      </c>
      <c r="AM99" s="2">
        <v>0.23048679096097899</v>
      </c>
      <c r="AN99" s="2">
        <v>1.16483603477638</v>
      </c>
      <c r="AO99" s="2">
        <v>0.18506900910951399</v>
      </c>
      <c r="AP99" s="2">
        <v>0.18506900910951399</v>
      </c>
      <c r="AQ99" s="2">
        <v>0</v>
      </c>
      <c r="AR99" s="2">
        <v>2</v>
      </c>
      <c r="AS99" s="2">
        <v>0</v>
      </c>
      <c r="AT99" s="2">
        <v>0</v>
      </c>
      <c r="AU99" s="2">
        <v>0</v>
      </c>
      <c r="AV99" s="2">
        <v>21</v>
      </c>
      <c r="AW99" s="2">
        <v>0</v>
      </c>
      <c r="AX99" s="2">
        <v>0</v>
      </c>
      <c r="AY99" s="2">
        <v>15.3</v>
      </c>
      <c r="AZ99" s="2">
        <v>9.8000000000000007</v>
      </c>
      <c r="BA99" s="2">
        <v>29.7</v>
      </c>
      <c r="BB99" s="2">
        <v>564</v>
      </c>
      <c r="BC99" s="2">
        <v>68</v>
      </c>
      <c r="BD99" s="2">
        <v>1.8</v>
      </c>
      <c r="BE99" s="2">
        <v>43</v>
      </c>
      <c r="BF99" s="2">
        <v>25.4</v>
      </c>
      <c r="BG99" s="2">
        <v>162</v>
      </c>
      <c r="BH99" s="2">
        <v>9.1</v>
      </c>
      <c r="BI99" s="2">
        <v>9.1999999999999993</v>
      </c>
      <c r="BJ99" s="2">
        <v>18.3</v>
      </c>
      <c r="BK99" s="2">
        <v>0.34</v>
      </c>
      <c r="BL99" s="2">
        <v>7.3</v>
      </c>
      <c r="BM99" s="2">
        <v>0.9</v>
      </c>
      <c r="BN99" s="2">
        <v>7.5</v>
      </c>
      <c r="BO99" s="2">
        <v>2.9</v>
      </c>
      <c r="BP99" s="2">
        <f t="shared" si="2"/>
        <v>8.7801438688492048</v>
      </c>
      <c r="BQ99" s="2">
        <f t="shared" si="3"/>
        <v>28.1590063143477</v>
      </c>
    </row>
    <row r="100" spans="1:69" x14ac:dyDescent="0.2">
      <c r="A100" s="2" t="s">
        <v>2057</v>
      </c>
      <c r="B100" s="2" t="s">
        <v>47</v>
      </c>
      <c r="C100" s="2" t="s">
        <v>1935</v>
      </c>
      <c r="D100" s="2" t="s">
        <v>49</v>
      </c>
      <c r="E100" s="2" t="s">
        <v>527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89</v>
      </c>
      <c r="L100" s="6" t="s">
        <v>141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2058</v>
      </c>
      <c r="R100" s="2">
        <v>3621169.9160000002</v>
      </c>
      <c r="S100" s="2">
        <v>0</v>
      </c>
      <c r="T100" s="2" t="s">
        <v>96</v>
      </c>
      <c r="U100" s="2" t="s">
        <v>97</v>
      </c>
      <c r="V100" s="2" t="s">
        <v>56</v>
      </c>
      <c r="W100" s="2" t="s">
        <v>98</v>
      </c>
      <c r="X100" s="2" t="s">
        <v>99</v>
      </c>
      <c r="Y100" s="2">
        <v>2.10583058365195</v>
      </c>
      <c r="Z100" s="2">
        <v>2105.8305836519498</v>
      </c>
      <c r="AA100" s="2">
        <v>4.73719444444444</v>
      </c>
      <c r="AB100" s="2">
        <v>-74.069472222222203</v>
      </c>
      <c r="AC100" s="2">
        <v>2555</v>
      </c>
      <c r="AD100" s="2">
        <v>0</v>
      </c>
      <c r="AE100" s="2" t="s">
        <v>59</v>
      </c>
      <c r="AF100" s="2" t="s">
        <v>86</v>
      </c>
      <c r="AG100" s="2" t="s">
        <v>61</v>
      </c>
      <c r="AH100" s="2" t="s">
        <v>62</v>
      </c>
      <c r="AI100" s="2" t="s">
        <v>100</v>
      </c>
      <c r="AJ100" s="2">
        <v>0.49089883547554403</v>
      </c>
      <c r="AK100" s="2">
        <v>5.1594994302809196</v>
      </c>
      <c r="AL100" s="2">
        <v>0.964925159542254</v>
      </c>
      <c r="AM100" s="2">
        <v>0.50206283400047802</v>
      </c>
      <c r="AN100" s="2">
        <v>2.3679417310072601</v>
      </c>
      <c r="AO100" s="2">
        <v>5.6942108278335402E-2</v>
      </c>
      <c r="AP100" s="2">
        <v>5.6942108278335402E-2</v>
      </c>
      <c r="AQ100" s="2">
        <v>1</v>
      </c>
      <c r="AR100" s="2">
        <v>2</v>
      </c>
      <c r="AS100" s="2">
        <v>0</v>
      </c>
      <c r="AT100" s="2">
        <v>0</v>
      </c>
      <c r="AU100" s="2">
        <v>1</v>
      </c>
      <c r="AV100" s="2">
        <v>11</v>
      </c>
      <c r="AW100" s="2">
        <v>0</v>
      </c>
      <c r="AX100" s="2">
        <v>0</v>
      </c>
      <c r="AY100" s="2">
        <v>15.3</v>
      </c>
      <c r="AZ100" s="2">
        <v>9.8000000000000007</v>
      </c>
      <c r="BA100" s="2">
        <v>29.7</v>
      </c>
      <c r="BB100" s="2">
        <v>564</v>
      </c>
      <c r="BC100" s="2">
        <v>68</v>
      </c>
      <c r="BD100" s="2">
        <v>1.8</v>
      </c>
      <c r="BE100" s="2">
        <v>43</v>
      </c>
      <c r="BF100" s="2">
        <v>25.4</v>
      </c>
      <c r="BG100" s="2">
        <v>162</v>
      </c>
      <c r="BH100" s="2">
        <v>9.1</v>
      </c>
      <c r="BI100" s="2">
        <v>9.1999999999999993</v>
      </c>
      <c r="BJ100" s="2">
        <v>18.3</v>
      </c>
      <c r="BK100" s="2">
        <v>0.34</v>
      </c>
      <c r="BL100" s="2">
        <v>7.3</v>
      </c>
      <c r="BM100" s="2">
        <v>0.9</v>
      </c>
      <c r="BN100" s="2">
        <v>7.5</v>
      </c>
      <c r="BO100" s="2">
        <v>2.9</v>
      </c>
      <c r="BP100" s="2">
        <f t="shared" si="2"/>
        <v>8.8299007263681553</v>
      </c>
      <c r="BQ100" s="2">
        <f t="shared" si="3"/>
        <v>28.236264071867907</v>
      </c>
    </row>
    <row r="101" spans="1:69" x14ac:dyDescent="0.2">
      <c r="A101" s="2" t="s">
        <v>544</v>
      </c>
      <c r="B101" s="2" t="s">
        <v>47</v>
      </c>
      <c r="C101" s="2" t="s">
        <v>48</v>
      </c>
      <c r="D101" s="2" t="s">
        <v>49</v>
      </c>
      <c r="E101" s="2" t="s">
        <v>328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89</v>
      </c>
      <c r="L101" s="6" t="s">
        <v>103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545</v>
      </c>
      <c r="R101" s="2">
        <v>9831460.6740000006</v>
      </c>
      <c r="S101" s="2">
        <v>0</v>
      </c>
      <c r="T101" s="2" t="s">
        <v>96</v>
      </c>
      <c r="U101" s="2" t="s">
        <v>97</v>
      </c>
      <c r="V101" s="2" t="s">
        <v>56</v>
      </c>
      <c r="W101" s="2" t="s">
        <v>98</v>
      </c>
      <c r="X101" s="2" t="s">
        <v>99</v>
      </c>
      <c r="Y101" s="2">
        <v>2.0244462203913201</v>
      </c>
      <c r="Z101" s="2">
        <v>2024.4462203913199</v>
      </c>
      <c r="AA101" s="2">
        <v>4.73719444444444</v>
      </c>
      <c r="AB101" s="2">
        <v>-74.069472222222203</v>
      </c>
      <c r="AC101" s="2">
        <v>2555</v>
      </c>
      <c r="AD101" s="2">
        <v>0</v>
      </c>
      <c r="AE101" s="2" t="s">
        <v>59</v>
      </c>
      <c r="AF101" s="2" t="s">
        <v>86</v>
      </c>
      <c r="AG101" s="2" t="s">
        <v>61</v>
      </c>
      <c r="AH101" s="2" t="s">
        <v>62</v>
      </c>
      <c r="AI101" s="2" t="s">
        <v>100</v>
      </c>
      <c r="AJ101" s="2">
        <v>0.25140559541843399</v>
      </c>
      <c r="AK101" s="2">
        <v>5.4120857541485297</v>
      </c>
      <c r="AL101" s="2">
        <v>0.73105897818142995</v>
      </c>
      <c r="AM101" s="2">
        <v>0.46298250640330701</v>
      </c>
      <c r="AN101" s="2">
        <v>2.4863885729058901</v>
      </c>
      <c r="AO101" s="2">
        <v>5.43083916286232E-2</v>
      </c>
      <c r="AP101" s="2">
        <v>5.43083916286232E-2</v>
      </c>
      <c r="AQ101" s="2">
        <v>1</v>
      </c>
      <c r="AR101" s="2">
        <v>2</v>
      </c>
      <c r="AS101" s="2">
        <v>0</v>
      </c>
      <c r="AT101" s="2">
        <v>0</v>
      </c>
      <c r="AU101" s="2">
        <v>1</v>
      </c>
      <c r="AV101" s="2">
        <v>24</v>
      </c>
      <c r="AW101" s="2">
        <v>0</v>
      </c>
      <c r="AX101" s="2">
        <v>0</v>
      </c>
      <c r="AY101" s="2">
        <v>15.3</v>
      </c>
      <c r="AZ101" s="2">
        <v>9.8000000000000007</v>
      </c>
      <c r="BA101" s="2">
        <v>29.7</v>
      </c>
      <c r="BB101" s="2">
        <v>564</v>
      </c>
      <c r="BC101" s="2">
        <v>68</v>
      </c>
      <c r="BD101" s="2">
        <v>1.8</v>
      </c>
      <c r="BE101" s="2">
        <v>43</v>
      </c>
      <c r="BF101" s="2">
        <v>25.4</v>
      </c>
      <c r="BG101" s="2">
        <v>162</v>
      </c>
      <c r="BH101" s="2">
        <v>9.1</v>
      </c>
      <c r="BI101" s="2">
        <v>9.1999999999999993</v>
      </c>
      <c r="BJ101" s="2">
        <v>18.3</v>
      </c>
      <c r="BK101" s="2">
        <v>0.34</v>
      </c>
      <c r="BL101" s="2">
        <v>7.3</v>
      </c>
      <c r="BM101" s="2">
        <v>0.9</v>
      </c>
      <c r="BN101" s="2">
        <v>7.5</v>
      </c>
      <c r="BO101" s="2">
        <v>2.9</v>
      </c>
      <c r="BP101" s="2">
        <f t="shared" si="2"/>
        <v>8.865543957494296</v>
      </c>
      <c r="BQ101" s="2">
        <f t="shared" si="3"/>
        <v>28.291469737788692</v>
      </c>
    </row>
    <row r="102" spans="1:69" x14ac:dyDescent="0.2">
      <c r="A102" s="2" t="s">
        <v>2339</v>
      </c>
      <c r="B102" s="2" t="s">
        <v>47</v>
      </c>
      <c r="C102" s="2" t="s">
        <v>1935</v>
      </c>
      <c r="D102" s="2" t="s">
        <v>49</v>
      </c>
      <c r="E102" s="2" t="s">
        <v>1496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89</v>
      </c>
      <c r="L102" s="6" t="s">
        <v>141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2340</v>
      </c>
      <c r="R102" s="2">
        <v>3744915.2540000002</v>
      </c>
      <c r="S102" s="2">
        <v>0</v>
      </c>
      <c r="T102" s="2" t="s">
        <v>96</v>
      </c>
      <c r="U102" s="2" t="s">
        <v>97</v>
      </c>
      <c r="V102" s="2" t="s">
        <v>56</v>
      </c>
      <c r="W102" s="2" t="s">
        <v>98</v>
      </c>
      <c r="X102" s="2" t="s">
        <v>99</v>
      </c>
      <c r="Y102" s="2">
        <v>3.1228874001253599</v>
      </c>
      <c r="Z102" s="2">
        <v>3122.8874001253598</v>
      </c>
      <c r="AA102" s="2">
        <v>4.73719444444444</v>
      </c>
      <c r="AB102" s="2">
        <v>-74.069472222222203</v>
      </c>
      <c r="AC102" s="2">
        <v>2555</v>
      </c>
      <c r="AD102" s="2">
        <v>0</v>
      </c>
      <c r="AE102" s="2" t="s">
        <v>59</v>
      </c>
      <c r="AF102" s="2" t="s">
        <v>86</v>
      </c>
      <c r="AG102" s="2" t="s">
        <v>61</v>
      </c>
      <c r="AH102" s="2" t="s">
        <v>62</v>
      </c>
      <c r="AI102" s="2" t="s">
        <v>100</v>
      </c>
      <c r="AJ102" s="2">
        <v>0.46341046087646198</v>
      </c>
      <c r="AK102" s="2">
        <v>5.5931852409450196</v>
      </c>
      <c r="AL102" s="2">
        <v>0.917316919133214</v>
      </c>
      <c r="AM102" s="2">
        <v>0.10688204009369701</v>
      </c>
      <c r="AN102" s="2">
        <v>3.6366247583339102</v>
      </c>
      <c r="AO102" s="2">
        <v>0.33130114681030798</v>
      </c>
      <c r="AP102" s="2">
        <v>0.33130114681030798</v>
      </c>
      <c r="AQ102" s="2">
        <v>1</v>
      </c>
      <c r="AR102" s="2">
        <v>2</v>
      </c>
      <c r="AS102" s="2">
        <v>0</v>
      </c>
      <c r="AT102" s="2">
        <v>0</v>
      </c>
      <c r="AU102" s="2">
        <v>1</v>
      </c>
      <c r="AV102" s="2">
        <v>31</v>
      </c>
      <c r="AW102" s="2">
        <v>0</v>
      </c>
      <c r="AX102" s="2">
        <v>0</v>
      </c>
      <c r="AY102" s="2">
        <v>15.3</v>
      </c>
      <c r="AZ102" s="2">
        <v>9.8000000000000007</v>
      </c>
      <c r="BA102" s="2">
        <v>29.7</v>
      </c>
      <c r="BB102" s="2">
        <v>564</v>
      </c>
      <c r="BC102" s="2">
        <v>68</v>
      </c>
      <c r="BD102" s="2">
        <v>1.8</v>
      </c>
      <c r="BE102" s="2">
        <v>43</v>
      </c>
      <c r="BF102" s="2">
        <v>25.4</v>
      </c>
      <c r="BG102" s="2">
        <v>162</v>
      </c>
      <c r="BH102" s="2">
        <v>9.1</v>
      </c>
      <c r="BI102" s="2">
        <v>9.1999999999999993</v>
      </c>
      <c r="BJ102" s="2">
        <v>18.3</v>
      </c>
      <c r="BK102" s="2">
        <v>0.34</v>
      </c>
      <c r="BL102" s="2">
        <v>7.3</v>
      </c>
      <c r="BM102" s="2">
        <v>0.9</v>
      </c>
      <c r="BN102" s="2">
        <v>7.5</v>
      </c>
      <c r="BO102" s="2">
        <v>2.9</v>
      </c>
      <c r="BP102" s="2">
        <f t="shared" si="2"/>
        <v>8.3963699141792727</v>
      </c>
      <c r="BQ102" s="2">
        <f t="shared" si="3"/>
        <v>27.555378632286519</v>
      </c>
    </row>
    <row r="103" spans="1:69" x14ac:dyDescent="0.2">
      <c r="A103" s="2" t="s">
        <v>2794</v>
      </c>
      <c r="B103" s="2" t="s">
        <v>47</v>
      </c>
      <c r="C103" s="2" t="s">
        <v>1935</v>
      </c>
      <c r="D103" s="2" t="s">
        <v>49</v>
      </c>
      <c r="E103" s="2" t="s">
        <v>2795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89</v>
      </c>
      <c r="L103" s="6" t="s">
        <v>141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2796</v>
      </c>
      <c r="R103" s="2">
        <v>4674220.9630000005</v>
      </c>
      <c r="S103" s="2">
        <v>0</v>
      </c>
      <c r="T103" s="2" t="s">
        <v>130</v>
      </c>
      <c r="U103" s="2" t="s">
        <v>131</v>
      </c>
      <c r="V103" s="2" t="s">
        <v>56</v>
      </c>
      <c r="W103" s="2" t="s">
        <v>98</v>
      </c>
      <c r="X103" s="2" t="s">
        <v>132</v>
      </c>
      <c r="Y103" s="2">
        <v>3.45128394434477</v>
      </c>
      <c r="Z103" s="2">
        <v>3451.2839443447701</v>
      </c>
      <c r="AA103" s="2">
        <v>4.7837500000000004</v>
      </c>
      <c r="AB103" s="2">
        <v>-74.044138888888895</v>
      </c>
      <c r="AC103" s="2">
        <v>2580</v>
      </c>
      <c r="AD103" s="2">
        <v>0</v>
      </c>
      <c r="AE103" s="2" t="s">
        <v>133</v>
      </c>
      <c r="AF103" s="2" t="s">
        <v>86</v>
      </c>
      <c r="AG103" s="2" t="s">
        <v>61</v>
      </c>
      <c r="AH103" s="2" t="s">
        <v>62</v>
      </c>
      <c r="AI103" s="2" t="s">
        <v>87</v>
      </c>
      <c r="AJ103" s="2">
        <v>4.9518365548356096</v>
      </c>
      <c r="AK103" s="2">
        <v>2.4355095831866298</v>
      </c>
      <c r="AL103" s="2">
        <v>2.2198037147745802</v>
      </c>
      <c r="AM103" s="2">
        <v>4.0615552076484498</v>
      </c>
      <c r="AN103" s="2">
        <v>7.7722581283282999</v>
      </c>
      <c r="AO103" s="2">
        <v>1.03476224458998</v>
      </c>
      <c r="AP103" s="2">
        <v>1.03476224458998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>
        <v>15.3</v>
      </c>
      <c r="AZ103" s="2">
        <v>9.8000000000000007</v>
      </c>
      <c r="BA103" s="2">
        <v>29.7</v>
      </c>
      <c r="BB103" s="2">
        <v>564</v>
      </c>
      <c r="BC103" s="2">
        <v>68</v>
      </c>
      <c r="BD103" s="2">
        <v>1.8</v>
      </c>
      <c r="BE103" s="2">
        <v>43</v>
      </c>
      <c r="BF103" s="2">
        <v>25.4</v>
      </c>
      <c r="BG103" s="2">
        <v>162</v>
      </c>
      <c r="BH103" s="2">
        <v>9.1</v>
      </c>
      <c r="BI103" s="2">
        <v>9.1999999999999993</v>
      </c>
      <c r="BJ103" s="2">
        <v>18.3</v>
      </c>
      <c r="BK103" s="2">
        <v>0.34</v>
      </c>
      <c r="BL103" s="2">
        <v>7.3</v>
      </c>
      <c r="BM103" s="2">
        <v>0.9</v>
      </c>
      <c r="BN103" s="2">
        <v>7.5</v>
      </c>
      <c r="BO103" s="2">
        <v>2.9</v>
      </c>
      <c r="BP103" s="2">
        <f t="shared" si="2"/>
        <v>8.2609850050684805</v>
      </c>
      <c r="BQ103" s="2">
        <f t="shared" si="3"/>
        <v>27.339054048225197</v>
      </c>
    </row>
    <row r="104" spans="1:69" x14ac:dyDescent="0.2">
      <c r="A104" s="2" t="s">
        <v>2236</v>
      </c>
      <c r="B104" s="2" t="s">
        <v>47</v>
      </c>
      <c r="C104" s="2" t="s">
        <v>1935</v>
      </c>
      <c r="D104" s="2" t="s">
        <v>49</v>
      </c>
      <c r="E104" s="2" t="s">
        <v>2237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89</v>
      </c>
      <c r="L104" s="6" t="s">
        <v>141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2238</v>
      </c>
      <c r="R104" s="2">
        <v>5172413.7929999996</v>
      </c>
      <c r="S104" s="2">
        <v>0</v>
      </c>
      <c r="T104" s="2" t="s">
        <v>96</v>
      </c>
      <c r="U104" s="2" t="s">
        <v>97</v>
      </c>
      <c r="V104" s="2" t="s">
        <v>56</v>
      </c>
      <c r="W104" s="2" t="s">
        <v>98</v>
      </c>
      <c r="X104" s="2" t="s">
        <v>99</v>
      </c>
      <c r="Y104" s="2">
        <v>4.0559667199419396</v>
      </c>
      <c r="Z104" s="2">
        <v>4055.96671994194</v>
      </c>
      <c r="AA104" s="2">
        <v>4.73719444444444</v>
      </c>
      <c r="AB104" s="2">
        <v>-74.069472222222203</v>
      </c>
      <c r="AC104" s="2">
        <v>2555</v>
      </c>
      <c r="AD104" s="2">
        <v>0</v>
      </c>
      <c r="AE104" s="2" t="s">
        <v>59</v>
      </c>
      <c r="AF104" s="2" t="s">
        <v>86</v>
      </c>
      <c r="AG104" s="2" t="s">
        <v>61</v>
      </c>
      <c r="AH104" s="2" t="s">
        <v>62</v>
      </c>
      <c r="AI104" s="2" t="s">
        <v>100</v>
      </c>
      <c r="AJ104" s="2">
        <v>0.26070513836992798</v>
      </c>
      <c r="AK104" s="2">
        <v>4.2917775191171499</v>
      </c>
      <c r="AL104" s="2">
        <v>0.36933828056533502</v>
      </c>
      <c r="AM104" s="2">
        <v>8.4626678531046703E-2</v>
      </c>
      <c r="AN104" s="2">
        <v>3.3504873662683998</v>
      </c>
      <c r="AO104" s="2">
        <v>0.44167263386300798</v>
      </c>
      <c r="AP104" s="2">
        <v>0.44167263386300798</v>
      </c>
      <c r="AQ104" s="2">
        <v>1</v>
      </c>
      <c r="AR104" s="2">
        <v>3</v>
      </c>
      <c r="AS104" s="2">
        <v>0</v>
      </c>
      <c r="AT104" s="2">
        <v>0</v>
      </c>
      <c r="AU104" s="2">
        <v>1</v>
      </c>
      <c r="AV104" s="2">
        <v>45</v>
      </c>
      <c r="AW104" s="2">
        <v>0</v>
      </c>
      <c r="AX104" s="2">
        <v>0</v>
      </c>
      <c r="AY104" s="2">
        <v>15.3</v>
      </c>
      <c r="AZ104" s="2">
        <v>9.8000000000000007</v>
      </c>
      <c r="BA104" s="2">
        <v>29.7</v>
      </c>
      <c r="BB104" s="2">
        <v>564</v>
      </c>
      <c r="BC104" s="2">
        <v>68</v>
      </c>
      <c r="BD104" s="2">
        <v>1.8</v>
      </c>
      <c r="BE104" s="2">
        <v>43</v>
      </c>
      <c r="BF104" s="2">
        <v>25.4</v>
      </c>
      <c r="BG104" s="2">
        <v>162</v>
      </c>
      <c r="BH104" s="2">
        <v>9.1</v>
      </c>
      <c r="BI104" s="2">
        <v>9.1999999999999993</v>
      </c>
      <c r="BJ104" s="2">
        <v>18.3</v>
      </c>
      <c r="BK104" s="2">
        <v>0.34</v>
      </c>
      <c r="BL104" s="2">
        <v>7.3</v>
      </c>
      <c r="BM104" s="2">
        <v>0.9</v>
      </c>
      <c r="BN104" s="2">
        <v>7.5</v>
      </c>
      <c r="BO104" s="2">
        <v>2.9</v>
      </c>
      <c r="BP104" s="2">
        <f t="shared" si="2"/>
        <v>8.0173827886485576</v>
      </c>
      <c r="BQ104" s="2">
        <f t="shared" si="3"/>
        <v>26.94516418028109</v>
      </c>
    </row>
    <row r="105" spans="1:69" x14ac:dyDescent="0.2">
      <c r="A105" s="2" t="s">
        <v>3063</v>
      </c>
      <c r="B105" s="2" t="s">
        <v>47</v>
      </c>
      <c r="C105" s="2" t="s">
        <v>1935</v>
      </c>
      <c r="D105" s="2" t="s">
        <v>49</v>
      </c>
      <c r="E105" s="2" t="s">
        <v>246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89</v>
      </c>
      <c r="L105" s="6" t="s">
        <v>103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3064</v>
      </c>
      <c r="R105" s="2">
        <v>6413994.1689999998</v>
      </c>
      <c r="S105" s="2">
        <v>0</v>
      </c>
      <c r="T105" s="2" t="s">
        <v>130</v>
      </c>
      <c r="U105" s="2" t="s">
        <v>131</v>
      </c>
      <c r="V105" s="2" t="s">
        <v>56</v>
      </c>
      <c r="W105" s="2" t="s">
        <v>98</v>
      </c>
      <c r="X105" s="2" t="s">
        <v>132</v>
      </c>
      <c r="Y105" s="2">
        <v>4.2213662253640098</v>
      </c>
      <c r="Z105" s="2">
        <v>4221.3662253640096</v>
      </c>
      <c r="AA105" s="2">
        <v>4.7837500000000004</v>
      </c>
      <c r="AB105" s="2">
        <v>-74.044138888888895</v>
      </c>
      <c r="AC105" s="2">
        <v>2580</v>
      </c>
      <c r="AD105" s="2">
        <v>0</v>
      </c>
      <c r="AE105" s="2" t="s">
        <v>133</v>
      </c>
      <c r="AF105" s="2" t="s">
        <v>86</v>
      </c>
      <c r="AG105" s="2" t="s">
        <v>61</v>
      </c>
      <c r="AH105" s="2" t="s">
        <v>62</v>
      </c>
      <c r="AI105" s="2" t="s">
        <v>100</v>
      </c>
      <c r="AJ105" s="2">
        <v>5.8262524249284198</v>
      </c>
      <c r="AK105" s="2">
        <v>0.67591135269041203</v>
      </c>
      <c r="AL105" s="2">
        <v>2.36277842263544</v>
      </c>
      <c r="AM105" s="2">
        <v>4.3777816396227998</v>
      </c>
      <c r="AN105" s="2">
        <v>9.20115575060019</v>
      </c>
      <c r="AO105" s="2">
        <v>0.32336245433010302</v>
      </c>
      <c r="AP105" s="2">
        <v>0.32336245433010302</v>
      </c>
      <c r="AQ105" s="2">
        <v>0</v>
      </c>
      <c r="AR105" s="2">
        <v>0</v>
      </c>
      <c r="AS105" s="2">
        <v>0</v>
      </c>
      <c r="AT105" s="2">
        <v>1</v>
      </c>
      <c r="AU105" s="2">
        <v>0</v>
      </c>
      <c r="AV105" s="2">
        <v>0</v>
      </c>
      <c r="AW105" s="2">
        <v>0</v>
      </c>
      <c r="AX105" s="2">
        <v>0</v>
      </c>
      <c r="AY105" s="2">
        <v>15.3</v>
      </c>
      <c r="AZ105" s="2">
        <v>9.8000000000000007</v>
      </c>
      <c r="BA105" s="2">
        <v>29.7</v>
      </c>
      <c r="BB105" s="2">
        <v>564</v>
      </c>
      <c r="BC105" s="2">
        <v>68</v>
      </c>
      <c r="BD105" s="2">
        <v>1.8</v>
      </c>
      <c r="BE105" s="2">
        <v>43</v>
      </c>
      <c r="BF105" s="2">
        <v>25.4</v>
      </c>
      <c r="BG105" s="2">
        <v>162</v>
      </c>
      <c r="BH105" s="2">
        <v>9.1</v>
      </c>
      <c r="BI105" s="2">
        <v>9.1999999999999993</v>
      </c>
      <c r="BJ105" s="2">
        <v>18.3</v>
      </c>
      <c r="BK105" s="2">
        <v>0.34</v>
      </c>
      <c r="BL105" s="2">
        <v>7.3</v>
      </c>
      <c r="BM105" s="2">
        <v>0.9</v>
      </c>
      <c r="BN105" s="2">
        <v>7.5</v>
      </c>
      <c r="BO105" s="2">
        <v>2.9</v>
      </c>
      <c r="BP105" s="2">
        <f t="shared" si="2"/>
        <v>7.9520102435084734</v>
      </c>
      <c r="BQ105" s="2">
        <f t="shared" si="3"/>
        <v>26.838414991718711</v>
      </c>
    </row>
    <row r="106" spans="1:69" x14ac:dyDescent="0.2">
      <c r="A106" s="2" t="s">
        <v>529</v>
      </c>
      <c r="B106" s="2" t="s">
        <v>47</v>
      </c>
      <c r="C106" s="2" t="s">
        <v>48</v>
      </c>
      <c r="D106" s="2" t="s">
        <v>49</v>
      </c>
      <c r="E106" s="2" t="s">
        <v>328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89</v>
      </c>
      <c r="L106" s="6" t="s">
        <v>112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530</v>
      </c>
      <c r="R106" s="2">
        <v>10257011.4</v>
      </c>
      <c r="S106" s="2">
        <v>0</v>
      </c>
      <c r="T106" s="2" t="s">
        <v>96</v>
      </c>
      <c r="U106" s="2" t="s">
        <v>97</v>
      </c>
      <c r="V106" s="2" t="s">
        <v>56</v>
      </c>
      <c r="W106" s="2" t="s">
        <v>98</v>
      </c>
      <c r="X106" s="2" t="s">
        <v>99</v>
      </c>
      <c r="Y106" s="2">
        <v>1.6769216112958401</v>
      </c>
      <c r="Z106" s="2">
        <v>1676.92161129584</v>
      </c>
      <c r="AA106" s="2">
        <v>4.73719444444444</v>
      </c>
      <c r="AB106" s="2">
        <v>-74.069472222222203</v>
      </c>
      <c r="AC106" s="2">
        <v>2555</v>
      </c>
      <c r="AD106" s="2">
        <v>0</v>
      </c>
      <c r="AE106" s="2" t="s">
        <v>59</v>
      </c>
      <c r="AF106" s="2" t="s">
        <v>86</v>
      </c>
      <c r="AG106" s="2" t="s">
        <v>61</v>
      </c>
      <c r="AH106" s="2" t="s">
        <v>62</v>
      </c>
      <c r="AI106" s="2" t="s">
        <v>100</v>
      </c>
      <c r="AJ106" s="2">
        <v>0.46161353433427399</v>
      </c>
      <c r="AK106" s="2">
        <v>5.2539618595607998</v>
      </c>
      <c r="AL106" s="2">
        <v>1.1073041562811199</v>
      </c>
      <c r="AM106" s="2">
        <v>0.76951546069237198</v>
      </c>
      <c r="AN106" s="2">
        <v>2.03884569634244</v>
      </c>
      <c r="AO106" s="2">
        <v>3.8906724229921197E-2</v>
      </c>
      <c r="AP106" s="2">
        <v>3.8906724229921197E-2</v>
      </c>
      <c r="AQ106" s="2">
        <v>2</v>
      </c>
      <c r="AR106" s="2">
        <v>2</v>
      </c>
      <c r="AS106" s="2">
        <v>0</v>
      </c>
      <c r="AT106" s="2">
        <v>0</v>
      </c>
      <c r="AU106" s="2">
        <v>0</v>
      </c>
      <c r="AV106" s="2">
        <v>5</v>
      </c>
      <c r="AW106" s="2">
        <v>0</v>
      </c>
      <c r="AX106" s="2">
        <v>0</v>
      </c>
      <c r="AY106" s="2">
        <v>15.3</v>
      </c>
      <c r="AZ106" s="2">
        <v>9.8000000000000007</v>
      </c>
      <c r="BA106" s="2">
        <v>29.7</v>
      </c>
      <c r="BB106" s="2">
        <v>564</v>
      </c>
      <c r="BC106" s="2">
        <v>68</v>
      </c>
      <c r="BD106" s="2">
        <v>1.8</v>
      </c>
      <c r="BE106" s="2">
        <v>43</v>
      </c>
      <c r="BF106" s="2">
        <v>25.4</v>
      </c>
      <c r="BG106" s="2">
        <v>162</v>
      </c>
      <c r="BH106" s="2">
        <v>9.1</v>
      </c>
      <c r="BI106" s="2">
        <v>9.1999999999999993</v>
      </c>
      <c r="BJ106" s="2">
        <v>18.3</v>
      </c>
      <c r="BK106" s="2">
        <v>0.34</v>
      </c>
      <c r="BL106" s="2">
        <v>7.3</v>
      </c>
      <c r="BM106" s="2">
        <v>0.9</v>
      </c>
      <c r="BN106" s="2">
        <v>7.5</v>
      </c>
      <c r="BO106" s="2">
        <v>2.9</v>
      </c>
      <c r="BP106" s="2">
        <f t="shared" si="2"/>
        <v>9.0193725170491756</v>
      </c>
      <c r="BQ106" s="2">
        <f t="shared" si="3"/>
        <v>28.52842410087873</v>
      </c>
    </row>
    <row r="107" spans="1:69" x14ac:dyDescent="0.2">
      <c r="A107" s="2" t="s">
        <v>2908</v>
      </c>
      <c r="B107" s="2" t="s">
        <v>47</v>
      </c>
      <c r="C107" s="2" t="s">
        <v>1935</v>
      </c>
      <c r="D107" s="2" t="s">
        <v>49</v>
      </c>
      <c r="E107" s="2" t="s">
        <v>328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89</v>
      </c>
      <c r="L107" s="6" t="s">
        <v>141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2909</v>
      </c>
      <c r="R107" s="2">
        <v>5483870.9680000003</v>
      </c>
      <c r="S107" s="2">
        <v>0</v>
      </c>
      <c r="T107" s="2" t="s">
        <v>96</v>
      </c>
      <c r="U107" s="2" t="s">
        <v>97</v>
      </c>
      <c r="V107" s="2" t="s">
        <v>56</v>
      </c>
      <c r="W107" s="2" t="s">
        <v>98</v>
      </c>
      <c r="X107" s="2" t="s">
        <v>99</v>
      </c>
      <c r="Y107" s="2">
        <v>2.1992525662660198</v>
      </c>
      <c r="Z107" s="2">
        <v>2199.25256626602</v>
      </c>
      <c r="AA107" s="2">
        <v>4.73719444444444</v>
      </c>
      <c r="AB107" s="2">
        <v>-74.069472222222203</v>
      </c>
      <c r="AC107" s="2">
        <v>2555</v>
      </c>
      <c r="AD107" s="2">
        <v>0</v>
      </c>
      <c r="AE107" s="2" t="s">
        <v>59</v>
      </c>
      <c r="AF107" s="2" t="s">
        <v>86</v>
      </c>
      <c r="AG107" s="2" t="s">
        <v>61</v>
      </c>
      <c r="AH107" s="2" t="s">
        <v>62</v>
      </c>
      <c r="AI107" s="2" t="s">
        <v>100</v>
      </c>
      <c r="AJ107" s="2">
        <v>0.53666366477711103</v>
      </c>
      <c r="AK107" s="2">
        <v>5.14498720275758</v>
      </c>
      <c r="AL107" s="2">
        <v>0.95620920276868604</v>
      </c>
      <c r="AM107" s="2">
        <v>0.42778640793246903</v>
      </c>
      <c r="AN107" s="2">
        <v>2.4446453179609402</v>
      </c>
      <c r="AO107" s="2">
        <v>4.9756466825124001E-3</v>
      </c>
      <c r="AP107" s="2">
        <v>4.9756466825124001E-3</v>
      </c>
      <c r="AQ107" s="2">
        <v>0</v>
      </c>
      <c r="AR107" s="2">
        <v>2</v>
      </c>
      <c r="AS107" s="2">
        <v>0</v>
      </c>
      <c r="AT107" s="2">
        <v>0</v>
      </c>
      <c r="AU107" s="2">
        <v>1</v>
      </c>
      <c r="AV107" s="2">
        <v>11</v>
      </c>
      <c r="AW107" s="2">
        <v>0</v>
      </c>
      <c r="AX107" s="2">
        <v>0</v>
      </c>
      <c r="AY107" s="2">
        <v>15.3</v>
      </c>
      <c r="AZ107" s="2">
        <v>9.8000000000000007</v>
      </c>
      <c r="BA107" s="2">
        <v>29.7</v>
      </c>
      <c r="BB107" s="2">
        <v>564</v>
      </c>
      <c r="BC107" s="2">
        <v>68</v>
      </c>
      <c r="BD107" s="2">
        <v>1.8</v>
      </c>
      <c r="BE107" s="2">
        <v>43</v>
      </c>
      <c r="BF107" s="2">
        <v>25.4</v>
      </c>
      <c r="BG107" s="2">
        <v>162</v>
      </c>
      <c r="BH107" s="2">
        <v>9.1</v>
      </c>
      <c r="BI107" s="2">
        <v>9.1999999999999993</v>
      </c>
      <c r="BJ107" s="2">
        <v>18.3</v>
      </c>
      <c r="BK107" s="2">
        <v>0.34</v>
      </c>
      <c r="BL107" s="2">
        <v>7.3</v>
      </c>
      <c r="BM107" s="2">
        <v>0.9</v>
      </c>
      <c r="BN107" s="2">
        <v>7.5</v>
      </c>
      <c r="BO107" s="2">
        <v>2.9</v>
      </c>
      <c r="BP107" s="2">
        <f t="shared" si="2"/>
        <v>8.7891621063721246</v>
      </c>
      <c r="BQ107" s="2">
        <f t="shared" si="3"/>
        <v>28.173025686115729</v>
      </c>
    </row>
    <row r="108" spans="1:69" x14ac:dyDescent="0.2">
      <c r="A108" s="2" t="s">
        <v>3032</v>
      </c>
      <c r="B108" s="2" t="s">
        <v>47</v>
      </c>
      <c r="C108" s="2" t="s">
        <v>1935</v>
      </c>
      <c r="D108" s="2" t="s">
        <v>49</v>
      </c>
      <c r="E108" s="2" t="s">
        <v>1496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89</v>
      </c>
      <c r="L108" s="6" t="s">
        <v>141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3033</v>
      </c>
      <c r="R108" s="2">
        <v>3994082.84</v>
      </c>
      <c r="S108" s="2">
        <v>0</v>
      </c>
      <c r="T108" s="2" t="s">
        <v>96</v>
      </c>
      <c r="U108" s="2" t="s">
        <v>97</v>
      </c>
      <c r="V108" s="2" t="s">
        <v>56</v>
      </c>
      <c r="W108" s="2" t="s">
        <v>98</v>
      </c>
      <c r="X108" s="2" t="s">
        <v>99</v>
      </c>
      <c r="Y108" s="2">
        <v>3.02376221408558</v>
      </c>
      <c r="Z108" s="2">
        <v>3023.7622140855801</v>
      </c>
      <c r="AA108" s="2">
        <v>4.73719444444444</v>
      </c>
      <c r="AB108" s="2">
        <v>-74.069472222222203</v>
      </c>
      <c r="AC108" s="2">
        <v>2555</v>
      </c>
      <c r="AD108" s="2">
        <v>0</v>
      </c>
      <c r="AE108" s="2" t="s">
        <v>59</v>
      </c>
      <c r="AF108" s="2" t="s">
        <v>86</v>
      </c>
      <c r="AG108" s="2" t="s">
        <v>61</v>
      </c>
      <c r="AH108" s="2" t="s">
        <v>62</v>
      </c>
      <c r="AI108" s="2" t="s">
        <v>100</v>
      </c>
      <c r="AJ108" s="2">
        <v>0.209182504731345</v>
      </c>
      <c r="AK108" s="2">
        <v>5.1979461068115302</v>
      </c>
      <c r="AL108" s="2">
        <v>0.74365029550908102</v>
      </c>
      <c r="AM108" s="2">
        <v>0.19177482513169899</v>
      </c>
      <c r="AN108" s="2">
        <v>3.76012600044877</v>
      </c>
      <c r="AO108" s="2">
        <v>0.45536654131785598</v>
      </c>
      <c r="AP108" s="2">
        <v>0.45536654131785598</v>
      </c>
      <c r="AQ108" s="2">
        <v>2</v>
      </c>
      <c r="AR108" s="2">
        <v>2</v>
      </c>
      <c r="AS108" s="2">
        <v>0</v>
      </c>
      <c r="AT108" s="2">
        <v>0</v>
      </c>
      <c r="AU108" s="2">
        <v>1</v>
      </c>
      <c r="AV108" s="2">
        <v>38</v>
      </c>
      <c r="AW108" s="2">
        <v>0</v>
      </c>
      <c r="AX108" s="2">
        <v>0</v>
      </c>
      <c r="AY108" s="2">
        <v>15.3</v>
      </c>
      <c r="AZ108" s="2">
        <v>9.8000000000000007</v>
      </c>
      <c r="BA108" s="2">
        <v>29.7</v>
      </c>
      <c r="BB108" s="2">
        <v>564</v>
      </c>
      <c r="BC108" s="2">
        <v>68</v>
      </c>
      <c r="BD108" s="2">
        <v>1.8</v>
      </c>
      <c r="BE108" s="2">
        <v>43</v>
      </c>
      <c r="BF108" s="2">
        <v>25.4</v>
      </c>
      <c r="BG108" s="2">
        <v>162</v>
      </c>
      <c r="BH108" s="2">
        <v>9.1</v>
      </c>
      <c r="BI108" s="2">
        <v>9.1999999999999993</v>
      </c>
      <c r="BJ108" s="2">
        <v>18.3</v>
      </c>
      <c r="BK108" s="2">
        <v>0.34</v>
      </c>
      <c r="BL108" s="2">
        <v>7.3</v>
      </c>
      <c r="BM108" s="2">
        <v>0.9</v>
      </c>
      <c r="BN108" s="2">
        <v>7.5</v>
      </c>
      <c r="BO108" s="2">
        <v>2.9</v>
      </c>
      <c r="BP108" s="2">
        <f t="shared" si="2"/>
        <v>8.437669594447323</v>
      </c>
      <c r="BQ108" s="2">
        <f t="shared" si="3"/>
        <v>27.62101104002701</v>
      </c>
    </row>
    <row r="109" spans="1:69" x14ac:dyDescent="0.2">
      <c r="A109" s="2" t="s">
        <v>2839</v>
      </c>
      <c r="B109" s="2" t="s">
        <v>47</v>
      </c>
      <c r="C109" s="2" t="s">
        <v>1935</v>
      </c>
      <c r="D109" s="2" t="s">
        <v>49</v>
      </c>
      <c r="E109" s="2" t="s">
        <v>527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89</v>
      </c>
      <c r="L109" s="6" t="s">
        <v>141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2840</v>
      </c>
      <c r="R109" s="2">
        <v>5341246.2910000002</v>
      </c>
      <c r="S109" s="2">
        <v>0</v>
      </c>
      <c r="T109" s="2" t="s">
        <v>96</v>
      </c>
      <c r="U109" s="2" t="s">
        <v>97</v>
      </c>
      <c r="V109" s="2" t="s">
        <v>56</v>
      </c>
      <c r="W109" s="2" t="s">
        <v>98</v>
      </c>
      <c r="X109" s="2" t="s">
        <v>99</v>
      </c>
      <c r="Y109" s="2">
        <v>1.8164634169148499</v>
      </c>
      <c r="Z109" s="2">
        <v>1816.4634169148501</v>
      </c>
      <c r="AA109" s="2">
        <v>4.73719444444444</v>
      </c>
      <c r="AB109" s="2">
        <v>-74.069472222222203</v>
      </c>
      <c r="AC109" s="2">
        <v>2555</v>
      </c>
      <c r="AD109" s="2">
        <v>0</v>
      </c>
      <c r="AE109" s="2" t="s">
        <v>59</v>
      </c>
      <c r="AF109" s="2" t="s">
        <v>86</v>
      </c>
      <c r="AG109" s="2" t="s">
        <v>61</v>
      </c>
      <c r="AH109" s="2" t="s">
        <v>62</v>
      </c>
      <c r="AI109" s="2" t="s">
        <v>100</v>
      </c>
      <c r="AJ109" s="2">
        <v>0.16253310041385099</v>
      </c>
      <c r="AK109" s="2">
        <v>5.4938375675169704</v>
      </c>
      <c r="AL109" s="2">
        <v>0.76761692685335803</v>
      </c>
      <c r="AM109" s="2">
        <v>0.44730174689859398</v>
      </c>
      <c r="AN109" s="2">
        <v>2.3702489173925301</v>
      </c>
      <c r="AO109" s="2">
        <v>0.25666886689603202</v>
      </c>
      <c r="AP109" s="2">
        <v>0.25666886689603202</v>
      </c>
      <c r="AQ109" s="2">
        <v>1</v>
      </c>
      <c r="AR109" s="2">
        <v>2</v>
      </c>
      <c r="AS109" s="2">
        <v>0</v>
      </c>
      <c r="AT109" s="2">
        <v>0</v>
      </c>
      <c r="AU109" s="2">
        <v>1</v>
      </c>
      <c r="AV109" s="2">
        <v>22</v>
      </c>
      <c r="AW109" s="2">
        <v>0</v>
      </c>
      <c r="AX109" s="2">
        <v>0</v>
      </c>
      <c r="AY109" s="2">
        <v>15.3</v>
      </c>
      <c r="AZ109" s="2">
        <v>9.8000000000000007</v>
      </c>
      <c r="BA109" s="2">
        <v>29.7</v>
      </c>
      <c r="BB109" s="2">
        <v>564</v>
      </c>
      <c r="BC109" s="2">
        <v>68</v>
      </c>
      <c r="BD109" s="2">
        <v>1.8</v>
      </c>
      <c r="BE109" s="2">
        <v>43</v>
      </c>
      <c r="BF109" s="2">
        <v>25.4</v>
      </c>
      <c r="BG109" s="2">
        <v>162</v>
      </c>
      <c r="BH109" s="2">
        <v>9.1</v>
      </c>
      <c r="BI109" s="2">
        <v>9.1999999999999993</v>
      </c>
      <c r="BJ109" s="2">
        <v>18.3</v>
      </c>
      <c r="BK109" s="2">
        <v>0.34</v>
      </c>
      <c r="BL109" s="2">
        <v>7.3</v>
      </c>
      <c r="BM109" s="2">
        <v>0.9</v>
      </c>
      <c r="BN109" s="2">
        <v>7.5</v>
      </c>
      <c r="BO109" s="2">
        <v>2.9</v>
      </c>
      <c r="BP109" s="2">
        <f t="shared" si="2"/>
        <v>8.9572874978565515</v>
      </c>
      <c r="BQ109" s="2">
        <f t="shared" si="3"/>
        <v>28.433042119861884</v>
      </c>
    </row>
    <row r="110" spans="1:69" x14ac:dyDescent="0.2">
      <c r="A110" s="2" t="s">
        <v>2849</v>
      </c>
      <c r="B110" s="2" t="s">
        <v>47</v>
      </c>
      <c r="C110" s="2" t="s">
        <v>1935</v>
      </c>
      <c r="D110" s="2" t="s">
        <v>49</v>
      </c>
      <c r="E110" s="2" t="s">
        <v>527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89</v>
      </c>
      <c r="L110" s="6" t="s">
        <v>141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2850</v>
      </c>
      <c r="R110" s="2">
        <v>5341246.2910000002</v>
      </c>
      <c r="S110" s="2">
        <v>0</v>
      </c>
      <c r="T110" s="2" t="s">
        <v>96</v>
      </c>
      <c r="U110" s="2" t="s">
        <v>97</v>
      </c>
      <c r="V110" s="2" t="s">
        <v>56</v>
      </c>
      <c r="W110" s="2" t="s">
        <v>98</v>
      </c>
      <c r="X110" s="2" t="s">
        <v>99</v>
      </c>
      <c r="Y110" s="2">
        <v>1.77160593668483</v>
      </c>
      <c r="Z110" s="2">
        <v>1771.6059366848301</v>
      </c>
      <c r="AA110" s="2">
        <v>4.73719444444444</v>
      </c>
      <c r="AB110" s="2">
        <v>-74.069472222222203</v>
      </c>
      <c r="AC110" s="2">
        <v>2555</v>
      </c>
      <c r="AD110" s="2">
        <v>0</v>
      </c>
      <c r="AE110" s="2" t="s">
        <v>59</v>
      </c>
      <c r="AF110" s="2" t="s">
        <v>86</v>
      </c>
      <c r="AG110" s="2" t="s">
        <v>61</v>
      </c>
      <c r="AH110" s="2" t="s">
        <v>62</v>
      </c>
      <c r="AI110" s="2" t="s">
        <v>100</v>
      </c>
      <c r="AJ110" s="2">
        <v>0.105431012233975</v>
      </c>
      <c r="AK110" s="2">
        <v>5.5691473596653198</v>
      </c>
      <c r="AL110" s="2">
        <v>0.63382393406960102</v>
      </c>
      <c r="AM110" s="2">
        <v>0.26591491035985299</v>
      </c>
      <c r="AN110" s="2">
        <v>2.4879029035767002</v>
      </c>
      <c r="AO110" s="2">
        <v>0.21085573190771301</v>
      </c>
      <c r="AP110" s="2">
        <v>0.21085573190771301</v>
      </c>
      <c r="AQ110" s="2">
        <v>1</v>
      </c>
      <c r="AR110" s="2">
        <v>2</v>
      </c>
      <c r="AS110" s="2">
        <v>0</v>
      </c>
      <c r="AT110" s="2">
        <v>0</v>
      </c>
      <c r="AU110" s="2">
        <v>1</v>
      </c>
      <c r="AV110" s="2">
        <v>26</v>
      </c>
      <c r="AW110" s="2">
        <v>0</v>
      </c>
      <c r="AX110" s="2">
        <v>0</v>
      </c>
      <c r="AY110" s="2">
        <v>15.3</v>
      </c>
      <c r="AZ110" s="2">
        <v>9.8000000000000007</v>
      </c>
      <c r="BA110" s="2">
        <v>29.7</v>
      </c>
      <c r="BB110" s="2">
        <v>564</v>
      </c>
      <c r="BC110" s="2">
        <v>68</v>
      </c>
      <c r="BD110" s="2">
        <v>1.8</v>
      </c>
      <c r="BE110" s="2">
        <v>43</v>
      </c>
      <c r="BF110" s="2">
        <v>25.4</v>
      </c>
      <c r="BG110" s="2">
        <v>162</v>
      </c>
      <c r="BH110" s="2">
        <v>9.1</v>
      </c>
      <c r="BI110" s="2">
        <v>9.1999999999999993</v>
      </c>
      <c r="BJ110" s="2">
        <v>18.3</v>
      </c>
      <c r="BK110" s="2">
        <v>0.34</v>
      </c>
      <c r="BL110" s="2">
        <v>7.3</v>
      </c>
      <c r="BM110" s="2">
        <v>0.9</v>
      </c>
      <c r="BN110" s="2">
        <v>7.5</v>
      </c>
      <c r="BO110" s="2">
        <v>2.9</v>
      </c>
      <c r="BP110" s="2">
        <f t="shared" si="2"/>
        <v>8.9771987622812457</v>
      </c>
      <c r="BQ110" s="2">
        <f t="shared" si="3"/>
        <v>28.463669034052653</v>
      </c>
    </row>
    <row r="111" spans="1:69" x14ac:dyDescent="0.2">
      <c r="A111" s="2" t="s">
        <v>2597</v>
      </c>
      <c r="B111" s="2" t="s">
        <v>47</v>
      </c>
      <c r="C111" s="2" t="s">
        <v>1935</v>
      </c>
      <c r="D111" s="2" t="s">
        <v>49</v>
      </c>
      <c r="E111" s="2" t="s">
        <v>1496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89</v>
      </c>
      <c r="L111" s="6" t="s">
        <v>141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2598</v>
      </c>
      <c r="R111" s="2">
        <v>3223880.5970000001</v>
      </c>
      <c r="S111" s="2">
        <v>0</v>
      </c>
      <c r="T111" s="2" t="s">
        <v>96</v>
      </c>
      <c r="U111" s="2" t="s">
        <v>97</v>
      </c>
      <c r="V111" s="2" t="s">
        <v>56</v>
      </c>
      <c r="W111" s="2" t="s">
        <v>98</v>
      </c>
      <c r="X111" s="2" t="s">
        <v>99</v>
      </c>
      <c r="Y111" s="2">
        <v>3.56104796894072</v>
      </c>
      <c r="Z111" s="2">
        <v>3561.0479689407198</v>
      </c>
      <c r="AA111" s="2">
        <v>4.73719444444444</v>
      </c>
      <c r="AB111" s="2">
        <v>-74.069472222222203</v>
      </c>
      <c r="AC111" s="2">
        <v>2555</v>
      </c>
      <c r="AD111" s="2">
        <v>0</v>
      </c>
      <c r="AE111" s="2" t="s">
        <v>59</v>
      </c>
      <c r="AF111" s="2" t="s">
        <v>86</v>
      </c>
      <c r="AG111" s="2" t="s">
        <v>61</v>
      </c>
      <c r="AH111" s="2" t="s">
        <v>62</v>
      </c>
      <c r="AI111" s="2" t="s">
        <v>100</v>
      </c>
      <c r="AJ111" s="2">
        <v>0.300375644093059</v>
      </c>
      <c r="AK111" s="2">
        <v>5.0918384261078904</v>
      </c>
      <c r="AL111" s="2">
        <v>0.95344776088000904</v>
      </c>
      <c r="AM111" s="2">
        <v>0.17673923577885101</v>
      </c>
      <c r="AN111" s="2">
        <v>3.6166911841921099</v>
      </c>
      <c r="AO111" s="2">
        <v>6.3432783328131695E-2</v>
      </c>
      <c r="AP111" s="2">
        <v>6.3432783328131695E-2</v>
      </c>
      <c r="AQ111" s="2">
        <v>1</v>
      </c>
      <c r="AR111" s="2">
        <v>3</v>
      </c>
      <c r="AS111" s="2">
        <v>0</v>
      </c>
      <c r="AT111" s="2">
        <v>0</v>
      </c>
      <c r="AU111" s="2">
        <v>1</v>
      </c>
      <c r="AV111" s="2">
        <v>55</v>
      </c>
      <c r="AW111" s="2">
        <v>0</v>
      </c>
      <c r="AX111" s="2">
        <v>0</v>
      </c>
      <c r="AY111" s="2">
        <v>15.3</v>
      </c>
      <c r="AZ111" s="2">
        <v>9.8000000000000007</v>
      </c>
      <c r="BA111" s="2">
        <v>29.7</v>
      </c>
      <c r="BB111" s="2">
        <v>564</v>
      </c>
      <c r="BC111" s="2">
        <v>68</v>
      </c>
      <c r="BD111" s="2">
        <v>1.8</v>
      </c>
      <c r="BE111" s="2">
        <v>43</v>
      </c>
      <c r="BF111" s="2">
        <v>25.4</v>
      </c>
      <c r="BG111" s="2">
        <v>162</v>
      </c>
      <c r="BH111" s="2">
        <v>9.1</v>
      </c>
      <c r="BI111" s="2">
        <v>9.1999999999999993</v>
      </c>
      <c r="BJ111" s="2">
        <v>18.3</v>
      </c>
      <c r="BK111" s="2">
        <v>0.34</v>
      </c>
      <c r="BL111" s="2">
        <v>7.3</v>
      </c>
      <c r="BM111" s="2">
        <v>0.9</v>
      </c>
      <c r="BN111" s="2">
        <v>7.5</v>
      </c>
      <c r="BO111" s="2">
        <v>2.9</v>
      </c>
      <c r="BP111" s="2">
        <f t="shared" si="2"/>
        <v>8.2162221520398973</v>
      </c>
      <c r="BQ111" s="2">
        <f t="shared" si="3"/>
        <v>27.267128557373137</v>
      </c>
    </row>
    <row r="112" spans="1:69" x14ac:dyDescent="0.2">
      <c r="A112" s="2" t="s">
        <v>2445</v>
      </c>
      <c r="B112" s="2" t="s">
        <v>47</v>
      </c>
      <c r="C112" s="2" t="s">
        <v>1935</v>
      </c>
      <c r="D112" s="2" t="s">
        <v>49</v>
      </c>
      <c r="E112" s="2" t="s">
        <v>328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89</v>
      </c>
      <c r="L112" s="6" t="s">
        <v>112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2446</v>
      </c>
      <c r="R112" s="2">
        <v>8850088.5010000002</v>
      </c>
      <c r="S112" s="2">
        <v>0</v>
      </c>
      <c r="T112" s="2" t="s">
        <v>96</v>
      </c>
      <c r="U112" s="2" t="s">
        <v>97</v>
      </c>
      <c r="V112" s="2" t="s">
        <v>56</v>
      </c>
      <c r="W112" s="2" t="s">
        <v>98</v>
      </c>
      <c r="X112" s="2" t="s">
        <v>99</v>
      </c>
      <c r="Y112" s="2">
        <v>1.87779721149487</v>
      </c>
      <c r="Z112" s="2">
        <v>1877.79721149487</v>
      </c>
      <c r="AA112" s="2">
        <v>4.73719444444444</v>
      </c>
      <c r="AB112" s="2">
        <v>-74.069472222222203</v>
      </c>
      <c r="AC112" s="2">
        <v>2555</v>
      </c>
      <c r="AD112" s="2">
        <v>0</v>
      </c>
      <c r="AE112" s="2" t="s">
        <v>59</v>
      </c>
      <c r="AF112" s="2" t="s">
        <v>86</v>
      </c>
      <c r="AG112" s="2" t="s">
        <v>61</v>
      </c>
      <c r="AH112" s="2" t="s">
        <v>62</v>
      </c>
      <c r="AI112" s="2" t="s">
        <v>100</v>
      </c>
      <c r="AJ112" s="2">
        <v>0.82995691684837603</v>
      </c>
      <c r="AK112" s="2">
        <v>4.5286400734216903</v>
      </c>
      <c r="AL112" s="2">
        <v>1.91720272153755</v>
      </c>
      <c r="AM112" s="2">
        <v>0.47216729178773298</v>
      </c>
      <c r="AN112" s="2">
        <v>1.41521581217115</v>
      </c>
      <c r="AO112" s="2">
        <v>1.3670074129372401E-4</v>
      </c>
      <c r="AP112" s="2">
        <v>1.3670074129372401E-4</v>
      </c>
      <c r="AQ112" s="2">
        <v>0</v>
      </c>
      <c r="AR112" s="2">
        <v>1</v>
      </c>
      <c r="AS112" s="2">
        <v>0</v>
      </c>
      <c r="AT112" s="2">
        <v>0</v>
      </c>
      <c r="AU112" s="2">
        <v>0</v>
      </c>
      <c r="AV112" s="2">
        <v>7</v>
      </c>
      <c r="AW112" s="2">
        <v>0</v>
      </c>
      <c r="AX112" s="2">
        <v>0</v>
      </c>
      <c r="AY112" s="2">
        <v>15.3</v>
      </c>
      <c r="AZ112" s="2">
        <v>9.8000000000000007</v>
      </c>
      <c r="BA112" s="2">
        <v>29.7</v>
      </c>
      <c r="BB112" s="2">
        <v>564</v>
      </c>
      <c r="BC112" s="2">
        <v>68</v>
      </c>
      <c r="BD112" s="2">
        <v>1.8</v>
      </c>
      <c r="BE112" s="2">
        <v>43</v>
      </c>
      <c r="BF112" s="2">
        <v>25.4</v>
      </c>
      <c r="BG112" s="2">
        <v>162</v>
      </c>
      <c r="BH112" s="2">
        <v>9.1</v>
      </c>
      <c r="BI112" s="2">
        <v>9.1999999999999993</v>
      </c>
      <c r="BJ112" s="2">
        <v>18.3</v>
      </c>
      <c r="BK112" s="2">
        <v>0.34</v>
      </c>
      <c r="BL112" s="2">
        <v>7.3</v>
      </c>
      <c r="BM112" s="2">
        <v>0.9</v>
      </c>
      <c r="BN112" s="2">
        <v>7.5</v>
      </c>
      <c r="BO112" s="2">
        <v>2.9</v>
      </c>
      <c r="BP112" s="2">
        <f t="shared" si="2"/>
        <v>8.930134208363258</v>
      </c>
      <c r="BQ112" s="2">
        <f t="shared" si="3"/>
        <v>28.391219156594278</v>
      </c>
    </row>
    <row r="113" spans="1:69" x14ac:dyDescent="0.2">
      <c r="A113" s="2" t="s">
        <v>2769</v>
      </c>
      <c r="B113" s="2" t="s">
        <v>47</v>
      </c>
      <c r="C113" s="2" t="s">
        <v>1935</v>
      </c>
      <c r="D113" s="2" t="s">
        <v>49</v>
      </c>
      <c r="E113" s="2" t="s">
        <v>246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89</v>
      </c>
      <c r="L113" s="6" t="s">
        <v>141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2770</v>
      </c>
      <c r="R113" s="2">
        <v>8948948.9489999991</v>
      </c>
      <c r="S113" s="2">
        <v>0</v>
      </c>
      <c r="T113" s="2" t="s">
        <v>130</v>
      </c>
      <c r="U113" s="2" t="s">
        <v>131</v>
      </c>
      <c r="V113" s="2" t="s">
        <v>56</v>
      </c>
      <c r="W113" s="2" t="s">
        <v>98</v>
      </c>
      <c r="X113" s="2" t="s">
        <v>132</v>
      </c>
      <c r="Y113" s="2">
        <v>3.7992547065598998</v>
      </c>
      <c r="Z113" s="2">
        <v>3799.2547065599001</v>
      </c>
      <c r="AA113" s="2">
        <v>4.7837500000000004</v>
      </c>
      <c r="AB113" s="2">
        <v>-74.044138888888895</v>
      </c>
      <c r="AC113" s="2">
        <v>2580</v>
      </c>
      <c r="AD113" s="2">
        <v>0</v>
      </c>
      <c r="AE113" s="2" t="s">
        <v>133</v>
      </c>
      <c r="AF113" s="2" t="s">
        <v>86</v>
      </c>
      <c r="AG113" s="2" t="s">
        <v>61</v>
      </c>
      <c r="AH113" s="2" t="s">
        <v>62</v>
      </c>
      <c r="AI113" s="2" t="s">
        <v>100</v>
      </c>
      <c r="AJ113" s="2">
        <v>5.4215650193401999</v>
      </c>
      <c r="AK113" s="2">
        <v>1.0706398780751201</v>
      </c>
      <c r="AL113" s="2">
        <v>1.95467676980362</v>
      </c>
      <c r="AM113" s="2">
        <v>4.4662901491804501</v>
      </c>
      <c r="AN113" s="2">
        <v>8.7225067653632493</v>
      </c>
      <c r="AO113" s="2">
        <v>0.32100648481090899</v>
      </c>
      <c r="AP113" s="2">
        <v>0.32100648481090899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>
        <v>15.3</v>
      </c>
      <c r="AZ113" s="2">
        <v>9.8000000000000007</v>
      </c>
      <c r="BA113" s="2">
        <v>29.7</v>
      </c>
      <c r="BB113" s="2">
        <v>564</v>
      </c>
      <c r="BC113" s="2">
        <v>68</v>
      </c>
      <c r="BD113" s="2">
        <v>1.8</v>
      </c>
      <c r="BE113" s="2">
        <v>43</v>
      </c>
      <c r="BF113" s="2">
        <v>25.4</v>
      </c>
      <c r="BG113" s="2">
        <v>162</v>
      </c>
      <c r="BH113" s="2">
        <v>9.1</v>
      </c>
      <c r="BI113" s="2">
        <v>9.1999999999999993</v>
      </c>
      <c r="BJ113" s="2">
        <v>18.3</v>
      </c>
      <c r="BK113" s="2">
        <v>0.34</v>
      </c>
      <c r="BL113" s="2">
        <v>7.3</v>
      </c>
      <c r="BM113" s="2">
        <v>0.9</v>
      </c>
      <c r="BN113" s="2">
        <v>7.5</v>
      </c>
      <c r="BO113" s="2">
        <v>2.9</v>
      </c>
      <c r="BP113" s="2">
        <f t="shared" si="2"/>
        <v>8.1199116835294713</v>
      </c>
      <c r="BQ113" s="2">
        <f t="shared" si="3"/>
        <v>27.111688174385019</v>
      </c>
    </row>
    <row r="114" spans="1:69" x14ac:dyDescent="0.2">
      <c r="A114" s="2" t="s">
        <v>2509</v>
      </c>
      <c r="B114" s="2" t="s">
        <v>47</v>
      </c>
      <c r="C114" s="2" t="s">
        <v>1935</v>
      </c>
      <c r="D114" s="2" t="s">
        <v>49</v>
      </c>
      <c r="E114" s="2" t="s">
        <v>246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89</v>
      </c>
      <c r="L114" s="6" t="s">
        <v>103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2510</v>
      </c>
      <c r="R114" s="2">
        <v>7575757.5760000004</v>
      </c>
      <c r="S114" s="2">
        <v>0</v>
      </c>
      <c r="T114" s="2" t="s">
        <v>130</v>
      </c>
      <c r="U114" s="2" t="s">
        <v>131</v>
      </c>
      <c r="V114" s="2" t="s">
        <v>56</v>
      </c>
      <c r="W114" s="2" t="s">
        <v>98</v>
      </c>
      <c r="X114" s="2" t="s">
        <v>132</v>
      </c>
      <c r="Y114" s="2">
        <v>3.7925625865066901</v>
      </c>
      <c r="Z114" s="2">
        <v>3792.56258650669</v>
      </c>
      <c r="AA114" s="2">
        <v>4.7837500000000004</v>
      </c>
      <c r="AB114" s="2">
        <v>-74.044138888888895</v>
      </c>
      <c r="AC114" s="2">
        <v>2580</v>
      </c>
      <c r="AD114" s="2">
        <v>0</v>
      </c>
      <c r="AE114" s="2" t="s">
        <v>133</v>
      </c>
      <c r="AF114" s="2" t="s">
        <v>86</v>
      </c>
      <c r="AG114" s="2" t="s">
        <v>61</v>
      </c>
      <c r="AH114" s="2" t="s">
        <v>62</v>
      </c>
      <c r="AI114" s="2" t="s">
        <v>100</v>
      </c>
      <c r="AJ114" s="2">
        <v>5.4108421686627199</v>
      </c>
      <c r="AK114" s="2">
        <v>1.1038505888488399</v>
      </c>
      <c r="AL114" s="2">
        <v>1.9375094107936499</v>
      </c>
      <c r="AM114" s="2">
        <v>4.3701942660085704</v>
      </c>
      <c r="AN114" s="2">
        <v>8.7454253295073592</v>
      </c>
      <c r="AO114" s="2">
        <v>0.44544975947863402</v>
      </c>
      <c r="AP114" s="2">
        <v>0.44544975947863402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>
        <v>15.3</v>
      </c>
      <c r="AZ114" s="2">
        <v>9.8000000000000007</v>
      </c>
      <c r="BA114" s="2">
        <v>29.7</v>
      </c>
      <c r="BB114" s="2">
        <v>564</v>
      </c>
      <c r="BC114" s="2">
        <v>68</v>
      </c>
      <c r="BD114" s="2">
        <v>1.8</v>
      </c>
      <c r="BE114" s="2">
        <v>43</v>
      </c>
      <c r="BF114" s="2">
        <v>25.4</v>
      </c>
      <c r="BG114" s="2">
        <v>162</v>
      </c>
      <c r="BH114" s="2">
        <v>9.1</v>
      </c>
      <c r="BI114" s="2">
        <v>9.1999999999999993</v>
      </c>
      <c r="BJ114" s="2">
        <v>18.3</v>
      </c>
      <c r="BK114" s="2">
        <v>0.34</v>
      </c>
      <c r="BL114" s="2">
        <v>7.3</v>
      </c>
      <c r="BM114" s="2">
        <v>0.9</v>
      </c>
      <c r="BN114" s="2">
        <v>7.5</v>
      </c>
      <c r="BO114" s="2">
        <v>2.9</v>
      </c>
      <c r="BP114" s="2">
        <f t="shared" si="2"/>
        <v>8.122601930568889</v>
      </c>
      <c r="BQ114" s="2">
        <f t="shared" si="3"/>
        <v>27.116042956218926</v>
      </c>
    </row>
    <row r="115" spans="1:69" x14ac:dyDescent="0.2">
      <c r="A115" s="2" t="s">
        <v>2562</v>
      </c>
      <c r="B115" s="2" t="s">
        <v>47</v>
      </c>
      <c r="C115" s="2" t="s">
        <v>1935</v>
      </c>
      <c r="D115" s="2" t="s">
        <v>49</v>
      </c>
      <c r="E115" s="2" t="s">
        <v>1703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89</v>
      </c>
      <c r="L115" s="6" t="s">
        <v>141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2563</v>
      </c>
      <c r="R115" s="2">
        <v>5757575.7580000004</v>
      </c>
      <c r="S115" s="2">
        <v>0</v>
      </c>
      <c r="T115" s="2" t="s">
        <v>98</v>
      </c>
      <c r="U115" s="2" t="s">
        <v>766</v>
      </c>
      <c r="V115" s="2" t="s">
        <v>56</v>
      </c>
      <c r="W115" s="2" t="s">
        <v>98</v>
      </c>
      <c r="X115" s="2" t="s">
        <v>767</v>
      </c>
      <c r="Y115" s="2">
        <v>1.9395495332079999</v>
      </c>
      <c r="Z115" s="2">
        <v>1939.549533208</v>
      </c>
      <c r="AA115" s="2">
        <v>4.7612472222222202</v>
      </c>
      <c r="AB115" s="2">
        <v>-74.093461111111097</v>
      </c>
      <c r="AC115" s="2">
        <v>2571</v>
      </c>
      <c r="AD115" s="2">
        <v>6</v>
      </c>
      <c r="AE115" s="2" t="s">
        <v>133</v>
      </c>
      <c r="AF115" s="2" t="s">
        <v>86</v>
      </c>
      <c r="AG115" s="2" t="s">
        <v>61</v>
      </c>
      <c r="AH115" s="2" t="s">
        <v>62</v>
      </c>
      <c r="AI115" s="2" t="s">
        <v>100</v>
      </c>
      <c r="AJ115" s="2">
        <v>2.7830624955013601</v>
      </c>
      <c r="AK115" s="2">
        <v>3.16327815662933</v>
      </c>
      <c r="AL115" s="2">
        <v>2.7987794713454099</v>
      </c>
      <c r="AM115" s="2">
        <v>0.67274370955684304</v>
      </c>
      <c r="AN115" s="2">
        <v>2.7256945432131001</v>
      </c>
      <c r="AO115" s="2">
        <v>0.75288375622502202</v>
      </c>
      <c r="AP115" s="2">
        <v>0.75288375622502202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2</v>
      </c>
      <c r="AW115" s="2">
        <v>0</v>
      </c>
      <c r="AX115" s="2">
        <v>0</v>
      </c>
      <c r="AY115" s="2">
        <v>15.3</v>
      </c>
      <c r="AZ115" s="2">
        <v>9.8000000000000007</v>
      </c>
      <c r="BA115" s="2">
        <v>29.7</v>
      </c>
      <c r="BB115" s="2">
        <v>564</v>
      </c>
      <c r="BC115" s="2">
        <v>68</v>
      </c>
      <c r="BD115" s="2">
        <v>1.8</v>
      </c>
      <c r="BE115" s="2">
        <v>43</v>
      </c>
      <c r="BF115" s="2">
        <v>25.4</v>
      </c>
      <c r="BG115" s="2">
        <v>162</v>
      </c>
      <c r="BH115" s="2">
        <v>9.1</v>
      </c>
      <c r="BI115" s="2">
        <v>9.1999999999999993</v>
      </c>
      <c r="BJ115" s="2">
        <v>18.3</v>
      </c>
      <c r="BK115" s="2">
        <v>0.34</v>
      </c>
      <c r="BL115" s="2">
        <v>7.3</v>
      </c>
      <c r="BM115" s="2">
        <v>0.9</v>
      </c>
      <c r="BN115" s="2">
        <v>7.5</v>
      </c>
      <c r="BO115" s="2">
        <v>2.9</v>
      </c>
      <c r="BP115" s="2">
        <f t="shared" si="2"/>
        <v>8.9028787881823597</v>
      </c>
      <c r="BQ115" s="2">
        <f t="shared" si="3"/>
        <v>28.349172952918337</v>
      </c>
    </row>
    <row r="116" spans="1:69" x14ac:dyDescent="0.2">
      <c r="A116" s="2" t="s">
        <v>3554</v>
      </c>
      <c r="B116" s="2" t="s">
        <v>47</v>
      </c>
      <c r="C116" s="2" t="s">
        <v>3273</v>
      </c>
      <c r="D116" s="2" t="s">
        <v>49</v>
      </c>
      <c r="E116" s="2" t="s">
        <v>3555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89</v>
      </c>
      <c r="L116" s="6" t="s">
        <v>90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3556</v>
      </c>
      <c r="R116" s="2">
        <v>5454545.4550000001</v>
      </c>
      <c r="S116" s="2">
        <v>0</v>
      </c>
      <c r="T116" s="2" t="s">
        <v>96</v>
      </c>
      <c r="U116" s="2" t="s">
        <v>97</v>
      </c>
      <c r="V116" s="2" t="s">
        <v>56</v>
      </c>
      <c r="W116" s="2" t="s">
        <v>98</v>
      </c>
      <c r="X116" s="2" t="s">
        <v>99</v>
      </c>
      <c r="Y116" s="2">
        <v>2.6673974090976098</v>
      </c>
      <c r="Z116" s="2">
        <v>2667.3974090976099</v>
      </c>
      <c r="AA116" s="2">
        <v>4.73719444444444</v>
      </c>
      <c r="AB116" s="2">
        <v>-74.069472222222203</v>
      </c>
      <c r="AC116" s="2">
        <v>2555</v>
      </c>
      <c r="AD116" s="2">
        <v>0</v>
      </c>
      <c r="AE116" s="2" t="s">
        <v>59</v>
      </c>
      <c r="AF116" s="2" t="s">
        <v>86</v>
      </c>
      <c r="AG116" s="2" t="s">
        <v>61</v>
      </c>
      <c r="AH116" s="2" t="s">
        <v>62</v>
      </c>
      <c r="AI116" s="2" t="s">
        <v>100</v>
      </c>
      <c r="AJ116" s="2">
        <v>0.89905984710588405</v>
      </c>
      <c r="AK116" s="2">
        <v>5.05454237051035</v>
      </c>
      <c r="AL116" s="2">
        <v>1.07067158629172</v>
      </c>
      <c r="AM116" s="2">
        <v>0.34670785717901298</v>
      </c>
      <c r="AN116" s="2">
        <v>2.8268354380279601</v>
      </c>
      <c r="AO116" s="2">
        <v>0.42715868298606902</v>
      </c>
      <c r="AP116" s="2">
        <v>0.42715868298606902</v>
      </c>
      <c r="AQ116" s="2">
        <v>0</v>
      </c>
      <c r="AR116" s="2">
        <v>1</v>
      </c>
      <c r="AS116" s="2">
        <v>0</v>
      </c>
      <c r="AT116" s="2">
        <v>0</v>
      </c>
      <c r="AU116" s="2">
        <v>0</v>
      </c>
      <c r="AV116" s="2">
        <v>10</v>
      </c>
      <c r="AW116" s="2">
        <v>0</v>
      </c>
      <c r="AX116" s="2">
        <v>0</v>
      </c>
      <c r="AY116" s="2">
        <v>15.3</v>
      </c>
      <c r="AZ116" s="2">
        <v>9.8000000000000007</v>
      </c>
      <c r="BA116" s="2">
        <v>29.7</v>
      </c>
      <c r="BB116" s="2">
        <v>564</v>
      </c>
      <c r="BC116" s="2">
        <v>68</v>
      </c>
      <c r="BD116" s="2">
        <v>1.8</v>
      </c>
      <c r="BE116" s="2">
        <v>43</v>
      </c>
      <c r="BF116" s="2">
        <v>25.4</v>
      </c>
      <c r="BG116" s="2">
        <v>162</v>
      </c>
      <c r="BH116" s="2">
        <v>9.1</v>
      </c>
      <c r="BI116" s="2">
        <v>9.1999999999999993</v>
      </c>
      <c r="BJ116" s="2">
        <v>18.3</v>
      </c>
      <c r="BK116" s="2">
        <v>0.34</v>
      </c>
      <c r="BL116" s="2">
        <v>7.3</v>
      </c>
      <c r="BM116" s="2">
        <v>0.9</v>
      </c>
      <c r="BN116" s="2">
        <v>7.5</v>
      </c>
      <c r="BO116" s="2">
        <v>2.9</v>
      </c>
      <c r="BP116" s="2">
        <f t="shared" si="2"/>
        <v>8.5878311092768751</v>
      </c>
      <c r="BQ116" s="2">
        <f t="shared" si="3"/>
        <v>27.858259908676768</v>
      </c>
    </row>
    <row r="117" spans="1:69" x14ac:dyDescent="0.2">
      <c r="A117" s="2" t="s">
        <v>2144</v>
      </c>
      <c r="B117" s="2" t="s">
        <v>47</v>
      </c>
      <c r="C117" s="2" t="s">
        <v>1935</v>
      </c>
      <c r="D117" s="2" t="s">
        <v>49</v>
      </c>
      <c r="E117" s="2" t="s">
        <v>546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89</v>
      </c>
      <c r="L117" s="6" t="s">
        <v>141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2145</v>
      </c>
      <c r="R117" s="2">
        <v>6734419.0029999996</v>
      </c>
      <c r="S117" s="2">
        <v>0</v>
      </c>
      <c r="T117" s="2" t="s">
        <v>96</v>
      </c>
      <c r="U117" s="2" t="s">
        <v>97</v>
      </c>
      <c r="V117" s="2" t="s">
        <v>56</v>
      </c>
      <c r="W117" s="2" t="s">
        <v>98</v>
      </c>
      <c r="X117" s="2" t="s">
        <v>99</v>
      </c>
      <c r="Y117" s="2">
        <v>2.1907596120739301</v>
      </c>
      <c r="Z117" s="2">
        <v>2190.7596120739299</v>
      </c>
      <c r="AA117" s="2">
        <v>4.73719444444444</v>
      </c>
      <c r="AB117" s="2">
        <v>-74.069472222222203</v>
      </c>
      <c r="AC117" s="2">
        <v>2555</v>
      </c>
      <c r="AD117" s="2">
        <v>0</v>
      </c>
      <c r="AE117" s="2" t="s">
        <v>59</v>
      </c>
      <c r="AF117" s="2" t="s">
        <v>86</v>
      </c>
      <c r="AG117" s="2" t="s">
        <v>61</v>
      </c>
      <c r="AH117" s="2" t="s">
        <v>62</v>
      </c>
      <c r="AI117" s="2" t="s">
        <v>100</v>
      </c>
      <c r="AJ117" s="2">
        <v>0.76361562546694395</v>
      </c>
      <c r="AK117" s="2">
        <v>4.8761262019993099</v>
      </c>
      <c r="AL117" s="2">
        <v>1.24638955608228</v>
      </c>
      <c r="AM117" s="2">
        <v>0.69666971174547798</v>
      </c>
      <c r="AN117" s="2">
        <v>2.22239909681721</v>
      </c>
      <c r="AO117" s="2">
        <v>9.7205584613891199E-2</v>
      </c>
      <c r="AP117" s="2">
        <v>9.7205584613891199E-2</v>
      </c>
      <c r="AQ117" s="2">
        <v>0</v>
      </c>
      <c r="AR117" s="2">
        <v>2</v>
      </c>
      <c r="AS117" s="2">
        <v>0</v>
      </c>
      <c r="AT117" s="2">
        <v>0</v>
      </c>
      <c r="AU117" s="2">
        <v>0</v>
      </c>
      <c r="AV117" s="2">
        <v>1</v>
      </c>
      <c r="AW117" s="2">
        <v>0</v>
      </c>
      <c r="AX117" s="2">
        <v>0</v>
      </c>
      <c r="AY117" s="2">
        <v>15.3</v>
      </c>
      <c r="AZ117" s="2">
        <v>9.8000000000000007</v>
      </c>
      <c r="BA117" s="2">
        <v>29.7</v>
      </c>
      <c r="BB117" s="2">
        <v>564</v>
      </c>
      <c r="BC117" s="2">
        <v>68</v>
      </c>
      <c r="BD117" s="2">
        <v>1.8</v>
      </c>
      <c r="BE117" s="2">
        <v>43</v>
      </c>
      <c r="BF117" s="2">
        <v>25.4</v>
      </c>
      <c r="BG117" s="2">
        <v>162</v>
      </c>
      <c r="BH117" s="2">
        <v>9.1</v>
      </c>
      <c r="BI117" s="2">
        <v>9.1999999999999993</v>
      </c>
      <c r="BJ117" s="2">
        <v>18.3</v>
      </c>
      <c r="BK117" s="2">
        <v>0.34</v>
      </c>
      <c r="BL117" s="2">
        <v>7.3</v>
      </c>
      <c r="BM117" s="2">
        <v>0.9</v>
      </c>
      <c r="BN117" s="2">
        <v>7.5</v>
      </c>
      <c r="BO117" s="2">
        <v>2.9</v>
      </c>
      <c r="BP117" s="2">
        <f t="shared" si="2"/>
        <v>8.7928578577491461</v>
      </c>
      <c r="BQ117" s="2">
        <f t="shared" si="3"/>
        <v>28.178768804606865</v>
      </c>
    </row>
    <row r="118" spans="1:69" x14ac:dyDescent="0.2">
      <c r="A118" s="2" t="s">
        <v>2883</v>
      </c>
      <c r="B118" s="2" t="s">
        <v>47</v>
      </c>
      <c r="C118" s="2" t="s">
        <v>1935</v>
      </c>
      <c r="D118" s="2" t="s">
        <v>49</v>
      </c>
      <c r="E118" s="2" t="s">
        <v>1496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89</v>
      </c>
      <c r="L118" s="6" t="s">
        <v>141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2884</v>
      </c>
      <c r="R118" s="2">
        <v>6461538.4620000003</v>
      </c>
      <c r="S118" s="2">
        <v>0</v>
      </c>
      <c r="T118" s="2" t="s">
        <v>96</v>
      </c>
      <c r="U118" s="2" t="s">
        <v>97</v>
      </c>
      <c r="V118" s="2" t="s">
        <v>56</v>
      </c>
      <c r="W118" s="2" t="s">
        <v>98</v>
      </c>
      <c r="X118" s="2" t="s">
        <v>99</v>
      </c>
      <c r="Y118" s="2">
        <v>3.2633651344820902</v>
      </c>
      <c r="Z118" s="2">
        <v>3263.3651344820901</v>
      </c>
      <c r="AA118" s="2">
        <v>4.73719444444444</v>
      </c>
      <c r="AB118" s="2">
        <v>-74.069472222222203</v>
      </c>
      <c r="AC118" s="2">
        <v>2555</v>
      </c>
      <c r="AD118" s="2">
        <v>0</v>
      </c>
      <c r="AE118" s="2" t="s">
        <v>59</v>
      </c>
      <c r="AF118" s="2" t="s">
        <v>86</v>
      </c>
      <c r="AG118" s="2" t="s">
        <v>61</v>
      </c>
      <c r="AH118" s="2" t="s">
        <v>62</v>
      </c>
      <c r="AI118" s="2" t="s">
        <v>100</v>
      </c>
      <c r="AJ118" s="2">
        <v>0.65293921648012099</v>
      </c>
      <c r="AK118" s="2">
        <v>5.6553608201175498</v>
      </c>
      <c r="AL118" s="2">
        <v>1.0933188166346699</v>
      </c>
      <c r="AM118" s="2">
        <v>0.169607293711899</v>
      </c>
      <c r="AN118" s="2">
        <v>3.5023202317509798</v>
      </c>
      <c r="AO118" s="2">
        <v>0.16753705672524399</v>
      </c>
      <c r="AP118" s="2">
        <v>0.16753705672524399</v>
      </c>
      <c r="AQ118" s="2">
        <v>0</v>
      </c>
      <c r="AR118" s="2">
        <v>2</v>
      </c>
      <c r="AS118" s="2">
        <v>0</v>
      </c>
      <c r="AT118" s="2">
        <v>0</v>
      </c>
      <c r="AU118" s="2">
        <v>0</v>
      </c>
      <c r="AV118" s="2">
        <v>31</v>
      </c>
      <c r="AW118" s="2">
        <v>0</v>
      </c>
      <c r="AX118" s="2">
        <v>0</v>
      </c>
      <c r="AY118" s="2">
        <v>15.3</v>
      </c>
      <c r="AZ118" s="2">
        <v>9.8000000000000007</v>
      </c>
      <c r="BA118" s="2">
        <v>29.7</v>
      </c>
      <c r="BB118" s="2">
        <v>564</v>
      </c>
      <c r="BC118" s="2">
        <v>68</v>
      </c>
      <c r="BD118" s="2">
        <v>1.8</v>
      </c>
      <c r="BE118" s="2">
        <v>43</v>
      </c>
      <c r="BF118" s="2">
        <v>25.4</v>
      </c>
      <c r="BG118" s="2">
        <v>162</v>
      </c>
      <c r="BH118" s="2">
        <v>9.1</v>
      </c>
      <c r="BI118" s="2">
        <v>9.1999999999999993</v>
      </c>
      <c r="BJ118" s="2">
        <v>18.3</v>
      </c>
      <c r="BK118" s="2">
        <v>0.34</v>
      </c>
      <c r="BL118" s="2">
        <v>7.3</v>
      </c>
      <c r="BM118" s="2">
        <v>0.9</v>
      </c>
      <c r="BN118" s="2">
        <v>7.5</v>
      </c>
      <c r="BO118" s="2">
        <v>2.9</v>
      </c>
      <c r="BP118" s="2">
        <f t="shared" si="2"/>
        <v>8.3381870406229446</v>
      </c>
      <c r="BQ118" s="2">
        <f t="shared" si="3"/>
        <v>27.462633052574439</v>
      </c>
    </row>
    <row r="119" spans="1:69" x14ac:dyDescent="0.2">
      <c r="A119" s="2" t="s">
        <v>2906</v>
      </c>
      <c r="B119" s="2" t="s">
        <v>47</v>
      </c>
      <c r="C119" s="2" t="s">
        <v>1935</v>
      </c>
      <c r="D119" s="2" t="s">
        <v>49</v>
      </c>
      <c r="E119" s="2" t="s">
        <v>1496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89</v>
      </c>
      <c r="L119" s="6" t="s">
        <v>141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2907</v>
      </c>
      <c r="R119" s="2">
        <v>6153846.1540000001</v>
      </c>
      <c r="S119" s="2">
        <v>0</v>
      </c>
      <c r="T119" s="2" t="s">
        <v>96</v>
      </c>
      <c r="U119" s="2" t="s">
        <v>97</v>
      </c>
      <c r="V119" s="2" t="s">
        <v>56</v>
      </c>
      <c r="W119" s="2" t="s">
        <v>98</v>
      </c>
      <c r="X119" s="2" t="s">
        <v>99</v>
      </c>
      <c r="Y119" s="2">
        <v>3.2633651344820902</v>
      </c>
      <c r="Z119" s="2">
        <v>3263.3651344820901</v>
      </c>
      <c r="AA119" s="2">
        <v>4.73719444444444</v>
      </c>
      <c r="AB119" s="2">
        <v>-74.069472222222203</v>
      </c>
      <c r="AC119" s="2">
        <v>2555</v>
      </c>
      <c r="AD119" s="2">
        <v>0</v>
      </c>
      <c r="AE119" s="2" t="s">
        <v>59</v>
      </c>
      <c r="AF119" s="2" t="s">
        <v>86</v>
      </c>
      <c r="AG119" s="2" t="s">
        <v>61</v>
      </c>
      <c r="AH119" s="2" t="s">
        <v>62</v>
      </c>
      <c r="AI119" s="2" t="s">
        <v>100</v>
      </c>
      <c r="AJ119" s="2">
        <v>0.65293921648012099</v>
      </c>
      <c r="AK119" s="2">
        <v>5.6553608201175498</v>
      </c>
      <c r="AL119" s="2">
        <v>1.0933188166346699</v>
      </c>
      <c r="AM119" s="2">
        <v>0.169607293711899</v>
      </c>
      <c r="AN119" s="2">
        <v>3.5023202317509798</v>
      </c>
      <c r="AO119" s="2">
        <v>0.16753705672524399</v>
      </c>
      <c r="AP119" s="2">
        <v>0.16753705672524399</v>
      </c>
      <c r="AQ119" s="2">
        <v>0</v>
      </c>
      <c r="AR119" s="2">
        <v>2</v>
      </c>
      <c r="AS119" s="2">
        <v>0</v>
      </c>
      <c r="AT119" s="2">
        <v>0</v>
      </c>
      <c r="AU119" s="2">
        <v>0</v>
      </c>
      <c r="AV119" s="2">
        <v>31</v>
      </c>
      <c r="AW119" s="2">
        <v>0</v>
      </c>
      <c r="AX119" s="2">
        <v>0</v>
      </c>
      <c r="AY119" s="2">
        <v>15.3</v>
      </c>
      <c r="AZ119" s="2">
        <v>9.8000000000000007</v>
      </c>
      <c r="BA119" s="2">
        <v>29.7</v>
      </c>
      <c r="BB119" s="2">
        <v>564</v>
      </c>
      <c r="BC119" s="2">
        <v>68</v>
      </c>
      <c r="BD119" s="2">
        <v>1.8</v>
      </c>
      <c r="BE119" s="2">
        <v>43</v>
      </c>
      <c r="BF119" s="2">
        <v>25.4</v>
      </c>
      <c r="BG119" s="2">
        <v>162</v>
      </c>
      <c r="BH119" s="2">
        <v>9.1</v>
      </c>
      <c r="BI119" s="2">
        <v>9.1999999999999993</v>
      </c>
      <c r="BJ119" s="2">
        <v>18.3</v>
      </c>
      <c r="BK119" s="2">
        <v>0.34</v>
      </c>
      <c r="BL119" s="2">
        <v>7.3</v>
      </c>
      <c r="BM119" s="2">
        <v>0.9</v>
      </c>
      <c r="BN119" s="2">
        <v>7.5</v>
      </c>
      <c r="BO119" s="2">
        <v>2.9</v>
      </c>
      <c r="BP119" s="2">
        <f t="shared" si="2"/>
        <v>8.3381870406229446</v>
      </c>
      <c r="BQ119" s="2">
        <f t="shared" si="3"/>
        <v>27.462633052574439</v>
      </c>
    </row>
    <row r="120" spans="1:69" x14ac:dyDescent="0.2">
      <c r="A120" s="2" t="s">
        <v>2451</v>
      </c>
      <c r="B120" s="2" t="s">
        <v>47</v>
      </c>
      <c r="C120" s="2" t="s">
        <v>1935</v>
      </c>
      <c r="D120" s="2" t="s">
        <v>49</v>
      </c>
      <c r="E120" s="2" t="s">
        <v>2452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89</v>
      </c>
      <c r="L120" s="6" t="s">
        <v>112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2453</v>
      </c>
      <c r="R120" s="2">
        <v>8297213.6220000004</v>
      </c>
      <c r="S120" s="2">
        <v>0</v>
      </c>
      <c r="T120" s="2" t="s">
        <v>130</v>
      </c>
      <c r="U120" s="2" t="s">
        <v>131</v>
      </c>
      <c r="V120" s="2" t="s">
        <v>56</v>
      </c>
      <c r="W120" s="2" t="s">
        <v>98</v>
      </c>
      <c r="X120" s="2" t="s">
        <v>132</v>
      </c>
      <c r="Y120" s="2">
        <v>3.0808945253048101</v>
      </c>
      <c r="Z120" s="2">
        <v>3080.89452530481</v>
      </c>
      <c r="AA120" s="2">
        <v>4.7837500000000004</v>
      </c>
      <c r="AB120" s="2">
        <v>-74.044138888888895</v>
      </c>
      <c r="AC120" s="2">
        <v>2580</v>
      </c>
      <c r="AD120" s="2">
        <v>0</v>
      </c>
      <c r="AE120" s="2" t="s">
        <v>133</v>
      </c>
      <c r="AF120" s="2" t="s">
        <v>86</v>
      </c>
      <c r="AG120" s="2" t="s">
        <v>61</v>
      </c>
      <c r="AH120" s="2" t="s">
        <v>62</v>
      </c>
      <c r="AI120" s="2" t="s">
        <v>100</v>
      </c>
      <c r="AJ120" s="2">
        <v>2.3526421576834</v>
      </c>
      <c r="AK120" s="2">
        <v>3.7349416723084201</v>
      </c>
      <c r="AL120" s="2">
        <v>1.9310339301520301</v>
      </c>
      <c r="AM120" s="2">
        <v>0.44068902742477201</v>
      </c>
      <c r="AN120" s="2">
        <v>3.4989583464927998</v>
      </c>
      <c r="AO120" s="2">
        <v>7.5407375780519202E-3</v>
      </c>
      <c r="AP120" s="2">
        <v>7.5407375780519202E-3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5</v>
      </c>
      <c r="AW120" s="2">
        <v>0</v>
      </c>
      <c r="AX120" s="2">
        <v>1</v>
      </c>
      <c r="AY120" s="2">
        <v>15.3</v>
      </c>
      <c r="AZ120" s="2">
        <v>9.8000000000000007</v>
      </c>
      <c r="BA120" s="2">
        <v>29.7</v>
      </c>
      <c r="BB120" s="2">
        <v>564</v>
      </c>
      <c r="BC120" s="2">
        <v>68</v>
      </c>
      <c r="BD120" s="2">
        <v>1.8</v>
      </c>
      <c r="BE120" s="2">
        <v>43</v>
      </c>
      <c r="BF120" s="2">
        <v>25.4</v>
      </c>
      <c r="BG120" s="2">
        <v>162</v>
      </c>
      <c r="BH120" s="2">
        <v>9.1</v>
      </c>
      <c r="BI120" s="2">
        <v>9.1999999999999993</v>
      </c>
      <c r="BJ120" s="2">
        <v>18.3</v>
      </c>
      <c r="BK120" s="2">
        <v>0.34</v>
      </c>
      <c r="BL120" s="2">
        <v>7.3</v>
      </c>
      <c r="BM120" s="2">
        <v>0.9</v>
      </c>
      <c r="BN120" s="2">
        <v>7.5</v>
      </c>
      <c r="BO120" s="2">
        <v>2.9</v>
      </c>
      <c r="BP120" s="2">
        <f t="shared" si="2"/>
        <v>8.4138411578475498</v>
      </c>
      <c r="BQ120" s="2">
        <f t="shared" si="3"/>
        <v>27.583163740826638</v>
      </c>
    </row>
    <row r="121" spans="1:69" x14ac:dyDescent="0.2">
      <c r="A121" s="2" t="s">
        <v>3044</v>
      </c>
      <c r="B121" s="2" t="s">
        <v>47</v>
      </c>
      <c r="C121" s="2" t="s">
        <v>1935</v>
      </c>
      <c r="D121" s="2" t="s">
        <v>49</v>
      </c>
      <c r="E121" s="2" t="s">
        <v>471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89</v>
      </c>
      <c r="L121" s="6" t="s">
        <v>141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3045</v>
      </c>
      <c r="R121" s="2">
        <v>4627329.193</v>
      </c>
      <c r="S121" s="2">
        <v>0</v>
      </c>
      <c r="T121" s="2" t="s">
        <v>96</v>
      </c>
      <c r="U121" s="2" t="s">
        <v>97</v>
      </c>
      <c r="V121" s="2" t="s">
        <v>56</v>
      </c>
      <c r="W121" s="2" t="s">
        <v>98</v>
      </c>
      <c r="X121" s="2" t="s">
        <v>99</v>
      </c>
      <c r="Y121" s="2">
        <v>2.6118426217266402</v>
      </c>
      <c r="Z121" s="2">
        <v>2611.8426217266401</v>
      </c>
      <c r="AA121" s="2">
        <v>4.73719444444444</v>
      </c>
      <c r="AB121" s="2">
        <v>-74.069472222222203</v>
      </c>
      <c r="AC121" s="2">
        <v>2555</v>
      </c>
      <c r="AD121" s="2">
        <v>0</v>
      </c>
      <c r="AE121" s="2" t="s">
        <v>59</v>
      </c>
      <c r="AF121" s="2" t="s">
        <v>86</v>
      </c>
      <c r="AG121" s="2" t="s">
        <v>61</v>
      </c>
      <c r="AH121" s="2" t="s">
        <v>62</v>
      </c>
      <c r="AI121" s="2" t="s">
        <v>100</v>
      </c>
      <c r="AJ121" s="2">
        <v>0.215334190816345</v>
      </c>
      <c r="AK121" s="2">
        <v>5.2901965394635502</v>
      </c>
      <c r="AL121" s="2">
        <v>0.34627411793887602</v>
      </c>
      <c r="AM121" s="2">
        <v>5.51259600993486E-2</v>
      </c>
      <c r="AN121" s="2">
        <v>3.3501031159591701</v>
      </c>
      <c r="AO121" s="2">
        <v>5.3120154681302399E-2</v>
      </c>
      <c r="AP121" s="2">
        <v>5.3120154681302399E-2</v>
      </c>
      <c r="AQ121" s="2">
        <v>1</v>
      </c>
      <c r="AR121" s="2">
        <v>3</v>
      </c>
      <c r="AS121" s="2">
        <v>0</v>
      </c>
      <c r="AT121" s="2">
        <v>0</v>
      </c>
      <c r="AU121" s="2">
        <v>1</v>
      </c>
      <c r="AV121" s="2">
        <v>44</v>
      </c>
      <c r="AW121" s="2">
        <v>0</v>
      </c>
      <c r="AX121" s="2">
        <v>0</v>
      </c>
      <c r="AY121" s="2">
        <v>15.3</v>
      </c>
      <c r="AZ121" s="2">
        <v>9.8000000000000007</v>
      </c>
      <c r="BA121" s="2">
        <v>29.7</v>
      </c>
      <c r="BB121" s="2">
        <v>564</v>
      </c>
      <c r="BC121" s="2">
        <v>68</v>
      </c>
      <c r="BD121" s="2">
        <v>1.8</v>
      </c>
      <c r="BE121" s="2">
        <v>43</v>
      </c>
      <c r="BF121" s="2">
        <v>25.4</v>
      </c>
      <c r="BG121" s="2">
        <v>162</v>
      </c>
      <c r="BH121" s="2">
        <v>9.1</v>
      </c>
      <c r="BI121" s="2">
        <v>9.1999999999999993</v>
      </c>
      <c r="BJ121" s="2">
        <v>18.3</v>
      </c>
      <c r="BK121" s="2">
        <v>0.34</v>
      </c>
      <c r="BL121" s="2">
        <v>7.3</v>
      </c>
      <c r="BM121" s="2">
        <v>0.9</v>
      </c>
      <c r="BN121" s="2">
        <v>7.5</v>
      </c>
      <c r="BO121" s="2">
        <v>2.9</v>
      </c>
      <c r="BP121" s="2">
        <f t="shared" si="2"/>
        <v>8.6114798198982143</v>
      </c>
      <c r="BQ121" s="2">
        <f t="shared" si="3"/>
        <v>27.895428514836645</v>
      </c>
    </row>
    <row r="122" spans="1:69" x14ac:dyDescent="0.2">
      <c r="A122" s="2" t="s">
        <v>2196</v>
      </c>
      <c r="B122" s="2" t="s">
        <v>47</v>
      </c>
      <c r="C122" s="2" t="s">
        <v>1935</v>
      </c>
      <c r="D122" s="2" t="s">
        <v>49</v>
      </c>
      <c r="E122" s="2" t="s">
        <v>328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89</v>
      </c>
      <c r="L122" s="6" t="s">
        <v>103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2197</v>
      </c>
      <c r="R122" s="2">
        <v>7153743.2740000002</v>
      </c>
      <c r="S122" s="2">
        <v>0</v>
      </c>
      <c r="T122" s="2" t="s">
        <v>96</v>
      </c>
      <c r="U122" s="2" t="s">
        <v>97</v>
      </c>
      <c r="V122" s="2" t="s">
        <v>56</v>
      </c>
      <c r="W122" s="2" t="s">
        <v>98</v>
      </c>
      <c r="X122" s="2" t="s">
        <v>99</v>
      </c>
      <c r="Y122" s="2">
        <v>0.98671535818298495</v>
      </c>
      <c r="Z122" s="2">
        <v>986.71535818298503</v>
      </c>
      <c r="AA122" s="2">
        <v>4.73719444444444</v>
      </c>
      <c r="AB122" s="2">
        <v>-74.069472222222203</v>
      </c>
      <c r="AC122" s="2">
        <v>2555</v>
      </c>
      <c r="AD122" s="2">
        <v>0</v>
      </c>
      <c r="AE122" s="2" t="s">
        <v>59</v>
      </c>
      <c r="AF122" s="2" t="s">
        <v>86</v>
      </c>
      <c r="AG122" s="2" t="s">
        <v>61</v>
      </c>
      <c r="AH122" s="2" t="s">
        <v>62</v>
      </c>
      <c r="AI122" s="2" t="s">
        <v>100</v>
      </c>
      <c r="AJ122" s="2">
        <v>0.24483616424368199</v>
      </c>
      <c r="AK122" s="2">
        <v>5.6320119510179296</v>
      </c>
      <c r="AL122" s="2">
        <v>1.3906065693259599</v>
      </c>
      <c r="AM122" s="2">
        <v>0.58175584030467897</v>
      </c>
      <c r="AN122" s="2">
        <v>1.8789094535705699</v>
      </c>
      <c r="AO122" s="2">
        <v>0.2494078032724</v>
      </c>
      <c r="AP122" s="2">
        <v>0.2494078032724</v>
      </c>
      <c r="AQ122" s="2">
        <v>1</v>
      </c>
      <c r="AR122" s="2">
        <v>2</v>
      </c>
      <c r="AS122" s="2">
        <v>0</v>
      </c>
      <c r="AT122" s="2">
        <v>0</v>
      </c>
      <c r="AU122" s="2">
        <v>0</v>
      </c>
      <c r="AV122" s="2">
        <v>10</v>
      </c>
      <c r="AW122" s="2">
        <v>0</v>
      </c>
      <c r="AX122" s="2">
        <v>0</v>
      </c>
      <c r="AY122" s="2">
        <v>15.3</v>
      </c>
      <c r="AZ122" s="2">
        <v>9.8000000000000007</v>
      </c>
      <c r="BA122" s="2">
        <v>29.7</v>
      </c>
      <c r="BB122" s="2">
        <v>564</v>
      </c>
      <c r="BC122" s="2">
        <v>68</v>
      </c>
      <c r="BD122" s="2">
        <v>1.8</v>
      </c>
      <c r="BE122" s="2">
        <v>43</v>
      </c>
      <c r="BF122" s="2">
        <v>25.4</v>
      </c>
      <c r="BG122" s="2">
        <v>162</v>
      </c>
      <c r="BH122" s="2">
        <v>9.1</v>
      </c>
      <c r="BI122" s="2">
        <v>9.1999999999999993</v>
      </c>
      <c r="BJ122" s="2">
        <v>18.3</v>
      </c>
      <c r="BK122" s="2">
        <v>0.34</v>
      </c>
      <c r="BL122" s="2">
        <v>7.3</v>
      </c>
      <c r="BM122" s="2">
        <v>0.9</v>
      </c>
      <c r="BN122" s="2">
        <v>7.5</v>
      </c>
      <c r="BO122" s="2">
        <v>2.9</v>
      </c>
      <c r="BP122" s="2">
        <f t="shared" si="2"/>
        <v>9.3328457161723097</v>
      </c>
      <c r="BQ122" s="2">
        <f t="shared" si="3"/>
        <v>29.004931788854481</v>
      </c>
    </row>
    <row r="123" spans="1:69" x14ac:dyDescent="0.2">
      <c r="A123" s="2" t="s">
        <v>531</v>
      </c>
      <c r="B123" s="2" t="s">
        <v>47</v>
      </c>
      <c r="C123" s="2" t="s">
        <v>48</v>
      </c>
      <c r="D123" s="2" t="s">
        <v>49</v>
      </c>
      <c r="E123" s="2" t="s">
        <v>328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89</v>
      </c>
      <c r="L123" s="6" t="s">
        <v>103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532</v>
      </c>
      <c r="R123" s="2">
        <v>7779195.3200000003</v>
      </c>
      <c r="S123" s="2">
        <v>0</v>
      </c>
      <c r="T123" s="2" t="s">
        <v>96</v>
      </c>
      <c r="U123" s="2" t="s">
        <v>97</v>
      </c>
      <c r="V123" s="2" t="s">
        <v>56</v>
      </c>
      <c r="W123" s="2" t="s">
        <v>98</v>
      </c>
      <c r="X123" s="2" t="s">
        <v>99</v>
      </c>
      <c r="Y123" s="2">
        <v>0.69398084157348305</v>
      </c>
      <c r="Z123" s="2">
        <v>693.98084157348296</v>
      </c>
      <c r="AA123" s="2">
        <v>4.73719444444444</v>
      </c>
      <c r="AB123" s="2">
        <v>-74.069472222222203</v>
      </c>
      <c r="AC123" s="2">
        <v>2555</v>
      </c>
      <c r="AD123" s="2">
        <v>0</v>
      </c>
      <c r="AE123" s="2" t="s">
        <v>59</v>
      </c>
      <c r="AF123" s="2" t="s">
        <v>86</v>
      </c>
      <c r="AG123" s="2" t="s">
        <v>61</v>
      </c>
      <c r="AH123" s="2" t="s">
        <v>62</v>
      </c>
      <c r="AI123" s="2" t="s">
        <v>100</v>
      </c>
      <c r="AJ123" s="2">
        <v>0.657467733343292</v>
      </c>
      <c r="AK123" s="2">
        <v>5.3604673285971396</v>
      </c>
      <c r="AL123" s="2">
        <v>1.8589247979500501</v>
      </c>
      <c r="AM123" s="2">
        <v>0.74057456081265305</v>
      </c>
      <c r="AN123" s="2">
        <v>1.4963821966073201</v>
      </c>
      <c r="AO123" s="2">
        <v>2.3867656499286401E-2</v>
      </c>
      <c r="AP123" s="2">
        <v>2.3867656499286401E-2</v>
      </c>
      <c r="AQ123" s="2">
        <v>0</v>
      </c>
      <c r="AR123" s="2">
        <v>2</v>
      </c>
      <c r="AS123" s="2">
        <v>0</v>
      </c>
      <c r="AT123" s="2">
        <v>0</v>
      </c>
      <c r="AU123" s="2">
        <v>0</v>
      </c>
      <c r="AV123" s="2">
        <v>9</v>
      </c>
      <c r="AW123" s="2">
        <v>0</v>
      </c>
      <c r="AX123" s="2">
        <v>0</v>
      </c>
      <c r="AY123" s="2">
        <v>15.3</v>
      </c>
      <c r="AZ123" s="2">
        <v>9.8000000000000007</v>
      </c>
      <c r="BA123" s="2">
        <v>29.7</v>
      </c>
      <c r="BB123" s="2">
        <v>564</v>
      </c>
      <c r="BC123" s="2">
        <v>68</v>
      </c>
      <c r="BD123" s="2">
        <v>1.8</v>
      </c>
      <c r="BE123" s="2">
        <v>43</v>
      </c>
      <c r="BF123" s="2">
        <v>25.4</v>
      </c>
      <c r="BG123" s="2">
        <v>162</v>
      </c>
      <c r="BH123" s="2">
        <v>9.1</v>
      </c>
      <c r="BI123" s="2">
        <v>9.1999999999999993</v>
      </c>
      <c r="BJ123" s="2">
        <v>18.3</v>
      </c>
      <c r="BK123" s="2">
        <v>0.34</v>
      </c>
      <c r="BL123" s="2">
        <v>7.3</v>
      </c>
      <c r="BM123" s="2">
        <v>0.9</v>
      </c>
      <c r="BN123" s="2">
        <v>7.5</v>
      </c>
      <c r="BO123" s="2">
        <v>2.9</v>
      </c>
      <c r="BP123" s="2">
        <f t="shared" si="2"/>
        <v>9.4690665579985041</v>
      </c>
      <c r="BQ123" s="2">
        <f t="shared" si="3"/>
        <v>29.209427174477142</v>
      </c>
    </row>
    <row r="124" spans="1:69" x14ac:dyDescent="0.2">
      <c r="A124" s="2" t="s">
        <v>3107</v>
      </c>
      <c r="B124" s="2" t="s">
        <v>47</v>
      </c>
      <c r="C124" s="2" t="s">
        <v>1935</v>
      </c>
      <c r="D124" s="2" t="s">
        <v>49</v>
      </c>
      <c r="E124" s="2" t="s">
        <v>246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89</v>
      </c>
      <c r="L124" s="6" t="s">
        <v>141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3108</v>
      </c>
      <c r="R124" s="2">
        <v>7812500</v>
      </c>
      <c r="S124" s="2">
        <v>0</v>
      </c>
      <c r="T124" s="2" t="s">
        <v>130</v>
      </c>
      <c r="U124" s="2" t="s">
        <v>131</v>
      </c>
      <c r="V124" s="2" t="s">
        <v>56</v>
      </c>
      <c r="W124" s="2" t="s">
        <v>98</v>
      </c>
      <c r="X124" s="2" t="s">
        <v>132</v>
      </c>
      <c r="Y124" s="2">
        <v>3.5374375282619499</v>
      </c>
      <c r="Z124" s="2">
        <v>3537.4375282619499</v>
      </c>
      <c r="AA124" s="2">
        <v>4.7837500000000004</v>
      </c>
      <c r="AB124" s="2">
        <v>-74.044138888888895</v>
      </c>
      <c r="AC124" s="2">
        <v>2580</v>
      </c>
      <c r="AD124" s="2">
        <v>0</v>
      </c>
      <c r="AE124" s="2" t="s">
        <v>133</v>
      </c>
      <c r="AF124" s="2" t="s">
        <v>86</v>
      </c>
      <c r="AG124" s="2" t="s">
        <v>61</v>
      </c>
      <c r="AH124" s="2" t="s">
        <v>62</v>
      </c>
      <c r="AI124" s="2" t="s">
        <v>100</v>
      </c>
      <c r="AJ124" s="2">
        <v>5.1550133358738801</v>
      </c>
      <c r="AK124" s="2">
        <v>1.4247411305667901</v>
      </c>
      <c r="AL124" s="2">
        <v>1.80578132536789</v>
      </c>
      <c r="AM124" s="2">
        <v>4.2038880721100202</v>
      </c>
      <c r="AN124" s="2">
        <v>8.3278522121015293</v>
      </c>
      <c r="AO124" s="2">
        <v>9.8726092636697502E-2</v>
      </c>
      <c r="AP124" s="2">
        <v>9.8726092636697502E-2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>
        <v>15.3</v>
      </c>
      <c r="AZ124" s="2">
        <v>9.8000000000000007</v>
      </c>
      <c r="BA124" s="2">
        <v>29.7</v>
      </c>
      <c r="BB124" s="2">
        <v>564</v>
      </c>
      <c r="BC124" s="2">
        <v>68</v>
      </c>
      <c r="BD124" s="2">
        <v>1.8</v>
      </c>
      <c r="BE124" s="2">
        <v>43</v>
      </c>
      <c r="BF124" s="2">
        <v>25.4</v>
      </c>
      <c r="BG124" s="2">
        <v>162</v>
      </c>
      <c r="BH124" s="2">
        <v>9.1</v>
      </c>
      <c r="BI124" s="2">
        <v>9.1999999999999993</v>
      </c>
      <c r="BJ124" s="2">
        <v>18.3</v>
      </c>
      <c r="BK124" s="2">
        <v>0.34</v>
      </c>
      <c r="BL124" s="2">
        <v>7.3</v>
      </c>
      <c r="BM124" s="2">
        <v>0.9</v>
      </c>
      <c r="BN124" s="2">
        <v>7.5</v>
      </c>
      <c r="BO124" s="2">
        <v>2.9</v>
      </c>
      <c r="BP124" s="2">
        <f t="shared" si="2"/>
        <v>8.225830202464655</v>
      </c>
      <c r="BQ124" s="2">
        <f t="shared" si="3"/>
        <v>27.282583869951299</v>
      </c>
    </row>
    <row r="125" spans="1:69" x14ac:dyDescent="0.2">
      <c r="A125" s="2" t="s">
        <v>2406</v>
      </c>
      <c r="B125" s="2" t="s">
        <v>47</v>
      </c>
      <c r="C125" s="2" t="s">
        <v>1935</v>
      </c>
      <c r="D125" s="2" t="s">
        <v>49</v>
      </c>
      <c r="E125" s="2" t="s">
        <v>527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89</v>
      </c>
      <c r="L125" s="6" t="s">
        <v>112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2407</v>
      </c>
      <c r="R125" s="2">
        <v>6132075.4720000001</v>
      </c>
      <c r="S125" s="2">
        <v>0</v>
      </c>
      <c r="T125" s="2" t="s">
        <v>96</v>
      </c>
      <c r="U125" s="2" t="s">
        <v>97</v>
      </c>
      <c r="V125" s="2" t="s">
        <v>56</v>
      </c>
      <c r="W125" s="2" t="s">
        <v>98</v>
      </c>
      <c r="X125" s="2" t="s">
        <v>99</v>
      </c>
      <c r="Y125" s="2">
        <v>2.1015370352171998</v>
      </c>
      <c r="Z125" s="2">
        <v>2101.5370352171999</v>
      </c>
      <c r="AA125" s="2">
        <v>4.73719444444444</v>
      </c>
      <c r="AB125" s="2">
        <v>-74.069472222222203</v>
      </c>
      <c r="AC125" s="2">
        <v>2555</v>
      </c>
      <c r="AD125" s="2">
        <v>0</v>
      </c>
      <c r="AE125" s="2" t="s">
        <v>59</v>
      </c>
      <c r="AF125" s="2" t="s">
        <v>86</v>
      </c>
      <c r="AG125" s="2" t="s">
        <v>61</v>
      </c>
      <c r="AH125" s="2" t="s">
        <v>62</v>
      </c>
      <c r="AI125" s="2" t="s">
        <v>100</v>
      </c>
      <c r="AJ125" s="2">
        <v>0.39461397356676198</v>
      </c>
      <c r="AK125" s="2">
        <v>5.2732057111618298</v>
      </c>
      <c r="AL125" s="2">
        <v>0.84646449700526705</v>
      </c>
      <c r="AM125" s="2">
        <v>0.43207944548499799</v>
      </c>
      <c r="AN125" s="2">
        <v>2.4510927825506399</v>
      </c>
      <c r="AO125" s="2">
        <v>5.6795571690429897E-3</v>
      </c>
      <c r="AP125" s="2">
        <v>5.6795571690429897E-3</v>
      </c>
      <c r="AQ125" s="2">
        <v>1</v>
      </c>
      <c r="AR125" s="2">
        <v>2</v>
      </c>
      <c r="AS125" s="2">
        <v>0</v>
      </c>
      <c r="AT125" s="2">
        <v>0</v>
      </c>
      <c r="AU125" s="2">
        <v>1</v>
      </c>
      <c r="AV125" s="2">
        <v>15</v>
      </c>
      <c r="AW125" s="2">
        <v>0</v>
      </c>
      <c r="AX125" s="2">
        <v>0</v>
      </c>
      <c r="AY125" s="2">
        <v>15.3</v>
      </c>
      <c r="AZ125" s="2">
        <v>9.8000000000000007</v>
      </c>
      <c r="BA125" s="2">
        <v>29.7</v>
      </c>
      <c r="BB125" s="2">
        <v>564</v>
      </c>
      <c r="BC125" s="2">
        <v>68</v>
      </c>
      <c r="BD125" s="2">
        <v>1.8</v>
      </c>
      <c r="BE125" s="2">
        <v>43</v>
      </c>
      <c r="BF125" s="2">
        <v>25.4</v>
      </c>
      <c r="BG125" s="2">
        <v>162</v>
      </c>
      <c r="BH125" s="2">
        <v>9.1</v>
      </c>
      <c r="BI125" s="2">
        <v>9.1999999999999993</v>
      </c>
      <c r="BJ125" s="2">
        <v>18.3</v>
      </c>
      <c r="BK125" s="2">
        <v>0.34</v>
      </c>
      <c r="BL125" s="2">
        <v>7.3</v>
      </c>
      <c r="BM125" s="2">
        <v>0.9</v>
      </c>
      <c r="BN125" s="2">
        <v>7.5</v>
      </c>
      <c r="BO125" s="2">
        <v>2.9</v>
      </c>
      <c r="BP125" s="2">
        <f t="shared" si="2"/>
        <v>8.8317775503213074</v>
      </c>
      <c r="BQ125" s="2">
        <f t="shared" si="3"/>
        <v>28.239173832201512</v>
      </c>
    </row>
    <row r="126" spans="1:69" x14ac:dyDescent="0.2">
      <c r="A126" s="2" t="s">
        <v>2447</v>
      </c>
      <c r="B126" s="2" t="s">
        <v>47</v>
      </c>
      <c r="C126" s="2" t="s">
        <v>1935</v>
      </c>
      <c r="D126" s="2" t="s">
        <v>49</v>
      </c>
      <c r="E126" s="2" t="s">
        <v>527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89</v>
      </c>
      <c r="L126" s="6" t="s">
        <v>141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2448</v>
      </c>
      <c r="R126" s="2">
        <v>5047318.6119999997</v>
      </c>
      <c r="S126" s="2">
        <v>0</v>
      </c>
      <c r="T126" s="2" t="s">
        <v>96</v>
      </c>
      <c r="U126" s="2" t="s">
        <v>97</v>
      </c>
      <c r="V126" s="2" t="s">
        <v>56</v>
      </c>
      <c r="W126" s="2" t="s">
        <v>98</v>
      </c>
      <c r="X126" s="2" t="s">
        <v>99</v>
      </c>
      <c r="Y126" s="2">
        <v>2.5756118180956702</v>
      </c>
      <c r="Z126" s="2">
        <v>2575.6118180956701</v>
      </c>
      <c r="AA126" s="2">
        <v>4.73719444444444</v>
      </c>
      <c r="AB126" s="2">
        <v>-74.069472222222203</v>
      </c>
      <c r="AC126" s="2">
        <v>2555</v>
      </c>
      <c r="AD126" s="2">
        <v>0</v>
      </c>
      <c r="AE126" s="2" t="s">
        <v>59</v>
      </c>
      <c r="AF126" s="2" t="s">
        <v>86</v>
      </c>
      <c r="AG126" s="2" t="s">
        <v>61</v>
      </c>
      <c r="AH126" s="2" t="s">
        <v>62</v>
      </c>
      <c r="AI126" s="2" t="s">
        <v>100</v>
      </c>
      <c r="AJ126" s="2">
        <v>0.61981964414419799</v>
      </c>
      <c r="AK126" s="2">
        <v>5.5308027305163199</v>
      </c>
      <c r="AL126" s="2">
        <v>0.62840893820131305</v>
      </c>
      <c r="AM126" s="2">
        <v>0.18401910469817701</v>
      </c>
      <c r="AN126" s="2">
        <v>3.0386030288595798</v>
      </c>
      <c r="AO126" s="2">
        <v>6.3649209368380505E-2</v>
      </c>
      <c r="AP126" s="2">
        <v>6.3649209368380505E-2</v>
      </c>
      <c r="AQ126" s="2">
        <v>0</v>
      </c>
      <c r="AR126" s="2">
        <v>2</v>
      </c>
      <c r="AS126" s="2">
        <v>0</v>
      </c>
      <c r="AT126" s="2">
        <v>0</v>
      </c>
      <c r="AU126" s="2">
        <v>1</v>
      </c>
      <c r="AV126" s="2">
        <v>38</v>
      </c>
      <c r="AW126" s="2">
        <v>0</v>
      </c>
      <c r="AX126" s="2">
        <v>0</v>
      </c>
      <c r="AY126" s="2">
        <v>15.3</v>
      </c>
      <c r="AZ126" s="2">
        <v>9.8000000000000007</v>
      </c>
      <c r="BA126" s="2">
        <v>29.7</v>
      </c>
      <c r="BB126" s="2">
        <v>564</v>
      </c>
      <c r="BC126" s="2">
        <v>68</v>
      </c>
      <c r="BD126" s="2">
        <v>1.8</v>
      </c>
      <c r="BE126" s="2">
        <v>43</v>
      </c>
      <c r="BF126" s="2">
        <v>25.4</v>
      </c>
      <c r="BG126" s="2">
        <v>162</v>
      </c>
      <c r="BH126" s="2">
        <v>9.1</v>
      </c>
      <c r="BI126" s="2">
        <v>9.1999999999999993</v>
      </c>
      <c r="BJ126" s="2">
        <v>18.3</v>
      </c>
      <c r="BK126" s="2">
        <v>0.34</v>
      </c>
      <c r="BL126" s="2">
        <v>7.3</v>
      </c>
      <c r="BM126" s="2">
        <v>0.9</v>
      </c>
      <c r="BN126" s="2">
        <v>7.5</v>
      </c>
      <c r="BO126" s="2">
        <v>2.9</v>
      </c>
      <c r="BP126" s="2">
        <f t="shared" si="2"/>
        <v>8.6269377183432496</v>
      </c>
      <c r="BQ126" s="2">
        <f t="shared" si="3"/>
        <v>27.919695234766166</v>
      </c>
    </row>
    <row r="127" spans="1:69" x14ac:dyDescent="0.2">
      <c r="A127" s="2" t="s">
        <v>2155</v>
      </c>
      <c r="B127" s="2" t="s">
        <v>47</v>
      </c>
      <c r="C127" s="2" t="s">
        <v>1935</v>
      </c>
      <c r="D127" s="2" t="s">
        <v>49</v>
      </c>
      <c r="E127" s="2" t="s">
        <v>246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89</v>
      </c>
      <c r="L127" s="6" t="s">
        <v>103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2156</v>
      </c>
      <c r="R127" s="2">
        <v>7988450.4330000002</v>
      </c>
      <c r="S127" s="2">
        <v>0</v>
      </c>
      <c r="T127" s="2" t="s">
        <v>130</v>
      </c>
      <c r="U127" s="2" t="s">
        <v>131</v>
      </c>
      <c r="V127" s="2" t="s">
        <v>56</v>
      </c>
      <c r="W127" s="2" t="s">
        <v>98</v>
      </c>
      <c r="X127" s="2" t="s">
        <v>132</v>
      </c>
      <c r="Y127" s="2">
        <v>4.1507766808306599</v>
      </c>
      <c r="Z127" s="2">
        <v>4150.7766808306596</v>
      </c>
      <c r="AA127" s="2">
        <v>4.7837500000000004</v>
      </c>
      <c r="AB127" s="2">
        <v>-74.044138888888895</v>
      </c>
      <c r="AC127" s="2">
        <v>2580</v>
      </c>
      <c r="AD127" s="2">
        <v>0</v>
      </c>
      <c r="AE127" s="2" t="s">
        <v>133</v>
      </c>
      <c r="AF127" s="2" t="s">
        <v>86</v>
      </c>
      <c r="AG127" s="2" t="s">
        <v>61</v>
      </c>
      <c r="AH127" s="2" t="s">
        <v>62</v>
      </c>
      <c r="AI127" s="2" t="s">
        <v>100</v>
      </c>
      <c r="AJ127" s="2">
        <v>5.7114883814053803</v>
      </c>
      <c r="AK127" s="2">
        <v>0.71729904876120898</v>
      </c>
      <c r="AL127" s="2">
        <v>2.3523496772779899</v>
      </c>
      <c r="AM127" s="2">
        <v>3.7740888512023001</v>
      </c>
      <c r="AN127" s="2">
        <v>9.0660441787769006</v>
      </c>
      <c r="AO127" s="2">
        <v>0.850910763329631</v>
      </c>
      <c r="AP127" s="2">
        <v>0.850910763329631</v>
      </c>
      <c r="AQ127" s="2">
        <v>0</v>
      </c>
      <c r="AR127" s="2">
        <v>0</v>
      </c>
      <c r="AS127" s="2">
        <v>0</v>
      </c>
      <c r="AT127" s="2">
        <v>1</v>
      </c>
      <c r="AU127" s="2">
        <v>0</v>
      </c>
      <c r="AV127" s="2">
        <v>0</v>
      </c>
      <c r="AW127" s="2">
        <v>0</v>
      </c>
      <c r="AX127" s="2">
        <v>0</v>
      </c>
      <c r="AY127" s="2">
        <v>15.3</v>
      </c>
      <c r="AZ127" s="2">
        <v>9.8000000000000007</v>
      </c>
      <c r="BA127" s="2">
        <v>29.7</v>
      </c>
      <c r="BB127" s="2">
        <v>564</v>
      </c>
      <c r="BC127" s="2">
        <v>68</v>
      </c>
      <c r="BD127" s="2">
        <v>1.8</v>
      </c>
      <c r="BE127" s="2">
        <v>43</v>
      </c>
      <c r="BF127" s="2">
        <v>25.4</v>
      </c>
      <c r="BG127" s="2">
        <v>162</v>
      </c>
      <c r="BH127" s="2">
        <v>9.1</v>
      </c>
      <c r="BI127" s="2">
        <v>9.1999999999999993</v>
      </c>
      <c r="BJ127" s="2">
        <v>18.3</v>
      </c>
      <c r="BK127" s="2">
        <v>0.34</v>
      </c>
      <c r="BL127" s="2">
        <v>7.3</v>
      </c>
      <c r="BM127" s="2">
        <v>0.9</v>
      </c>
      <c r="BN127" s="2">
        <v>7.5</v>
      </c>
      <c r="BO127" s="2">
        <v>2.9</v>
      </c>
      <c r="BP127" s="2">
        <f t="shared" si="2"/>
        <v>7.9798446190520096</v>
      </c>
      <c r="BQ127" s="2">
        <f t="shared" si="3"/>
        <v>26.883921804262808</v>
      </c>
    </row>
    <row r="128" spans="1:69" x14ac:dyDescent="0.2">
      <c r="A128" s="2" t="s">
        <v>2595</v>
      </c>
      <c r="B128" s="2" t="s">
        <v>47</v>
      </c>
      <c r="C128" s="2" t="s">
        <v>1935</v>
      </c>
      <c r="D128" s="2" t="s">
        <v>49</v>
      </c>
      <c r="E128" s="2" t="s">
        <v>527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89</v>
      </c>
      <c r="L128" s="6" t="s">
        <v>141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2596</v>
      </c>
      <c r="R128" s="2">
        <v>4516129.0319999997</v>
      </c>
      <c r="S128" s="2">
        <v>0</v>
      </c>
      <c r="T128" s="2" t="s">
        <v>96</v>
      </c>
      <c r="U128" s="2" t="s">
        <v>97</v>
      </c>
      <c r="V128" s="2" t="s">
        <v>56</v>
      </c>
      <c r="W128" s="2" t="s">
        <v>98</v>
      </c>
      <c r="X128" s="2" t="s">
        <v>99</v>
      </c>
      <c r="Y128" s="2">
        <v>2.2442834584674101</v>
      </c>
      <c r="Z128" s="2">
        <v>2244.2834584674101</v>
      </c>
      <c r="AA128" s="2">
        <v>4.73719444444444</v>
      </c>
      <c r="AB128" s="2">
        <v>-74.069472222222203</v>
      </c>
      <c r="AC128" s="2">
        <v>2555</v>
      </c>
      <c r="AD128" s="2">
        <v>0</v>
      </c>
      <c r="AE128" s="2" t="s">
        <v>59</v>
      </c>
      <c r="AF128" s="2" t="s">
        <v>86</v>
      </c>
      <c r="AG128" s="2" t="s">
        <v>61</v>
      </c>
      <c r="AH128" s="2" t="s">
        <v>62</v>
      </c>
      <c r="AI128" s="2" t="s">
        <v>100</v>
      </c>
      <c r="AJ128" s="2">
        <v>0.46131447406869902</v>
      </c>
      <c r="AK128" s="2">
        <v>5.2992353012716702</v>
      </c>
      <c r="AL128" s="2">
        <v>0.79055174449500798</v>
      </c>
      <c r="AM128" s="2">
        <v>0.277085996420598</v>
      </c>
      <c r="AN128" s="2">
        <v>2.5976577462667199</v>
      </c>
      <c r="AO128" s="2">
        <v>0.161050774057416</v>
      </c>
      <c r="AP128" s="2">
        <v>0.161050774057416</v>
      </c>
      <c r="AQ128" s="2">
        <v>1</v>
      </c>
      <c r="AR128" s="2">
        <v>1</v>
      </c>
      <c r="AS128" s="2">
        <v>0</v>
      </c>
      <c r="AT128" s="2">
        <v>0</v>
      </c>
      <c r="AU128" s="2">
        <v>1</v>
      </c>
      <c r="AV128" s="2">
        <v>26</v>
      </c>
      <c r="AW128" s="2">
        <v>0</v>
      </c>
      <c r="AX128" s="2">
        <v>0</v>
      </c>
      <c r="AY128" s="2">
        <v>15.3</v>
      </c>
      <c r="AZ128" s="2">
        <v>9.8000000000000007</v>
      </c>
      <c r="BA128" s="2">
        <v>29.7</v>
      </c>
      <c r="BB128" s="2">
        <v>564</v>
      </c>
      <c r="BC128" s="2">
        <v>68</v>
      </c>
      <c r="BD128" s="2">
        <v>1.8</v>
      </c>
      <c r="BE128" s="2">
        <v>43</v>
      </c>
      <c r="BF128" s="2">
        <v>25.4</v>
      </c>
      <c r="BG128" s="2">
        <v>162</v>
      </c>
      <c r="BH128" s="2">
        <v>9.1</v>
      </c>
      <c r="BI128" s="2">
        <v>9.1999999999999993</v>
      </c>
      <c r="BJ128" s="2">
        <v>18.3</v>
      </c>
      <c r="BK128" s="2">
        <v>0.34</v>
      </c>
      <c r="BL128" s="2">
        <v>7.3</v>
      </c>
      <c r="BM128" s="2">
        <v>0.9</v>
      </c>
      <c r="BN128" s="2">
        <v>7.5</v>
      </c>
      <c r="BO128" s="2">
        <v>2.9</v>
      </c>
      <c r="BP128" s="2">
        <f t="shared" si="2"/>
        <v>8.7695926262837869</v>
      </c>
      <c r="BQ128" s="2">
        <f t="shared" si="3"/>
        <v>28.142594377681547</v>
      </c>
    </row>
    <row r="129" spans="1:69" x14ac:dyDescent="0.2">
      <c r="A129" s="2" t="s">
        <v>2604</v>
      </c>
      <c r="B129" s="2" t="s">
        <v>47</v>
      </c>
      <c r="C129" s="2" t="s">
        <v>1935</v>
      </c>
      <c r="D129" s="2" t="s">
        <v>49</v>
      </c>
      <c r="E129" s="2" t="s">
        <v>2199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89</v>
      </c>
      <c r="L129" s="6" t="s">
        <v>90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2605</v>
      </c>
      <c r="R129" s="2">
        <v>3870967.7420000001</v>
      </c>
      <c r="S129" s="2">
        <v>0</v>
      </c>
      <c r="T129" s="2" t="s">
        <v>96</v>
      </c>
      <c r="U129" s="2" t="s">
        <v>97</v>
      </c>
      <c r="V129" s="2" t="s">
        <v>56</v>
      </c>
      <c r="W129" s="2" t="s">
        <v>98</v>
      </c>
      <c r="X129" s="2" t="s">
        <v>99</v>
      </c>
      <c r="Y129" s="2">
        <v>4.2154128496127701</v>
      </c>
      <c r="Z129" s="2">
        <v>4215.4128496127696</v>
      </c>
      <c r="AA129" s="2">
        <v>4.73719444444444</v>
      </c>
      <c r="AB129" s="2">
        <v>-74.069472222222203</v>
      </c>
      <c r="AC129" s="2">
        <v>2555</v>
      </c>
      <c r="AD129" s="2">
        <v>0</v>
      </c>
      <c r="AE129" s="2" t="s">
        <v>59</v>
      </c>
      <c r="AF129" s="2" t="s">
        <v>86</v>
      </c>
      <c r="AG129" s="2" t="s">
        <v>61</v>
      </c>
      <c r="AH129" s="2" t="s">
        <v>62</v>
      </c>
      <c r="AI129" s="2" t="s">
        <v>100</v>
      </c>
      <c r="AJ129" s="2">
        <v>0.45500060162046302</v>
      </c>
      <c r="AK129" s="2">
        <v>4.7500669181062003</v>
      </c>
      <c r="AL129" s="2">
        <v>0.51736577516567706</v>
      </c>
      <c r="AM129" s="2">
        <v>3.2871227009701499E-2</v>
      </c>
      <c r="AN129" s="2">
        <v>2.9812235739851398</v>
      </c>
      <c r="AO129" s="2">
        <v>0.276519413147639</v>
      </c>
      <c r="AP129" s="2">
        <v>0.276519413147639</v>
      </c>
      <c r="AQ129" s="2">
        <v>1</v>
      </c>
      <c r="AR129" s="2">
        <v>2</v>
      </c>
      <c r="AS129" s="2">
        <v>0</v>
      </c>
      <c r="AT129" s="2">
        <v>0</v>
      </c>
      <c r="AU129" s="2">
        <v>1</v>
      </c>
      <c r="AV129" s="2">
        <v>42</v>
      </c>
      <c r="AW129" s="2">
        <v>0</v>
      </c>
      <c r="AX129" s="2">
        <v>0</v>
      </c>
      <c r="AY129" s="2">
        <v>15.3</v>
      </c>
      <c r="AZ129" s="2">
        <v>9.8000000000000007</v>
      </c>
      <c r="BA129" s="2">
        <v>29.7</v>
      </c>
      <c r="BB129" s="2">
        <v>564</v>
      </c>
      <c r="BC129" s="2">
        <v>68</v>
      </c>
      <c r="BD129" s="2">
        <v>1.8</v>
      </c>
      <c r="BE129" s="2">
        <v>43</v>
      </c>
      <c r="BF129" s="2">
        <v>25.4</v>
      </c>
      <c r="BG129" s="2">
        <v>162</v>
      </c>
      <c r="BH129" s="2">
        <v>9.1</v>
      </c>
      <c r="BI129" s="2">
        <v>9.1999999999999993</v>
      </c>
      <c r="BJ129" s="2">
        <v>18.3</v>
      </c>
      <c r="BK129" s="2">
        <v>0.34</v>
      </c>
      <c r="BL129" s="2">
        <v>7.3</v>
      </c>
      <c r="BM129" s="2">
        <v>0.9</v>
      </c>
      <c r="BN129" s="2">
        <v>7.5</v>
      </c>
      <c r="BO129" s="2">
        <v>2.9</v>
      </c>
      <c r="BP129" s="2">
        <f t="shared" si="2"/>
        <v>7.9543539834277173</v>
      </c>
      <c r="BQ129" s="2">
        <f t="shared" si="3"/>
        <v>26.842249965741004</v>
      </c>
    </row>
    <row r="130" spans="1:69" x14ac:dyDescent="0.2">
      <c r="A130" s="2" t="s">
        <v>2404</v>
      </c>
      <c r="B130" s="2" t="s">
        <v>47</v>
      </c>
      <c r="C130" s="2" t="s">
        <v>1935</v>
      </c>
      <c r="D130" s="2" t="s">
        <v>49</v>
      </c>
      <c r="E130" s="2" t="s">
        <v>462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89</v>
      </c>
      <c r="L130" s="6" t="s">
        <v>141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2405</v>
      </c>
      <c r="R130" s="2">
        <v>2870967.7420000001</v>
      </c>
      <c r="S130" s="2">
        <v>0</v>
      </c>
      <c r="T130" s="2" t="s">
        <v>96</v>
      </c>
      <c r="U130" s="2" t="s">
        <v>97</v>
      </c>
      <c r="V130" s="2" t="s">
        <v>56</v>
      </c>
      <c r="W130" s="2" t="s">
        <v>98</v>
      </c>
      <c r="X130" s="2" t="s">
        <v>99</v>
      </c>
      <c r="Y130" s="2">
        <v>1.9232433944115299</v>
      </c>
      <c r="Z130" s="2">
        <v>1923.2433944115301</v>
      </c>
      <c r="AA130" s="2">
        <v>4.73719444444444</v>
      </c>
      <c r="AB130" s="2">
        <v>-74.069472222222203</v>
      </c>
      <c r="AC130" s="2">
        <v>2555</v>
      </c>
      <c r="AD130" s="2">
        <v>0</v>
      </c>
      <c r="AE130" s="2" t="s">
        <v>59</v>
      </c>
      <c r="AF130" s="2" t="s">
        <v>86</v>
      </c>
      <c r="AG130" s="2" t="s">
        <v>61</v>
      </c>
      <c r="AH130" s="2" t="s">
        <v>62</v>
      </c>
      <c r="AI130" s="2" t="s">
        <v>100</v>
      </c>
      <c r="AJ130" s="2">
        <v>0.66920758075865105</v>
      </c>
      <c r="AK130" s="2">
        <v>4.9605754308093903</v>
      </c>
      <c r="AL130" s="2">
        <v>0.44527887969531199</v>
      </c>
      <c r="AM130" s="2">
        <v>5.61376876578491E-2</v>
      </c>
      <c r="AN130" s="2">
        <v>2.9963942022340899</v>
      </c>
      <c r="AO130" s="2">
        <v>0.18769730305815699</v>
      </c>
      <c r="AP130" s="2">
        <v>0.18769730305815699</v>
      </c>
      <c r="AQ130" s="2">
        <v>0</v>
      </c>
      <c r="AR130" s="2">
        <v>2</v>
      </c>
      <c r="AS130" s="2">
        <v>0</v>
      </c>
      <c r="AT130" s="2">
        <v>0</v>
      </c>
      <c r="AU130" s="2">
        <v>1</v>
      </c>
      <c r="AV130" s="2">
        <v>41</v>
      </c>
      <c r="AW130" s="2">
        <v>0</v>
      </c>
      <c r="AX130" s="2">
        <v>0</v>
      </c>
      <c r="AY130" s="2">
        <v>15.3</v>
      </c>
      <c r="AZ130" s="2">
        <v>9.8000000000000007</v>
      </c>
      <c r="BA130" s="2">
        <v>29.7</v>
      </c>
      <c r="BB130" s="2">
        <v>564</v>
      </c>
      <c r="BC130" s="2">
        <v>68</v>
      </c>
      <c r="BD130" s="2">
        <v>1.8</v>
      </c>
      <c r="BE130" s="2">
        <v>43</v>
      </c>
      <c r="BF130" s="2">
        <v>25.4</v>
      </c>
      <c r="BG130" s="2">
        <v>162</v>
      </c>
      <c r="BH130" s="2">
        <v>9.1</v>
      </c>
      <c r="BI130" s="2">
        <v>9.1999999999999993</v>
      </c>
      <c r="BJ130" s="2">
        <v>18.3</v>
      </c>
      <c r="BK130" s="2">
        <v>0.34</v>
      </c>
      <c r="BL130" s="2">
        <v>7.3</v>
      </c>
      <c r="BM130" s="2">
        <v>0.9</v>
      </c>
      <c r="BN130" s="2">
        <v>7.5</v>
      </c>
      <c r="BO130" s="2">
        <v>2.9</v>
      </c>
      <c r="BP130" s="2">
        <f t="shared" ref="BP130:BP193" si="4">+AZ130*EXP(-0.0495*Y130)</f>
        <v>8.9100676821356615</v>
      </c>
      <c r="BQ130" s="2">
        <f t="shared" ref="BQ130:BQ193" si="5">+BA130*EXP(-0.024*Y130)</f>
        <v>28.36026949725267</v>
      </c>
    </row>
    <row r="131" spans="1:69" x14ac:dyDescent="0.2">
      <c r="A131" s="2" t="s">
        <v>2546</v>
      </c>
      <c r="B131" s="2" t="s">
        <v>47</v>
      </c>
      <c r="C131" s="2" t="s">
        <v>1935</v>
      </c>
      <c r="D131" s="2" t="s">
        <v>49</v>
      </c>
      <c r="E131" s="2" t="s">
        <v>246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89</v>
      </c>
      <c r="L131" s="6" t="s">
        <v>103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2547</v>
      </c>
      <c r="R131" s="2">
        <v>8116883.1169999996</v>
      </c>
      <c r="S131" s="2">
        <v>0</v>
      </c>
      <c r="T131" s="2" t="s">
        <v>130</v>
      </c>
      <c r="U131" s="2" t="s">
        <v>131</v>
      </c>
      <c r="V131" s="2" t="s">
        <v>56</v>
      </c>
      <c r="W131" s="2" t="s">
        <v>98</v>
      </c>
      <c r="X131" s="2" t="s">
        <v>132</v>
      </c>
      <c r="Y131" s="2">
        <v>3.3497525689807901</v>
      </c>
      <c r="Z131" s="2">
        <v>3349.7525689807899</v>
      </c>
      <c r="AA131" s="2">
        <v>4.7837500000000004</v>
      </c>
      <c r="AB131" s="2">
        <v>-74.044138888888895</v>
      </c>
      <c r="AC131" s="2">
        <v>2580</v>
      </c>
      <c r="AD131" s="2">
        <v>0</v>
      </c>
      <c r="AE131" s="2" t="s">
        <v>133</v>
      </c>
      <c r="AF131" s="2" t="s">
        <v>86</v>
      </c>
      <c r="AG131" s="2" t="s">
        <v>61</v>
      </c>
      <c r="AH131" s="2" t="s">
        <v>62</v>
      </c>
      <c r="AI131" s="2" t="s">
        <v>100</v>
      </c>
      <c r="AJ131" s="2">
        <v>4.9615235876087</v>
      </c>
      <c r="AK131" s="2">
        <v>1.66545216315207</v>
      </c>
      <c r="AL131" s="2">
        <v>1.6756811519707899</v>
      </c>
      <c r="AM131" s="2">
        <v>4.0141516902998804</v>
      </c>
      <c r="AN131" s="2">
        <v>8.1025123670467707</v>
      </c>
      <c r="AO131" s="2">
        <v>9.2115312205508105E-3</v>
      </c>
      <c r="AP131" s="2">
        <v>9.2115312205508105E-3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>
        <v>15.3</v>
      </c>
      <c r="AZ131" s="2">
        <v>9.8000000000000007</v>
      </c>
      <c r="BA131" s="2">
        <v>29.7</v>
      </c>
      <c r="BB131" s="2">
        <v>564</v>
      </c>
      <c r="BC131" s="2">
        <v>68</v>
      </c>
      <c r="BD131" s="2">
        <v>1.8</v>
      </c>
      <c r="BE131" s="2">
        <v>43</v>
      </c>
      <c r="BF131" s="2">
        <v>25.4</v>
      </c>
      <c r="BG131" s="2">
        <v>162</v>
      </c>
      <c r="BH131" s="2">
        <v>9.1</v>
      </c>
      <c r="BI131" s="2">
        <v>9.1999999999999993</v>
      </c>
      <c r="BJ131" s="2">
        <v>18.3</v>
      </c>
      <c r="BK131" s="2">
        <v>0.34</v>
      </c>
      <c r="BL131" s="2">
        <v>7.3</v>
      </c>
      <c r="BM131" s="2">
        <v>0.9</v>
      </c>
      <c r="BN131" s="2">
        <v>7.5</v>
      </c>
      <c r="BO131" s="2">
        <v>2.9</v>
      </c>
      <c r="BP131" s="2">
        <f t="shared" si="4"/>
        <v>8.3026075948139457</v>
      </c>
      <c r="BQ131" s="2">
        <f t="shared" si="5"/>
        <v>27.405753802843112</v>
      </c>
    </row>
    <row r="132" spans="1:69" x14ac:dyDescent="0.2">
      <c r="A132" s="2" t="s">
        <v>2168</v>
      </c>
      <c r="B132" s="2" t="s">
        <v>47</v>
      </c>
      <c r="C132" s="2" t="s">
        <v>1935</v>
      </c>
      <c r="D132" s="2" t="s">
        <v>49</v>
      </c>
      <c r="E132" s="2" t="s">
        <v>471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89</v>
      </c>
      <c r="L132" s="6" t="s">
        <v>94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2169</v>
      </c>
      <c r="R132" s="2">
        <v>4229508.1969999997</v>
      </c>
      <c r="S132" s="2">
        <v>0</v>
      </c>
      <c r="T132" s="2" t="s">
        <v>96</v>
      </c>
      <c r="U132" s="2" t="s">
        <v>97</v>
      </c>
      <c r="V132" s="2" t="s">
        <v>56</v>
      </c>
      <c r="W132" s="2" t="s">
        <v>98</v>
      </c>
      <c r="X132" s="2" t="s">
        <v>99</v>
      </c>
      <c r="Y132" s="2">
        <v>2.6296703457645898</v>
      </c>
      <c r="Z132" s="2">
        <v>2629.6703457645899</v>
      </c>
      <c r="AA132" s="2">
        <v>4.73719444444444</v>
      </c>
      <c r="AB132" s="2">
        <v>-74.069472222222203</v>
      </c>
      <c r="AC132" s="2">
        <v>2555</v>
      </c>
      <c r="AD132" s="2">
        <v>0</v>
      </c>
      <c r="AE132" s="2" t="s">
        <v>59</v>
      </c>
      <c r="AF132" s="2" t="s">
        <v>86</v>
      </c>
      <c r="AG132" s="2" t="s">
        <v>61</v>
      </c>
      <c r="AH132" s="2" t="s">
        <v>62</v>
      </c>
      <c r="AI132" s="2" t="s">
        <v>100</v>
      </c>
      <c r="AJ132" s="2">
        <v>0.25686609243852698</v>
      </c>
      <c r="AK132" s="2">
        <v>5.0737011927387501</v>
      </c>
      <c r="AL132" s="2">
        <v>0.36994757914211301</v>
      </c>
      <c r="AM132" s="2">
        <v>5.37700267333154E-2</v>
      </c>
      <c r="AN132" s="2">
        <v>3.4784679345722802</v>
      </c>
      <c r="AO132" s="2">
        <v>0.26441432316727298</v>
      </c>
      <c r="AP132" s="2">
        <v>0.26441432316727298</v>
      </c>
      <c r="AQ132" s="2">
        <v>1</v>
      </c>
      <c r="AR132" s="2">
        <v>3</v>
      </c>
      <c r="AS132" s="2">
        <v>0</v>
      </c>
      <c r="AT132" s="2">
        <v>0</v>
      </c>
      <c r="AU132" s="2">
        <v>1</v>
      </c>
      <c r="AV132" s="2">
        <v>43</v>
      </c>
      <c r="AW132" s="2">
        <v>0</v>
      </c>
      <c r="AX132" s="2">
        <v>0</v>
      </c>
      <c r="AY132" s="2">
        <v>15.3</v>
      </c>
      <c r="AZ132" s="2">
        <v>9.8000000000000007</v>
      </c>
      <c r="BA132" s="2">
        <v>29.7</v>
      </c>
      <c r="BB132" s="2">
        <v>564</v>
      </c>
      <c r="BC132" s="2">
        <v>68</v>
      </c>
      <c r="BD132" s="2">
        <v>1.8</v>
      </c>
      <c r="BE132" s="2">
        <v>43</v>
      </c>
      <c r="BF132" s="2">
        <v>25.4</v>
      </c>
      <c r="BG132" s="2">
        <v>162</v>
      </c>
      <c r="BH132" s="2">
        <v>9.1</v>
      </c>
      <c r="BI132" s="2">
        <v>9.1999999999999993</v>
      </c>
      <c r="BJ132" s="2">
        <v>18.3</v>
      </c>
      <c r="BK132" s="2">
        <v>0.34</v>
      </c>
      <c r="BL132" s="2">
        <v>7.3</v>
      </c>
      <c r="BM132" s="2">
        <v>0.9</v>
      </c>
      <c r="BN132" s="2">
        <v>7.5</v>
      </c>
      <c r="BO132" s="2">
        <v>2.9</v>
      </c>
      <c r="BP132" s="2">
        <f t="shared" si="4"/>
        <v>8.603883779292552</v>
      </c>
      <c r="BQ132" s="2">
        <f t="shared" si="5"/>
        <v>27.883495579827972</v>
      </c>
    </row>
    <row r="133" spans="1:69" x14ac:dyDescent="0.2">
      <c r="A133" s="2" t="s">
        <v>2006</v>
      </c>
      <c r="B133" s="2" t="s">
        <v>47</v>
      </c>
      <c r="C133" s="2" t="s">
        <v>1935</v>
      </c>
      <c r="D133" s="2" t="s">
        <v>49</v>
      </c>
      <c r="E133" s="2" t="s">
        <v>1582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89</v>
      </c>
      <c r="L133" s="6" t="s">
        <v>141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2007</v>
      </c>
      <c r="R133" s="2">
        <v>5494139.5839999998</v>
      </c>
      <c r="S133" s="2">
        <v>0</v>
      </c>
      <c r="T133" s="2" t="s">
        <v>96</v>
      </c>
      <c r="U133" s="2" t="s">
        <v>97</v>
      </c>
      <c r="V133" s="2" t="s">
        <v>56</v>
      </c>
      <c r="W133" s="2" t="s">
        <v>98</v>
      </c>
      <c r="X133" s="2" t="s">
        <v>99</v>
      </c>
      <c r="Y133" s="2">
        <v>2.5056416119549398</v>
      </c>
      <c r="Z133" s="2">
        <v>2505.6416119549399</v>
      </c>
      <c r="AA133" s="2">
        <v>4.73719444444444</v>
      </c>
      <c r="AB133" s="2">
        <v>-74.069472222222203</v>
      </c>
      <c r="AC133" s="2">
        <v>2555</v>
      </c>
      <c r="AD133" s="2">
        <v>0</v>
      </c>
      <c r="AE133" s="2" t="s">
        <v>59</v>
      </c>
      <c r="AF133" s="2" t="s">
        <v>86</v>
      </c>
      <c r="AG133" s="2" t="s">
        <v>61</v>
      </c>
      <c r="AH133" s="2" t="s">
        <v>62</v>
      </c>
      <c r="AI133" s="2" t="s">
        <v>87</v>
      </c>
      <c r="AJ133" s="2">
        <v>0.243334555521245</v>
      </c>
      <c r="AK133" s="2">
        <v>2.7891124861507102</v>
      </c>
      <c r="AL133" s="2">
        <v>0.80145152086729898</v>
      </c>
      <c r="AM133" s="2">
        <v>0.374186228864268</v>
      </c>
      <c r="AN133" s="2">
        <v>2.4099861662752802</v>
      </c>
      <c r="AO133" s="2">
        <v>0.29583870368426501</v>
      </c>
      <c r="AP133" s="2">
        <v>0.29583870368426501</v>
      </c>
      <c r="AQ133" s="2">
        <v>2</v>
      </c>
      <c r="AR133" s="2">
        <v>4</v>
      </c>
      <c r="AS133" s="2">
        <v>0</v>
      </c>
      <c r="AT133" s="2">
        <v>0</v>
      </c>
      <c r="AU133" s="2">
        <v>1</v>
      </c>
      <c r="AV133" s="2">
        <v>29</v>
      </c>
      <c r="AW133" s="2">
        <v>0</v>
      </c>
      <c r="AX133" s="2">
        <v>0</v>
      </c>
      <c r="AY133" s="2">
        <v>15.3</v>
      </c>
      <c r="AZ133" s="2">
        <v>9.8000000000000007</v>
      </c>
      <c r="BA133" s="2">
        <v>29.7</v>
      </c>
      <c r="BB133" s="2">
        <v>564</v>
      </c>
      <c r="BC133" s="2">
        <v>68</v>
      </c>
      <c r="BD133" s="2">
        <v>1.8</v>
      </c>
      <c r="BE133" s="2">
        <v>43</v>
      </c>
      <c r="BF133" s="2">
        <v>25.4</v>
      </c>
      <c r="BG133" s="2">
        <v>162</v>
      </c>
      <c r="BH133" s="2">
        <v>9.1</v>
      </c>
      <c r="BI133" s="2">
        <v>9.1999999999999993</v>
      </c>
      <c r="BJ133" s="2">
        <v>18.3</v>
      </c>
      <c r="BK133" s="2">
        <v>0.34</v>
      </c>
      <c r="BL133" s="2">
        <v>7.3</v>
      </c>
      <c r="BM133" s="2">
        <v>0.9</v>
      </c>
      <c r="BN133" s="2">
        <v>7.5</v>
      </c>
      <c r="BO133" s="2">
        <v>2.9</v>
      </c>
      <c r="BP133" s="2">
        <f t="shared" si="4"/>
        <v>8.6568691387568197</v>
      </c>
      <c r="BQ133" s="2">
        <f t="shared" si="5"/>
        <v>27.966619747495969</v>
      </c>
    </row>
    <row r="134" spans="1:69" x14ac:dyDescent="0.2">
      <c r="A134" s="2" t="s">
        <v>3208</v>
      </c>
      <c r="B134" s="2" t="s">
        <v>47</v>
      </c>
      <c r="C134" s="2" t="s">
        <v>1935</v>
      </c>
      <c r="D134" s="2" t="s">
        <v>49</v>
      </c>
      <c r="E134" s="2" t="s">
        <v>1703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89</v>
      </c>
      <c r="L134" s="6" t="s">
        <v>90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3209</v>
      </c>
      <c r="R134" s="2">
        <v>8666666.6669999994</v>
      </c>
      <c r="S134" s="2">
        <v>0</v>
      </c>
      <c r="T134" s="2" t="s">
        <v>96</v>
      </c>
      <c r="U134" s="2" t="s">
        <v>97</v>
      </c>
      <c r="V134" s="2" t="s">
        <v>56</v>
      </c>
      <c r="W134" s="2" t="s">
        <v>98</v>
      </c>
      <c r="X134" s="2" t="s">
        <v>99</v>
      </c>
      <c r="Y134" s="2">
        <v>2.8416331249557198</v>
      </c>
      <c r="Z134" s="2">
        <v>2841.6331249557202</v>
      </c>
      <c r="AA134" s="2">
        <v>4.73719444444444</v>
      </c>
      <c r="AB134" s="2">
        <v>-74.069472222222203</v>
      </c>
      <c r="AC134" s="2">
        <v>2555</v>
      </c>
      <c r="AD134" s="2">
        <v>0</v>
      </c>
      <c r="AE134" s="2" t="s">
        <v>59</v>
      </c>
      <c r="AF134" s="2" t="s">
        <v>86</v>
      </c>
      <c r="AG134" s="2" t="s">
        <v>61</v>
      </c>
      <c r="AH134" s="2" t="s">
        <v>62</v>
      </c>
      <c r="AI134" s="2" t="s">
        <v>100</v>
      </c>
      <c r="AJ134" s="2">
        <v>2.0055900536215399</v>
      </c>
      <c r="AK134" s="2">
        <v>4.2949534803834801</v>
      </c>
      <c r="AL134" s="2">
        <v>1.37755148939758</v>
      </c>
      <c r="AM134" s="2">
        <v>0.28713461733330597</v>
      </c>
      <c r="AN134" s="2">
        <v>3.3740176590367899</v>
      </c>
      <c r="AO134" s="2">
        <v>0.198143004594697</v>
      </c>
      <c r="AP134" s="2">
        <v>0.198143004594697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6</v>
      </c>
      <c r="AW134" s="2">
        <v>0</v>
      </c>
      <c r="AX134" s="2">
        <v>1</v>
      </c>
      <c r="AY134" s="2">
        <v>15.3</v>
      </c>
      <c r="AZ134" s="2">
        <v>9.8000000000000007</v>
      </c>
      <c r="BA134" s="2">
        <v>29.7</v>
      </c>
      <c r="BB134" s="2">
        <v>564</v>
      </c>
      <c r="BC134" s="2">
        <v>68</v>
      </c>
      <c r="BD134" s="2">
        <v>1.8</v>
      </c>
      <c r="BE134" s="2">
        <v>43</v>
      </c>
      <c r="BF134" s="2">
        <v>25.4</v>
      </c>
      <c r="BG134" s="2">
        <v>162</v>
      </c>
      <c r="BH134" s="2">
        <v>9.1</v>
      </c>
      <c r="BI134" s="2">
        <v>9.1999999999999993</v>
      </c>
      <c r="BJ134" s="2">
        <v>18.3</v>
      </c>
      <c r="BK134" s="2">
        <v>0.34</v>
      </c>
      <c r="BL134" s="2">
        <v>7.3</v>
      </c>
      <c r="BM134" s="2">
        <v>0.9</v>
      </c>
      <c r="BN134" s="2">
        <v>7.5</v>
      </c>
      <c r="BO134" s="2">
        <v>2.9</v>
      </c>
      <c r="BP134" s="2">
        <f t="shared" si="4"/>
        <v>8.5140824038736582</v>
      </c>
      <c r="BQ134" s="2">
        <f t="shared" si="5"/>
        <v>27.742009445282015</v>
      </c>
    </row>
    <row r="135" spans="1:69" x14ac:dyDescent="0.2">
      <c r="A135" s="2" t="s">
        <v>3088</v>
      </c>
      <c r="B135" s="2" t="s">
        <v>47</v>
      </c>
      <c r="C135" s="2" t="s">
        <v>1935</v>
      </c>
      <c r="D135" s="2" t="s">
        <v>49</v>
      </c>
      <c r="E135" s="2" t="s">
        <v>1703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89</v>
      </c>
      <c r="L135" s="6" t="s">
        <v>141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3089</v>
      </c>
      <c r="R135" s="2">
        <v>6833333.3329999996</v>
      </c>
      <c r="S135" s="2">
        <v>0</v>
      </c>
      <c r="T135" s="2" t="s">
        <v>130</v>
      </c>
      <c r="U135" s="2" t="s">
        <v>131</v>
      </c>
      <c r="V135" s="2" t="s">
        <v>56</v>
      </c>
      <c r="W135" s="2" t="s">
        <v>98</v>
      </c>
      <c r="X135" s="2" t="s">
        <v>132</v>
      </c>
      <c r="Y135" s="2">
        <v>2.6417407358737699</v>
      </c>
      <c r="Z135" s="2">
        <v>2641.7407358737701</v>
      </c>
      <c r="AA135" s="2">
        <v>4.7837500000000004</v>
      </c>
      <c r="AB135" s="2">
        <v>-74.044138888888895</v>
      </c>
      <c r="AC135" s="2">
        <v>2580</v>
      </c>
      <c r="AD135" s="2">
        <v>0</v>
      </c>
      <c r="AE135" s="2" t="s">
        <v>133</v>
      </c>
      <c r="AF135" s="2" t="s">
        <v>86</v>
      </c>
      <c r="AG135" s="2" t="s">
        <v>61</v>
      </c>
      <c r="AH135" s="2" t="s">
        <v>62</v>
      </c>
      <c r="AI135" s="2" t="s">
        <v>100</v>
      </c>
      <c r="AJ135" s="2">
        <v>1.24196586537255</v>
      </c>
      <c r="AK135" s="2">
        <v>3.6566685901732101</v>
      </c>
      <c r="AL135" s="2">
        <v>1.0863287911059201</v>
      </c>
      <c r="AM135" s="2">
        <v>0.61340499970792295</v>
      </c>
      <c r="AN135" s="2">
        <v>3.9852291388538599</v>
      </c>
      <c r="AO135" s="2">
        <v>0.35929596196202201</v>
      </c>
      <c r="AP135" s="2">
        <v>0.35929596196202201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7</v>
      </c>
      <c r="AW135" s="2">
        <v>0</v>
      </c>
      <c r="AX135" s="2">
        <v>1</v>
      </c>
      <c r="AY135" s="2">
        <v>15.3</v>
      </c>
      <c r="AZ135" s="2">
        <v>9.8000000000000007</v>
      </c>
      <c r="BA135" s="2">
        <v>29.7</v>
      </c>
      <c r="BB135" s="2">
        <v>564</v>
      </c>
      <c r="BC135" s="2">
        <v>68</v>
      </c>
      <c r="BD135" s="2">
        <v>1.8</v>
      </c>
      <c r="BE135" s="2">
        <v>43</v>
      </c>
      <c r="BF135" s="2">
        <v>25.4</v>
      </c>
      <c r="BG135" s="2">
        <v>162</v>
      </c>
      <c r="BH135" s="2">
        <v>9.1</v>
      </c>
      <c r="BI135" s="2">
        <v>9.1999999999999993</v>
      </c>
      <c r="BJ135" s="2">
        <v>18.3</v>
      </c>
      <c r="BK135" s="2">
        <v>0.34</v>
      </c>
      <c r="BL135" s="2">
        <v>7.3</v>
      </c>
      <c r="BM135" s="2">
        <v>0.9</v>
      </c>
      <c r="BN135" s="2">
        <v>7.5</v>
      </c>
      <c r="BO135" s="2">
        <v>2.9</v>
      </c>
      <c r="BP135" s="2">
        <f t="shared" si="4"/>
        <v>8.5987446291595528</v>
      </c>
      <c r="BQ135" s="2">
        <f t="shared" si="5"/>
        <v>27.875419197643307</v>
      </c>
    </row>
    <row r="136" spans="1:69" x14ac:dyDescent="0.2">
      <c r="A136" s="2" t="s">
        <v>1876</v>
      </c>
      <c r="B136" s="2" t="s">
        <v>47</v>
      </c>
      <c r="C136" s="2" t="s">
        <v>48</v>
      </c>
      <c r="D136" s="2" t="s">
        <v>49</v>
      </c>
      <c r="E136" s="2" t="s">
        <v>328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89</v>
      </c>
      <c r="L136" s="6" t="s">
        <v>141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1877</v>
      </c>
      <c r="R136" s="2">
        <v>5266666.6670000004</v>
      </c>
      <c r="S136" s="2">
        <v>0</v>
      </c>
      <c r="T136" s="2" t="s">
        <v>96</v>
      </c>
      <c r="U136" s="2" t="s">
        <v>97</v>
      </c>
      <c r="V136" s="2" t="s">
        <v>56</v>
      </c>
      <c r="W136" s="2" t="s">
        <v>98</v>
      </c>
      <c r="X136" s="2" t="s">
        <v>99</v>
      </c>
      <c r="Y136" s="2">
        <v>0.95081468108450395</v>
      </c>
      <c r="Z136" s="2">
        <v>950.81468108450395</v>
      </c>
      <c r="AA136" s="2">
        <v>4.73719444444444</v>
      </c>
      <c r="AB136" s="2">
        <v>-74.069472222222203</v>
      </c>
      <c r="AC136" s="2">
        <v>2555</v>
      </c>
      <c r="AD136" s="2">
        <v>0</v>
      </c>
      <c r="AE136" s="2" t="s">
        <v>59</v>
      </c>
      <c r="AF136" s="2" t="s">
        <v>86</v>
      </c>
      <c r="AG136" s="2" t="s">
        <v>61</v>
      </c>
      <c r="AH136" s="2" t="s">
        <v>62</v>
      </c>
      <c r="AI136" s="2" t="s">
        <v>100</v>
      </c>
      <c r="AJ136" s="2">
        <v>0.43568507837493198</v>
      </c>
      <c r="AK136" s="2">
        <v>5.3934873163992796</v>
      </c>
      <c r="AL136" s="2">
        <v>1.66295745760988</v>
      </c>
      <c r="AM136" s="2">
        <v>0.85253139747212303</v>
      </c>
      <c r="AN136" s="2">
        <v>1.5485886135371101</v>
      </c>
      <c r="AO136" s="2">
        <v>2.3052357473437899E-2</v>
      </c>
      <c r="AP136" s="2">
        <v>2.3052357473437899E-2</v>
      </c>
      <c r="AQ136" s="2">
        <v>1</v>
      </c>
      <c r="AR136" s="2">
        <v>2</v>
      </c>
      <c r="AS136" s="2">
        <v>0</v>
      </c>
      <c r="AT136" s="2">
        <v>0</v>
      </c>
      <c r="AU136" s="2">
        <v>0</v>
      </c>
      <c r="AV136" s="2">
        <v>7</v>
      </c>
      <c r="AW136" s="2">
        <v>0</v>
      </c>
      <c r="AX136" s="2">
        <v>0</v>
      </c>
      <c r="AY136" s="2">
        <v>15.3</v>
      </c>
      <c r="AZ136" s="2">
        <v>9.8000000000000007</v>
      </c>
      <c r="BA136" s="2">
        <v>29.7</v>
      </c>
      <c r="BB136" s="2">
        <v>564</v>
      </c>
      <c r="BC136" s="2">
        <v>68</v>
      </c>
      <c r="BD136" s="2">
        <v>1.8</v>
      </c>
      <c r="BE136" s="2">
        <v>43</v>
      </c>
      <c r="BF136" s="2">
        <v>25.4</v>
      </c>
      <c r="BG136" s="2">
        <v>162</v>
      </c>
      <c r="BH136" s="2">
        <v>9.1</v>
      </c>
      <c r="BI136" s="2">
        <v>9.1999999999999993</v>
      </c>
      <c r="BJ136" s="2">
        <v>18.3</v>
      </c>
      <c r="BK136" s="2">
        <v>0.34</v>
      </c>
      <c r="BL136" s="2">
        <v>7.3</v>
      </c>
      <c r="BM136" s="2">
        <v>0.9</v>
      </c>
      <c r="BN136" s="2">
        <v>7.5</v>
      </c>
      <c r="BO136" s="2">
        <v>2.9</v>
      </c>
      <c r="BP136" s="2">
        <f t="shared" si="4"/>
        <v>9.349445707872599</v>
      </c>
      <c r="BQ136" s="2">
        <f t="shared" si="5"/>
        <v>29.029933678895073</v>
      </c>
    </row>
    <row r="137" spans="1:69" x14ac:dyDescent="0.2">
      <c r="A137" s="2" t="s">
        <v>1488</v>
      </c>
      <c r="B137" s="2" t="s">
        <v>47</v>
      </c>
      <c r="C137" s="2" t="s">
        <v>48</v>
      </c>
      <c r="D137" s="2" t="s">
        <v>49</v>
      </c>
      <c r="E137" s="2" t="s">
        <v>907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89</v>
      </c>
      <c r="L137" s="6" t="s">
        <v>103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1489</v>
      </c>
      <c r="R137" s="2">
        <v>4333333.3329999996</v>
      </c>
      <c r="S137" s="2">
        <v>0</v>
      </c>
      <c r="T137" s="2" t="s">
        <v>96</v>
      </c>
      <c r="U137" s="2" t="s">
        <v>97</v>
      </c>
      <c r="V137" s="2" t="s">
        <v>56</v>
      </c>
      <c r="W137" s="2" t="s">
        <v>98</v>
      </c>
      <c r="X137" s="2" t="s">
        <v>99</v>
      </c>
      <c r="Y137" s="2">
        <v>1.3412698347972101</v>
      </c>
      <c r="Z137" s="2">
        <v>1341.26983479721</v>
      </c>
      <c r="AA137" s="2">
        <v>4.73719444444444</v>
      </c>
      <c r="AB137" s="2">
        <v>-74.069472222222203</v>
      </c>
      <c r="AC137" s="2">
        <v>2555</v>
      </c>
      <c r="AD137" s="2">
        <v>0</v>
      </c>
      <c r="AE137" s="2" t="s">
        <v>59</v>
      </c>
      <c r="AF137" s="2" t="s">
        <v>86</v>
      </c>
      <c r="AG137" s="2" t="s">
        <v>61</v>
      </c>
      <c r="AH137" s="2" t="s">
        <v>62</v>
      </c>
      <c r="AI137" s="2" t="s">
        <v>100</v>
      </c>
      <c r="AJ137" s="2">
        <v>0.95485769184195501</v>
      </c>
      <c r="AK137" s="2">
        <v>4.0145524395730403</v>
      </c>
      <c r="AL137" s="2">
        <v>2.0214605390835398</v>
      </c>
      <c r="AM137" s="2">
        <v>0.22304401634250801</v>
      </c>
      <c r="AN137" s="2">
        <v>3.1516621253879902</v>
      </c>
      <c r="AO137" s="2">
        <v>6.3524280932226902E-3</v>
      </c>
      <c r="AP137" s="2">
        <v>6.3524280932226902E-3</v>
      </c>
      <c r="AQ137" s="2">
        <v>0</v>
      </c>
      <c r="AR137" s="2">
        <v>1</v>
      </c>
      <c r="AS137" s="2">
        <v>0</v>
      </c>
      <c r="AT137" s="2">
        <v>0</v>
      </c>
      <c r="AU137" s="2">
        <v>0</v>
      </c>
      <c r="AV137" s="2">
        <v>16</v>
      </c>
      <c r="AW137" s="2">
        <v>0</v>
      </c>
      <c r="AX137" s="2">
        <v>0</v>
      </c>
      <c r="AY137" s="2">
        <v>15.3</v>
      </c>
      <c r="AZ137" s="2">
        <v>9.8000000000000007</v>
      </c>
      <c r="BA137" s="2">
        <v>29.7</v>
      </c>
      <c r="BB137" s="2">
        <v>564</v>
      </c>
      <c r="BC137" s="2">
        <v>68</v>
      </c>
      <c r="BD137" s="2">
        <v>1.8</v>
      </c>
      <c r="BE137" s="2">
        <v>43</v>
      </c>
      <c r="BF137" s="2">
        <v>25.4</v>
      </c>
      <c r="BG137" s="2">
        <v>162</v>
      </c>
      <c r="BH137" s="2">
        <v>9.1</v>
      </c>
      <c r="BI137" s="2">
        <v>9.1999999999999993</v>
      </c>
      <c r="BJ137" s="2">
        <v>18.3</v>
      </c>
      <c r="BK137" s="2">
        <v>0.34</v>
      </c>
      <c r="BL137" s="2">
        <v>7.3</v>
      </c>
      <c r="BM137" s="2">
        <v>0.9</v>
      </c>
      <c r="BN137" s="2">
        <v>7.5</v>
      </c>
      <c r="BO137" s="2">
        <v>2.9</v>
      </c>
      <c r="BP137" s="2">
        <f t="shared" si="4"/>
        <v>9.1704790770247886</v>
      </c>
      <c r="BQ137" s="2">
        <f t="shared" si="5"/>
        <v>28.759167033901299</v>
      </c>
    </row>
    <row r="138" spans="1:69" x14ac:dyDescent="0.2">
      <c r="A138" s="2" t="s">
        <v>2853</v>
      </c>
      <c r="B138" s="2" t="s">
        <v>47</v>
      </c>
      <c r="C138" s="2" t="s">
        <v>1935</v>
      </c>
      <c r="D138" s="2" t="s">
        <v>49</v>
      </c>
      <c r="E138" s="2" t="s">
        <v>357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89</v>
      </c>
      <c r="L138" s="6" t="s">
        <v>141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2854</v>
      </c>
      <c r="R138" s="2">
        <v>4000000</v>
      </c>
      <c r="S138" s="2">
        <v>0</v>
      </c>
      <c r="T138" s="2" t="s">
        <v>96</v>
      </c>
      <c r="U138" s="2" t="s">
        <v>97</v>
      </c>
      <c r="V138" s="2" t="s">
        <v>56</v>
      </c>
      <c r="W138" s="2" t="s">
        <v>98</v>
      </c>
      <c r="X138" s="2" t="s">
        <v>99</v>
      </c>
      <c r="Y138" s="2">
        <v>1.6812795093170101</v>
      </c>
      <c r="Z138" s="2">
        <v>1681.27950931701</v>
      </c>
      <c r="AA138" s="2">
        <v>4.73719444444444</v>
      </c>
      <c r="AB138" s="2">
        <v>-74.069472222222203</v>
      </c>
      <c r="AC138" s="2">
        <v>2555</v>
      </c>
      <c r="AD138" s="2">
        <v>0</v>
      </c>
      <c r="AE138" s="2" t="s">
        <v>59</v>
      </c>
      <c r="AF138" s="2" t="s">
        <v>86</v>
      </c>
      <c r="AG138" s="2" t="s">
        <v>61</v>
      </c>
      <c r="AH138" s="2" t="s">
        <v>62</v>
      </c>
      <c r="AI138" s="2" t="s">
        <v>100</v>
      </c>
      <c r="AJ138" s="2">
        <v>0.92249081795175103</v>
      </c>
      <c r="AK138" s="2">
        <v>4.7571121967608603</v>
      </c>
      <c r="AL138" s="2">
        <v>0.82212582436450499</v>
      </c>
      <c r="AM138" s="2">
        <v>7.37802456865366E-2</v>
      </c>
      <c r="AN138" s="2">
        <v>2.9638890479920401</v>
      </c>
      <c r="AO138" s="2">
        <v>0.36534148854919102</v>
      </c>
      <c r="AP138" s="2">
        <v>0.36534148854919102</v>
      </c>
      <c r="AQ138" s="2">
        <v>0</v>
      </c>
      <c r="AR138" s="2">
        <v>1</v>
      </c>
      <c r="AS138" s="2">
        <v>0</v>
      </c>
      <c r="AT138" s="2">
        <v>0</v>
      </c>
      <c r="AU138" s="2">
        <v>1</v>
      </c>
      <c r="AV138" s="2">
        <v>30</v>
      </c>
      <c r="AW138" s="2">
        <v>0</v>
      </c>
      <c r="AX138" s="2">
        <v>0</v>
      </c>
      <c r="AY138" s="2">
        <v>15.3</v>
      </c>
      <c r="AZ138" s="2">
        <v>9.8000000000000007</v>
      </c>
      <c r="BA138" s="2">
        <v>29.7</v>
      </c>
      <c r="BB138" s="2">
        <v>564</v>
      </c>
      <c r="BC138" s="2">
        <v>68</v>
      </c>
      <c r="BD138" s="2">
        <v>1.8</v>
      </c>
      <c r="BE138" s="2">
        <v>43</v>
      </c>
      <c r="BF138" s="2">
        <v>25.4</v>
      </c>
      <c r="BG138" s="2">
        <v>162</v>
      </c>
      <c r="BH138" s="2">
        <v>9.1</v>
      </c>
      <c r="BI138" s="2">
        <v>9.1999999999999993</v>
      </c>
      <c r="BJ138" s="2">
        <v>18.3</v>
      </c>
      <c r="BK138" s="2">
        <v>0.34</v>
      </c>
      <c r="BL138" s="2">
        <v>7.3</v>
      </c>
      <c r="BM138" s="2">
        <v>0.9</v>
      </c>
      <c r="BN138" s="2">
        <v>7.5</v>
      </c>
      <c r="BO138" s="2">
        <v>2.9</v>
      </c>
      <c r="BP138" s="2">
        <f t="shared" si="4"/>
        <v>9.0174271043556047</v>
      </c>
      <c r="BQ138" s="2">
        <f t="shared" si="5"/>
        <v>28.525440481798668</v>
      </c>
    </row>
    <row r="139" spans="1:69" x14ac:dyDescent="0.2">
      <c r="A139" s="2" t="s">
        <v>2096</v>
      </c>
      <c r="B139" s="2" t="s">
        <v>47</v>
      </c>
      <c r="C139" s="2" t="s">
        <v>1935</v>
      </c>
      <c r="D139" s="2" t="s">
        <v>49</v>
      </c>
      <c r="E139" s="2" t="s">
        <v>308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89</v>
      </c>
      <c r="L139" s="6" t="s">
        <v>141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2097</v>
      </c>
      <c r="R139" s="2">
        <v>3816666.6669999999</v>
      </c>
      <c r="S139" s="2">
        <v>0</v>
      </c>
      <c r="T139" s="2" t="s">
        <v>96</v>
      </c>
      <c r="U139" s="2" t="s">
        <v>97</v>
      </c>
      <c r="V139" s="2" t="s">
        <v>56</v>
      </c>
      <c r="W139" s="2" t="s">
        <v>98</v>
      </c>
      <c r="X139" s="2" t="s">
        <v>99</v>
      </c>
      <c r="Y139" s="2">
        <v>4.3391648533166096</v>
      </c>
      <c r="Z139" s="2">
        <v>4339.1648533166099</v>
      </c>
      <c r="AA139" s="2">
        <v>4.73719444444444</v>
      </c>
      <c r="AB139" s="2">
        <v>-74.069472222222203</v>
      </c>
      <c r="AC139" s="2">
        <v>2555</v>
      </c>
      <c r="AD139" s="2">
        <v>0</v>
      </c>
      <c r="AE139" s="2" t="s">
        <v>59</v>
      </c>
      <c r="AF139" s="2" t="s">
        <v>86</v>
      </c>
      <c r="AG139" s="2" t="s">
        <v>61</v>
      </c>
      <c r="AH139" s="2" t="s">
        <v>62</v>
      </c>
      <c r="AI139" s="2" t="s">
        <v>100</v>
      </c>
      <c r="AJ139" s="2">
        <v>0.97328555936184402</v>
      </c>
      <c r="AK139" s="2">
        <v>5.3797795433259497</v>
      </c>
      <c r="AL139" s="2">
        <v>0.99734660158989796</v>
      </c>
      <c r="AM139" s="2">
        <v>9.5605608444650797E-2</v>
      </c>
      <c r="AN139" s="2">
        <v>2.676273259247</v>
      </c>
      <c r="AO139" s="2">
        <v>0.385899077587471</v>
      </c>
      <c r="AP139" s="2">
        <v>0.385899077587471</v>
      </c>
      <c r="AQ139" s="2">
        <v>0</v>
      </c>
      <c r="AR139" s="2">
        <v>1</v>
      </c>
      <c r="AS139" s="2">
        <v>0</v>
      </c>
      <c r="AT139" s="2">
        <v>0</v>
      </c>
      <c r="AU139" s="2">
        <v>1</v>
      </c>
      <c r="AV139" s="2">
        <v>33</v>
      </c>
      <c r="AW139" s="2">
        <v>0</v>
      </c>
      <c r="AX139" s="2">
        <v>0</v>
      </c>
      <c r="AY139" s="2">
        <v>15.3</v>
      </c>
      <c r="AZ139" s="2">
        <v>9.8000000000000007</v>
      </c>
      <c r="BA139" s="2">
        <v>29.7</v>
      </c>
      <c r="BB139" s="2">
        <v>564</v>
      </c>
      <c r="BC139" s="2">
        <v>68</v>
      </c>
      <c r="BD139" s="2">
        <v>1.8</v>
      </c>
      <c r="BE139" s="2">
        <v>43</v>
      </c>
      <c r="BF139" s="2">
        <v>25.4</v>
      </c>
      <c r="BG139" s="2">
        <v>162</v>
      </c>
      <c r="BH139" s="2">
        <v>9.1</v>
      </c>
      <c r="BI139" s="2">
        <v>9.1999999999999993</v>
      </c>
      <c r="BJ139" s="2">
        <v>18.3</v>
      </c>
      <c r="BK139" s="2">
        <v>0.34</v>
      </c>
      <c r="BL139" s="2">
        <v>7.3</v>
      </c>
      <c r="BM139" s="2">
        <v>0.9</v>
      </c>
      <c r="BN139" s="2">
        <v>7.5</v>
      </c>
      <c r="BO139" s="2">
        <v>2.9</v>
      </c>
      <c r="BP139" s="2">
        <f t="shared" si="4"/>
        <v>7.9057767421623275</v>
      </c>
      <c r="BQ139" s="2">
        <f t="shared" si="5"/>
        <v>26.762645465642546</v>
      </c>
    </row>
    <row r="140" spans="1:69" x14ac:dyDescent="0.2">
      <c r="A140" s="2" t="s">
        <v>2377</v>
      </c>
      <c r="B140" s="2" t="s">
        <v>47</v>
      </c>
      <c r="C140" s="2" t="s">
        <v>1935</v>
      </c>
      <c r="D140" s="2" t="s">
        <v>49</v>
      </c>
      <c r="E140" s="2" t="s">
        <v>2378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89</v>
      </c>
      <c r="L140" s="6" t="s">
        <v>141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2379</v>
      </c>
      <c r="R140" s="2">
        <v>3266666.6669999999</v>
      </c>
      <c r="S140" s="2">
        <v>0</v>
      </c>
      <c r="T140" s="2" t="s">
        <v>98</v>
      </c>
      <c r="U140" s="2" t="s">
        <v>766</v>
      </c>
      <c r="V140" s="2" t="s">
        <v>56</v>
      </c>
      <c r="W140" s="2" t="s">
        <v>98</v>
      </c>
      <c r="X140" s="2" t="s">
        <v>767</v>
      </c>
      <c r="Y140" s="2">
        <v>1.9563908242222601</v>
      </c>
      <c r="Z140" s="2">
        <v>1956.3908242222601</v>
      </c>
      <c r="AA140" s="2">
        <v>4.7612472222222202</v>
      </c>
      <c r="AB140" s="2">
        <v>-74.093461111111097</v>
      </c>
      <c r="AC140" s="2">
        <v>2571</v>
      </c>
      <c r="AD140" s="2">
        <v>6</v>
      </c>
      <c r="AE140" s="2" t="s">
        <v>133</v>
      </c>
      <c r="AF140" s="2" t="s">
        <v>86</v>
      </c>
      <c r="AG140" s="2" t="s">
        <v>61</v>
      </c>
      <c r="AH140" s="2" t="s">
        <v>62</v>
      </c>
      <c r="AI140" s="2" t="s">
        <v>100</v>
      </c>
      <c r="AJ140" s="2">
        <v>0.152630626208176</v>
      </c>
      <c r="AK140" s="2">
        <v>3.22810098799141</v>
      </c>
      <c r="AL140" s="2">
        <v>3.66986681742975</v>
      </c>
      <c r="AM140" s="2">
        <v>0.21626552193842</v>
      </c>
      <c r="AN140" s="2">
        <v>0.64913537358120899</v>
      </c>
      <c r="AO140" s="2">
        <v>0.11405720931386901</v>
      </c>
      <c r="AP140" s="2">
        <v>0.11405720931386901</v>
      </c>
      <c r="AQ140" s="2">
        <v>1</v>
      </c>
      <c r="AR140" s="2">
        <v>3</v>
      </c>
      <c r="AS140" s="2">
        <v>0</v>
      </c>
      <c r="AT140" s="2">
        <v>0</v>
      </c>
      <c r="AU140" s="2">
        <v>0</v>
      </c>
      <c r="AV140" s="2">
        <v>53</v>
      </c>
      <c r="AW140" s="2">
        <v>1</v>
      </c>
      <c r="AX140" s="2">
        <v>0</v>
      </c>
      <c r="AY140" s="2">
        <v>15.3</v>
      </c>
      <c r="AZ140" s="2">
        <v>9.8000000000000007</v>
      </c>
      <c r="BA140" s="2">
        <v>29.7</v>
      </c>
      <c r="BB140" s="2">
        <v>564</v>
      </c>
      <c r="BC140" s="2">
        <v>68</v>
      </c>
      <c r="BD140" s="2">
        <v>1.8</v>
      </c>
      <c r="BE140" s="2">
        <v>43</v>
      </c>
      <c r="BF140" s="2">
        <v>25.4</v>
      </c>
      <c r="BG140" s="2">
        <v>162</v>
      </c>
      <c r="BH140" s="2">
        <v>9.1</v>
      </c>
      <c r="BI140" s="2">
        <v>9.1999999999999993</v>
      </c>
      <c r="BJ140" s="2">
        <v>18.3</v>
      </c>
      <c r="BK140" s="2">
        <v>0.34</v>
      </c>
      <c r="BL140" s="2">
        <v>7.3</v>
      </c>
      <c r="BM140" s="2">
        <v>0.9</v>
      </c>
      <c r="BN140" s="2">
        <v>7.5</v>
      </c>
      <c r="BO140" s="2">
        <v>2.9</v>
      </c>
      <c r="BP140" s="2">
        <f t="shared" si="4"/>
        <v>8.8954600502642744</v>
      </c>
      <c r="BQ140" s="2">
        <f t="shared" si="5"/>
        <v>28.337716788192424</v>
      </c>
    </row>
    <row r="141" spans="1:69" x14ac:dyDescent="0.2">
      <c r="A141" s="2" t="s">
        <v>2938</v>
      </c>
      <c r="B141" s="2" t="s">
        <v>47</v>
      </c>
      <c r="C141" s="2" t="s">
        <v>1935</v>
      </c>
      <c r="D141" s="2" t="s">
        <v>49</v>
      </c>
      <c r="E141" s="2" t="s">
        <v>256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89</v>
      </c>
      <c r="L141" s="6" t="s">
        <v>141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2939</v>
      </c>
      <c r="R141" s="2">
        <v>5000000</v>
      </c>
      <c r="S141" s="2">
        <v>0</v>
      </c>
      <c r="T141" s="2" t="s">
        <v>96</v>
      </c>
      <c r="U141" s="2" t="s">
        <v>97</v>
      </c>
      <c r="V141" s="2" t="s">
        <v>56</v>
      </c>
      <c r="W141" s="2" t="s">
        <v>98</v>
      </c>
      <c r="X141" s="2" t="s">
        <v>99</v>
      </c>
      <c r="Y141" s="2">
        <v>1.47529219793721</v>
      </c>
      <c r="Z141" s="2">
        <v>1475.2921979372099</v>
      </c>
      <c r="AA141" s="2">
        <v>4.73719444444444</v>
      </c>
      <c r="AB141" s="2">
        <v>-74.069472222222203</v>
      </c>
      <c r="AC141" s="2">
        <v>2555</v>
      </c>
      <c r="AD141" s="2">
        <v>0</v>
      </c>
      <c r="AE141" s="2" t="s">
        <v>59</v>
      </c>
      <c r="AF141" s="2" t="s">
        <v>86</v>
      </c>
      <c r="AG141" s="2" t="s">
        <v>61</v>
      </c>
      <c r="AH141" s="2" t="s">
        <v>62</v>
      </c>
      <c r="AI141" s="2" t="s">
        <v>100</v>
      </c>
      <c r="AJ141" s="2">
        <v>1.3221205874272399</v>
      </c>
      <c r="AK141" s="2">
        <v>4.4151386301266502</v>
      </c>
      <c r="AL141" s="2">
        <v>1.3529823308445299</v>
      </c>
      <c r="AM141" s="2">
        <v>0.12100001797946</v>
      </c>
      <c r="AN141" s="2">
        <v>3.0312698278115202</v>
      </c>
      <c r="AO141" s="2">
        <v>0.49489876180445003</v>
      </c>
      <c r="AP141" s="2">
        <v>0.49489876180445003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21</v>
      </c>
      <c r="AW141" s="2">
        <v>0</v>
      </c>
      <c r="AX141" s="2">
        <v>0</v>
      </c>
      <c r="AY141" s="2">
        <v>15.3</v>
      </c>
      <c r="AZ141" s="2">
        <v>9.8000000000000007</v>
      </c>
      <c r="BA141" s="2">
        <v>29.7</v>
      </c>
      <c r="BB141" s="2">
        <v>564</v>
      </c>
      <c r="BC141" s="2">
        <v>68</v>
      </c>
      <c r="BD141" s="2">
        <v>1.8</v>
      </c>
      <c r="BE141" s="2">
        <v>43</v>
      </c>
      <c r="BF141" s="2">
        <v>25.4</v>
      </c>
      <c r="BG141" s="2">
        <v>162</v>
      </c>
      <c r="BH141" s="2">
        <v>9.1</v>
      </c>
      <c r="BI141" s="2">
        <v>9.1999999999999993</v>
      </c>
      <c r="BJ141" s="2">
        <v>18.3</v>
      </c>
      <c r="BK141" s="2">
        <v>0.34</v>
      </c>
      <c r="BL141" s="2">
        <v>7.3</v>
      </c>
      <c r="BM141" s="2">
        <v>0.9</v>
      </c>
      <c r="BN141" s="2">
        <v>7.5</v>
      </c>
      <c r="BO141" s="2">
        <v>2.9</v>
      </c>
      <c r="BP141" s="2">
        <f t="shared" si="4"/>
        <v>9.1098424949892376</v>
      </c>
      <c r="BQ141" s="2">
        <f t="shared" si="5"/>
        <v>28.666810730581197</v>
      </c>
    </row>
    <row r="142" spans="1:69" x14ac:dyDescent="0.2">
      <c r="A142" s="2" t="s">
        <v>433</v>
      </c>
      <c r="B142" s="2" t="s">
        <v>47</v>
      </c>
      <c r="C142" s="2" t="s">
        <v>48</v>
      </c>
      <c r="D142" s="2" t="s">
        <v>49</v>
      </c>
      <c r="E142" s="2" t="s">
        <v>434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89</v>
      </c>
      <c r="L142" s="6" t="s">
        <v>112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435</v>
      </c>
      <c r="R142" s="2">
        <v>6564625.8499999996</v>
      </c>
      <c r="S142" s="2">
        <v>0</v>
      </c>
      <c r="T142" s="2" t="s">
        <v>96</v>
      </c>
      <c r="U142" s="2" t="s">
        <v>97</v>
      </c>
      <c r="V142" s="2" t="s">
        <v>56</v>
      </c>
      <c r="W142" s="2" t="s">
        <v>98</v>
      </c>
      <c r="X142" s="2" t="s">
        <v>99</v>
      </c>
      <c r="Y142" s="2">
        <v>0.78285428516756905</v>
      </c>
      <c r="Z142" s="2">
        <v>782.85428516756895</v>
      </c>
      <c r="AA142" s="2">
        <v>4.73719444444444</v>
      </c>
      <c r="AB142" s="2">
        <v>-74.069472222222203</v>
      </c>
      <c r="AC142" s="2">
        <v>2555</v>
      </c>
      <c r="AD142" s="2">
        <v>0</v>
      </c>
      <c r="AE142" s="2" t="s">
        <v>59</v>
      </c>
      <c r="AF142" s="2" t="s">
        <v>86</v>
      </c>
      <c r="AG142" s="2" t="s">
        <v>61</v>
      </c>
      <c r="AH142" s="2" t="s">
        <v>62</v>
      </c>
      <c r="AI142" s="2" t="s">
        <v>100</v>
      </c>
      <c r="AJ142" s="2">
        <v>0.54847321732255006</v>
      </c>
      <c r="AK142" s="2">
        <v>4.9058090640856502</v>
      </c>
      <c r="AL142" s="2">
        <v>2.3649650816507699</v>
      </c>
      <c r="AM142" s="2">
        <v>0.56070020073001303</v>
      </c>
      <c r="AN142" s="2">
        <v>1.06105497910492</v>
      </c>
      <c r="AO142" s="2">
        <v>5.6293506580864499E-3</v>
      </c>
      <c r="AP142" s="2">
        <v>5.6293506580864499E-3</v>
      </c>
      <c r="AQ142" s="2">
        <v>0</v>
      </c>
      <c r="AR142" s="2">
        <v>1</v>
      </c>
      <c r="AS142" s="2">
        <v>0</v>
      </c>
      <c r="AT142" s="2">
        <v>0</v>
      </c>
      <c r="AU142" s="2">
        <v>0</v>
      </c>
      <c r="AV142" s="2">
        <v>6</v>
      </c>
      <c r="AW142" s="2">
        <v>0</v>
      </c>
      <c r="AX142" s="2">
        <v>0</v>
      </c>
      <c r="AY142" s="2">
        <v>15.3</v>
      </c>
      <c r="AZ142" s="2">
        <v>9.8000000000000007</v>
      </c>
      <c r="BA142" s="2">
        <v>29.7</v>
      </c>
      <c r="BB142" s="2">
        <v>564</v>
      </c>
      <c r="BC142" s="2">
        <v>68</v>
      </c>
      <c r="BD142" s="2">
        <v>1.8</v>
      </c>
      <c r="BE142" s="2">
        <v>43</v>
      </c>
      <c r="BF142" s="2">
        <v>25.4</v>
      </c>
      <c r="BG142" s="2">
        <v>162</v>
      </c>
      <c r="BH142" s="2">
        <v>9.1</v>
      </c>
      <c r="BI142" s="2">
        <v>9.1999999999999993</v>
      </c>
      <c r="BJ142" s="2">
        <v>18.3</v>
      </c>
      <c r="BK142" s="2">
        <v>0.34</v>
      </c>
      <c r="BL142" s="2">
        <v>7.3</v>
      </c>
      <c r="BM142" s="2">
        <v>0.9</v>
      </c>
      <c r="BN142" s="2">
        <v>7.5</v>
      </c>
      <c r="BO142" s="2">
        <v>2.9</v>
      </c>
      <c r="BP142" s="2">
        <f t="shared" si="4"/>
        <v>9.4275013991387411</v>
      </c>
      <c r="BQ142" s="2">
        <f t="shared" si="5"/>
        <v>29.147190954756798</v>
      </c>
    </row>
    <row r="143" spans="1:69" x14ac:dyDescent="0.2">
      <c r="A143" s="2" t="s">
        <v>542</v>
      </c>
      <c r="B143" s="2" t="s">
        <v>47</v>
      </c>
      <c r="C143" s="2" t="s">
        <v>48</v>
      </c>
      <c r="D143" s="2" t="s">
        <v>49</v>
      </c>
      <c r="E143" s="2" t="s">
        <v>328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89</v>
      </c>
      <c r="L143" s="6" t="s">
        <v>103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543</v>
      </c>
      <c r="R143" s="2">
        <v>8440896.1420000009</v>
      </c>
      <c r="S143" s="2">
        <v>0</v>
      </c>
      <c r="T143" s="2" t="s">
        <v>96</v>
      </c>
      <c r="U143" s="2" t="s">
        <v>97</v>
      </c>
      <c r="V143" s="2" t="s">
        <v>56</v>
      </c>
      <c r="W143" s="2" t="s">
        <v>98</v>
      </c>
      <c r="X143" s="2" t="s">
        <v>99</v>
      </c>
      <c r="Y143" s="2">
        <v>1.6769216112958401</v>
      </c>
      <c r="Z143" s="2">
        <v>1676.92161129584</v>
      </c>
      <c r="AA143" s="2">
        <v>4.73719444444444</v>
      </c>
      <c r="AB143" s="2">
        <v>-74.069472222222203</v>
      </c>
      <c r="AC143" s="2">
        <v>2555</v>
      </c>
      <c r="AD143" s="2">
        <v>0</v>
      </c>
      <c r="AE143" s="2" t="s">
        <v>59</v>
      </c>
      <c r="AF143" s="2" t="s">
        <v>86</v>
      </c>
      <c r="AG143" s="2" t="s">
        <v>61</v>
      </c>
      <c r="AH143" s="2" t="s">
        <v>62</v>
      </c>
      <c r="AI143" s="2" t="s">
        <v>100</v>
      </c>
      <c r="AJ143" s="2">
        <v>0.46161353433427399</v>
      </c>
      <c r="AK143" s="2">
        <v>5.2539618595607998</v>
      </c>
      <c r="AL143" s="2">
        <v>1.1073041562811199</v>
      </c>
      <c r="AM143" s="2">
        <v>0.76951546069237198</v>
      </c>
      <c r="AN143" s="2">
        <v>2.03884569634244</v>
      </c>
      <c r="AO143" s="2">
        <v>3.8906724229921197E-2</v>
      </c>
      <c r="AP143" s="2">
        <v>3.8906724229921197E-2</v>
      </c>
      <c r="AQ143" s="2">
        <v>2</v>
      </c>
      <c r="AR143" s="2">
        <v>2</v>
      </c>
      <c r="AS143" s="2">
        <v>0</v>
      </c>
      <c r="AT143" s="2">
        <v>0</v>
      </c>
      <c r="AU143" s="2">
        <v>0</v>
      </c>
      <c r="AV143" s="2">
        <v>5</v>
      </c>
      <c r="AW143" s="2">
        <v>0</v>
      </c>
      <c r="AX143" s="2">
        <v>0</v>
      </c>
      <c r="AY143" s="2">
        <v>15.3</v>
      </c>
      <c r="AZ143" s="2">
        <v>9.8000000000000007</v>
      </c>
      <c r="BA143" s="2">
        <v>29.7</v>
      </c>
      <c r="BB143" s="2">
        <v>564</v>
      </c>
      <c r="BC143" s="2">
        <v>68</v>
      </c>
      <c r="BD143" s="2">
        <v>1.8</v>
      </c>
      <c r="BE143" s="2">
        <v>43</v>
      </c>
      <c r="BF143" s="2">
        <v>25.4</v>
      </c>
      <c r="BG143" s="2">
        <v>162</v>
      </c>
      <c r="BH143" s="2">
        <v>9.1</v>
      </c>
      <c r="BI143" s="2">
        <v>9.1999999999999993</v>
      </c>
      <c r="BJ143" s="2">
        <v>18.3</v>
      </c>
      <c r="BK143" s="2">
        <v>0.34</v>
      </c>
      <c r="BL143" s="2">
        <v>7.3</v>
      </c>
      <c r="BM143" s="2">
        <v>0.9</v>
      </c>
      <c r="BN143" s="2">
        <v>7.5</v>
      </c>
      <c r="BO143" s="2">
        <v>2.9</v>
      </c>
      <c r="BP143" s="2">
        <f t="shared" si="4"/>
        <v>9.0193725170491756</v>
      </c>
      <c r="BQ143" s="2">
        <f t="shared" si="5"/>
        <v>28.52842410087873</v>
      </c>
    </row>
    <row r="144" spans="1:69" x14ac:dyDescent="0.2">
      <c r="A144" s="2" t="s">
        <v>1937</v>
      </c>
      <c r="B144" s="2" t="s">
        <v>47</v>
      </c>
      <c r="C144" s="2" t="s">
        <v>1935</v>
      </c>
      <c r="D144" s="2" t="s">
        <v>49</v>
      </c>
      <c r="E144" s="2" t="s">
        <v>527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51</v>
      </c>
      <c r="L144" s="6" t="s">
        <v>52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1938</v>
      </c>
      <c r="R144" s="2">
        <v>9107142.8570000008</v>
      </c>
      <c r="S144" s="2">
        <v>0</v>
      </c>
      <c r="T144" s="2" t="s">
        <v>96</v>
      </c>
      <c r="U144" s="2" t="s">
        <v>97</v>
      </c>
      <c r="V144" s="2" t="s">
        <v>56</v>
      </c>
      <c r="W144" s="2" t="s">
        <v>98</v>
      </c>
      <c r="X144" s="2" t="s">
        <v>99</v>
      </c>
      <c r="Y144" s="2">
        <v>1.73237209652619</v>
      </c>
      <c r="Z144" s="2">
        <v>1732.37209652619</v>
      </c>
      <c r="AA144" s="2">
        <v>4.73719444444444</v>
      </c>
      <c r="AB144" s="2">
        <v>-74.069472222222203</v>
      </c>
      <c r="AC144" s="2">
        <v>2555</v>
      </c>
      <c r="AD144" s="2">
        <v>0</v>
      </c>
      <c r="AE144" s="2" t="s">
        <v>59</v>
      </c>
      <c r="AF144" s="2" t="s">
        <v>86</v>
      </c>
      <c r="AG144" s="2" t="s">
        <v>61</v>
      </c>
      <c r="AH144" s="2" t="s">
        <v>62</v>
      </c>
      <c r="AI144" s="2" t="s">
        <v>100</v>
      </c>
      <c r="AJ144" s="2">
        <v>0.151125754368475</v>
      </c>
      <c r="AK144" s="2">
        <v>5.5894365406695998</v>
      </c>
      <c r="AL144" s="2">
        <v>0.74703752955565506</v>
      </c>
      <c r="AM144" s="2">
        <v>0.38906789108147799</v>
      </c>
      <c r="AN144" s="2">
        <v>2.3746386728724098</v>
      </c>
      <c r="AO144" s="2">
        <v>0.206048737707242</v>
      </c>
      <c r="AP144" s="2">
        <v>0.206048737707242</v>
      </c>
      <c r="AQ144" s="2">
        <v>1</v>
      </c>
      <c r="AR144" s="2">
        <v>2</v>
      </c>
      <c r="AS144" s="2">
        <v>0</v>
      </c>
      <c r="AT144" s="2">
        <v>0</v>
      </c>
      <c r="AU144" s="2">
        <v>1</v>
      </c>
      <c r="AV144" s="2">
        <v>22</v>
      </c>
      <c r="AW144" s="2">
        <v>0</v>
      </c>
      <c r="AX144" s="2">
        <v>0</v>
      </c>
      <c r="AY144" s="2">
        <v>15.3</v>
      </c>
      <c r="AZ144" s="2">
        <v>9.8000000000000007</v>
      </c>
      <c r="BA144" s="2">
        <v>29.7</v>
      </c>
      <c r="BB144" s="2">
        <v>564</v>
      </c>
      <c r="BC144" s="2">
        <v>68</v>
      </c>
      <c r="BD144" s="2">
        <v>1.8</v>
      </c>
      <c r="BE144" s="2">
        <v>43</v>
      </c>
      <c r="BF144" s="2">
        <v>25.4</v>
      </c>
      <c r="BG144" s="2">
        <v>162</v>
      </c>
      <c r="BH144" s="2">
        <v>9.1</v>
      </c>
      <c r="BI144" s="2">
        <v>9.1999999999999993</v>
      </c>
      <c r="BJ144" s="2">
        <v>18.3</v>
      </c>
      <c r="BK144" s="2">
        <v>0.34</v>
      </c>
      <c r="BL144" s="2">
        <v>7.3</v>
      </c>
      <c r="BM144" s="2">
        <v>0.9</v>
      </c>
      <c r="BN144" s="2">
        <v>7.5</v>
      </c>
      <c r="BO144" s="2">
        <v>2.9</v>
      </c>
      <c r="BP144" s="2">
        <f t="shared" si="4"/>
        <v>8.994650096772121</v>
      </c>
      <c r="BQ144" s="2">
        <f t="shared" si="5"/>
        <v>28.490483393423972</v>
      </c>
    </row>
    <row r="145" spans="1:69" x14ac:dyDescent="0.2">
      <c r="A145" s="2" t="s">
        <v>924</v>
      </c>
      <c r="B145" s="2" t="s">
        <v>47</v>
      </c>
      <c r="C145" s="2" t="s">
        <v>48</v>
      </c>
      <c r="D145" s="2" t="s">
        <v>49</v>
      </c>
      <c r="E145" s="2" t="s">
        <v>640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89</v>
      </c>
      <c r="L145" s="6" t="s">
        <v>90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925</v>
      </c>
      <c r="R145" s="2">
        <v>8214285.7139999997</v>
      </c>
      <c r="S145" s="2">
        <v>0</v>
      </c>
      <c r="T145" s="2" t="s">
        <v>96</v>
      </c>
      <c r="U145" s="2" t="s">
        <v>97</v>
      </c>
      <c r="V145" s="2" t="s">
        <v>56</v>
      </c>
      <c r="W145" s="2" t="s">
        <v>98</v>
      </c>
      <c r="X145" s="2" t="s">
        <v>99</v>
      </c>
      <c r="Y145" s="2">
        <v>0.82498868735807995</v>
      </c>
      <c r="Z145" s="2">
        <v>824.98868735808003</v>
      </c>
      <c r="AA145" s="2">
        <v>4.73719444444444</v>
      </c>
      <c r="AB145" s="2">
        <v>-74.069472222222203</v>
      </c>
      <c r="AC145" s="2">
        <v>2555</v>
      </c>
      <c r="AD145" s="2">
        <v>0</v>
      </c>
      <c r="AE145" s="2" t="s">
        <v>59</v>
      </c>
      <c r="AF145" s="2" t="s">
        <v>86</v>
      </c>
      <c r="AG145" s="2" t="s">
        <v>61</v>
      </c>
      <c r="AH145" s="2" t="s">
        <v>62</v>
      </c>
      <c r="AI145" s="2" t="s">
        <v>100</v>
      </c>
      <c r="AJ145" s="2">
        <v>1.6347025191731599</v>
      </c>
      <c r="AK145" s="2">
        <v>5.2642264421688898</v>
      </c>
      <c r="AL145" s="2">
        <v>2.0078190469213899</v>
      </c>
      <c r="AM145" s="2">
        <v>0.69909970570939906</v>
      </c>
      <c r="AN145" s="2">
        <v>1.80335650645714</v>
      </c>
      <c r="AO145" s="2">
        <v>6.9609346514785996E-3</v>
      </c>
      <c r="AP145" s="2">
        <v>6.9609346514785996E-3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13</v>
      </c>
      <c r="AW145" s="2">
        <v>0</v>
      </c>
      <c r="AX145" s="2">
        <v>0</v>
      </c>
      <c r="AY145" s="2">
        <v>15.3</v>
      </c>
      <c r="AZ145" s="2">
        <v>9.8000000000000007</v>
      </c>
      <c r="BA145" s="2">
        <v>29.7</v>
      </c>
      <c r="BB145" s="2">
        <v>564</v>
      </c>
      <c r="BC145" s="2">
        <v>68</v>
      </c>
      <c r="BD145" s="2">
        <v>1.8</v>
      </c>
      <c r="BE145" s="2">
        <v>43</v>
      </c>
      <c r="BF145" s="2">
        <v>25.4</v>
      </c>
      <c r="BG145" s="2">
        <v>162</v>
      </c>
      <c r="BH145" s="2">
        <v>9.1</v>
      </c>
      <c r="BI145" s="2">
        <v>9.1999999999999993</v>
      </c>
      <c r="BJ145" s="2">
        <v>18.3</v>
      </c>
      <c r="BK145" s="2">
        <v>0.34</v>
      </c>
      <c r="BL145" s="2">
        <v>7.3</v>
      </c>
      <c r="BM145" s="2">
        <v>0.9</v>
      </c>
      <c r="BN145" s="2">
        <v>7.5</v>
      </c>
      <c r="BO145" s="2">
        <v>2.9</v>
      </c>
      <c r="BP145" s="2">
        <f t="shared" si="4"/>
        <v>9.4078593937493711</v>
      </c>
      <c r="BQ145" s="2">
        <f t="shared" si="5"/>
        <v>29.117731465169101</v>
      </c>
    </row>
    <row r="146" spans="1:69" x14ac:dyDescent="0.2">
      <c r="A146" s="2" t="s">
        <v>3252</v>
      </c>
      <c r="B146" s="2" t="s">
        <v>47</v>
      </c>
      <c r="C146" s="2" t="s">
        <v>1935</v>
      </c>
      <c r="D146" s="2" t="s">
        <v>49</v>
      </c>
      <c r="E146" s="2" t="s">
        <v>1703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89</v>
      </c>
      <c r="L146" s="6" t="s">
        <v>141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3253</v>
      </c>
      <c r="R146" s="2">
        <v>5710714.2860000003</v>
      </c>
      <c r="S146" s="2">
        <v>0</v>
      </c>
      <c r="T146" s="2" t="s">
        <v>96</v>
      </c>
      <c r="U146" s="2" t="s">
        <v>97</v>
      </c>
      <c r="V146" s="2" t="s">
        <v>56</v>
      </c>
      <c r="W146" s="2" t="s">
        <v>98</v>
      </c>
      <c r="X146" s="2" t="s">
        <v>99</v>
      </c>
      <c r="Y146" s="2">
        <v>2.6832795063824002</v>
      </c>
      <c r="Z146" s="2">
        <v>2683.2795063824001</v>
      </c>
      <c r="AA146" s="2">
        <v>4.73719444444444</v>
      </c>
      <c r="AB146" s="2">
        <v>-74.069472222222203</v>
      </c>
      <c r="AC146" s="2">
        <v>2555</v>
      </c>
      <c r="AD146" s="2">
        <v>0</v>
      </c>
      <c r="AE146" s="2" t="s">
        <v>59</v>
      </c>
      <c r="AF146" s="2" t="s">
        <v>86</v>
      </c>
      <c r="AG146" s="2" t="s">
        <v>61</v>
      </c>
      <c r="AH146" s="2" t="s">
        <v>62</v>
      </c>
      <c r="AI146" s="2" t="s">
        <v>100</v>
      </c>
      <c r="AJ146" s="2">
        <v>1.80888188967848</v>
      </c>
      <c r="AK146" s="2">
        <v>4.3401258417349302</v>
      </c>
      <c r="AL146" s="2">
        <v>1.1436319812604501</v>
      </c>
      <c r="AM146" s="2">
        <v>0.16313204640307699</v>
      </c>
      <c r="AN146" s="2">
        <v>3.34327235743956</v>
      </c>
      <c r="AO146" s="2">
        <v>0.285412959235959</v>
      </c>
      <c r="AP146" s="2">
        <v>0.285412959235959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9</v>
      </c>
      <c r="AW146" s="2">
        <v>0</v>
      </c>
      <c r="AX146" s="2">
        <v>1</v>
      </c>
      <c r="AY146" s="2">
        <v>15.3</v>
      </c>
      <c r="AZ146" s="2">
        <v>9.8000000000000007</v>
      </c>
      <c r="BA146" s="2">
        <v>29.7</v>
      </c>
      <c r="BB146" s="2">
        <v>564</v>
      </c>
      <c r="BC146" s="2">
        <v>68</v>
      </c>
      <c r="BD146" s="2">
        <v>1.8</v>
      </c>
      <c r="BE146" s="2">
        <v>43</v>
      </c>
      <c r="BF146" s="2">
        <v>25.4</v>
      </c>
      <c r="BG146" s="2">
        <v>162</v>
      </c>
      <c r="BH146" s="2">
        <v>9.1</v>
      </c>
      <c r="BI146" s="2">
        <v>9.1999999999999993</v>
      </c>
      <c r="BJ146" s="2">
        <v>18.3</v>
      </c>
      <c r="BK146" s="2">
        <v>0.34</v>
      </c>
      <c r="BL146" s="2">
        <v>7.3</v>
      </c>
      <c r="BM146" s="2">
        <v>0.9</v>
      </c>
      <c r="BN146" s="2">
        <v>7.5</v>
      </c>
      <c r="BO146" s="2">
        <v>2.9</v>
      </c>
      <c r="BP146" s="2">
        <f t="shared" si="4"/>
        <v>8.5810823203787105</v>
      </c>
      <c r="BQ146" s="2">
        <f t="shared" si="5"/>
        <v>27.847643189937116</v>
      </c>
    </row>
    <row r="147" spans="1:69" x14ac:dyDescent="0.2">
      <c r="A147" s="2" t="s">
        <v>2136</v>
      </c>
      <c r="B147" s="2" t="s">
        <v>47</v>
      </c>
      <c r="C147" s="2" t="s">
        <v>1935</v>
      </c>
      <c r="D147" s="2" t="s">
        <v>49</v>
      </c>
      <c r="E147" s="2" t="s">
        <v>1703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89</v>
      </c>
      <c r="L147" s="6" t="s">
        <v>103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2137</v>
      </c>
      <c r="R147" s="2">
        <v>5357142.8569999998</v>
      </c>
      <c r="S147" s="2">
        <v>0</v>
      </c>
      <c r="T147" s="2" t="s">
        <v>130</v>
      </c>
      <c r="U147" s="2" t="s">
        <v>131</v>
      </c>
      <c r="V147" s="2" t="s">
        <v>56</v>
      </c>
      <c r="W147" s="2" t="s">
        <v>98</v>
      </c>
      <c r="X147" s="2" t="s">
        <v>132</v>
      </c>
      <c r="Y147" s="2">
        <v>2.8780751940276201</v>
      </c>
      <c r="Z147" s="2">
        <v>2878.07519402762</v>
      </c>
      <c r="AA147" s="2">
        <v>4.7837500000000004</v>
      </c>
      <c r="AB147" s="2">
        <v>-74.044138888888895</v>
      </c>
      <c r="AC147" s="2">
        <v>2580</v>
      </c>
      <c r="AD147" s="2">
        <v>0</v>
      </c>
      <c r="AE147" s="2" t="s">
        <v>133</v>
      </c>
      <c r="AF147" s="2" t="s">
        <v>86</v>
      </c>
      <c r="AG147" s="2" t="s">
        <v>61</v>
      </c>
      <c r="AH147" s="2" t="s">
        <v>62</v>
      </c>
      <c r="AI147" s="2" t="s">
        <v>100</v>
      </c>
      <c r="AJ147" s="2">
        <v>2.1881034271370998</v>
      </c>
      <c r="AK147" s="2">
        <v>3.7886604622208599</v>
      </c>
      <c r="AL147" s="2">
        <v>1.8875892410246999</v>
      </c>
      <c r="AM147" s="2">
        <v>0.64194638437695795</v>
      </c>
      <c r="AN147" s="2">
        <v>3.6903946302712902</v>
      </c>
      <c r="AO147" s="2">
        <v>0.17031971783223801</v>
      </c>
      <c r="AP147" s="2">
        <v>0.17031971783223801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5</v>
      </c>
      <c r="AW147" s="2">
        <v>0</v>
      </c>
      <c r="AX147" s="2">
        <v>1</v>
      </c>
      <c r="AY147" s="2">
        <v>15.3</v>
      </c>
      <c r="AZ147" s="2">
        <v>9.8000000000000007</v>
      </c>
      <c r="BA147" s="2">
        <v>29.7</v>
      </c>
      <c r="BB147" s="2">
        <v>564</v>
      </c>
      <c r="BC147" s="2">
        <v>68</v>
      </c>
      <c r="BD147" s="2">
        <v>1.8</v>
      </c>
      <c r="BE147" s="2">
        <v>43</v>
      </c>
      <c r="BF147" s="2">
        <v>25.4</v>
      </c>
      <c r="BG147" s="2">
        <v>162</v>
      </c>
      <c r="BH147" s="2">
        <v>9.1</v>
      </c>
      <c r="BI147" s="2">
        <v>9.1999999999999993</v>
      </c>
      <c r="BJ147" s="2">
        <v>18.3</v>
      </c>
      <c r="BK147" s="2">
        <v>0.34</v>
      </c>
      <c r="BL147" s="2">
        <v>7.3</v>
      </c>
      <c r="BM147" s="2">
        <v>0.9</v>
      </c>
      <c r="BN147" s="2">
        <v>7.5</v>
      </c>
      <c r="BO147" s="2">
        <v>2.9</v>
      </c>
      <c r="BP147" s="2">
        <f t="shared" si="4"/>
        <v>8.4987378443623793</v>
      </c>
      <c r="BQ147" s="2">
        <f t="shared" si="5"/>
        <v>27.717756623318614</v>
      </c>
    </row>
    <row r="148" spans="1:69" x14ac:dyDescent="0.2">
      <c r="A148" s="2" t="s">
        <v>2219</v>
      </c>
      <c r="B148" s="2" t="s">
        <v>47</v>
      </c>
      <c r="C148" s="2" t="s">
        <v>1935</v>
      </c>
      <c r="D148" s="2" t="s">
        <v>49</v>
      </c>
      <c r="E148" s="2" t="s">
        <v>1703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89</v>
      </c>
      <c r="L148" s="6" t="s">
        <v>141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2220</v>
      </c>
      <c r="R148" s="2">
        <v>4821428.5710000005</v>
      </c>
      <c r="S148" s="2">
        <v>0</v>
      </c>
      <c r="T148" s="2" t="s">
        <v>96</v>
      </c>
      <c r="U148" s="2" t="s">
        <v>97</v>
      </c>
      <c r="V148" s="2" t="s">
        <v>56</v>
      </c>
      <c r="W148" s="2" t="s">
        <v>98</v>
      </c>
      <c r="X148" s="2" t="s">
        <v>99</v>
      </c>
      <c r="Y148" s="2">
        <v>2.98188466326165</v>
      </c>
      <c r="Z148" s="2">
        <v>2981.8846632616501</v>
      </c>
      <c r="AA148" s="2">
        <v>4.73719444444444</v>
      </c>
      <c r="AB148" s="2">
        <v>-74.069472222222203</v>
      </c>
      <c r="AC148" s="2">
        <v>2555</v>
      </c>
      <c r="AD148" s="2">
        <v>0</v>
      </c>
      <c r="AE148" s="2" t="s">
        <v>59</v>
      </c>
      <c r="AF148" s="2" t="s">
        <v>86</v>
      </c>
      <c r="AG148" s="2" t="s">
        <v>61</v>
      </c>
      <c r="AH148" s="2" t="s">
        <v>62</v>
      </c>
      <c r="AI148" s="2" t="s">
        <v>100</v>
      </c>
      <c r="AJ148" s="2">
        <v>2.08308185739507</v>
      </c>
      <c r="AK148" s="2">
        <v>4.1327133094717201</v>
      </c>
      <c r="AL148" s="2">
        <v>1.53436783394829</v>
      </c>
      <c r="AM148" s="2">
        <v>0.441398800782694</v>
      </c>
      <c r="AN148" s="2">
        <v>3.4373302575261202</v>
      </c>
      <c r="AO148" s="2">
        <v>0.107743031047442</v>
      </c>
      <c r="AP148" s="2">
        <v>0.107743031047442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6</v>
      </c>
      <c r="AW148" s="2">
        <v>0</v>
      </c>
      <c r="AX148" s="2">
        <v>1</v>
      </c>
      <c r="AY148" s="2">
        <v>15.3</v>
      </c>
      <c r="AZ148" s="2">
        <v>9.8000000000000007</v>
      </c>
      <c r="BA148" s="2">
        <v>29.7</v>
      </c>
      <c r="BB148" s="2">
        <v>564</v>
      </c>
      <c r="BC148" s="2">
        <v>68</v>
      </c>
      <c r="BD148" s="2">
        <v>1.8</v>
      </c>
      <c r="BE148" s="2">
        <v>43</v>
      </c>
      <c r="BF148" s="2">
        <v>25.4</v>
      </c>
      <c r="BG148" s="2">
        <v>162</v>
      </c>
      <c r="BH148" s="2">
        <v>9.1</v>
      </c>
      <c r="BI148" s="2">
        <v>9.1999999999999993</v>
      </c>
      <c r="BJ148" s="2">
        <v>18.3</v>
      </c>
      <c r="BK148" s="2">
        <v>0.34</v>
      </c>
      <c r="BL148" s="2">
        <v>7.3</v>
      </c>
      <c r="BM148" s="2">
        <v>0.9</v>
      </c>
      <c r="BN148" s="2">
        <v>7.5</v>
      </c>
      <c r="BO148" s="2">
        <v>2.9</v>
      </c>
      <c r="BP148" s="2">
        <f t="shared" si="4"/>
        <v>8.455178508025627</v>
      </c>
      <c r="BQ148" s="2">
        <f t="shared" si="5"/>
        <v>27.648785802404522</v>
      </c>
    </row>
    <row r="149" spans="1:69" x14ac:dyDescent="0.2">
      <c r="A149" s="2" t="s">
        <v>2432</v>
      </c>
      <c r="B149" s="2" t="s">
        <v>47</v>
      </c>
      <c r="C149" s="2" t="s">
        <v>1935</v>
      </c>
      <c r="D149" s="2" t="s">
        <v>49</v>
      </c>
      <c r="E149" s="2" t="s">
        <v>184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89</v>
      </c>
      <c r="L149" s="6" t="s">
        <v>141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2433</v>
      </c>
      <c r="R149" s="2">
        <v>3392857.1430000002</v>
      </c>
      <c r="S149" s="2">
        <v>0</v>
      </c>
      <c r="T149" s="2" t="s">
        <v>96</v>
      </c>
      <c r="U149" s="2" t="s">
        <v>97</v>
      </c>
      <c r="V149" s="2" t="s">
        <v>56</v>
      </c>
      <c r="W149" s="2" t="s">
        <v>98</v>
      </c>
      <c r="X149" s="2" t="s">
        <v>99</v>
      </c>
      <c r="Y149" s="2">
        <v>2.4044906096426901</v>
      </c>
      <c r="Z149" s="2">
        <v>2404.4906096426898</v>
      </c>
      <c r="AA149" s="2">
        <v>4.73719444444444</v>
      </c>
      <c r="AB149" s="2">
        <v>-74.069472222222203</v>
      </c>
      <c r="AC149" s="2">
        <v>2555</v>
      </c>
      <c r="AD149" s="2">
        <v>0</v>
      </c>
      <c r="AE149" s="2" t="s">
        <v>59</v>
      </c>
      <c r="AF149" s="2" t="s">
        <v>86</v>
      </c>
      <c r="AG149" s="2" t="s">
        <v>61</v>
      </c>
      <c r="AH149" s="2" t="s">
        <v>62</v>
      </c>
      <c r="AI149" s="2" t="s">
        <v>87</v>
      </c>
      <c r="AJ149" s="2">
        <v>0.19811180578301699</v>
      </c>
      <c r="AK149" s="2">
        <v>2.9314446268156602</v>
      </c>
      <c r="AL149" s="2">
        <v>0.94227465316288295</v>
      </c>
      <c r="AM149" s="2">
        <v>0.33161007142408999</v>
      </c>
      <c r="AN149" s="2">
        <v>2.6250903771301601</v>
      </c>
      <c r="AO149" s="2">
        <v>0.18688321562707599</v>
      </c>
      <c r="AP149" s="2">
        <v>0.18688321562707599</v>
      </c>
      <c r="AQ149" s="2">
        <v>2</v>
      </c>
      <c r="AR149" s="2">
        <v>3</v>
      </c>
      <c r="AS149" s="2">
        <v>0</v>
      </c>
      <c r="AT149" s="2">
        <v>0</v>
      </c>
      <c r="AU149" s="2">
        <v>1</v>
      </c>
      <c r="AV149" s="2">
        <v>24</v>
      </c>
      <c r="AW149" s="2">
        <v>0</v>
      </c>
      <c r="AX149" s="2">
        <v>0</v>
      </c>
      <c r="AY149" s="2">
        <v>15.3</v>
      </c>
      <c r="AZ149" s="2">
        <v>9.8000000000000007</v>
      </c>
      <c r="BA149" s="2">
        <v>29.7</v>
      </c>
      <c r="BB149" s="2">
        <v>564</v>
      </c>
      <c r="BC149" s="2">
        <v>68</v>
      </c>
      <c r="BD149" s="2">
        <v>1.8</v>
      </c>
      <c r="BE149" s="2">
        <v>43</v>
      </c>
      <c r="BF149" s="2">
        <v>25.4</v>
      </c>
      <c r="BG149" s="2">
        <v>162</v>
      </c>
      <c r="BH149" s="2">
        <v>9.1</v>
      </c>
      <c r="BI149" s="2">
        <v>9.1999999999999993</v>
      </c>
      <c r="BJ149" s="2">
        <v>18.3</v>
      </c>
      <c r="BK149" s="2">
        <v>0.34</v>
      </c>
      <c r="BL149" s="2">
        <v>7.3</v>
      </c>
      <c r="BM149" s="2">
        <v>0.9</v>
      </c>
      <c r="BN149" s="2">
        <v>7.5</v>
      </c>
      <c r="BO149" s="2">
        <v>2.9</v>
      </c>
      <c r="BP149" s="2">
        <f t="shared" si="4"/>
        <v>8.7003225570758129</v>
      </c>
      <c r="BQ149" s="2">
        <f t="shared" si="5"/>
        <v>28.034594661730953</v>
      </c>
    </row>
    <row r="150" spans="1:69" x14ac:dyDescent="0.2">
      <c r="A150" s="2" t="s">
        <v>510</v>
      </c>
      <c r="B150" s="2" t="s">
        <v>47</v>
      </c>
      <c r="C150" s="2" t="s">
        <v>48</v>
      </c>
      <c r="D150" s="2" t="s">
        <v>49</v>
      </c>
      <c r="E150" s="2" t="s">
        <v>511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89</v>
      </c>
      <c r="L150" s="6" t="s">
        <v>112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512</v>
      </c>
      <c r="R150" s="2">
        <v>9465904.5399999991</v>
      </c>
      <c r="S150" s="2">
        <v>0</v>
      </c>
      <c r="T150" s="2" t="s">
        <v>96</v>
      </c>
      <c r="U150" s="2" t="s">
        <v>97</v>
      </c>
      <c r="V150" s="2" t="s">
        <v>56</v>
      </c>
      <c r="W150" s="2" t="s">
        <v>98</v>
      </c>
      <c r="X150" s="2" t="s">
        <v>99</v>
      </c>
      <c r="Y150" s="2">
        <v>1.6769216112958401</v>
      </c>
      <c r="Z150" s="2">
        <v>1676.92161129584</v>
      </c>
      <c r="AA150" s="2">
        <v>4.73719444444444</v>
      </c>
      <c r="AB150" s="2">
        <v>-74.069472222222203</v>
      </c>
      <c r="AC150" s="2">
        <v>2555</v>
      </c>
      <c r="AD150" s="2">
        <v>0</v>
      </c>
      <c r="AE150" s="2" t="s">
        <v>59</v>
      </c>
      <c r="AF150" s="2" t="s">
        <v>86</v>
      </c>
      <c r="AG150" s="2" t="s">
        <v>61</v>
      </c>
      <c r="AH150" s="2" t="s">
        <v>62</v>
      </c>
      <c r="AI150" s="2" t="s">
        <v>100</v>
      </c>
      <c r="AJ150" s="2">
        <v>0.46161353433427399</v>
      </c>
      <c r="AK150" s="2">
        <v>5.2539618595607998</v>
      </c>
      <c r="AL150" s="2">
        <v>1.1073041562811199</v>
      </c>
      <c r="AM150" s="2">
        <v>0.76951546069237198</v>
      </c>
      <c r="AN150" s="2">
        <v>2.03884569634244</v>
      </c>
      <c r="AO150" s="2">
        <v>3.8906724229921197E-2</v>
      </c>
      <c r="AP150" s="2">
        <v>3.8906724229921197E-2</v>
      </c>
      <c r="AQ150" s="2">
        <v>2</v>
      </c>
      <c r="AR150" s="2">
        <v>2</v>
      </c>
      <c r="AS150" s="2">
        <v>0</v>
      </c>
      <c r="AT150" s="2">
        <v>0</v>
      </c>
      <c r="AU150" s="2">
        <v>0</v>
      </c>
      <c r="AV150" s="2">
        <v>5</v>
      </c>
      <c r="AW150" s="2">
        <v>0</v>
      </c>
      <c r="AX150" s="2">
        <v>0</v>
      </c>
      <c r="AY150" s="2">
        <v>15.3</v>
      </c>
      <c r="AZ150" s="2">
        <v>9.8000000000000007</v>
      </c>
      <c r="BA150" s="2">
        <v>29.7</v>
      </c>
      <c r="BB150" s="2">
        <v>564</v>
      </c>
      <c r="BC150" s="2">
        <v>68</v>
      </c>
      <c r="BD150" s="2">
        <v>1.8</v>
      </c>
      <c r="BE150" s="2">
        <v>43</v>
      </c>
      <c r="BF150" s="2">
        <v>25.4</v>
      </c>
      <c r="BG150" s="2">
        <v>162</v>
      </c>
      <c r="BH150" s="2">
        <v>9.1</v>
      </c>
      <c r="BI150" s="2">
        <v>9.1999999999999993</v>
      </c>
      <c r="BJ150" s="2">
        <v>18.3</v>
      </c>
      <c r="BK150" s="2">
        <v>0.34</v>
      </c>
      <c r="BL150" s="2">
        <v>7.3</v>
      </c>
      <c r="BM150" s="2">
        <v>0.9</v>
      </c>
      <c r="BN150" s="2">
        <v>7.5</v>
      </c>
      <c r="BO150" s="2">
        <v>2.9</v>
      </c>
      <c r="BP150" s="2">
        <f t="shared" si="4"/>
        <v>9.0193725170491756</v>
      </c>
      <c r="BQ150" s="2">
        <f t="shared" si="5"/>
        <v>28.52842410087873</v>
      </c>
    </row>
    <row r="151" spans="1:69" x14ac:dyDescent="0.2">
      <c r="A151" s="2" t="s">
        <v>1996</v>
      </c>
      <c r="B151" s="2" t="s">
        <v>47</v>
      </c>
      <c r="C151" s="2" t="s">
        <v>1935</v>
      </c>
      <c r="D151" s="2" t="s">
        <v>49</v>
      </c>
      <c r="E151" s="2" t="s">
        <v>1567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89</v>
      </c>
      <c r="L151" s="6" t="s">
        <v>103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1997</v>
      </c>
      <c r="R151" s="2">
        <v>6593406.5930000003</v>
      </c>
      <c r="S151" s="2">
        <v>0</v>
      </c>
      <c r="T151" s="2" t="s">
        <v>130</v>
      </c>
      <c r="U151" s="2" t="s">
        <v>131</v>
      </c>
      <c r="V151" s="2" t="s">
        <v>56</v>
      </c>
      <c r="W151" s="2" t="s">
        <v>98</v>
      </c>
      <c r="X151" s="2" t="s">
        <v>132</v>
      </c>
      <c r="Y151" s="2">
        <v>3.57835379364679</v>
      </c>
      <c r="Z151" s="2">
        <v>3578.3537936467901</v>
      </c>
      <c r="AA151" s="2">
        <v>4.7837500000000004</v>
      </c>
      <c r="AB151" s="2">
        <v>-74.044138888888895</v>
      </c>
      <c r="AC151" s="2">
        <v>2580</v>
      </c>
      <c r="AD151" s="2">
        <v>0</v>
      </c>
      <c r="AE151" s="2" t="s">
        <v>133</v>
      </c>
      <c r="AF151" s="2" t="s">
        <v>86</v>
      </c>
      <c r="AG151" s="2" t="s">
        <v>61</v>
      </c>
      <c r="AH151" s="2" t="s">
        <v>62</v>
      </c>
      <c r="AI151" s="2" t="s">
        <v>100</v>
      </c>
      <c r="AJ151" s="2">
        <v>4.6498632791945296</v>
      </c>
      <c r="AK151" s="2">
        <v>0.98390806949631804</v>
      </c>
      <c r="AL151" s="2">
        <v>2.7925849847145701</v>
      </c>
      <c r="AM151" s="2">
        <v>1.1161748333030299</v>
      </c>
      <c r="AN151" s="2">
        <v>6.5838934377622103</v>
      </c>
      <c r="AO151" s="2">
        <v>2.1180353485275201</v>
      </c>
      <c r="AP151" s="2">
        <v>2.1180353485275201</v>
      </c>
      <c r="AQ151" s="2">
        <v>0</v>
      </c>
      <c r="AR151" s="2">
        <v>0</v>
      </c>
      <c r="AS151" s="2">
        <v>0</v>
      </c>
      <c r="AT151" s="2">
        <v>1</v>
      </c>
      <c r="AU151" s="2">
        <v>0</v>
      </c>
      <c r="AV151" s="2">
        <v>0</v>
      </c>
      <c r="AW151" s="2">
        <v>0</v>
      </c>
      <c r="AX151" s="2">
        <v>0</v>
      </c>
      <c r="AY151" s="2">
        <v>15.3</v>
      </c>
      <c r="AZ151" s="2">
        <v>9.8000000000000007</v>
      </c>
      <c r="BA151" s="2">
        <v>29.7</v>
      </c>
      <c r="BB151" s="2">
        <v>564</v>
      </c>
      <c r="BC151" s="2">
        <v>68</v>
      </c>
      <c r="BD151" s="2">
        <v>1.8</v>
      </c>
      <c r="BE151" s="2">
        <v>43</v>
      </c>
      <c r="BF151" s="2">
        <v>25.4</v>
      </c>
      <c r="BG151" s="2">
        <v>162</v>
      </c>
      <c r="BH151" s="2">
        <v>9.1</v>
      </c>
      <c r="BI151" s="2">
        <v>9.1999999999999993</v>
      </c>
      <c r="BJ151" s="2">
        <v>18.3</v>
      </c>
      <c r="BK151" s="2">
        <v>0.34</v>
      </c>
      <c r="BL151" s="2">
        <v>7.3</v>
      </c>
      <c r="BM151" s="2">
        <v>0.9</v>
      </c>
      <c r="BN151" s="2">
        <v>7.5</v>
      </c>
      <c r="BO151" s="2">
        <v>2.9</v>
      </c>
      <c r="BP151" s="2">
        <f t="shared" si="4"/>
        <v>8.2091868350658785</v>
      </c>
      <c r="BQ151" s="2">
        <f t="shared" si="5"/>
        <v>27.255805785405549</v>
      </c>
    </row>
    <row r="152" spans="1:69" x14ac:dyDescent="0.2">
      <c r="A152" s="2" t="s">
        <v>2194</v>
      </c>
      <c r="B152" s="2" t="s">
        <v>47</v>
      </c>
      <c r="C152" s="2" t="s">
        <v>1935</v>
      </c>
      <c r="D152" s="2" t="s">
        <v>49</v>
      </c>
      <c r="E152" s="2" t="s">
        <v>546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89</v>
      </c>
      <c r="L152" s="6" t="s">
        <v>141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2195</v>
      </c>
      <c r="R152" s="2">
        <v>5390334.5719999997</v>
      </c>
      <c r="S152" s="2">
        <v>0</v>
      </c>
      <c r="T152" s="2" t="s">
        <v>96</v>
      </c>
      <c r="U152" s="2" t="s">
        <v>97</v>
      </c>
      <c r="V152" s="2" t="s">
        <v>56</v>
      </c>
      <c r="W152" s="2" t="s">
        <v>98</v>
      </c>
      <c r="X152" s="2" t="s">
        <v>99</v>
      </c>
      <c r="Y152" s="2">
        <v>2.22843352408435</v>
      </c>
      <c r="Z152" s="2">
        <v>2228.4335240843502</v>
      </c>
      <c r="AA152" s="2">
        <v>4.73719444444444</v>
      </c>
      <c r="AB152" s="2">
        <v>-74.069472222222203</v>
      </c>
      <c r="AC152" s="2">
        <v>2555</v>
      </c>
      <c r="AD152" s="2">
        <v>0</v>
      </c>
      <c r="AE152" s="2" t="s">
        <v>59</v>
      </c>
      <c r="AF152" s="2" t="s">
        <v>86</v>
      </c>
      <c r="AG152" s="2" t="s">
        <v>61</v>
      </c>
      <c r="AH152" s="2" t="s">
        <v>62</v>
      </c>
      <c r="AI152" s="2" t="s">
        <v>100</v>
      </c>
      <c r="AJ152" s="2">
        <v>0.60147543078413401</v>
      </c>
      <c r="AK152" s="2">
        <v>5.0770385199168002</v>
      </c>
      <c r="AL152" s="2">
        <v>1.02187754880336</v>
      </c>
      <c r="AM152" s="2">
        <v>0.463738262623414</v>
      </c>
      <c r="AN152" s="2">
        <v>2.4209044882894299</v>
      </c>
      <c r="AO152" s="2">
        <v>2.2619570172409901E-3</v>
      </c>
      <c r="AP152" s="2">
        <v>2.2619570172409901E-3</v>
      </c>
      <c r="AQ152" s="2">
        <v>0</v>
      </c>
      <c r="AR152" s="2">
        <v>2</v>
      </c>
      <c r="AS152" s="2">
        <v>0</v>
      </c>
      <c r="AT152" s="2">
        <v>0</v>
      </c>
      <c r="AU152" s="2">
        <v>0</v>
      </c>
      <c r="AV152" s="2">
        <v>9</v>
      </c>
      <c r="AW152" s="2">
        <v>0</v>
      </c>
      <c r="AX152" s="2">
        <v>0</v>
      </c>
      <c r="AY152" s="2">
        <v>15.3</v>
      </c>
      <c r="AZ152" s="2">
        <v>9.8000000000000007</v>
      </c>
      <c r="BA152" s="2">
        <v>29.7</v>
      </c>
      <c r="BB152" s="2">
        <v>564</v>
      </c>
      <c r="BC152" s="2">
        <v>68</v>
      </c>
      <c r="BD152" s="2">
        <v>1.8</v>
      </c>
      <c r="BE152" s="2">
        <v>43</v>
      </c>
      <c r="BF152" s="2">
        <v>25.4</v>
      </c>
      <c r="BG152" s="2">
        <v>162</v>
      </c>
      <c r="BH152" s="2">
        <v>9.1</v>
      </c>
      <c r="BI152" s="2">
        <v>9.1999999999999993</v>
      </c>
      <c r="BJ152" s="2">
        <v>18.3</v>
      </c>
      <c r="BK152" s="2">
        <v>0.34</v>
      </c>
      <c r="BL152" s="2">
        <v>7.3</v>
      </c>
      <c r="BM152" s="2">
        <v>0.9</v>
      </c>
      <c r="BN152" s="2">
        <v>7.5</v>
      </c>
      <c r="BO152" s="2">
        <v>2.9</v>
      </c>
      <c r="BP152" s="2">
        <f t="shared" si="4"/>
        <v>8.7764757007143874</v>
      </c>
      <c r="BQ152" s="2">
        <f t="shared" si="5"/>
        <v>28.153301812680265</v>
      </c>
    </row>
    <row r="153" spans="1:69" x14ac:dyDescent="0.2">
      <c r="A153" s="2" t="s">
        <v>2434</v>
      </c>
      <c r="B153" s="2" t="s">
        <v>47</v>
      </c>
      <c r="C153" s="2" t="s">
        <v>1935</v>
      </c>
      <c r="D153" s="2" t="s">
        <v>49</v>
      </c>
      <c r="E153" s="2" t="s">
        <v>2435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89</v>
      </c>
      <c r="L153" s="6" t="s">
        <v>141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2436</v>
      </c>
      <c r="R153" s="2">
        <v>4477611.9400000004</v>
      </c>
      <c r="S153" s="2">
        <v>0</v>
      </c>
      <c r="T153" s="2" t="s">
        <v>96</v>
      </c>
      <c r="U153" s="2" t="s">
        <v>97</v>
      </c>
      <c r="V153" s="2" t="s">
        <v>56</v>
      </c>
      <c r="W153" s="2" t="s">
        <v>98</v>
      </c>
      <c r="X153" s="2" t="s">
        <v>99</v>
      </c>
      <c r="Y153" s="2">
        <v>0.71572908011700598</v>
      </c>
      <c r="Z153" s="2">
        <v>715.72908011700599</v>
      </c>
      <c r="AA153" s="2">
        <v>4.73719444444444</v>
      </c>
      <c r="AB153" s="2">
        <v>-74.069472222222203</v>
      </c>
      <c r="AC153" s="2">
        <v>2555</v>
      </c>
      <c r="AD153" s="2">
        <v>0</v>
      </c>
      <c r="AE153" s="2" t="s">
        <v>59</v>
      </c>
      <c r="AF153" s="2" t="s">
        <v>86</v>
      </c>
      <c r="AG153" s="2" t="s">
        <v>61</v>
      </c>
      <c r="AH153" s="2" t="s">
        <v>62</v>
      </c>
      <c r="AI153" s="2" t="s">
        <v>100</v>
      </c>
      <c r="AJ153" s="2">
        <v>0.63277327262271099</v>
      </c>
      <c r="AK153" s="2">
        <v>5.2023833731016396</v>
      </c>
      <c r="AL153" s="2">
        <v>2.0053239567766399</v>
      </c>
      <c r="AM153" s="2">
        <v>0.76599858737369197</v>
      </c>
      <c r="AN153" s="2">
        <v>1.33840787448152</v>
      </c>
      <c r="AO153" s="2">
        <v>0.187957444989407</v>
      </c>
      <c r="AP153" s="2">
        <v>0.187957444989407</v>
      </c>
      <c r="AQ153" s="2">
        <v>0</v>
      </c>
      <c r="AR153" s="2">
        <v>2</v>
      </c>
      <c r="AS153" s="2">
        <v>0</v>
      </c>
      <c r="AT153" s="2">
        <v>0</v>
      </c>
      <c r="AU153" s="2">
        <v>0</v>
      </c>
      <c r="AV153" s="2">
        <v>7</v>
      </c>
      <c r="AW153" s="2">
        <v>0</v>
      </c>
      <c r="AX153" s="2">
        <v>0</v>
      </c>
      <c r="AY153" s="2">
        <v>15.3</v>
      </c>
      <c r="AZ153" s="2">
        <v>9.8000000000000007</v>
      </c>
      <c r="BA153" s="2">
        <v>29.7</v>
      </c>
      <c r="BB153" s="2">
        <v>564</v>
      </c>
      <c r="BC153" s="2">
        <v>68</v>
      </c>
      <c r="BD153" s="2">
        <v>1.8</v>
      </c>
      <c r="BE153" s="2">
        <v>43</v>
      </c>
      <c r="BF153" s="2">
        <v>25.4</v>
      </c>
      <c r="BG153" s="2">
        <v>162</v>
      </c>
      <c r="BH153" s="2">
        <v>9.1</v>
      </c>
      <c r="BI153" s="2">
        <v>9.1999999999999993</v>
      </c>
      <c r="BJ153" s="2">
        <v>18.3</v>
      </c>
      <c r="BK153" s="2">
        <v>0.34</v>
      </c>
      <c r="BL153" s="2">
        <v>7.3</v>
      </c>
      <c r="BM153" s="2">
        <v>0.9</v>
      </c>
      <c r="BN153" s="2">
        <v>7.5</v>
      </c>
      <c r="BO153" s="2">
        <v>2.9</v>
      </c>
      <c r="BP153" s="2">
        <f t="shared" si="4"/>
        <v>9.458878234884736</v>
      </c>
      <c r="BQ153" s="2">
        <f t="shared" si="5"/>
        <v>29.194185066533336</v>
      </c>
    </row>
    <row r="154" spans="1:69" x14ac:dyDescent="0.2">
      <c r="A154" s="2" t="s">
        <v>2690</v>
      </c>
      <c r="B154" s="2" t="s">
        <v>47</v>
      </c>
      <c r="C154" s="2" t="s">
        <v>1935</v>
      </c>
      <c r="D154" s="2" t="s">
        <v>49</v>
      </c>
      <c r="E154" s="2" t="s">
        <v>434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89</v>
      </c>
      <c r="L154" s="6" t="s">
        <v>141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2691</v>
      </c>
      <c r="R154" s="2">
        <v>4291044.7759999996</v>
      </c>
      <c r="S154" s="2">
        <v>0</v>
      </c>
      <c r="T154" s="2" t="s">
        <v>96</v>
      </c>
      <c r="U154" s="2" t="s">
        <v>97</v>
      </c>
      <c r="V154" s="2" t="s">
        <v>56</v>
      </c>
      <c r="W154" s="2" t="s">
        <v>98</v>
      </c>
      <c r="X154" s="2" t="s">
        <v>99</v>
      </c>
      <c r="Y154" s="2">
        <v>0.71572908011700598</v>
      </c>
      <c r="Z154" s="2">
        <v>715.72908011700599</v>
      </c>
      <c r="AA154" s="2">
        <v>4.73719444444444</v>
      </c>
      <c r="AB154" s="2">
        <v>-74.069472222222203</v>
      </c>
      <c r="AC154" s="2">
        <v>2555</v>
      </c>
      <c r="AD154" s="2">
        <v>0</v>
      </c>
      <c r="AE154" s="2" t="s">
        <v>59</v>
      </c>
      <c r="AF154" s="2" t="s">
        <v>86</v>
      </c>
      <c r="AG154" s="2" t="s">
        <v>61</v>
      </c>
      <c r="AH154" s="2" t="s">
        <v>62</v>
      </c>
      <c r="AI154" s="2" t="s">
        <v>100</v>
      </c>
      <c r="AJ154" s="2">
        <v>0.63277327262271099</v>
      </c>
      <c r="AK154" s="2">
        <v>5.2023833731016396</v>
      </c>
      <c r="AL154" s="2">
        <v>2.0053239567766399</v>
      </c>
      <c r="AM154" s="2">
        <v>0.76599858737369197</v>
      </c>
      <c r="AN154" s="2">
        <v>1.33840787448152</v>
      </c>
      <c r="AO154" s="2">
        <v>0.187957444989407</v>
      </c>
      <c r="AP154" s="2">
        <v>0.187957444989407</v>
      </c>
      <c r="AQ154" s="2">
        <v>0</v>
      </c>
      <c r="AR154" s="2">
        <v>2</v>
      </c>
      <c r="AS154" s="2">
        <v>0</v>
      </c>
      <c r="AT154" s="2">
        <v>0</v>
      </c>
      <c r="AU154" s="2">
        <v>0</v>
      </c>
      <c r="AV154" s="2">
        <v>7</v>
      </c>
      <c r="AW154" s="2">
        <v>0</v>
      </c>
      <c r="AX154" s="2">
        <v>0</v>
      </c>
      <c r="AY154" s="2">
        <v>15.3</v>
      </c>
      <c r="AZ154" s="2">
        <v>9.8000000000000007</v>
      </c>
      <c r="BA154" s="2">
        <v>29.7</v>
      </c>
      <c r="BB154" s="2">
        <v>564</v>
      </c>
      <c r="BC154" s="2">
        <v>68</v>
      </c>
      <c r="BD154" s="2">
        <v>1.8</v>
      </c>
      <c r="BE154" s="2">
        <v>43</v>
      </c>
      <c r="BF154" s="2">
        <v>25.4</v>
      </c>
      <c r="BG154" s="2">
        <v>162</v>
      </c>
      <c r="BH154" s="2">
        <v>9.1</v>
      </c>
      <c r="BI154" s="2">
        <v>9.1999999999999993</v>
      </c>
      <c r="BJ154" s="2">
        <v>18.3</v>
      </c>
      <c r="BK154" s="2">
        <v>0.34</v>
      </c>
      <c r="BL154" s="2">
        <v>7.3</v>
      </c>
      <c r="BM154" s="2">
        <v>0.9</v>
      </c>
      <c r="BN154" s="2">
        <v>7.5</v>
      </c>
      <c r="BO154" s="2">
        <v>2.9</v>
      </c>
      <c r="BP154" s="2">
        <f t="shared" si="4"/>
        <v>9.458878234884736</v>
      </c>
      <c r="BQ154" s="2">
        <f t="shared" si="5"/>
        <v>29.194185066533336</v>
      </c>
    </row>
    <row r="155" spans="1:69" x14ac:dyDescent="0.2">
      <c r="A155" s="2" t="s">
        <v>3057</v>
      </c>
      <c r="B155" s="2" t="s">
        <v>47</v>
      </c>
      <c r="C155" s="2" t="s">
        <v>1935</v>
      </c>
      <c r="D155" s="2" t="s">
        <v>49</v>
      </c>
      <c r="E155" s="2" t="s">
        <v>3058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89</v>
      </c>
      <c r="L155" s="6" t="s">
        <v>141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3059</v>
      </c>
      <c r="R155" s="2">
        <v>4291044.7759999996</v>
      </c>
      <c r="S155" s="2">
        <v>0</v>
      </c>
      <c r="T155" s="2" t="s">
        <v>96</v>
      </c>
      <c r="U155" s="2" t="s">
        <v>97</v>
      </c>
      <c r="V155" s="2" t="s">
        <v>56</v>
      </c>
      <c r="W155" s="2" t="s">
        <v>98</v>
      </c>
      <c r="X155" s="2" t="s">
        <v>99</v>
      </c>
      <c r="Y155" s="2">
        <v>0.57500386636131195</v>
      </c>
      <c r="Z155" s="2">
        <v>575.00386636131202</v>
      </c>
      <c r="AA155" s="2">
        <v>4.73719444444444</v>
      </c>
      <c r="AB155" s="2">
        <v>-74.069472222222203</v>
      </c>
      <c r="AC155" s="2">
        <v>2555</v>
      </c>
      <c r="AD155" s="2">
        <v>0</v>
      </c>
      <c r="AE155" s="2" t="s">
        <v>59</v>
      </c>
      <c r="AF155" s="2" t="s">
        <v>86</v>
      </c>
      <c r="AG155" s="2" t="s">
        <v>61</v>
      </c>
      <c r="AH155" s="2" t="s">
        <v>62</v>
      </c>
      <c r="AI155" s="2" t="s">
        <v>100</v>
      </c>
      <c r="AJ155" s="2">
        <v>0.76722844843998095</v>
      </c>
      <c r="AK155" s="2">
        <v>5.2984179042595603</v>
      </c>
      <c r="AL155" s="2">
        <v>2.01240597715364</v>
      </c>
      <c r="AM155" s="2">
        <v>0.76438146251484296</v>
      </c>
      <c r="AN155" s="2">
        <v>1.4388591237855699</v>
      </c>
      <c r="AO155" s="2">
        <v>0.173594918448056</v>
      </c>
      <c r="AP155" s="2">
        <v>0.173594918448056</v>
      </c>
      <c r="AQ155" s="2">
        <v>0</v>
      </c>
      <c r="AR155" s="2">
        <v>2</v>
      </c>
      <c r="AS155" s="2">
        <v>0</v>
      </c>
      <c r="AT155" s="2">
        <v>0</v>
      </c>
      <c r="AU155" s="2">
        <v>0</v>
      </c>
      <c r="AV155" s="2">
        <v>9</v>
      </c>
      <c r="AW155" s="2">
        <v>0</v>
      </c>
      <c r="AX155" s="2">
        <v>0</v>
      </c>
      <c r="AY155" s="2">
        <v>15.3</v>
      </c>
      <c r="AZ155" s="2">
        <v>9.8000000000000007</v>
      </c>
      <c r="BA155" s="2">
        <v>29.7</v>
      </c>
      <c r="BB155" s="2">
        <v>564</v>
      </c>
      <c r="BC155" s="2">
        <v>68</v>
      </c>
      <c r="BD155" s="2">
        <v>1.8</v>
      </c>
      <c r="BE155" s="2">
        <v>43</v>
      </c>
      <c r="BF155" s="2">
        <v>25.4</v>
      </c>
      <c r="BG155" s="2">
        <v>162</v>
      </c>
      <c r="BH155" s="2">
        <v>9.1</v>
      </c>
      <c r="BI155" s="2">
        <v>9.1999999999999993</v>
      </c>
      <c r="BJ155" s="2">
        <v>18.3</v>
      </c>
      <c r="BK155" s="2">
        <v>0.34</v>
      </c>
      <c r="BL155" s="2">
        <v>7.3</v>
      </c>
      <c r="BM155" s="2">
        <v>0.9</v>
      </c>
      <c r="BN155" s="2">
        <v>7.5</v>
      </c>
      <c r="BO155" s="2">
        <v>2.9</v>
      </c>
      <c r="BP155" s="2">
        <f t="shared" si="4"/>
        <v>9.5249978404815447</v>
      </c>
      <c r="BQ155" s="2">
        <f t="shared" si="5"/>
        <v>29.292952351629481</v>
      </c>
    </row>
    <row r="156" spans="1:69" x14ac:dyDescent="0.2">
      <c r="A156" s="2" t="s">
        <v>2666</v>
      </c>
      <c r="B156" s="2" t="s">
        <v>47</v>
      </c>
      <c r="C156" s="2" t="s">
        <v>1935</v>
      </c>
      <c r="D156" s="2" t="s">
        <v>49</v>
      </c>
      <c r="E156" s="2" t="s">
        <v>546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89</v>
      </c>
      <c r="L156" s="6" t="s">
        <v>141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2667</v>
      </c>
      <c r="R156" s="2">
        <v>4754716.9809999997</v>
      </c>
      <c r="S156" s="2">
        <v>0</v>
      </c>
      <c r="T156" s="2" t="s">
        <v>96</v>
      </c>
      <c r="U156" s="2" t="s">
        <v>97</v>
      </c>
      <c r="V156" s="2" t="s">
        <v>56</v>
      </c>
      <c r="W156" s="2" t="s">
        <v>98</v>
      </c>
      <c r="X156" s="2" t="s">
        <v>99</v>
      </c>
      <c r="Y156" s="2">
        <v>2.9758879878273499</v>
      </c>
      <c r="Z156" s="2">
        <v>2975.8879878273501</v>
      </c>
      <c r="AA156" s="2">
        <v>4.73719444444444</v>
      </c>
      <c r="AB156" s="2">
        <v>-74.069472222222203</v>
      </c>
      <c r="AC156" s="2">
        <v>2555</v>
      </c>
      <c r="AD156" s="2">
        <v>0</v>
      </c>
      <c r="AE156" s="2" t="s">
        <v>59</v>
      </c>
      <c r="AF156" s="2" t="s">
        <v>86</v>
      </c>
      <c r="AG156" s="2" t="s">
        <v>61</v>
      </c>
      <c r="AH156" s="2" t="s">
        <v>62</v>
      </c>
      <c r="AI156" s="2" t="s">
        <v>100</v>
      </c>
      <c r="AJ156" s="2">
        <v>0.80438908018171995</v>
      </c>
      <c r="AK156" s="2">
        <v>5.3163748469185599</v>
      </c>
      <c r="AL156" s="2">
        <v>1.0262093051732599</v>
      </c>
      <c r="AM156" s="2">
        <v>0.25151874877709302</v>
      </c>
      <c r="AN156" s="2">
        <v>3.2672508493302401</v>
      </c>
      <c r="AO156" s="2">
        <v>0.346615818594117</v>
      </c>
      <c r="AP156" s="2">
        <v>0.346615818594117</v>
      </c>
      <c r="AQ156" s="2">
        <v>0</v>
      </c>
      <c r="AR156" s="2">
        <v>1</v>
      </c>
      <c r="AS156" s="2">
        <v>0</v>
      </c>
      <c r="AT156" s="2">
        <v>0</v>
      </c>
      <c r="AU156" s="2">
        <v>0</v>
      </c>
      <c r="AV156" s="2">
        <v>16</v>
      </c>
      <c r="AW156" s="2">
        <v>0</v>
      </c>
      <c r="AX156" s="2">
        <v>0</v>
      </c>
      <c r="AY156" s="2">
        <v>15.3</v>
      </c>
      <c r="AZ156" s="2">
        <v>9.8000000000000007</v>
      </c>
      <c r="BA156" s="2">
        <v>29.7</v>
      </c>
      <c r="BB156" s="2">
        <v>564</v>
      </c>
      <c r="BC156" s="2">
        <v>68</v>
      </c>
      <c r="BD156" s="2">
        <v>1.8</v>
      </c>
      <c r="BE156" s="2">
        <v>43</v>
      </c>
      <c r="BF156" s="2">
        <v>25.4</v>
      </c>
      <c r="BG156" s="2">
        <v>162</v>
      </c>
      <c r="BH156" s="2">
        <v>9.1</v>
      </c>
      <c r="BI156" s="2">
        <v>9.1999999999999993</v>
      </c>
      <c r="BJ156" s="2">
        <v>18.3</v>
      </c>
      <c r="BK156" s="2">
        <v>0.34</v>
      </c>
      <c r="BL156" s="2">
        <v>7.3</v>
      </c>
      <c r="BM156" s="2">
        <v>0.9</v>
      </c>
      <c r="BN156" s="2">
        <v>7.5</v>
      </c>
      <c r="BO156" s="2">
        <v>2.9</v>
      </c>
      <c r="BP156" s="2">
        <f t="shared" si="4"/>
        <v>8.4576886771427251</v>
      </c>
      <c r="BQ156" s="2">
        <f t="shared" si="5"/>
        <v>27.65276530783391</v>
      </c>
    </row>
    <row r="157" spans="1:69" x14ac:dyDescent="0.2">
      <c r="A157" s="2" t="s">
        <v>2192</v>
      </c>
      <c r="B157" s="2" t="s">
        <v>47</v>
      </c>
      <c r="C157" s="2" t="s">
        <v>1935</v>
      </c>
      <c r="D157" s="2" t="s">
        <v>49</v>
      </c>
      <c r="E157" s="2" t="s">
        <v>328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89</v>
      </c>
      <c r="L157" s="6" t="s">
        <v>141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2193</v>
      </c>
      <c r="R157" s="2">
        <v>4754716.9809999997</v>
      </c>
      <c r="S157" s="2">
        <v>0</v>
      </c>
      <c r="T157" s="2" t="s">
        <v>96</v>
      </c>
      <c r="U157" s="2" t="s">
        <v>97</v>
      </c>
      <c r="V157" s="2" t="s">
        <v>56</v>
      </c>
      <c r="W157" s="2" t="s">
        <v>98</v>
      </c>
      <c r="X157" s="2" t="s">
        <v>99</v>
      </c>
      <c r="Y157" s="2">
        <v>2.1488282423504601</v>
      </c>
      <c r="Z157" s="2">
        <v>2148.8282423504602</v>
      </c>
      <c r="AA157" s="2">
        <v>4.73719444444444</v>
      </c>
      <c r="AB157" s="2">
        <v>-74.069472222222203</v>
      </c>
      <c r="AC157" s="2">
        <v>2555</v>
      </c>
      <c r="AD157" s="2">
        <v>0</v>
      </c>
      <c r="AE157" s="2" t="s">
        <v>59</v>
      </c>
      <c r="AF157" s="2" t="s">
        <v>86</v>
      </c>
      <c r="AG157" s="2" t="s">
        <v>61</v>
      </c>
      <c r="AH157" s="2" t="s">
        <v>62</v>
      </c>
      <c r="AI157" s="2" t="s">
        <v>100</v>
      </c>
      <c r="AJ157" s="2">
        <v>0.28922221593892999</v>
      </c>
      <c r="AK157" s="2">
        <v>5.5254928828701804</v>
      </c>
      <c r="AL157" s="2">
        <v>0.575706155458376</v>
      </c>
      <c r="AM157" s="2">
        <v>0.34609916564204701</v>
      </c>
      <c r="AN157" s="2">
        <v>2.6721067273554402</v>
      </c>
      <c r="AO157" s="2">
        <v>3.12082737665462E-2</v>
      </c>
      <c r="AP157" s="2">
        <v>3.12082737665462E-2</v>
      </c>
      <c r="AQ157" s="2">
        <v>1</v>
      </c>
      <c r="AR157" s="2">
        <v>3</v>
      </c>
      <c r="AS157" s="2">
        <v>0</v>
      </c>
      <c r="AT157" s="2">
        <v>0</v>
      </c>
      <c r="AU157" s="2">
        <v>1</v>
      </c>
      <c r="AV157" s="2">
        <v>35</v>
      </c>
      <c r="AW157" s="2">
        <v>0</v>
      </c>
      <c r="AX157" s="2">
        <v>0</v>
      </c>
      <c r="AY157" s="2">
        <v>15.3</v>
      </c>
      <c r="AZ157" s="2">
        <v>9.8000000000000007</v>
      </c>
      <c r="BA157" s="2">
        <v>29.7</v>
      </c>
      <c r="BB157" s="2">
        <v>564</v>
      </c>
      <c r="BC157" s="2">
        <v>68</v>
      </c>
      <c r="BD157" s="2">
        <v>1.8</v>
      </c>
      <c r="BE157" s="2">
        <v>43</v>
      </c>
      <c r="BF157" s="2">
        <v>25.4</v>
      </c>
      <c r="BG157" s="2">
        <v>162</v>
      </c>
      <c r="BH157" s="2">
        <v>9.1</v>
      </c>
      <c r="BI157" s="2">
        <v>9.1999999999999993</v>
      </c>
      <c r="BJ157" s="2">
        <v>18.3</v>
      </c>
      <c r="BK157" s="2">
        <v>0.34</v>
      </c>
      <c r="BL157" s="2">
        <v>7.3</v>
      </c>
      <c r="BM157" s="2">
        <v>0.9</v>
      </c>
      <c r="BN157" s="2">
        <v>7.5</v>
      </c>
      <c r="BO157" s="2">
        <v>2.9</v>
      </c>
      <c r="BP157" s="2">
        <f t="shared" si="4"/>
        <v>8.8111272916353833</v>
      </c>
      <c r="BQ157" s="2">
        <f t="shared" si="5"/>
        <v>28.207140863318148</v>
      </c>
    </row>
    <row r="158" spans="1:69" x14ac:dyDescent="0.2">
      <c r="A158" s="2" t="s">
        <v>2519</v>
      </c>
      <c r="B158" s="2" t="s">
        <v>47</v>
      </c>
      <c r="C158" s="2" t="s">
        <v>1935</v>
      </c>
      <c r="D158" s="2" t="s">
        <v>49</v>
      </c>
      <c r="E158" s="2" t="s">
        <v>2520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89</v>
      </c>
      <c r="L158" s="6" t="s">
        <v>103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2521</v>
      </c>
      <c r="R158" s="2">
        <v>5105900.1509999996</v>
      </c>
      <c r="S158" s="2">
        <v>0</v>
      </c>
      <c r="T158" s="2" t="s">
        <v>96</v>
      </c>
      <c r="U158" s="2" t="s">
        <v>97</v>
      </c>
      <c r="V158" s="2" t="s">
        <v>56</v>
      </c>
      <c r="W158" s="2" t="s">
        <v>98</v>
      </c>
      <c r="X158" s="2" t="s">
        <v>99</v>
      </c>
      <c r="Y158" s="2">
        <v>0.31291750571288302</v>
      </c>
      <c r="Z158" s="2">
        <v>312.91750571288298</v>
      </c>
      <c r="AA158" s="2">
        <v>4.73719444444444</v>
      </c>
      <c r="AB158" s="2">
        <v>-74.069472222222203</v>
      </c>
      <c r="AC158" s="2">
        <v>2555</v>
      </c>
      <c r="AD158" s="2">
        <v>0</v>
      </c>
      <c r="AE158" s="2" t="s">
        <v>59</v>
      </c>
      <c r="AF158" s="2" t="s">
        <v>86</v>
      </c>
      <c r="AG158" s="2" t="s">
        <v>61</v>
      </c>
      <c r="AH158" s="2" t="s">
        <v>62</v>
      </c>
      <c r="AI158" s="2" t="s">
        <v>100</v>
      </c>
      <c r="AJ158" s="2">
        <v>1.51396838335746</v>
      </c>
      <c r="AK158" s="2">
        <v>5.1503667705745801</v>
      </c>
      <c r="AL158" s="2">
        <v>2.2127407798830498</v>
      </c>
      <c r="AM158" s="2">
        <v>0.32343651590945299</v>
      </c>
      <c r="AN158" s="2">
        <v>1.9368140518455199</v>
      </c>
      <c r="AO158" s="2">
        <v>0.10948692256784701</v>
      </c>
      <c r="AP158" s="2">
        <v>0.10948692256784701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8</v>
      </c>
      <c r="AW158" s="2">
        <v>0</v>
      </c>
      <c r="AX158" s="2">
        <v>0</v>
      </c>
      <c r="AY158" s="2">
        <v>15.3</v>
      </c>
      <c r="AZ158" s="2">
        <v>9.8000000000000007</v>
      </c>
      <c r="BA158" s="2">
        <v>29.7</v>
      </c>
      <c r="BB158" s="2">
        <v>564</v>
      </c>
      <c r="BC158" s="2">
        <v>68</v>
      </c>
      <c r="BD158" s="2">
        <v>1.8</v>
      </c>
      <c r="BE158" s="2">
        <v>43</v>
      </c>
      <c r="BF158" s="2">
        <v>25.4</v>
      </c>
      <c r="BG158" s="2">
        <v>162</v>
      </c>
      <c r="BH158" s="2">
        <v>9.1</v>
      </c>
      <c r="BI158" s="2">
        <v>9.1999999999999993</v>
      </c>
      <c r="BJ158" s="2">
        <v>18.3</v>
      </c>
      <c r="BK158" s="2">
        <v>0.34</v>
      </c>
      <c r="BL158" s="2">
        <v>7.3</v>
      </c>
      <c r="BM158" s="2">
        <v>0.9</v>
      </c>
      <c r="BN158" s="2">
        <v>7.5</v>
      </c>
      <c r="BO158" s="2">
        <v>2.9</v>
      </c>
      <c r="BP158" s="2">
        <f t="shared" si="4"/>
        <v>9.6493732894524022</v>
      </c>
      <c r="BQ158" s="2">
        <f t="shared" si="5"/>
        <v>29.47778785517259</v>
      </c>
    </row>
    <row r="159" spans="1:69" x14ac:dyDescent="0.2">
      <c r="A159" s="2" t="s">
        <v>1941</v>
      </c>
      <c r="B159" s="2" t="s">
        <v>47</v>
      </c>
      <c r="C159" s="2" t="s">
        <v>1935</v>
      </c>
      <c r="D159" s="2" t="s">
        <v>49</v>
      </c>
      <c r="E159" s="2" t="s">
        <v>367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51</v>
      </c>
      <c r="L159" s="6" t="s">
        <v>52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1942</v>
      </c>
      <c r="R159" s="2">
        <v>15219881.449999999</v>
      </c>
      <c r="S159" s="2">
        <v>0</v>
      </c>
      <c r="T159" s="2" t="s">
        <v>96</v>
      </c>
      <c r="U159" s="2" t="s">
        <v>97</v>
      </c>
      <c r="V159" s="2" t="s">
        <v>56</v>
      </c>
      <c r="W159" s="2" t="s">
        <v>98</v>
      </c>
      <c r="X159" s="2" t="s">
        <v>99</v>
      </c>
      <c r="Y159" s="2">
        <v>1.0730436510305299</v>
      </c>
      <c r="Z159" s="2">
        <v>1073.0436510305301</v>
      </c>
      <c r="AA159" s="2">
        <v>4.73719444444444</v>
      </c>
      <c r="AB159" s="2">
        <v>-74.069472222222203</v>
      </c>
      <c r="AC159" s="2">
        <v>2555</v>
      </c>
      <c r="AD159" s="2">
        <v>0</v>
      </c>
      <c r="AE159" s="2" t="s">
        <v>59</v>
      </c>
      <c r="AF159" s="2" t="s">
        <v>86</v>
      </c>
      <c r="AG159" s="2" t="s">
        <v>61</v>
      </c>
      <c r="AH159" s="2" t="s">
        <v>62</v>
      </c>
      <c r="AI159" s="2" t="s">
        <v>100</v>
      </c>
      <c r="AJ159" s="2">
        <v>1.30888673422818</v>
      </c>
      <c r="AK159" s="2">
        <v>4.6998070568874502</v>
      </c>
      <c r="AL159" s="2">
        <v>2.4908581066797701</v>
      </c>
      <c r="AM159" s="2">
        <v>0.75507979697583905</v>
      </c>
      <c r="AN159" s="2">
        <v>1.2756201947721899</v>
      </c>
      <c r="AO159" s="2">
        <v>2.49755832596214E-2</v>
      </c>
      <c r="AP159" s="2">
        <v>2.49755832596214E-2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1</v>
      </c>
      <c r="AW159" s="2">
        <v>0</v>
      </c>
      <c r="AX159" s="2">
        <v>0</v>
      </c>
      <c r="AY159" s="2">
        <v>15.3</v>
      </c>
      <c r="AZ159" s="2">
        <v>9.8000000000000007</v>
      </c>
      <c r="BA159" s="2">
        <v>29.7</v>
      </c>
      <c r="BB159" s="2">
        <v>564</v>
      </c>
      <c r="BC159" s="2">
        <v>68</v>
      </c>
      <c r="BD159" s="2">
        <v>1.8</v>
      </c>
      <c r="BE159" s="2">
        <v>43</v>
      </c>
      <c r="BF159" s="2">
        <v>25.4</v>
      </c>
      <c r="BG159" s="2">
        <v>162</v>
      </c>
      <c r="BH159" s="2">
        <v>9.1</v>
      </c>
      <c r="BI159" s="2">
        <v>9.1999999999999993</v>
      </c>
      <c r="BJ159" s="2">
        <v>18.3</v>
      </c>
      <c r="BK159" s="2">
        <v>0.34</v>
      </c>
      <c r="BL159" s="2">
        <v>7.3</v>
      </c>
      <c r="BM159" s="2">
        <v>0.9</v>
      </c>
      <c r="BN159" s="2">
        <v>7.5</v>
      </c>
      <c r="BO159" s="2">
        <v>2.9</v>
      </c>
      <c r="BP159" s="2">
        <f t="shared" si="4"/>
        <v>9.2930492193461252</v>
      </c>
      <c r="BQ159" s="2">
        <f t="shared" si="5"/>
        <v>28.944899290474932</v>
      </c>
    </row>
    <row r="160" spans="1:69" x14ac:dyDescent="0.2">
      <c r="A160" s="2" t="s">
        <v>2644</v>
      </c>
      <c r="B160" s="2" t="s">
        <v>47</v>
      </c>
      <c r="C160" s="2" t="s">
        <v>1935</v>
      </c>
      <c r="D160" s="2" t="s">
        <v>49</v>
      </c>
      <c r="E160" s="2" t="s">
        <v>471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89</v>
      </c>
      <c r="L160" s="6" t="s">
        <v>94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2645</v>
      </c>
      <c r="R160" s="2">
        <v>5172413.7929999996</v>
      </c>
      <c r="S160" s="2">
        <v>0</v>
      </c>
      <c r="T160" s="2" t="s">
        <v>96</v>
      </c>
      <c r="U160" s="2" t="s">
        <v>97</v>
      </c>
      <c r="V160" s="2" t="s">
        <v>56</v>
      </c>
      <c r="W160" s="2" t="s">
        <v>98</v>
      </c>
      <c r="X160" s="2" t="s">
        <v>99</v>
      </c>
      <c r="Y160" s="2">
        <v>2.13637764233729</v>
      </c>
      <c r="Z160" s="2">
        <v>2136.3776423372901</v>
      </c>
      <c r="AA160" s="2">
        <v>4.73719444444444</v>
      </c>
      <c r="AB160" s="2">
        <v>-74.069472222222203</v>
      </c>
      <c r="AC160" s="2">
        <v>2555</v>
      </c>
      <c r="AD160" s="2">
        <v>0</v>
      </c>
      <c r="AE160" s="2" t="s">
        <v>59</v>
      </c>
      <c r="AF160" s="2" t="s">
        <v>86</v>
      </c>
      <c r="AG160" s="2" t="s">
        <v>61</v>
      </c>
      <c r="AH160" s="2" t="s">
        <v>62</v>
      </c>
      <c r="AI160" s="2" t="s">
        <v>100</v>
      </c>
      <c r="AJ160" s="2">
        <v>0.59492603115851295</v>
      </c>
      <c r="AK160" s="2">
        <v>5.1070038760696601</v>
      </c>
      <c r="AL160" s="2">
        <v>0.16999992706971001</v>
      </c>
      <c r="AM160" s="2">
        <v>9.5834931340090204E-2</v>
      </c>
      <c r="AN160" s="2">
        <v>3.0665182152567798</v>
      </c>
      <c r="AO160" s="2">
        <v>6.8919070230812299E-2</v>
      </c>
      <c r="AP160" s="2">
        <v>6.8919070230812299E-2</v>
      </c>
      <c r="AQ160" s="2">
        <v>0</v>
      </c>
      <c r="AR160" s="2">
        <v>2</v>
      </c>
      <c r="AS160" s="2">
        <v>0</v>
      </c>
      <c r="AT160" s="2">
        <v>0</v>
      </c>
      <c r="AU160" s="2">
        <v>1</v>
      </c>
      <c r="AV160" s="2">
        <v>38</v>
      </c>
      <c r="AW160" s="2">
        <v>0</v>
      </c>
      <c r="AX160" s="2">
        <v>0</v>
      </c>
      <c r="AY160" s="2">
        <v>15.3</v>
      </c>
      <c r="AZ160" s="2">
        <v>9.8000000000000007</v>
      </c>
      <c r="BA160" s="2">
        <v>29.7</v>
      </c>
      <c r="BB160" s="2">
        <v>564</v>
      </c>
      <c r="BC160" s="2">
        <v>68</v>
      </c>
      <c r="BD160" s="2">
        <v>1.8</v>
      </c>
      <c r="BE160" s="2">
        <v>43</v>
      </c>
      <c r="BF160" s="2">
        <v>25.4</v>
      </c>
      <c r="BG160" s="2">
        <v>162</v>
      </c>
      <c r="BH160" s="2">
        <v>9.1</v>
      </c>
      <c r="BI160" s="2">
        <v>9.1999999999999993</v>
      </c>
      <c r="BJ160" s="2">
        <v>18.3</v>
      </c>
      <c r="BK160" s="2">
        <v>0.34</v>
      </c>
      <c r="BL160" s="2">
        <v>7.3</v>
      </c>
      <c r="BM160" s="2">
        <v>0.9</v>
      </c>
      <c r="BN160" s="2">
        <v>7.5</v>
      </c>
      <c r="BO160" s="2">
        <v>2.9</v>
      </c>
      <c r="BP160" s="2">
        <f t="shared" si="4"/>
        <v>8.8165593045188597</v>
      </c>
      <c r="BQ160" s="2">
        <f t="shared" si="5"/>
        <v>28.215570822633747</v>
      </c>
    </row>
    <row r="161" spans="1:69" x14ac:dyDescent="0.2">
      <c r="A161" s="2" t="s">
        <v>3214</v>
      </c>
      <c r="B161" s="2" t="s">
        <v>47</v>
      </c>
      <c r="C161" s="2" t="s">
        <v>1935</v>
      </c>
      <c r="D161" s="2" t="s">
        <v>49</v>
      </c>
      <c r="E161" s="2" t="s">
        <v>246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89</v>
      </c>
      <c r="L161" s="6" t="s">
        <v>103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3215</v>
      </c>
      <c r="R161" s="2">
        <v>6923076.9230000004</v>
      </c>
      <c r="S161" s="2">
        <v>0</v>
      </c>
      <c r="T161" s="2" t="s">
        <v>130</v>
      </c>
      <c r="U161" s="2" t="s">
        <v>131</v>
      </c>
      <c r="V161" s="2" t="s">
        <v>56</v>
      </c>
      <c r="W161" s="2" t="s">
        <v>98</v>
      </c>
      <c r="X161" s="2" t="s">
        <v>132</v>
      </c>
      <c r="Y161" s="2">
        <v>3.9608536790384101</v>
      </c>
      <c r="Z161" s="2">
        <v>3960.8536790384101</v>
      </c>
      <c r="AA161" s="2">
        <v>4.7837500000000004</v>
      </c>
      <c r="AB161" s="2">
        <v>-74.044138888888895</v>
      </c>
      <c r="AC161" s="2">
        <v>2580</v>
      </c>
      <c r="AD161" s="2">
        <v>0</v>
      </c>
      <c r="AE161" s="2" t="s">
        <v>133</v>
      </c>
      <c r="AF161" s="2" t="s">
        <v>86</v>
      </c>
      <c r="AG161" s="2" t="s">
        <v>61</v>
      </c>
      <c r="AH161" s="2" t="s">
        <v>62</v>
      </c>
      <c r="AI161" s="2" t="s">
        <v>100</v>
      </c>
      <c r="AJ161" s="2">
        <v>5.5746097397625398</v>
      </c>
      <c r="AK161" s="2">
        <v>1.07227956348163</v>
      </c>
      <c r="AL161" s="2">
        <v>2.21721150407698</v>
      </c>
      <c r="AM161" s="2">
        <v>4.6239717682486399</v>
      </c>
      <c r="AN161" s="2">
        <v>8.7289186934471701</v>
      </c>
      <c r="AO161" s="2">
        <v>2.0650607888673699E-2</v>
      </c>
      <c r="AP161" s="2">
        <v>2.0650607888673699E-2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>
        <v>15.3</v>
      </c>
      <c r="AZ161" s="2">
        <v>9.8000000000000007</v>
      </c>
      <c r="BA161" s="2">
        <v>29.7</v>
      </c>
      <c r="BB161" s="2">
        <v>564</v>
      </c>
      <c r="BC161" s="2">
        <v>68</v>
      </c>
      <c r="BD161" s="2">
        <v>1.8</v>
      </c>
      <c r="BE161" s="2">
        <v>43</v>
      </c>
      <c r="BF161" s="2">
        <v>25.4</v>
      </c>
      <c r="BG161" s="2">
        <v>162</v>
      </c>
      <c r="BH161" s="2">
        <v>9.1</v>
      </c>
      <c r="BI161" s="2">
        <v>9.1999999999999993</v>
      </c>
      <c r="BJ161" s="2">
        <v>18.3</v>
      </c>
      <c r="BK161" s="2">
        <v>0.34</v>
      </c>
      <c r="BL161" s="2">
        <v>7.3</v>
      </c>
      <c r="BM161" s="2">
        <v>0.9</v>
      </c>
      <c r="BN161" s="2">
        <v>7.5</v>
      </c>
      <c r="BO161" s="2">
        <v>2.9</v>
      </c>
      <c r="BP161" s="2">
        <f t="shared" si="4"/>
        <v>8.0552183895984015</v>
      </c>
      <c r="BQ161" s="2">
        <f t="shared" si="5"/>
        <v>27.006742512438898</v>
      </c>
    </row>
    <row r="162" spans="1:69" x14ac:dyDescent="0.2">
      <c r="A162" s="2" t="s">
        <v>2646</v>
      </c>
      <c r="B162" s="2" t="s">
        <v>47</v>
      </c>
      <c r="C162" s="2" t="s">
        <v>1935</v>
      </c>
      <c r="D162" s="2" t="s">
        <v>49</v>
      </c>
      <c r="E162" s="2" t="s">
        <v>2647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89</v>
      </c>
      <c r="L162" s="6" t="s">
        <v>141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2648</v>
      </c>
      <c r="R162" s="2">
        <v>6923076.9230000004</v>
      </c>
      <c r="S162" s="2">
        <v>0</v>
      </c>
      <c r="T162" s="2" t="s">
        <v>96</v>
      </c>
      <c r="U162" s="2" t="s">
        <v>97</v>
      </c>
      <c r="V162" s="2" t="s">
        <v>56</v>
      </c>
      <c r="W162" s="2" t="s">
        <v>98</v>
      </c>
      <c r="X162" s="2" t="s">
        <v>99</v>
      </c>
      <c r="Y162" s="2">
        <v>0.81319074616419496</v>
      </c>
      <c r="Z162" s="2">
        <v>813.19074616419505</v>
      </c>
      <c r="AA162" s="2">
        <v>4.73719444444444</v>
      </c>
      <c r="AB162" s="2">
        <v>-74.069472222222203</v>
      </c>
      <c r="AC162" s="2">
        <v>2555</v>
      </c>
      <c r="AD162" s="2">
        <v>0</v>
      </c>
      <c r="AE162" s="2" t="s">
        <v>59</v>
      </c>
      <c r="AF162" s="2" t="s">
        <v>86</v>
      </c>
      <c r="AG162" s="2" t="s">
        <v>61</v>
      </c>
      <c r="AH162" s="2" t="s">
        <v>62</v>
      </c>
      <c r="AI162" s="2" t="s">
        <v>100</v>
      </c>
      <c r="AJ162" s="2">
        <v>0.50365724024899095</v>
      </c>
      <c r="AK162" s="2">
        <v>5.0725459869614298</v>
      </c>
      <c r="AL162" s="2">
        <v>2.0845347770317799</v>
      </c>
      <c r="AM162" s="2">
        <v>0.63299486822722695</v>
      </c>
      <c r="AN162" s="2">
        <v>1.2083832097359699</v>
      </c>
      <c r="AO162" s="2">
        <v>8.8493335048841701E-2</v>
      </c>
      <c r="AP162" s="2">
        <v>8.8493335048841701E-2</v>
      </c>
      <c r="AQ162" s="2">
        <v>0</v>
      </c>
      <c r="AR162" s="2">
        <v>2</v>
      </c>
      <c r="AS162" s="2">
        <v>0</v>
      </c>
      <c r="AT162" s="2">
        <v>0</v>
      </c>
      <c r="AU162" s="2">
        <v>0</v>
      </c>
      <c r="AV162" s="2">
        <v>4</v>
      </c>
      <c r="AW162" s="2">
        <v>0</v>
      </c>
      <c r="AX162" s="2">
        <v>0</v>
      </c>
      <c r="AY162" s="2">
        <v>15.3</v>
      </c>
      <c r="AZ162" s="2">
        <v>9.8000000000000007</v>
      </c>
      <c r="BA162" s="2">
        <v>29.7</v>
      </c>
      <c r="BB162" s="2">
        <v>564</v>
      </c>
      <c r="BC162" s="2">
        <v>68</v>
      </c>
      <c r="BD162" s="2">
        <v>1.8</v>
      </c>
      <c r="BE162" s="2">
        <v>43</v>
      </c>
      <c r="BF162" s="2">
        <v>25.4</v>
      </c>
      <c r="BG162" s="2">
        <v>162</v>
      </c>
      <c r="BH162" s="2">
        <v>9.1</v>
      </c>
      <c r="BI162" s="2">
        <v>9.1999999999999993</v>
      </c>
      <c r="BJ162" s="2">
        <v>18.3</v>
      </c>
      <c r="BK162" s="2">
        <v>0.34</v>
      </c>
      <c r="BL162" s="2">
        <v>7.3</v>
      </c>
      <c r="BM162" s="2">
        <v>0.9</v>
      </c>
      <c r="BN162" s="2">
        <v>7.5</v>
      </c>
      <c r="BO162" s="2">
        <v>2.9</v>
      </c>
      <c r="BP162" s="2">
        <f t="shared" si="4"/>
        <v>9.4133551702631113</v>
      </c>
      <c r="BQ162" s="2">
        <f t="shared" si="5"/>
        <v>29.125977335330113</v>
      </c>
    </row>
    <row r="163" spans="1:69" x14ac:dyDescent="0.2">
      <c r="A163" s="2" t="s">
        <v>1992</v>
      </c>
      <c r="B163" s="2" t="s">
        <v>47</v>
      </c>
      <c r="C163" s="2" t="s">
        <v>1935</v>
      </c>
      <c r="D163" s="2" t="s">
        <v>49</v>
      </c>
      <c r="E163" s="2" t="s">
        <v>434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89</v>
      </c>
      <c r="L163" s="6" t="s">
        <v>141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1993</v>
      </c>
      <c r="R163" s="2">
        <v>4247104.2470000004</v>
      </c>
      <c r="S163" s="2">
        <v>0</v>
      </c>
      <c r="T163" s="2" t="s">
        <v>96</v>
      </c>
      <c r="U163" s="2" t="s">
        <v>97</v>
      </c>
      <c r="V163" s="2" t="s">
        <v>56</v>
      </c>
      <c r="W163" s="2" t="s">
        <v>98</v>
      </c>
      <c r="X163" s="2" t="s">
        <v>99</v>
      </c>
      <c r="Y163" s="2">
        <v>0.78673960163071899</v>
      </c>
      <c r="Z163" s="2">
        <v>786.73960163071899</v>
      </c>
      <c r="AA163" s="2">
        <v>4.73719444444444</v>
      </c>
      <c r="AB163" s="2">
        <v>-74.069472222222203</v>
      </c>
      <c r="AC163" s="2">
        <v>2555</v>
      </c>
      <c r="AD163" s="2">
        <v>0</v>
      </c>
      <c r="AE163" s="2" t="s">
        <v>59</v>
      </c>
      <c r="AF163" s="2" t="s">
        <v>86</v>
      </c>
      <c r="AG163" s="2" t="s">
        <v>61</v>
      </c>
      <c r="AH163" s="2" t="s">
        <v>62</v>
      </c>
      <c r="AI163" s="2" t="s">
        <v>100</v>
      </c>
      <c r="AJ163" s="2">
        <v>0.54870064077564995</v>
      </c>
      <c r="AK163" s="2">
        <v>4.8988745615195199</v>
      </c>
      <c r="AL163" s="2">
        <v>2.3730916048531601</v>
      </c>
      <c r="AM163" s="2">
        <v>0.55742899024924597</v>
      </c>
      <c r="AN163" s="2">
        <v>1.05499082207466</v>
      </c>
      <c r="AO163" s="2">
        <v>9.6446447352999398E-3</v>
      </c>
      <c r="AP163" s="2">
        <v>9.6446447352999398E-3</v>
      </c>
      <c r="AQ163" s="2">
        <v>0</v>
      </c>
      <c r="AR163" s="2">
        <v>1</v>
      </c>
      <c r="AS163" s="2">
        <v>0</v>
      </c>
      <c r="AT163" s="2">
        <v>0</v>
      </c>
      <c r="AU163" s="2">
        <v>0</v>
      </c>
      <c r="AV163" s="2">
        <v>8</v>
      </c>
      <c r="AW163" s="2">
        <v>0</v>
      </c>
      <c r="AX163" s="2">
        <v>0</v>
      </c>
      <c r="AY163" s="2">
        <v>15.3</v>
      </c>
      <c r="AZ163" s="2">
        <v>9.8000000000000007</v>
      </c>
      <c r="BA163" s="2">
        <v>29.7</v>
      </c>
      <c r="BB163" s="2">
        <v>564</v>
      </c>
      <c r="BC163" s="2">
        <v>68</v>
      </c>
      <c r="BD163" s="2">
        <v>1.8</v>
      </c>
      <c r="BE163" s="2">
        <v>43</v>
      </c>
      <c r="BF163" s="2">
        <v>25.4</v>
      </c>
      <c r="BG163" s="2">
        <v>162</v>
      </c>
      <c r="BH163" s="2">
        <v>9.1</v>
      </c>
      <c r="BI163" s="2">
        <v>9.1999999999999993</v>
      </c>
      <c r="BJ163" s="2">
        <v>18.3</v>
      </c>
      <c r="BK163" s="2">
        <v>0.34</v>
      </c>
      <c r="BL163" s="2">
        <v>7.3</v>
      </c>
      <c r="BM163" s="2">
        <v>0.9</v>
      </c>
      <c r="BN163" s="2">
        <v>7.5</v>
      </c>
      <c r="BO163" s="2">
        <v>2.9</v>
      </c>
      <c r="BP163" s="2">
        <f t="shared" si="4"/>
        <v>9.4256884465742896</v>
      </c>
      <c r="BQ163" s="2">
        <f t="shared" si="5"/>
        <v>29.144473176011029</v>
      </c>
    </row>
    <row r="164" spans="1:69" x14ac:dyDescent="0.2">
      <c r="A164" s="2" t="s">
        <v>2301</v>
      </c>
      <c r="B164" s="2" t="s">
        <v>47</v>
      </c>
      <c r="C164" s="2" t="s">
        <v>1935</v>
      </c>
      <c r="D164" s="2" t="s">
        <v>49</v>
      </c>
      <c r="E164" s="2" t="s">
        <v>434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89</v>
      </c>
      <c r="L164" s="6" t="s">
        <v>141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2302</v>
      </c>
      <c r="R164" s="2">
        <v>4268198.0439999998</v>
      </c>
      <c r="S164" s="2">
        <v>0</v>
      </c>
      <c r="T164" s="2" t="s">
        <v>96</v>
      </c>
      <c r="U164" s="2" t="s">
        <v>97</v>
      </c>
      <c r="V164" s="2" t="s">
        <v>56</v>
      </c>
      <c r="W164" s="2" t="s">
        <v>98</v>
      </c>
      <c r="X164" s="2" t="s">
        <v>99</v>
      </c>
      <c r="Y164" s="2">
        <v>0.77515429527079904</v>
      </c>
      <c r="Z164" s="2">
        <v>775.15429527079903</v>
      </c>
      <c r="AA164" s="2">
        <v>4.73719444444444</v>
      </c>
      <c r="AB164" s="2">
        <v>-74.069472222222203</v>
      </c>
      <c r="AC164" s="2">
        <v>2555</v>
      </c>
      <c r="AD164" s="2">
        <v>0</v>
      </c>
      <c r="AE164" s="2" t="s">
        <v>59</v>
      </c>
      <c r="AF164" s="2" t="s">
        <v>86</v>
      </c>
      <c r="AG164" s="2" t="s">
        <v>61</v>
      </c>
      <c r="AH164" s="2" t="s">
        <v>62</v>
      </c>
      <c r="AI164" s="2" t="s">
        <v>100</v>
      </c>
      <c r="AJ164" s="2">
        <v>0.54725296149645397</v>
      </c>
      <c r="AK164" s="2">
        <v>4.9212869137584399</v>
      </c>
      <c r="AL164" s="2">
        <v>2.34589351540032</v>
      </c>
      <c r="AM164" s="2">
        <v>0.56762572603240002</v>
      </c>
      <c r="AN164" s="2">
        <v>1.07446113336781</v>
      </c>
      <c r="AO164" s="2">
        <v>6.9599904157464296E-3</v>
      </c>
      <c r="AP164" s="2">
        <v>6.9599904157464296E-3</v>
      </c>
      <c r="AQ164" s="2">
        <v>0</v>
      </c>
      <c r="AR164" s="2">
        <v>1</v>
      </c>
      <c r="AS164" s="2">
        <v>0</v>
      </c>
      <c r="AT164" s="2">
        <v>0</v>
      </c>
      <c r="AU164" s="2">
        <v>0</v>
      </c>
      <c r="AV164" s="2">
        <v>6</v>
      </c>
      <c r="AW164" s="2">
        <v>0</v>
      </c>
      <c r="AX164" s="2">
        <v>0</v>
      </c>
      <c r="AY164" s="2">
        <v>15.3</v>
      </c>
      <c r="AZ164" s="2">
        <v>9.8000000000000007</v>
      </c>
      <c r="BA164" s="2">
        <v>29.7</v>
      </c>
      <c r="BB164" s="2">
        <v>564</v>
      </c>
      <c r="BC164" s="2">
        <v>68</v>
      </c>
      <c r="BD164" s="2">
        <v>1.8</v>
      </c>
      <c r="BE164" s="2">
        <v>43</v>
      </c>
      <c r="BF164" s="2">
        <v>25.4</v>
      </c>
      <c r="BG164" s="2">
        <v>162</v>
      </c>
      <c r="BH164" s="2">
        <v>9.1</v>
      </c>
      <c r="BI164" s="2">
        <v>9.1999999999999993</v>
      </c>
      <c r="BJ164" s="2">
        <v>18.3</v>
      </c>
      <c r="BK164" s="2">
        <v>0.34</v>
      </c>
      <c r="BL164" s="2">
        <v>7.3</v>
      </c>
      <c r="BM164" s="2">
        <v>0.9</v>
      </c>
      <c r="BN164" s="2">
        <v>7.5</v>
      </c>
      <c r="BO164" s="2">
        <v>2.9</v>
      </c>
      <c r="BP164" s="2">
        <f t="shared" si="4"/>
        <v>9.4310953714591008</v>
      </c>
      <c r="BQ164" s="2">
        <f t="shared" si="5"/>
        <v>29.152577846310496</v>
      </c>
    </row>
    <row r="165" spans="1:69" x14ac:dyDescent="0.2">
      <c r="A165" s="2" t="s">
        <v>583</v>
      </c>
      <c r="B165" s="2" t="s">
        <v>47</v>
      </c>
      <c r="C165" s="2" t="s">
        <v>48</v>
      </c>
      <c r="D165" s="2" t="s">
        <v>49</v>
      </c>
      <c r="E165" s="2" t="s">
        <v>527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89</v>
      </c>
      <c r="L165" s="6" t="s">
        <v>112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584</v>
      </c>
      <c r="R165" s="2">
        <v>14117647.060000001</v>
      </c>
      <c r="S165" s="2">
        <v>0</v>
      </c>
      <c r="T165" s="2" t="s">
        <v>96</v>
      </c>
      <c r="U165" s="2" t="s">
        <v>97</v>
      </c>
      <c r="V165" s="2" t="s">
        <v>56</v>
      </c>
      <c r="W165" s="2" t="s">
        <v>98</v>
      </c>
      <c r="X165" s="2" t="s">
        <v>99</v>
      </c>
      <c r="Y165" s="2">
        <v>1.6771248705386901</v>
      </c>
      <c r="Z165" s="2">
        <v>1677.1248705386899</v>
      </c>
      <c r="AA165" s="2">
        <v>4.73719444444444</v>
      </c>
      <c r="AB165" s="2">
        <v>-74.069472222222203</v>
      </c>
      <c r="AC165" s="2">
        <v>2555</v>
      </c>
      <c r="AD165" s="2">
        <v>0</v>
      </c>
      <c r="AE165" s="2" t="s">
        <v>59</v>
      </c>
      <c r="AF165" s="2" t="s">
        <v>86</v>
      </c>
      <c r="AG165" s="2" t="s">
        <v>61</v>
      </c>
      <c r="AH165" s="2" t="s">
        <v>62</v>
      </c>
      <c r="AI165" s="2" t="s">
        <v>100</v>
      </c>
      <c r="AJ165" s="2">
        <v>0.46186623077198402</v>
      </c>
      <c r="AK165" s="2">
        <v>5.2536578252352202</v>
      </c>
      <c r="AL165" s="2">
        <v>1.1074697207309201</v>
      </c>
      <c r="AM165" s="2">
        <v>0.76973474798449004</v>
      </c>
      <c r="AN165" s="2">
        <v>2.0387549974326999</v>
      </c>
      <c r="AO165" s="2">
        <v>3.9074462529165403E-2</v>
      </c>
      <c r="AP165" s="2">
        <v>3.9074462529165403E-2</v>
      </c>
      <c r="AQ165" s="2">
        <v>2</v>
      </c>
      <c r="AR165" s="2">
        <v>2</v>
      </c>
      <c r="AS165" s="2">
        <v>0</v>
      </c>
      <c r="AT165" s="2">
        <v>0</v>
      </c>
      <c r="AU165" s="2">
        <v>0</v>
      </c>
      <c r="AV165" s="2">
        <v>5</v>
      </c>
      <c r="AW165" s="2">
        <v>0</v>
      </c>
      <c r="AX165" s="2">
        <v>0</v>
      </c>
      <c r="AY165" s="2">
        <v>15.3</v>
      </c>
      <c r="AZ165" s="2">
        <v>9.8000000000000007</v>
      </c>
      <c r="BA165" s="2">
        <v>29.7</v>
      </c>
      <c r="BB165" s="2">
        <v>564</v>
      </c>
      <c r="BC165" s="2">
        <v>68</v>
      </c>
      <c r="BD165" s="2">
        <v>1.8</v>
      </c>
      <c r="BE165" s="2">
        <v>43</v>
      </c>
      <c r="BF165" s="2">
        <v>25.4</v>
      </c>
      <c r="BG165" s="2">
        <v>162</v>
      </c>
      <c r="BH165" s="2">
        <v>9.1</v>
      </c>
      <c r="BI165" s="2">
        <v>9.1999999999999993</v>
      </c>
      <c r="BJ165" s="2">
        <v>18.3</v>
      </c>
      <c r="BK165" s="2">
        <v>0.34</v>
      </c>
      <c r="BL165" s="2">
        <v>7.3</v>
      </c>
      <c r="BM165" s="2">
        <v>0.9</v>
      </c>
      <c r="BN165" s="2">
        <v>7.5</v>
      </c>
      <c r="BO165" s="2">
        <v>2.9</v>
      </c>
      <c r="BP165" s="2">
        <f t="shared" si="4"/>
        <v>9.0192817705996671</v>
      </c>
      <c r="BQ165" s="2">
        <f t="shared" si="5"/>
        <v>28.528284933236993</v>
      </c>
    </row>
    <row r="166" spans="1:69" x14ac:dyDescent="0.2">
      <c r="A166" s="2" t="s">
        <v>1764</v>
      </c>
      <c r="B166" s="2" t="s">
        <v>47</v>
      </c>
      <c r="C166" s="2" t="s">
        <v>48</v>
      </c>
      <c r="D166" s="2" t="s">
        <v>49</v>
      </c>
      <c r="E166" s="2" t="s">
        <v>688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89</v>
      </c>
      <c r="L166" s="6" t="s">
        <v>112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1765</v>
      </c>
      <c r="R166" s="2">
        <v>7901078.4970000004</v>
      </c>
      <c r="S166" s="2">
        <v>0</v>
      </c>
      <c r="T166" s="2" t="s">
        <v>96</v>
      </c>
      <c r="U166" s="2" t="s">
        <v>97</v>
      </c>
      <c r="V166" s="2" t="s">
        <v>56</v>
      </c>
      <c r="W166" s="2" t="s">
        <v>98</v>
      </c>
      <c r="X166" s="2" t="s">
        <v>99</v>
      </c>
      <c r="Y166" s="2">
        <v>0.39262846755416397</v>
      </c>
      <c r="Z166" s="2">
        <v>392.62846755416399</v>
      </c>
      <c r="AA166" s="2">
        <v>4.73719444444444</v>
      </c>
      <c r="AB166" s="2">
        <v>-74.069472222222203</v>
      </c>
      <c r="AC166" s="2">
        <v>2555</v>
      </c>
      <c r="AD166" s="2">
        <v>0</v>
      </c>
      <c r="AE166" s="2" t="s">
        <v>59</v>
      </c>
      <c r="AF166" s="2" t="s">
        <v>86</v>
      </c>
      <c r="AG166" s="2" t="s">
        <v>61</v>
      </c>
      <c r="AH166" s="2" t="s">
        <v>62</v>
      </c>
      <c r="AI166" s="2" t="s">
        <v>100</v>
      </c>
      <c r="AJ166" s="2">
        <v>1.2938706282419601</v>
      </c>
      <c r="AK166" s="2">
        <v>5.3297666929854399</v>
      </c>
      <c r="AL166" s="2">
        <v>2.35349546019253</v>
      </c>
      <c r="AM166" s="2">
        <v>0.62519238326051796</v>
      </c>
      <c r="AN166" s="2">
        <v>1.6482891017141299</v>
      </c>
      <c r="AO166" s="2">
        <v>9.1690644740663296E-2</v>
      </c>
      <c r="AP166" s="2">
        <v>9.1690644740663296E-2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7</v>
      </c>
      <c r="AW166" s="2">
        <v>0</v>
      </c>
      <c r="AX166" s="2">
        <v>0</v>
      </c>
      <c r="AY166" s="2">
        <v>15.3</v>
      </c>
      <c r="AZ166" s="2">
        <v>9.8000000000000007</v>
      </c>
      <c r="BA166" s="2">
        <v>29.7</v>
      </c>
      <c r="BB166" s="2">
        <v>564</v>
      </c>
      <c r="BC166" s="2">
        <v>68</v>
      </c>
      <c r="BD166" s="2">
        <v>1.8</v>
      </c>
      <c r="BE166" s="2">
        <v>43</v>
      </c>
      <c r="BF166" s="2">
        <v>25.4</v>
      </c>
      <c r="BG166" s="2">
        <v>162</v>
      </c>
      <c r="BH166" s="2">
        <v>9.1</v>
      </c>
      <c r="BI166" s="2">
        <v>9.1999999999999993</v>
      </c>
      <c r="BJ166" s="2">
        <v>18.3</v>
      </c>
      <c r="BK166" s="2">
        <v>0.34</v>
      </c>
      <c r="BL166" s="2">
        <v>7.3</v>
      </c>
      <c r="BM166" s="2">
        <v>0.9</v>
      </c>
      <c r="BN166" s="2">
        <v>7.5</v>
      </c>
      <c r="BO166" s="2">
        <v>2.9</v>
      </c>
      <c r="BP166" s="2">
        <f t="shared" si="4"/>
        <v>9.6113748429550263</v>
      </c>
      <c r="BQ166" s="2">
        <f t="shared" si="5"/>
        <v>29.42144889459858</v>
      </c>
    </row>
    <row r="167" spans="1:69" x14ac:dyDescent="0.2">
      <c r="A167" s="2" t="s">
        <v>3098</v>
      </c>
      <c r="B167" s="2" t="s">
        <v>47</v>
      </c>
      <c r="C167" s="2" t="s">
        <v>1935</v>
      </c>
      <c r="D167" s="2" t="s">
        <v>49</v>
      </c>
      <c r="E167" s="2" t="s">
        <v>1534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89</v>
      </c>
      <c r="L167" s="6" t="s">
        <v>103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3099</v>
      </c>
      <c r="R167" s="2">
        <v>3730158.73</v>
      </c>
      <c r="S167" s="2">
        <v>0</v>
      </c>
      <c r="T167" s="2" t="s">
        <v>96</v>
      </c>
      <c r="U167" s="2" t="s">
        <v>97</v>
      </c>
      <c r="V167" s="2" t="s">
        <v>56</v>
      </c>
      <c r="W167" s="2" t="s">
        <v>98</v>
      </c>
      <c r="X167" s="2" t="s">
        <v>99</v>
      </c>
      <c r="Y167" s="2">
        <v>2.70052395407123</v>
      </c>
      <c r="Z167" s="2">
        <v>2700.52395407123</v>
      </c>
      <c r="AA167" s="2">
        <v>4.73719444444444</v>
      </c>
      <c r="AB167" s="2">
        <v>-74.069472222222203</v>
      </c>
      <c r="AC167" s="2">
        <v>2555</v>
      </c>
      <c r="AD167" s="2">
        <v>0</v>
      </c>
      <c r="AE167" s="2" t="s">
        <v>59</v>
      </c>
      <c r="AF167" s="2" t="s">
        <v>86</v>
      </c>
      <c r="AG167" s="2" t="s">
        <v>61</v>
      </c>
      <c r="AH167" s="2" t="s">
        <v>62</v>
      </c>
      <c r="AI167" s="2" t="s">
        <v>87</v>
      </c>
      <c r="AJ167" s="2">
        <v>0.54907906478160695</v>
      </c>
      <c r="AK167" s="2">
        <v>2.6290263706901098</v>
      </c>
      <c r="AL167" s="2">
        <v>0.794054921303185</v>
      </c>
      <c r="AM167" s="2">
        <v>0.27953817800479902</v>
      </c>
      <c r="AN167" s="2">
        <v>2.0808636051918801</v>
      </c>
      <c r="AO167" s="2">
        <v>0.39726444446818698</v>
      </c>
      <c r="AP167" s="2">
        <v>0.39726444446818698</v>
      </c>
      <c r="AQ167" s="2">
        <v>0</v>
      </c>
      <c r="AR167" s="2">
        <v>4</v>
      </c>
      <c r="AS167" s="2">
        <v>0</v>
      </c>
      <c r="AT167" s="2">
        <v>0</v>
      </c>
      <c r="AU167" s="2">
        <v>1</v>
      </c>
      <c r="AV167" s="2">
        <v>31</v>
      </c>
      <c r="AW167" s="2">
        <v>0</v>
      </c>
      <c r="AX167" s="2">
        <v>0</v>
      </c>
      <c r="AY167" s="2">
        <v>15.3</v>
      </c>
      <c r="AZ167" s="2">
        <v>9.8000000000000007</v>
      </c>
      <c r="BA167" s="2">
        <v>29.7</v>
      </c>
      <c r="BB167" s="2">
        <v>564</v>
      </c>
      <c r="BC167" s="2">
        <v>68</v>
      </c>
      <c r="BD167" s="2">
        <v>1.8</v>
      </c>
      <c r="BE167" s="2">
        <v>43</v>
      </c>
      <c r="BF167" s="2">
        <v>25.4</v>
      </c>
      <c r="BG167" s="2">
        <v>162</v>
      </c>
      <c r="BH167" s="2">
        <v>9.1</v>
      </c>
      <c r="BI167" s="2">
        <v>9.1999999999999993</v>
      </c>
      <c r="BJ167" s="2">
        <v>18.3</v>
      </c>
      <c r="BK167" s="2">
        <v>0.34</v>
      </c>
      <c r="BL167" s="2">
        <v>7.3</v>
      </c>
      <c r="BM167" s="2">
        <v>0.9</v>
      </c>
      <c r="BN167" s="2">
        <v>7.5</v>
      </c>
      <c r="BO167" s="2">
        <v>2.9</v>
      </c>
      <c r="BP167" s="2">
        <f t="shared" si="4"/>
        <v>8.5737606324734941</v>
      </c>
      <c r="BQ167" s="2">
        <f t="shared" si="5"/>
        <v>27.83612036112951</v>
      </c>
    </row>
    <row r="168" spans="1:69" x14ac:dyDescent="0.2">
      <c r="A168" s="2" t="s">
        <v>1662</v>
      </c>
      <c r="B168" s="2" t="s">
        <v>47</v>
      </c>
      <c r="C168" s="2" t="s">
        <v>48</v>
      </c>
      <c r="D168" s="2" t="s">
        <v>49</v>
      </c>
      <c r="E168" s="2" t="s">
        <v>328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89</v>
      </c>
      <c r="L168" s="6" t="s">
        <v>103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1663</v>
      </c>
      <c r="R168" s="2">
        <v>7288156.2390000001</v>
      </c>
      <c r="S168" s="2">
        <v>0</v>
      </c>
      <c r="T168" s="2" t="s">
        <v>96</v>
      </c>
      <c r="U168" s="2" t="s">
        <v>97</v>
      </c>
      <c r="V168" s="2" t="s">
        <v>56</v>
      </c>
      <c r="W168" s="2" t="s">
        <v>98</v>
      </c>
      <c r="X168" s="2" t="s">
        <v>99</v>
      </c>
      <c r="Y168" s="2">
        <v>1.78659140876291</v>
      </c>
      <c r="Z168" s="2">
        <v>1786.5914087629101</v>
      </c>
      <c r="AA168" s="2">
        <v>4.73719444444444</v>
      </c>
      <c r="AB168" s="2">
        <v>-74.069472222222203</v>
      </c>
      <c r="AC168" s="2">
        <v>2555</v>
      </c>
      <c r="AD168" s="2">
        <v>0</v>
      </c>
      <c r="AE168" s="2" t="s">
        <v>59</v>
      </c>
      <c r="AF168" s="2" t="s">
        <v>86</v>
      </c>
      <c r="AG168" s="2" t="s">
        <v>61</v>
      </c>
      <c r="AH168" s="2" t="s">
        <v>62</v>
      </c>
      <c r="AI168" s="2" t="s">
        <v>100</v>
      </c>
      <c r="AJ168" s="2">
        <v>0.53333966201247696</v>
      </c>
      <c r="AK168" s="2">
        <v>5.1603584692094699</v>
      </c>
      <c r="AL168" s="2">
        <v>1.1282028556633801</v>
      </c>
      <c r="AM168" s="2">
        <v>0.81742325334521604</v>
      </c>
      <c r="AN168" s="2">
        <v>2.0589873139034198</v>
      </c>
      <c r="AO168" s="2">
        <v>7.9883255660657595E-3</v>
      </c>
      <c r="AP168" s="2">
        <v>7.9883255660657595E-3</v>
      </c>
      <c r="AQ168" s="2">
        <v>0</v>
      </c>
      <c r="AR168" s="2">
        <v>2</v>
      </c>
      <c r="AS168" s="2">
        <v>0</v>
      </c>
      <c r="AT168" s="2">
        <v>0</v>
      </c>
      <c r="AU168" s="2">
        <v>0</v>
      </c>
      <c r="AV168" s="2">
        <v>4</v>
      </c>
      <c r="AW168" s="2">
        <v>0</v>
      </c>
      <c r="AX168" s="2">
        <v>0</v>
      </c>
      <c r="AY168" s="2">
        <v>15.3</v>
      </c>
      <c r="AZ168" s="2">
        <v>9.8000000000000007</v>
      </c>
      <c r="BA168" s="2">
        <v>29.7</v>
      </c>
      <c r="BB168" s="2">
        <v>564</v>
      </c>
      <c r="BC168" s="2">
        <v>68</v>
      </c>
      <c r="BD168" s="2">
        <v>1.8</v>
      </c>
      <c r="BE168" s="2">
        <v>43</v>
      </c>
      <c r="BF168" s="2">
        <v>25.4</v>
      </c>
      <c r="BG168" s="2">
        <v>162</v>
      </c>
      <c r="BH168" s="2">
        <v>9.1</v>
      </c>
      <c r="BI168" s="2">
        <v>9.1999999999999993</v>
      </c>
      <c r="BJ168" s="2">
        <v>18.3</v>
      </c>
      <c r="BK168" s="2">
        <v>0.34</v>
      </c>
      <c r="BL168" s="2">
        <v>7.3</v>
      </c>
      <c r="BM168" s="2">
        <v>0.9</v>
      </c>
      <c r="BN168" s="2">
        <v>7.5</v>
      </c>
      <c r="BO168" s="2">
        <v>2.9</v>
      </c>
      <c r="BP168" s="2">
        <f t="shared" si="4"/>
        <v>8.970542117183582</v>
      </c>
      <c r="BQ168" s="2">
        <f t="shared" si="5"/>
        <v>28.453433878285484</v>
      </c>
    </row>
    <row r="169" spans="1:69" x14ac:dyDescent="0.2">
      <c r="A169" s="2" t="s">
        <v>1427</v>
      </c>
      <c r="B169" s="2" t="s">
        <v>47</v>
      </c>
      <c r="C169" s="2" t="s">
        <v>48</v>
      </c>
      <c r="D169" s="2" t="s">
        <v>49</v>
      </c>
      <c r="E169" s="2" t="s">
        <v>328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89</v>
      </c>
      <c r="L169" s="6" t="s">
        <v>103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1428</v>
      </c>
      <c r="R169" s="2">
        <v>10204081.630000001</v>
      </c>
      <c r="S169" s="2">
        <v>0</v>
      </c>
      <c r="T169" s="2" t="s">
        <v>96</v>
      </c>
      <c r="U169" s="2" t="s">
        <v>97</v>
      </c>
      <c r="V169" s="2" t="s">
        <v>56</v>
      </c>
      <c r="W169" s="2" t="s">
        <v>98</v>
      </c>
      <c r="X169" s="2" t="s">
        <v>99</v>
      </c>
      <c r="Y169" s="2">
        <v>1.67698640812878</v>
      </c>
      <c r="Z169" s="2">
        <v>1676.9864081287801</v>
      </c>
      <c r="AA169" s="2">
        <v>4.73719444444444</v>
      </c>
      <c r="AB169" s="2">
        <v>-74.069472222222203</v>
      </c>
      <c r="AC169" s="2">
        <v>2555</v>
      </c>
      <c r="AD169" s="2">
        <v>0</v>
      </c>
      <c r="AE169" s="2" t="s">
        <v>59</v>
      </c>
      <c r="AF169" s="2" t="s">
        <v>86</v>
      </c>
      <c r="AG169" s="2" t="s">
        <v>61</v>
      </c>
      <c r="AH169" s="2" t="s">
        <v>62</v>
      </c>
      <c r="AI169" s="2" t="s">
        <v>100</v>
      </c>
      <c r="AJ169" s="2">
        <v>0.46167562181163602</v>
      </c>
      <c r="AK169" s="2">
        <v>5.25393409486629</v>
      </c>
      <c r="AL169" s="2">
        <v>1.1072825752104301</v>
      </c>
      <c r="AM169" s="2">
        <v>0.76950767074754201</v>
      </c>
      <c r="AN169" s="2">
        <v>2.0388824084914199</v>
      </c>
      <c r="AO169" s="2">
        <v>3.8970882427421097E-2</v>
      </c>
      <c r="AP169" s="2">
        <v>3.8970882427421097E-2</v>
      </c>
      <c r="AQ169" s="2">
        <v>2</v>
      </c>
      <c r="AR169" s="2">
        <v>2</v>
      </c>
      <c r="AS169" s="2">
        <v>0</v>
      </c>
      <c r="AT169" s="2">
        <v>0</v>
      </c>
      <c r="AU169" s="2">
        <v>0</v>
      </c>
      <c r="AV169" s="2">
        <v>5</v>
      </c>
      <c r="AW169" s="2">
        <v>0</v>
      </c>
      <c r="AX169" s="2">
        <v>0</v>
      </c>
      <c r="AY169" s="2">
        <v>15.3</v>
      </c>
      <c r="AZ169" s="2">
        <v>9.8000000000000007</v>
      </c>
      <c r="BA169" s="2">
        <v>29.7</v>
      </c>
      <c r="BB169" s="2">
        <v>564</v>
      </c>
      <c r="BC169" s="2">
        <v>68</v>
      </c>
      <c r="BD169" s="2">
        <v>1.8</v>
      </c>
      <c r="BE169" s="2">
        <v>43</v>
      </c>
      <c r="BF169" s="2">
        <v>25.4</v>
      </c>
      <c r="BG169" s="2">
        <v>162</v>
      </c>
      <c r="BH169" s="2">
        <v>9.1</v>
      </c>
      <c r="BI169" s="2">
        <v>9.1999999999999993</v>
      </c>
      <c r="BJ169" s="2">
        <v>18.3</v>
      </c>
      <c r="BK169" s="2">
        <v>0.34</v>
      </c>
      <c r="BL169" s="2">
        <v>7.3</v>
      </c>
      <c r="BM169" s="2">
        <v>0.9</v>
      </c>
      <c r="BN169" s="2">
        <v>7.5</v>
      </c>
      <c r="BO169" s="2">
        <v>2.9</v>
      </c>
      <c r="BP169" s="2">
        <f t="shared" si="4"/>
        <v>9.0193435879702459</v>
      </c>
      <c r="BQ169" s="2">
        <f t="shared" si="5"/>
        <v>28.528379735676491</v>
      </c>
    </row>
    <row r="170" spans="1:69" x14ac:dyDescent="0.2">
      <c r="A170" s="2" t="s">
        <v>1098</v>
      </c>
      <c r="B170" s="2" t="s">
        <v>47</v>
      </c>
      <c r="C170" s="2" t="s">
        <v>48</v>
      </c>
      <c r="D170" s="2" t="s">
        <v>49</v>
      </c>
      <c r="E170" s="2" t="s">
        <v>658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89</v>
      </c>
      <c r="L170" s="6" t="s">
        <v>141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1099</v>
      </c>
      <c r="R170" s="2">
        <v>7959183.6730000004</v>
      </c>
      <c r="S170" s="2">
        <v>0</v>
      </c>
      <c r="T170" s="2" t="s">
        <v>96</v>
      </c>
      <c r="U170" s="2" t="s">
        <v>97</v>
      </c>
      <c r="V170" s="2" t="s">
        <v>56</v>
      </c>
      <c r="W170" s="2" t="s">
        <v>98</v>
      </c>
      <c r="X170" s="2" t="s">
        <v>99</v>
      </c>
      <c r="Y170" s="2">
        <v>3.56105923532651</v>
      </c>
      <c r="Z170" s="2">
        <v>3561.0592353265101</v>
      </c>
      <c r="AA170" s="2">
        <v>4.73719444444444</v>
      </c>
      <c r="AB170" s="2">
        <v>-74.069472222222203</v>
      </c>
      <c r="AC170" s="2">
        <v>2555</v>
      </c>
      <c r="AD170" s="2">
        <v>0</v>
      </c>
      <c r="AE170" s="2" t="s">
        <v>59</v>
      </c>
      <c r="AF170" s="2" t="s">
        <v>86</v>
      </c>
      <c r="AG170" s="2" t="s">
        <v>61</v>
      </c>
      <c r="AH170" s="2" t="s">
        <v>62</v>
      </c>
      <c r="AI170" s="2" t="s">
        <v>100</v>
      </c>
      <c r="AJ170" s="2">
        <v>1.3083733795410499</v>
      </c>
      <c r="AK170" s="2">
        <v>5.0378142669391002</v>
      </c>
      <c r="AL170" s="2">
        <v>1.0348669605362799</v>
      </c>
      <c r="AM170" s="2">
        <v>0.56898925361006603</v>
      </c>
      <c r="AN170" s="2">
        <v>2.9400705543273702</v>
      </c>
      <c r="AO170" s="2">
        <v>0.52148988069485003</v>
      </c>
      <c r="AP170" s="2">
        <v>0.52148988069485003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8</v>
      </c>
      <c r="AW170" s="2">
        <v>0</v>
      </c>
      <c r="AX170" s="2">
        <v>0</v>
      </c>
      <c r="AY170" s="2">
        <v>15.3</v>
      </c>
      <c r="AZ170" s="2">
        <v>9.8000000000000007</v>
      </c>
      <c r="BA170" s="2">
        <v>29.7</v>
      </c>
      <c r="BB170" s="2">
        <v>564</v>
      </c>
      <c r="BC170" s="2">
        <v>68</v>
      </c>
      <c r="BD170" s="2">
        <v>1.8</v>
      </c>
      <c r="BE170" s="2">
        <v>43</v>
      </c>
      <c r="BF170" s="2">
        <v>25.4</v>
      </c>
      <c r="BG170" s="2">
        <v>162</v>
      </c>
      <c r="BH170" s="2">
        <v>9.1</v>
      </c>
      <c r="BI170" s="2">
        <v>9.1999999999999993</v>
      </c>
      <c r="BJ170" s="2">
        <v>18.3</v>
      </c>
      <c r="BK170" s="2">
        <v>0.34</v>
      </c>
      <c r="BL170" s="2">
        <v>7.3</v>
      </c>
      <c r="BM170" s="2">
        <v>0.9</v>
      </c>
      <c r="BN170" s="2">
        <v>7.5</v>
      </c>
      <c r="BO170" s="2">
        <v>2.9</v>
      </c>
      <c r="BP170" s="2">
        <f t="shared" si="4"/>
        <v>8.2162175699683146</v>
      </c>
      <c r="BQ170" s="2">
        <f t="shared" si="5"/>
        <v>27.267121184526381</v>
      </c>
    </row>
    <row r="171" spans="1:69" x14ac:dyDescent="0.2">
      <c r="A171" s="2" t="s">
        <v>366</v>
      </c>
      <c r="B171" s="2" t="s">
        <v>47</v>
      </c>
      <c r="C171" s="2" t="s">
        <v>48</v>
      </c>
      <c r="D171" s="2" t="s">
        <v>49</v>
      </c>
      <c r="E171" s="2" t="s">
        <v>367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89</v>
      </c>
      <c r="L171" s="6" t="s">
        <v>103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368</v>
      </c>
      <c r="R171" s="2">
        <v>10245901.640000001</v>
      </c>
      <c r="S171" s="2">
        <v>0</v>
      </c>
      <c r="T171" s="2" t="s">
        <v>96</v>
      </c>
      <c r="U171" s="2" t="s">
        <v>97</v>
      </c>
      <c r="V171" s="2" t="s">
        <v>56</v>
      </c>
      <c r="W171" s="2" t="s">
        <v>98</v>
      </c>
      <c r="X171" s="2" t="s">
        <v>99</v>
      </c>
      <c r="Y171" s="2">
        <v>1.6634503039233099</v>
      </c>
      <c r="Z171" s="2">
        <v>1663.45030392331</v>
      </c>
      <c r="AA171" s="2">
        <v>4.73719444444444</v>
      </c>
      <c r="AB171" s="2">
        <v>-74.069472222222203</v>
      </c>
      <c r="AC171" s="2">
        <v>2555</v>
      </c>
      <c r="AD171" s="2">
        <v>0</v>
      </c>
      <c r="AE171" s="2" t="s">
        <v>59</v>
      </c>
      <c r="AF171" s="2" t="s">
        <v>86</v>
      </c>
      <c r="AG171" s="2" t="s">
        <v>61</v>
      </c>
      <c r="AH171" s="2" t="s">
        <v>62</v>
      </c>
      <c r="AI171" s="2" t="s">
        <v>100</v>
      </c>
      <c r="AJ171" s="2">
        <v>0.45104952670701798</v>
      </c>
      <c r="AK171" s="2">
        <v>5.2515515477054597</v>
      </c>
      <c r="AL171" s="2">
        <v>1.12068221111991</v>
      </c>
      <c r="AM171" s="2">
        <v>0.78047433725719595</v>
      </c>
      <c r="AN171" s="2">
        <v>2.0234047764140102</v>
      </c>
      <c r="AO171" s="2">
        <v>2.4269862667300902E-2</v>
      </c>
      <c r="AP171" s="2">
        <v>2.4269862667300902E-2</v>
      </c>
      <c r="AQ171" s="2">
        <v>1</v>
      </c>
      <c r="AR171" s="2">
        <v>2</v>
      </c>
      <c r="AS171" s="2">
        <v>0</v>
      </c>
      <c r="AT171" s="2">
        <v>0</v>
      </c>
      <c r="AU171" s="2">
        <v>0</v>
      </c>
      <c r="AV171" s="2">
        <v>5</v>
      </c>
      <c r="AW171" s="2">
        <v>0</v>
      </c>
      <c r="AX171" s="2">
        <v>0</v>
      </c>
      <c r="AY171" s="2">
        <v>15.3</v>
      </c>
      <c r="AZ171" s="2">
        <v>9.8000000000000007</v>
      </c>
      <c r="BA171" s="2">
        <v>29.7</v>
      </c>
      <c r="BB171" s="2">
        <v>564</v>
      </c>
      <c r="BC171" s="2">
        <v>68</v>
      </c>
      <c r="BD171" s="2">
        <v>1.8</v>
      </c>
      <c r="BE171" s="2">
        <v>43</v>
      </c>
      <c r="BF171" s="2">
        <v>25.4</v>
      </c>
      <c r="BG171" s="2">
        <v>162</v>
      </c>
      <c r="BH171" s="2">
        <v>9.1</v>
      </c>
      <c r="BI171" s="2">
        <v>9.1999999999999993</v>
      </c>
      <c r="BJ171" s="2">
        <v>18.3</v>
      </c>
      <c r="BK171" s="2">
        <v>0.34</v>
      </c>
      <c r="BL171" s="2">
        <v>7.3</v>
      </c>
      <c r="BM171" s="2">
        <v>0.9</v>
      </c>
      <c r="BN171" s="2">
        <v>7.5</v>
      </c>
      <c r="BO171" s="2">
        <v>2.9</v>
      </c>
      <c r="BP171" s="2">
        <f t="shared" si="4"/>
        <v>9.025388908384981</v>
      </c>
      <c r="BQ171" s="2">
        <f t="shared" si="5"/>
        <v>28.537649156159038</v>
      </c>
    </row>
    <row r="172" spans="1:69" x14ac:dyDescent="0.2">
      <c r="A172" s="2" t="s">
        <v>3717</v>
      </c>
      <c r="B172" s="2" t="s">
        <v>47</v>
      </c>
      <c r="C172" s="2" t="s">
        <v>3273</v>
      </c>
      <c r="D172" s="2" t="s">
        <v>49</v>
      </c>
      <c r="E172" s="2" t="s">
        <v>527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89</v>
      </c>
      <c r="L172" s="6" t="s">
        <v>103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3718</v>
      </c>
      <c r="R172" s="2">
        <v>10288065.84</v>
      </c>
      <c r="S172" s="2">
        <v>0</v>
      </c>
      <c r="T172" s="2" t="s">
        <v>96</v>
      </c>
      <c r="U172" s="2" t="s">
        <v>97</v>
      </c>
      <c r="V172" s="2" t="s">
        <v>56</v>
      </c>
      <c r="W172" s="2" t="s">
        <v>98</v>
      </c>
      <c r="X172" s="2" t="s">
        <v>99</v>
      </c>
      <c r="Y172" s="2">
        <v>2.10151088223579</v>
      </c>
      <c r="Z172" s="2">
        <v>2101.5108822357902</v>
      </c>
      <c r="AA172" s="2">
        <v>4.73719444444444</v>
      </c>
      <c r="AB172" s="2">
        <v>-74.069472222222203</v>
      </c>
      <c r="AC172" s="2">
        <v>2555</v>
      </c>
      <c r="AD172" s="2">
        <v>0</v>
      </c>
      <c r="AE172" s="2" t="s">
        <v>59</v>
      </c>
      <c r="AF172" s="2" t="s">
        <v>86</v>
      </c>
      <c r="AG172" s="2" t="s">
        <v>61</v>
      </c>
      <c r="AH172" s="2" t="s">
        <v>62</v>
      </c>
      <c r="AI172" s="2" t="s">
        <v>100</v>
      </c>
      <c r="AJ172" s="2">
        <v>0.39453540972627599</v>
      </c>
      <c r="AK172" s="2">
        <v>5.2732911206181603</v>
      </c>
      <c r="AL172" s="2">
        <v>0.84638341092222003</v>
      </c>
      <c r="AM172" s="2">
        <v>0.43206048743466202</v>
      </c>
      <c r="AN172" s="2">
        <v>2.4511332861029498</v>
      </c>
      <c r="AO172" s="2">
        <v>5.6983743027067997E-3</v>
      </c>
      <c r="AP172" s="2">
        <v>5.6983743027067997E-3</v>
      </c>
      <c r="AQ172" s="2">
        <v>1</v>
      </c>
      <c r="AR172" s="2">
        <v>2</v>
      </c>
      <c r="AS172" s="2">
        <v>0</v>
      </c>
      <c r="AT172" s="2">
        <v>0</v>
      </c>
      <c r="AU172" s="2">
        <v>1</v>
      </c>
      <c r="AV172" s="2">
        <v>15</v>
      </c>
      <c r="AW172" s="2">
        <v>0</v>
      </c>
      <c r="AX172" s="2">
        <v>0</v>
      </c>
      <c r="AY172" s="2">
        <v>15.3</v>
      </c>
      <c r="AZ172" s="2">
        <v>9.8000000000000007</v>
      </c>
      <c r="BA172" s="2">
        <v>29.7</v>
      </c>
      <c r="BB172" s="2">
        <v>564</v>
      </c>
      <c r="BC172" s="2">
        <v>68</v>
      </c>
      <c r="BD172" s="2">
        <v>1.8</v>
      </c>
      <c r="BE172" s="2">
        <v>43</v>
      </c>
      <c r="BF172" s="2">
        <v>25.4</v>
      </c>
      <c r="BG172" s="2">
        <v>162</v>
      </c>
      <c r="BH172" s="2">
        <v>9.1</v>
      </c>
      <c r="BI172" s="2">
        <v>9.1999999999999993</v>
      </c>
      <c r="BJ172" s="2">
        <v>18.3</v>
      </c>
      <c r="BK172" s="2">
        <v>0.34</v>
      </c>
      <c r="BL172" s="2">
        <v>7.3</v>
      </c>
      <c r="BM172" s="2">
        <v>0.9</v>
      </c>
      <c r="BN172" s="2">
        <v>7.5</v>
      </c>
      <c r="BO172" s="2">
        <v>2.9</v>
      </c>
      <c r="BP172" s="2">
        <f t="shared" si="4"/>
        <v>8.8317889837057564</v>
      </c>
      <c r="BQ172" s="2">
        <f t="shared" si="5"/>
        <v>28.239191557133193</v>
      </c>
    </row>
    <row r="173" spans="1:69" x14ac:dyDescent="0.2">
      <c r="A173" s="2" t="s">
        <v>2734</v>
      </c>
      <c r="B173" s="2" t="s">
        <v>47</v>
      </c>
      <c r="C173" s="2" t="s">
        <v>1935</v>
      </c>
      <c r="D173" s="2" t="s">
        <v>49</v>
      </c>
      <c r="E173" s="2" t="s">
        <v>688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89</v>
      </c>
      <c r="L173" s="6" t="s">
        <v>141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2735</v>
      </c>
      <c r="R173" s="2">
        <v>6172839.5060000001</v>
      </c>
      <c r="S173" s="2">
        <v>0</v>
      </c>
      <c r="T173" s="2" t="s">
        <v>96</v>
      </c>
      <c r="U173" s="2" t="s">
        <v>97</v>
      </c>
      <c r="V173" s="2" t="s">
        <v>56</v>
      </c>
      <c r="W173" s="2" t="s">
        <v>98</v>
      </c>
      <c r="X173" s="2" t="s">
        <v>99</v>
      </c>
      <c r="Y173" s="2">
        <v>1.36043986302149</v>
      </c>
      <c r="Z173" s="2">
        <v>1360.4398630214901</v>
      </c>
      <c r="AA173" s="2">
        <v>4.73719444444444</v>
      </c>
      <c r="AB173" s="2">
        <v>-74.069472222222203</v>
      </c>
      <c r="AC173" s="2">
        <v>2555</v>
      </c>
      <c r="AD173" s="2">
        <v>0</v>
      </c>
      <c r="AE173" s="2" t="s">
        <v>59</v>
      </c>
      <c r="AF173" s="2" t="s">
        <v>86</v>
      </c>
      <c r="AG173" s="2" t="s">
        <v>61</v>
      </c>
      <c r="AH173" s="2" t="s">
        <v>62</v>
      </c>
      <c r="AI173" s="2" t="s">
        <v>100</v>
      </c>
      <c r="AJ173" s="2">
        <v>1.1144960749122199</v>
      </c>
      <c r="AK173" s="2">
        <v>4.6227830269938099</v>
      </c>
      <c r="AL173" s="2">
        <v>1.2405878237455299</v>
      </c>
      <c r="AM173" s="2">
        <v>9.2996963056667298E-2</v>
      </c>
      <c r="AN173" s="2">
        <v>2.8488236536565701</v>
      </c>
      <c r="AO173" s="2">
        <v>0.470154336865304</v>
      </c>
      <c r="AP173" s="2">
        <v>0.470154336865304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23</v>
      </c>
      <c r="AW173" s="2">
        <v>0</v>
      </c>
      <c r="AX173" s="2">
        <v>0</v>
      </c>
      <c r="AY173" s="2">
        <v>15.3</v>
      </c>
      <c r="AZ173" s="2">
        <v>9.8000000000000007</v>
      </c>
      <c r="BA173" s="2">
        <v>29.7</v>
      </c>
      <c r="BB173" s="2">
        <v>564</v>
      </c>
      <c r="BC173" s="2">
        <v>68</v>
      </c>
      <c r="BD173" s="2">
        <v>1.8</v>
      </c>
      <c r="BE173" s="2">
        <v>43</v>
      </c>
      <c r="BF173" s="2">
        <v>25.4</v>
      </c>
      <c r="BG173" s="2">
        <v>162</v>
      </c>
      <c r="BH173" s="2">
        <v>9.1</v>
      </c>
      <c r="BI173" s="2">
        <v>9.1999999999999993</v>
      </c>
      <c r="BJ173" s="2">
        <v>18.3</v>
      </c>
      <c r="BK173" s="2">
        <v>0.34</v>
      </c>
      <c r="BL173" s="2">
        <v>7.3</v>
      </c>
      <c r="BM173" s="2">
        <v>0.9</v>
      </c>
      <c r="BN173" s="2">
        <v>7.5</v>
      </c>
      <c r="BO173" s="2">
        <v>2.9</v>
      </c>
      <c r="BP173" s="2">
        <f t="shared" si="4"/>
        <v>9.1617811864974534</v>
      </c>
      <c r="BQ173" s="2">
        <f t="shared" si="5"/>
        <v>28.745938540171906</v>
      </c>
    </row>
    <row r="174" spans="1:69" x14ac:dyDescent="0.2">
      <c r="A174" s="2" t="s">
        <v>2316</v>
      </c>
      <c r="B174" s="2" t="s">
        <v>47</v>
      </c>
      <c r="C174" s="2" t="s">
        <v>1935</v>
      </c>
      <c r="D174" s="2" t="s">
        <v>49</v>
      </c>
      <c r="E174" s="2" t="s">
        <v>688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89</v>
      </c>
      <c r="L174" s="6" t="s">
        <v>141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2317</v>
      </c>
      <c r="R174" s="2">
        <v>5761316.8720000004</v>
      </c>
      <c r="S174" s="2">
        <v>0</v>
      </c>
      <c r="T174" s="2" t="s">
        <v>96</v>
      </c>
      <c r="U174" s="2" t="s">
        <v>97</v>
      </c>
      <c r="V174" s="2" t="s">
        <v>56</v>
      </c>
      <c r="W174" s="2" t="s">
        <v>98</v>
      </c>
      <c r="X174" s="2" t="s">
        <v>99</v>
      </c>
      <c r="Y174" s="2">
        <v>1.2590187491790299</v>
      </c>
      <c r="Z174" s="2">
        <v>1259.01874917903</v>
      </c>
      <c r="AA174" s="2">
        <v>4.73719444444444</v>
      </c>
      <c r="AB174" s="2">
        <v>-74.069472222222203</v>
      </c>
      <c r="AC174" s="2">
        <v>2555</v>
      </c>
      <c r="AD174" s="2">
        <v>0</v>
      </c>
      <c r="AE174" s="2" t="s">
        <v>59</v>
      </c>
      <c r="AF174" s="2" t="s">
        <v>86</v>
      </c>
      <c r="AG174" s="2" t="s">
        <v>61</v>
      </c>
      <c r="AH174" s="2" t="s">
        <v>62</v>
      </c>
      <c r="AI174" s="2" t="s">
        <v>100</v>
      </c>
      <c r="AJ174" s="2">
        <v>1.15722747952382</v>
      </c>
      <c r="AK174" s="2">
        <v>4.5901533187331198</v>
      </c>
      <c r="AL174" s="2">
        <v>1.3837992319219199</v>
      </c>
      <c r="AM174" s="2">
        <v>5.2534723581862001E-2</v>
      </c>
      <c r="AN174" s="2">
        <v>2.81473370380002</v>
      </c>
      <c r="AO174" s="2">
        <v>0.40397699146872101</v>
      </c>
      <c r="AP174" s="2">
        <v>0.40397699146872101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20</v>
      </c>
      <c r="AW174" s="2">
        <v>0</v>
      </c>
      <c r="AX174" s="2">
        <v>0</v>
      </c>
      <c r="AY174" s="2">
        <v>15.3</v>
      </c>
      <c r="AZ174" s="2">
        <v>9.8000000000000007</v>
      </c>
      <c r="BA174" s="2">
        <v>29.7</v>
      </c>
      <c r="BB174" s="2">
        <v>564</v>
      </c>
      <c r="BC174" s="2">
        <v>68</v>
      </c>
      <c r="BD174" s="2">
        <v>1.8</v>
      </c>
      <c r="BE174" s="2">
        <v>43</v>
      </c>
      <c r="BF174" s="2">
        <v>25.4</v>
      </c>
      <c r="BG174" s="2">
        <v>162</v>
      </c>
      <c r="BH174" s="2">
        <v>9.1</v>
      </c>
      <c r="BI174" s="2">
        <v>9.1999999999999993</v>
      </c>
      <c r="BJ174" s="2">
        <v>18.3</v>
      </c>
      <c r="BK174" s="2">
        <v>0.34</v>
      </c>
      <c r="BL174" s="2">
        <v>7.3</v>
      </c>
      <c r="BM174" s="2">
        <v>0.9</v>
      </c>
      <c r="BN174" s="2">
        <v>7.5</v>
      </c>
      <c r="BO174" s="2">
        <v>2.9</v>
      </c>
      <c r="BP174" s="2">
        <f t="shared" si="4"/>
        <v>9.2078921397088731</v>
      </c>
      <c r="BQ174" s="2">
        <f t="shared" si="5"/>
        <v>28.81599444988785</v>
      </c>
    </row>
    <row r="175" spans="1:69" x14ac:dyDescent="0.2">
      <c r="A175" s="2" t="s">
        <v>696</v>
      </c>
      <c r="B175" s="2" t="s">
        <v>47</v>
      </c>
      <c r="C175" s="2" t="s">
        <v>48</v>
      </c>
      <c r="D175" s="2" t="s">
        <v>49</v>
      </c>
      <c r="E175" s="2" t="s">
        <v>546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89</v>
      </c>
      <c r="L175" s="6" t="s">
        <v>141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697</v>
      </c>
      <c r="R175" s="2">
        <v>6679586.0310000004</v>
      </c>
      <c r="S175" s="2">
        <v>0</v>
      </c>
      <c r="T175" s="2" t="s">
        <v>96</v>
      </c>
      <c r="U175" s="2" t="s">
        <v>97</v>
      </c>
      <c r="V175" s="2" t="s">
        <v>56</v>
      </c>
      <c r="W175" s="2" t="s">
        <v>98</v>
      </c>
      <c r="X175" s="2" t="s">
        <v>99</v>
      </c>
      <c r="Y175" s="2">
        <v>2.1488282423504601</v>
      </c>
      <c r="Z175" s="2">
        <v>2148.8282423504602</v>
      </c>
      <c r="AA175" s="2">
        <v>4.73719444444444</v>
      </c>
      <c r="AB175" s="2">
        <v>-74.069472222222203</v>
      </c>
      <c r="AC175" s="2">
        <v>2555</v>
      </c>
      <c r="AD175" s="2">
        <v>0</v>
      </c>
      <c r="AE175" s="2" t="s">
        <v>59</v>
      </c>
      <c r="AF175" s="2" t="s">
        <v>86</v>
      </c>
      <c r="AG175" s="2" t="s">
        <v>61</v>
      </c>
      <c r="AH175" s="2" t="s">
        <v>62</v>
      </c>
      <c r="AI175" s="2" t="s">
        <v>100</v>
      </c>
      <c r="AJ175" s="2">
        <v>0.28922221593892999</v>
      </c>
      <c r="AK175" s="2">
        <v>5.5254928828701804</v>
      </c>
      <c r="AL175" s="2">
        <v>0.575706155458376</v>
      </c>
      <c r="AM175" s="2">
        <v>0.34609916564204701</v>
      </c>
      <c r="AN175" s="2">
        <v>2.6721067273554402</v>
      </c>
      <c r="AO175" s="2">
        <v>3.12082737665462E-2</v>
      </c>
      <c r="AP175" s="2">
        <v>3.12082737665462E-2</v>
      </c>
      <c r="AQ175" s="2">
        <v>1</v>
      </c>
      <c r="AR175" s="2">
        <v>3</v>
      </c>
      <c r="AS175" s="2">
        <v>0</v>
      </c>
      <c r="AT175" s="2">
        <v>0</v>
      </c>
      <c r="AU175" s="2">
        <v>1</v>
      </c>
      <c r="AV175" s="2">
        <v>35</v>
      </c>
      <c r="AW175" s="2">
        <v>0</v>
      </c>
      <c r="AX175" s="2">
        <v>0</v>
      </c>
      <c r="AY175" s="2">
        <v>15.3</v>
      </c>
      <c r="AZ175" s="2">
        <v>9.8000000000000007</v>
      </c>
      <c r="BA175" s="2">
        <v>29.7</v>
      </c>
      <c r="BB175" s="2">
        <v>564</v>
      </c>
      <c r="BC175" s="2">
        <v>68</v>
      </c>
      <c r="BD175" s="2">
        <v>1.8</v>
      </c>
      <c r="BE175" s="2">
        <v>43</v>
      </c>
      <c r="BF175" s="2">
        <v>25.4</v>
      </c>
      <c r="BG175" s="2">
        <v>162</v>
      </c>
      <c r="BH175" s="2">
        <v>9.1</v>
      </c>
      <c r="BI175" s="2">
        <v>9.1999999999999993</v>
      </c>
      <c r="BJ175" s="2">
        <v>18.3</v>
      </c>
      <c r="BK175" s="2">
        <v>0.34</v>
      </c>
      <c r="BL175" s="2">
        <v>7.3</v>
      </c>
      <c r="BM175" s="2">
        <v>0.9</v>
      </c>
      <c r="BN175" s="2">
        <v>7.5</v>
      </c>
      <c r="BO175" s="2">
        <v>2.9</v>
      </c>
      <c r="BP175" s="2">
        <f t="shared" si="4"/>
        <v>8.8111272916353833</v>
      </c>
      <c r="BQ175" s="2">
        <f t="shared" si="5"/>
        <v>28.207140863318148</v>
      </c>
    </row>
    <row r="176" spans="1:69" x14ac:dyDescent="0.2">
      <c r="A176" s="2" t="s">
        <v>3128</v>
      </c>
      <c r="B176" s="2" t="s">
        <v>47</v>
      </c>
      <c r="C176" s="2" t="s">
        <v>1935</v>
      </c>
      <c r="D176" s="2" t="s">
        <v>49</v>
      </c>
      <c r="E176" s="2" t="s">
        <v>2922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89</v>
      </c>
      <c r="L176" s="6" t="s">
        <v>141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3129</v>
      </c>
      <c r="R176" s="2">
        <v>5000000</v>
      </c>
      <c r="S176" s="2">
        <v>0</v>
      </c>
      <c r="T176" s="2" t="s">
        <v>96</v>
      </c>
      <c r="U176" s="2" t="s">
        <v>97</v>
      </c>
      <c r="V176" s="2" t="s">
        <v>56</v>
      </c>
      <c r="W176" s="2" t="s">
        <v>98</v>
      </c>
      <c r="X176" s="2" t="s">
        <v>99</v>
      </c>
      <c r="Y176" s="2">
        <v>3.1316825522271801</v>
      </c>
      <c r="Z176" s="2">
        <v>3131.6825522271802</v>
      </c>
      <c r="AA176" s="2">
        <v>4.73719444444444</v>
      </c>
      <c r="AB176" s="2">
        <v>-74.069472222222203</v>
      </c>
      <c r="AC176" s="2">
        <v>2555</v>
      </c>
      <c r="AD176" s="2">
        <v>0</v>
      </c>
      <c r="AE176" s="2" t="s">
        <v>59</v>
      </c>
      <c r="AF176" s="2" t="s">
        <v>86</v>
      </c>
      <c r="AG176" s="2" t="s">
        <v>61</v>
      </c>
      <c r="AH176" s="2" t="s">
        <v>62</v>
      </c>
      <c r="AI176" s="2" t="s">
        <v>100</v>
      </c>
      <c r="AJ176" s="2">
        <v>0.55103389021842897</v>
      </c>
      <c r="AK176" s="2">
        <v>4.6342045269465704</v>
      </c>
      <c r="AL176" s="2">
        <v>0.98621124420571304</v>
      </c>
      <c r="AM176" s="2">
        <v>0.29365747676581799</v>
      </c>
      <c r="AN176" s="2">
        <v>4.1071842565451</v>
      </c>
      <c r="AO176" s="2">
        <v>0.47332125967945698</v>
      </c>
      <c r="AP176" s="2">
        <v>0.47332125967945698</v>
      </c>
      <c r="AQ176" s="2">
        <v>0</v>
      </c>
      <c r="AR176" s="2">
        <v>2</v>
      </c>
      <c r="AS176" s="2">
        <v>0</v>
      </c>
      <c r="AT176" s="2">
        <v>0</v>
      </c>
      <c r="AU176" s="2">
        <v>1</v>
      </c>
      <c r="AV176" s="2">
        <v>33</v>
      </c>
      <c r="AW176" s="2">
        <v>0</v>
      </c>
      <c r="AX176" s="2">
        <v>0</v>
      </c>
      <c r="AY176" s="2">
        <v>15.3</v>
      </c>
      <c r="AZ176" s="2">
        <v>9.8000000000000007</v>
      </c>
      <c r="BA176" s="2">
        <v>29.7</v>
      </c>
      <c r="BB176" s="2">
        <v>564</v>
      </c>
      <c r="BC176" s="2">
        <v>68</v>
      </c>
      <c r="BD176" s="2">
        <v>1.8</v>
      </c>
      <c r="BE176" s="2">
        <v>43</v>
      </c>
      <c r="BF176" s="2">
        <v>25.4</v>
      </c>
      <c r="BG176" s="2">
        <v>162</v>
      </c>
      <c r="BH176" s="2">
        <v>9.1</v>
      </c>
      <c r="BI176" s="2">
        <v>9.1999999999999993</v>
      </c>
      <c r="BJ176" s="2">
        <v>18.3</v>
      </c>
      <c r="BK176" s="2">
        <v>0.34</v>
      </c>
      <c r="BL176" s="2">
        <v>7.3</v>
      </c>
      <c r="BM176" s="2">
        <v>0.9</v>
      </c>
      <c r="BN176" s="2">
        <v>7.5</v>
      </c>
      <c r="BO176" s="2">
        <v>2.9</v>
      </c>
      <c r="BP176" s="2">
        <f t="shared" si="4"/>
        <v>8.3927152659312121</v>
      </c>
      <c r="BQ176" s="2">
        <f t="shared" si="5"/>
        <v>27.549562756215231</v>
      </c>
    </row>
    <row r="177" spans="1:69" x14ac:dyDescent="0.2">
      <c r="A177" s="2" t="s">
        <v>2827</v>
      </c>
      <c r="B177" s="2" t="s">
        <v>47</v>
      </c>
      <c r="C177" s="2" t="s">
        <v>1935</v>
      </c>
      <c r="D177" s="2" t="s">
        <v>49</v>
      </c>
      <c r="E177" s="2" t="s">
        <v>474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89</v>
      </c>
      <c r="L177" s="6" t="s">
        <v>141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2828</v>
      </c>
      <c r="R177" s="2">
        <v>4583333.3329999996</v>
      </c>
      <c r="S177" s="2">
        <v>0</v>
      </c>
      <c r="T177" s="2" t="s">
        <v>96</v>
      </c>
      <c r="U177" s="2" t="s">
        <v>97</v>
      </c>
      <c r="V177" s="2" t="s">
        <v>56</v>
      </c>
      <c r="W177" s="2" t="s">
        <v>98</v>
      </c>
      <c r="X177" s="2" t="s">
        <v>99</v>
      </c>
      <c r="Y177" s="2">
        <v>2.89609707642777</v>
      </c>
      <c r="Z177" s="2">
        <v>2896.0970764277699</v>
      </c>
      <c r="AA177" s="2">
        <v>4.73719444444444</v>
      </c>
      <c r="AB177" s="2">
        <v>-74.069472222222203</v>
      </c>
      <c r="AC177" s="2">
        <v>2555</v>
      </c>
      <c r="AD177" s="2">
        <v>0</v>
      </c>
      <c r="AE177" s="2" t="s">
        <v>59</v>
      </c>
      <c r="AF177" s="2" t="s">
        <v>86</v>
      </c>
      <c r="AG177" s="2" t="s">
        <v>61</v>
      </c>
      <c r="AH177" s="2" t="s">
        <v>62</v>
      </c>
      <c r="AI177" s="2" t="s">
        <v>100</v>
      </c>
      <c r="AJ177" s="2">
        <v>0.406730895614698</v>
      </c>
      <c r="AK177" s="2">
        <v>3.5048211439996102</v>
      </c>
      <c r="AL177" s="2">
        <v>1.70041788943492</v>
      </c>
      <c r="AM177" s="2">
        <v>0.25370134480533602</v>
      </c>
      <c r="AN177" s="2">
        <v>4.3665855290905897</v>
      </c>
      <c r="AO177" s="2">
        <v>5.4529065287359504E-3</v>
      </c>
      <c r="AP177" s="2">
        <v>5.4529065287359504E-3</v>
      </c>
      <c r="AQ177" s="2">
        <v>1</v>
      </c>
      <c r="AR177" s="2">
        <v>2</v>
      </c>
      <c r="AS177" s="2">
        <v>0</v>
      </c>
      <c r="AT177" s="2">
        <v>0</v>
      </c>
      <c r="AU177" s="2">
        <v>0</v>
      </c>
      <c r="AV177" s="2">
        <v>27</v>
      </c>
      <c r="AW177" s="2">
        <v>0</v>
      </c>
      <c r="AX177" s="2">
        <v>0</v>
      </c>
      <c r="AY177" s="2">
        <v>15.3</v>
      </c>
      <c r="AZ177" s="2">
        <v>9.8000000000000007</v>
      </c>
      <c r="BA177" s="2">
        <v>29.7</v>
      </c>
      <c r="BB177" s="2">
        <v>564</v>
      </c>
      <c r="BC177" s="2">
        <v>68</v>
      </c>
      <c r="BD177" s="2">
        <v>1.8</v>
      </c>
      <c r="BE177" s="2">
        <v>43</v>
      </c>
      <c r="BF177" s="2">
        <v>25.4</v>
      </c>
      <c r="BG177" s="2">
        <v>162</v>
      </c>
      <c r="BH177" s="2">
        <v>9.1</v>
      </c>
      <c r="BI177" s="2">
        <v>9.1999999999999993</v>
      </c>
      <c r="BJ177" s="2">
        <v>18.3</v>
      </c>
      <c r="BK177" s="2">
        <v>0.34</v>
      </c>
      <c r="BL177" s="2">
        <v>7.3</v>
      </c>
      <c r="BM177" s="2">
        <v>0.9</v>
      </c>
      <c r="BN177" s="2">
        <v>7.5</v>
      </c>
      <c r="BO177" s="2">
        <v>2.9</v>
      </c>
      <c r="BP177" s="2">
        <f t="shared" si="4"/>
        <v>8.4911596439854389</v>
      </c>
      <c r="BQ177" s="2">
        <f t="shared" si="5"/>
        <v>27.705770588030223</v>
      </c>
    </row>
    <row r="178" spans="1:69" x14ac:dyDescent="0.2">
      <c r="A178" s="2" t="s">
        <v>1953</v>
      </c>
      <c r="B178" s="2" t="s">
        <v>47</v>
      </c>
      <c r="C178" s="2" t="s">
        <v>1935</v>
      </c>
      <c r="D178" s="2" t="s">
        <v>49</v>
      </c>
      <c r="E178" s="2" t="s">
        <v>462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89</v>
      </c>
      <c r="L178" s="6" t="s">
        <v>141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1954</v>
      </c>
      <c r="R178" s="2">
        <v>3541666.6669999999</v>
      </c>
      <c r="S178" s="2">
        <v>0</v>
      </c>
      <c r="T178" s="2" t="s">
        <v>96</v>
      </c>
      <c r="U178" s="2" t="s">
        <v>97</v>
      </c>
      <c r="V178" s="2" t="s">
        <v>56</v>
      </c>
      <c r="W178" s="2" t="s">
        <v>98</v>
      </c>
      <c r="X178" s="2" t="s">
        <v>99</v>
      </c>
      <c r="Y178" s="2">
        <v>2.0620902744921401</v>
      </c>
      <c r="Z178" s="2">
        <v>2062.09027449214</v>
      </c>
      <c r="AA178" s="2">
        <v>4.73719444444444</v>
      </c>
      <c r="AB178" s="2">
        <v>-74.069472222222203</v>
      </c>
      <c r="AC178" s="2">
        <v>2555</v>
      </c>
      <c r="AD178" s="2">
        <v>0</v>
      </c>
      <c r="AE178" s="2" t="s">
        <v>59</v>
      </c>
      <c r="AF178" s="2" t="s">
        <v>86</v>
      </c>
      <c r="AG178" s="2" t="s">
        <v>61</v>
      </c>
      <c r="AH178" s="2" t="s">
        <v>62</v>
      </c>
      <c r="AI178" s="2" t="s">
        <v>100</v>
      </c>
      <c r="AJ178" s="2">
        <v>0.59190552787968798</v>
      </c>
      <c r="AK178" s="2">
        <v>5.0731855468104099</v>
      </c>
      <c r="AL178" s="2">
        <v>0.25327110465624503</v>
      </c>
      <c r="AM178" s="2">
        <v>0.10201948365006699</v>
      </c>
      <c r="AN178" s="2">
        <v>3.0299071260825299</v>
      </c>
      <c r="AO178" s="2">
        <v>8.0734702714801397E-3</v>
      </c>
      <c r="AP178" s="2">
        <v>8.0734702714801397E-3</v>
      </c>
      <c r="AQ178" s="2">
        <v>0</v>
      </c>
      <c r="AR178" s="2">
        <v>2</v>
      </c>
      <c r="AS178" s="2">
        <v>0</v>
      </c>
      <c r="AT178" s="2">
        <v>0</v>
      </c>
      <c r="AU178" s="2">
        <v>1</v>
      </c>
      <c r="AV178" s="2">
        <v>38</v>
      </c>
      <c r="AW178" s="2">
        <v>0</v>
      </c>
      <c r="AX178" s="2">
        <v>0</v>
      </c>
      <c r="AY178" s="2">
        <v>15.3</v>
      </c>
      <c r="AZ178" s="2">
        <v>9.8000000000000007</v>
      </c>
      <c r="BA178" s="2">
        <v>29.7</v>
      </c>
      <c r="BB178" s="2">
        <v>564</v>
      </c>
      <c r="BC178" s="2">
        <v>68</v>
      </c>
      <c r="BD178" s="2">
        <v>1.8</v>
      </c>
      <c r="BE178" s="2">
        <v>43</v>
      </c>
      <c r="BF178" s="2">
        <v>25.4</v>
      </c>
      <c r="BG178" s="2">
        <v>162</v>
      </c>
      <c r="BH178" s="2">
        <v>9.1</v>
      </c>
      <c r="BI178" s="2">
        <v>9.1999999999999993</v>
      </c>
      <c r="BJ178" s="2">
        <v>18.3</v>
      </c>
      <c r="BK178" s="2">
        <v>0.34</v>
      </c>
      <c r="BL178" s="2">
        <v>7.3</v>
      </c>
      <c r="BM178" s="2">
        <v>0.9</v>
      </c>
      <c r="BN178" s="2">
        <v>7.5</v>
      </c>
      <c r="BO178" s="2">
        <v>2.9</v>
      </c>
      <c r="BP178" s="2">
        <f t="shared" si="4"/>
        <v>8.849039456044137</v>
      </c>
      <c r="BQ178" s="2">
        <f t="shared" si="5"/>
        <v>28.265921145739846</v>
      </c>
    </row>
    <row r="179" spans="1:69" x14ac:dyDescent="0.2">
      <c r="A179" s="2" t="s">
        <v>2285</v>
      </c>
      <c r="B179" s="2" t="s">
        <v>47</v>
      </c>
      <c r="C179" s="2" t="s">
        <v>1935</v>
      </c>
      <c r="D179" s="2" t="s">
        <v>49</v>
      </c>
      <c r="E179" s="2" t="s">
        <v>160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89</v>
      </c>
      <c r="L179" s="6" t="s">
        <v>141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2286</v>
      </c>
      <c r="R179" s="2">
        <v>4411764.7060000002</v>
      </c>
      <c r="S179" s="2">
        <v>0</v>
      </c>
      <c r="T179" s="2" t="s">
        <v>96</v>
      </c>
      <c r="U179" s="2" t="s">
        <v>97</v>
      </c>
      <c r="V179" s="2" t="s">
        <v>56</v>
      </c>
      <c r="W179" s="2" t="s">
        <v>98</v>
      </c>
      <c r="X179" s="2" t="s">
        <v>99</v>
      </c>
      <c r="Y179" s="2">
        <v>2.0381824026947601</v>
      </c>
      <c r="Z179" s="2">
        <v>2038.18240269476</v>
      </c>
      <c r="AA179" s="2">
        <v>4.73719444444444</v>
      </c>
      <c r="AB179" s="2">
        <v>-74.069472222222203</v>
      </c>
      <c r="AC179" s="2">
        <v>2555</v>
      </c>
      <c r="AD179" s="2">
        <v>0</v>
      </c>
      <c r="AE179" s="2" t="s">
        <v>59</v>
      </c>
      <c r="AF179" s="2" t="s">
        <v>86</v>
      </c>
      <c r="AG179" s="2" t="s">
        <v>61</v>
      </c>
      <c r="AH179" s="2" t="s">
        <v>62</v>
      </c>
      <c r="AI179" s="2" t="s">
        <v>100</v>
      </c>
      <c r="AJ179" s="2">
        <v>0.81403090217719798</v>
      </c>
      <c r="AK179" s="2">
        <v>4.8249552240771001</v>
      </c>
      <c r="AL179" s="2">
        <v>0.47021497598419998</v>
      </c>
      <c r="AM179" s="2">
        <v>0.14655313163008299</v>
      </c>
      <c r="AN179" s="2">
        <v>3.1544405307358798</v>
      </c>
      <c r="AO179" s="2">
        <v>0.13669410625089301</v>
      </c>
      <c r="AP179" s="2">
        <v>0.13669410625089301</v>
      </c>
      <c r="AQ179" s="2">
        <v>0</v>
      </c>
      <c r="AR179" s="2">
        <v>2</v>
      </c>
      <c r="AS179" s="2">
        <v>0</v>
      </c>
      <c r="AT179" s="2">
        <v>0</v>
      </c>
      <c r="AU179" s="2">
        <v>1</v>
      </c>
      <c r="AV179" s="2">
        <v>40</v>
      </c>
      <c r="AW179" s="2">
        <v>0</v>
      </c>
      <c r="AX179" s="2">
        <v>0</v>
      </c>
      <c r="AY179" s="2">
        <v>15.3</v>
      </c>
      <c r="AZ179" s="2">
        <v>9.8000000000000007</v>
      </c>
      <c r="BA179" s="2">
        <v>29.7</v>
      </c>
      <c r="BB179" s="2">
        <v>564</v>
      </c>
      <c r="BC179" s="2">
        <v>68</v>
      </c>
      <c r="BD179" s="2">
        <v>1.8</v>
      </c>
      <c r="BE179" s="2">
        <v>43</v>
      </c>
      <c r="BF179" s="2">
        <v>25.4</v>
      </c>
      <c r="BG179" s="2">
        <v>162</v>
      </c>
      <c r="BH179" s="2">
        <v>9.1</v>
      </c>
      <c r="BI179" s="2">
        <v>9.1999999999999993</v>
      </c>
      <c r="BJ179" s="2">
        <v>18.3</v>
      </c>
      <c r="BK179" s="2">
        <v>0.34</v>
      </c>
      <c r="BL179" s="2">
        <v>7.3</v>
      </c>
      <c r="BM179" s="2">
        <v>0.9</v>
      </c>
      <c r="BN179" s="2">
        <v>7.5</v>
      </c>
      <c r="BO179" s="2">
        <v>2.9</v>
      </c>
      <c r="BP179" s="2">
        <f t="shared" si="4"/>
        <v>8.8595179593511766</v>
      </c>
      <c r="BQ179" s="2">
        <f t="shared" si="5"/>
        <v>28.282144472132924</v>
      </c>
    </row>
    <row r="180" spans="1:69" x14ac:dyDescent="0.2">
      <c r="A180" s="2" t="s">
        <v>2456</v>
      </c>
      <c r="B180" s="2" t="s">
        <v>47</v>
      </c>
      <c r="C180" s="2" t="s">
        <v>1935</v>
      </c>
      <c r="D180" s="2" t="s">
        <v>49</v>
      </c>
      <c r="E180" s="2" t="s">
        <v>1703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89</v>
      </c>
      <c r="L180" s="6" t="s">
        <v>141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2457</v>
      </c>
      <c r="R180" s="2">
        <v>7130801.6880000001</v>
      </c>
      <c r="S180" s="2">
        <v>0</v>
      </c>
      <c r="T180" s="2" t="s">
        <v>130</v>
      </c>
      <c r="U180" s="2" t="s">
        <v>131</v>
      </c>
      <c r="V180" s="2" t="s">
        <v>56</v>
      </c>
      <c r="W180" s="2" t="s">
        <v>98</v>
      </c>
      <c r="X180" s="2" t="s">
        <v>132</v>
      </c>
      <c r="Y180" s="2">
        <v>2.6218455113222698</v>
      </c>
      <c r="Z180" s="2">
        <v>2621.8455113222699</v>
      </c>
      <c r="AA180" s="2">
        <v>4.7837500000000004</v>
      </c>
      <c r="AB180" s="2">
        <v>-74.044138888888895</v>
      </c>
      <c r="AC180" s="2">
        <v>2580</v>
      </c>
      <c r="AD180" s="2">
        <v>0</v>
      </c>
      <c r="AE180" s="2" t="s">
        <v>133</v>
      </c>
      <c r="AF180" s="2" t="s">
        <v>86</v>
      </c>
      <c r="AG180" s="2" t="s">
        <v>61</v>
      </c>
      <c r="AH180" s="2" t="s">
        <v>62</v>
      </c>
      <c r="AI180" s="2" t="s">
        <v>100</v>
      </c>
      <c r="AJ180" s="2">
        <v>1.38427524712965</v>
      </c>
      <c r="AK180" s="2">
        <v>3.7850289003408601</v>
      </c>
      <c r="AL180" s="2">
        <v>1.2266970832073301</v>
      </c>
      <c r="AM180" s="2">
        <v>0.65291906859726201</v>
      </c>
      <c r="AN180" s="2">
        <v>4.0132735311118797</v>
      </c>
      <c r="AO180" s="2">
        <v>0.36076856586086897</v>
      </c>
      <c r="AP180" s="2">
        <v>0.36076856586086897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5</v>
      </c>
      <c r="AW180" s="2">
        <v>0</v>
      </c>
      <c r="AX180" s="2">
        <v>1</v>
      </c>
      <c r="AY180" s="2">
        <v>15.3</v>
      </c>
      <c r="AZ180" s="2">
        <v>9.8000000000000007</v>
      </c>
      <c r="BA180" s="2">
        <v>29.7</v>
      </c>
      <c r="BB180" s="2">
        <v>564</v>
      </c>
      <c r="BC180" s="2">
        <v>68</v>
      </c>
      <c r="BD180" s="2">
        <v>1.8</v>
      </c>
      <c r="BE180" s="2">
        <v>43</v>
      </c>
      <c r="BF180" s="2">
        <v>25.4</v>
      </c>
      <c r="BG180" s="2">
        <v>162</v>
      </c>
      <c r="BH180" s="2">
        <v>9.1</v>
      </c>
      <c r="BI180" s="2">
        <v>9.1999999999999993</v>
      </c>
      <c r="BJ180" s="2">
        <v>18.3</v>
      </c>
      <c r="BK180" s="2">
        <v>0.34</v>
      </c>
      <c r="BL180" s="2">
        <v>7.3</v>
      </c>
      <c r="BM180" s="2">
        <v>0.9</v>
      </c>
      <c r="BN180" s="2">
        <v>7.5</v>
      </c>
      <c r="BO180" s="2">
        <v>2.9</v>
      </c>
      <c r="BP180" s="2">
        <f t="shared" si="4"/>
        <v>8.6072169610940037</v>
      </c>
      <c r="BQ180" s="2">
        <f t="shared" si="5"/>
        <v>27.888732481225265</v>
      </c>
    </row>
    <row r="181" spans="1:69" x14ac:dyDescent="0.2">
      <c r="A181" s="2" t="s">
        <v>2203</v>
      </c>
      <c r="B181" s="2" t="s">
        <v>47</v>
      </c>
      <c r="C181" s="2" t="s">
        <v>1935</v>
      </c>
      <c r="D181" s="2" t="s">
        <v>49</v>
      </c>
      <c r="E181" s="2" t="s">
        <v>246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89</v>
      </c>
      <c r="L181" s="6" t="s">
        <v>112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2204</v>
      </c>
      <c r="R181" s="2">
        <v>4893617.0209999997</v>
      </c>
      <c r="S181" s="2">
        <v>0</v>
      </c>
      <c r="T181" s="2" t="s">
        <v>130</v>
      </c>
      <c r="U181" s="2" t="s">
        <v>131</v>
      </c>
      <c r="V181" s="2" t="s">
        <v>56</v>
      </c>
      <c r="W181" s="2" t="s">
        <v>98</v>
      </c>
      <c r="X181" s="2" t="s">
        <v>132</v>
      </c>
      <c r="Y181" s="2">
        <v>2.1002188565624702</v>
      </c>
      <c r="Z181" s="2">
        <v>2100.2188565624701</v>
      </c>
      <c r="AA181" s="2">
        <v>4.7837500000000004</v>
      </c>
      <c r="AB181" s="2">
        <v>-74.044138888888895</v>
      </c>
      <c r="AC181" s="2">
        <v>2580</v>
      </c>
      <c r="AD181" s="2">
        <v>0</v>
      </c>
      <c r="AE181" s="2" t="s">
        <v>133</v>
      </c>
      <c r="AF181" s="2" t="s">
        <v>86</v>
      </c>
      <c r="AG181" s="2" t="s">
        <v>61</v>
      </c>
      <c r="AH181" s="2" t="s">
        <v>62</v>
      </c>
      <c r="AI181" s="2" t="s">
        <v>100</v>
      </c>
      <c r="AJ181" s="2">
        <v>3.3914627939464101</v>
      </c>
      <c r="AK181" s="2">
        <v>2.41531329087905</v>
      </c>
      <c r="AL181" s="2">
        <v>1.4455702223675</v>
      </c>
      <c r="AM181" s="2">
        <v>2.2486728413527199</v>
      </c>
      <c r="AN181" s="2">
        <v>6.61445205805627</v>
      </c>
      <c r="AO181" s="2">
        <v>0.60140228220639602</v>
      </c>
      <c r="AP181" s="2">
        <v>0.60140228220639602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>
        <v>15.3</v>
      </c>
      <c r="AZ181" s="2">
        <v>9.8000000000000007</v>
      </c>
      <c r="BA181" s="2">
        <v>29.7</v>
      </c>
      <c r="BB181" s="2">
        <v>564</v>
      </c>
      <c r="BC181" s="2">
        <v>68</v>
      </c>
      <c r="BD181" s="2">
        <v>1.8</v>
      </c>
      <c r="BE181" s="2">
        <v>43</v>
      </c>
      <c r="BF181" s="2">
        <v>25.4</v>
      </c>
      <c r="BG181" s="2">
        <v>162</v>
      </c>
      <c r="BH181" s="2">
        <v>9.1</v>
      </c>
      <c r="BI181" s="2">
        <v>9.1999999999999993</v>
      </c>
      <c r="BJ181" s="2">
        <v>18.3</v>
      </c>
      <c r="BK181" s="2">
        <v>0.34</v>
      </c>
      <c r="BL181" s="2">
        <v>7.3</v>
      </c>
      <c r="BM181" s="2">
        <v>0.9</v>
      </c>
      <c r="BN181" s="2">
        <v>7.5</v>
      </c>
      <c r="BO181" s="2">
        <v>2.9</v>
      </c>
      <c r="BP181" s="2">
        <f t="shared" si="4"/>
        <v>8.832353841224732</v>
      </c>
      <c r="BQ181" s="2">
        <f t="shared" si="5"/>
        <v>28.240067228961465</v>
      </c>
    </row>
    <row r="182" spans="1:69" x14ac:dyDescent="0.2">
      <c r="A182" s="2" t="s">
        <v>526</v>
      </c>
      <c r="B182" s="2" t="s">
        <v>47</v>
      </c>
      <c r="C182" s="2" t="s">
        <v>48</v>
      </c>
      <c r="D182" s="2" t="s">
        <v>49</v>
      </c>
      <c r="E182" s="2" t="s">
        <v>527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89</v>
      </c>
      <c r="L182" s="6" t="s">
        <v>141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528</v>
      </c>
      <c r="R182" s="2">
        <v>5555555.5559999999</v>
      </c>
      <c r="S182" s="2">
        <v>0</v>
      </c>
      <c r="T182" s="2" t="s">
        <v>96</v>
      </c>
      <c r="U182" s="2" t="s">
        <v>97</v>
      </c>
      <c r="V182" s="2" t="s">
        <v>56</v>
      </c>
      <c r="W182" s="2" t="s">
        <v>98</v>
      </c>
      <c r="X182" s="2" t="s">
        <v>99</v>
      </c>
      <c r="Y182" s="2">
        <v>2.39856389972929</v>
      </c>
      <c r="Z182" s="2">
        <v>2398.5638997292899</v>
      </c>
      <c r="AA182" s="2">
        <v>4.73719444444444</v>
      </c>
      <c r="AB182" s="2">
        <v>-74.069472222222203</v>
      </c>
      <c r="AC182" s="2">
        <v>2555</v>
      </c>
      <c r="AD182" s="2">
        <v>0</v>
      </c>
      <c r="AE182" s="2" t="s">
        <v>59</v>
      </c>
      <c r="AF182" s="2" t="s">
        <v>86</v>
      </c>
      <c r="AG182" s="2" t="s">
        <v>61</v>
      </c>
      <c r="AH182" s="2" t="s">
        <v>62</v>
      </c>
      <c r="AI182" s="2" t="s">
        <v>100</v>
      </c>
      <c r="AJ182" s="2">
        <v>0.53796716203861294</v>
      </c>
      <c r="AK182" s="2">
        <v>5.4650568327406797</v>
      </c>
      <c r="AL182" s="2">
        <v>0.63247736099421803</v>
      </c>
      <c r="AM182" s="2">
        <v>0.107793455867603</v>
      </c>
      <c r="AN182" s="2">
        <v>2.8426816776911399</v>
      </c>
      <c r="AO182" s="2">
        <v>0.228727495134774</v>
      </c>
      <c r="AP182" s="2">
        <v>0.228727495134774</v>
      </c>
      <c r="AQ182" s="2">
        <v>0</v>
      </c>
      <c r="AR182" s="2">
        <v>2</v>
      </c>
      <c r="AS182" s="2">
        <v>0</v>
      </c>
      <c r="AT182" s="2">
        <v>0</v>
      </c>
      <c r="AU182" s="2">
        <v>1</v>
      </c>
      <c r="AV182" s="2">
        <v>34</v>
      </c>
      <c r="AW182" s="2">
        <v>0</v>
      </c>
      <c r="AX182" s="2">
        <v>0</v>
      </c>
      <c r="AY182" s="2">
        <v>15.3</v>
      </c>
      <c r="AZ182" s="2">
        <v>9.8000000000000007</v>
      </c>
      <c r="BA182" s="2">
        <v>29.7</v>
      </c>
      <c r="BB182" s="2">
        <v>564</v>
      </c>
      <c r="BC182" s="2">
        <v>68</v>
      </c>
      <c r="BD182" s="2">
        <v>1.8</v>
      </c>
      <c r="BE182" s="2">
        <v>43</v>
      </c>
      <c r="BF182" s="2">
        <v>25.4</v>
      </c>
      <c r="BG182" s="2">
        <v>162</v>
      </c>
      <c r="BH182" s="2">
        <v>9.1</v>
      </c>
      <c r="BI182" s="2">
        <v>9.1999999999999993</v>
      </c>
      <c r="BJ182" s="2">
        <v>18.3</v>
      </c>
      <c r="BK182" s="2">
        <v>0.34</v>
      </c>
      <c r="BL182" s="2">
        <v>7.3</v>
      </c>
      <c r="BM182" s="2">
        <v>0.9</v>
      </c>
      <c r="BN182" s="2">
        <v>7.5</v>
      </c>
      <c r="BO182" s="2">
        <v>2.9</v>
      </c>
      <c r="BP182" s="2">
        <f t="shared" si="4"/>
        <v>8.7028753637721508</v>
      </c>
      <c r="BQ182" s="2">
        <f t="shared" si="5"/>
        <v>28.038582615191942</v>
      </c>
    </row>
    <row r="183" spans="1:69" x14ac:dyDescent="0.2">
      <c r="A183" s="2" t="s">
        <v>3203</v>
      </c>
      <c r="B183" s="2" t="s">
        <v>47</v>
      </c>
      <c r="C183" s="2" t="s">
        <v>1935</v>
      </c>
      <c r="D183" s="2" t="s">
        <v>49</v>
      </c>
      <c r="E183" s="2" t="s">
        <v>2240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89</v>
      </c>
      <c r="L183" s="6" t="s">
        <v>103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3204</v>
      </c>
      <c r="R183" s="2">
        <v>7758620.6900000004</v>
      </c>
      <c r="S183" s="2">
        <v>0</v>
      </c>
      <c r="T183" s="2" t="s">
        <v>130</v>
      </c>
      <c r="U183" s="2" t="s">
        <v>131</v>
      </c>
      <c r="V183" s="2" t="s">
        <v>56</v>
      </c>
      <c r="W183" s="2" t="s">
        <v>98</v>
      </c>
      <c r="X183" s="2" t="s">
        <v>132</v>
      </c>
      <c r="Y183" s="2">
        <v>3.6996159307372798</v>
      </c>
      <c r="Z183" s="2">
        <v>3699.61593073728</v>
      </c>
      <c r="AA183" s="2">
        <v>4.7837500000000004</v>
      </c>
      <c r="AB183" s="2">
        <v>-74.044138888888895</v>
      </c>
      <c r="AC183" s="2">
        <v>2580</v>
      </c>
      <c r="AD183" s="2">
        <v>0</v>
      </c>
      <c r="AE183" s="2" t="s">
        <v>133</v>
      </c>
      <c r="AF183" s="2" t="s">
        <v>86</v>
      </c>
      <c r="AG183" s="2" t="s">
        <v>61</v>
      </c>
      <c r="AH183" s="2" t="s">
        <v>62</v>
      </c>
      <c r="AI183" s="2" t="s">
        <v>100</v>
      </c>
      <c r="AJ183" s="2">
        <v>4.7067890515195199</v>
      </c>
      <c r="AK183" s="2">
        <v>0.94800926522703099</v>
      </c>
      <c r="AL183" s="2">
        <v>2.9951133954435298</v>
      </c>
      <c r="AM183" s="2">
        <v>0.89805768664406804</v>
      </c>
      <c r="AN183" s="2">
        <v>6.4304691337488897</v>
      </c>
      <c r="AO183" s="2">
        <v>2.2855374081357902</v>
      </c>
      <c r="AP183" s="2">
        <v>2.2855374081357902</v>
      </c>
      <c r="AQ183" s="2">
        <v>0</v>
      </c>
      <c r="AR183" s="2">
        <v>0</v>
      </c>
      <c r="AS183" s="2">
        <v>0</v>
      </c>
      <c r="AT183" s="2">
        <v>1</v>
      </c>
      <c r="AU183" s="2">
        <v>0</v>
      </c>
      <c r="AV183" s="2">
        <v>1</v>
      </c>
      <c r="AW183" s="2">
        <v>0</v>
      </c>
      <c r="AX183" s="2">
        <v>0</v>
      </c>
      <c r="AY183" s="2">
        <v>15.3</v>
      </c>
      <c r="AZ183" s="2">
        <v>9.8000000000000007</v>
      </c>
      <c r="BA183" s="2">
        <v>29.7</v>
      </c>
      <c r="BB183" s="2">
        <v>564</v>
      </c>
      <c r="BC183" s="2">
        <v>68</v>
      </c>
      <c r="BD183" s="2">
        <v>1.8</v>
      </c>
      <c r="BE183" s="2">
        <v>43</v>
      </c>
      <c r="BF183" s="2">
        <v>25.4</v>
      </c>
      <c r="BG183" s="2">
        <v>162</v>
      </c>
      <c r="BH183" s="2">
        <v>9.1</v>
      </c>
      <c r="BI183" s="2">
        <v>9.1999999999999993</v>
      </c>
      <c r="BJ183" s="2">
        <v>18.3</v>
      </c>
      <c r="BK183" s="2">
        <v>0.34</v>
      </c>
      <c r="BL183" s="2">
        <v>7.3</v>
      </c>
      <c r="BM183" s="2">
        <v>0.9</v>
      </c>
      <c r="BN183" s="2">
        <v>7.5</v>
      </c>
      <c r="BO183" s="2">
        <v>2.9</v>
      </c>
      <c r="BP183" s="2">
        <f t="shared" si="4"/>
        <v>8.1600589817459284</v>
      </c>
      <c r="BQ183" s="2">
        <f t="shared" si="5"/>
        <v>27.176598764878246</v>
      </c>
    </row>
    <row r="184" spans="1:69" x14ac:dyDescent="0.2">
      <c r="A184" s="2" t="s">
        <v>712</v>
      </c>
      <c r="B184" s="2" t="s">
        <v>47</v>
      </c>
      <c r="C184" s="2" t="s">
        <v>48</v>
      </c>
      <c r="D184" s="2" t="s">
        <v>49</v>
      </c>
      <c r="E184" s="2" t="s">
        <v>511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89</v>
      </c>
      <c r="L184" s="6" t="s">
        <v>103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713</v>
      </c>
      <c r="R184" s="2">
        <v>6873297.8859999999</v>
      </c>
      <c r="S184" s="2">
        <v>0</v>
      </c>
      <c r="T184" s="2" t="s">
        <v>96</v>
      </c>
      <c r="U184" s="2" t="s">
        <v>97</v>
      </c>
      <c r="V184" s="2" t="s">
        <v>56</v>
      </c>
      <c r="W184" s="2" t="s">
        <v>98</v>
      </c>
      <c r="X184" s="2" t="s">
        <v>99</v>
      </c>
      <c r="Y184" s="2">
        <v>3.1623087431183601</v>
      </c>
      <c r="Z184" s="2">
        <v>3162.3087431183599</v>
      </c>
      <c r="AA184" s="2">
        <v>4.73719444444444</v>
      </c>
      <c r="AB184" s="2">
        <v>-74.069472222222203</v>
      </c>
      <c r="AC184" s="2">
        <v>2555</v>
      </c>
      <c r="AD184" s="2">
        <v>0</v>
      </c>
      <c r="AE184" s="2" t="s">
        <v>59</v>
      </c>
      <c r="AF184" s="2" t="s">
        <v>86</v>
      </c>
      <c r="AG184" s="2" t="s">
        <v>61</v>
      </c>
      <c r="AH184" s="2" t="s">
        <v>62</v>
      </c>
      <c r="AI184" s="2" t="s">
        <v>100</v>
      </c>
      <c r="AJ184" s="2">
        <v>1.14977013639379</v>
      </c>
      <c r="AK184" s="2">
        <v>4.99697923579083</v>
      </c>
      <c r="AL184" s="2">
        <v>1.3579437778204699</v>
      </c>
      <c r="AM184" s="2">
        <v>0.47390882419059499</v>
      </c>
      <c r="AN184" s="2">
        <v>3.2616199396596599</v>
      </c>
      <c r="AO184" s="2">
        <v>0.51533384362516799</v>
      </c>
      <c r="AP184" s="2">
        <v>0.51533384362516799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8</v>
      </c>
      <c r="AW184" s="2">
        <v>0</v>
      </c>
      <c r="AX184" s="2">
        <v>0</v>
      </c>
      <c r="AY184" s="2">
        <v>15.3</v>
      </c>
      <c r="AZ184" s="2">
        <v>9.8000000000000007</v>
      </c>
      <c r="BA184" s="2">
        <v>29.7</v>
      </c>
      <c r="BB184" s="2">
        <v>564</v>
      </c>
      <c r="BC184" s="2">
        <v>68</v>
      </c>
      <c r="BD184" s="2">
        <v>1.8</v>
      </c>
      <c r="BE184" s="2">
        <v>43</v>
      </c>
      <c r="BF184" s="2">
        <v>25.4</v>
      </c>
      <c r="BG184" s="2">
        <v>162</v>
      </c>
      <c r="BH184" s="2">
        <v>9.1</v>
      </c>
      <c r="BI184" s="2">
        <v>9.1999999999999993</v>
      </c>
      <c r="BJ184" s="2">
        <v>18.3</v>
      </c>
      <c r="BK184" s="2">
        <v>0.34</v>
      </c>
      <c r="BL184" s="2">
        <v>7.3</v>
      </c>
      <c r="BM184" s="2">
        <v>0.9</v>
      </c>
      <c r="BN184" s="2">
        <v>7.5</v>
      </c>
      <c r="BO184" s="2">
        <v>2.9</v>
      </c>
      <c r="BP184" s="2">
        <f t="shared" si="4"/>
        <v>8.3800015787768629</v>
      </c>
      <c r="BQ184" s="2">
        <f t="shared" si="5"/>
        <v>27.529320480421642</v>
      </c>
    </row>
    <row r="185" spans="1:69" x14ac:dyDescent="0.2">
      <c r="A185" s="2" t="s">
        <v>1939</v>
      </c>
      <c r="B185" s="2" t="s">
        <v>47</v>
      </c>
      <c r="C185" s="2" t="s">
        <v>1935</v>
      </c>
      <c r="D185" s="2" t="s">
        <v>49</v>
      </c>
      <c r="E185" s="2" t="s">
        <v>367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51</v>
      </c>
      <c r="L185" s="6" t="s">
        <v>52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1940</v>
      </c>
      <c r="R185" s="2">
        <v>14588740.26</v>
      </c>
      <c r="S185" s="2">
        <v>0</v>
      </c>
      <c r="T185" s="2" t="s">
        <v>96</v>
      </c>
      <c r="U185" s="2" t="s">
        <v>97</v>
      </c>
      <c r="V185" s="2" t="s">
        <v>56</v>
      </c>
      <c r="W185" s="2" t="s">
        <v>98</v>
      </c>
      <c r="X185" s="2" t="s">
        <v>99</v>
      </c>
      <c r="Y185" s="2">
        <v>1.0730436510305299</v>
      </c>
      <c r="Z185" s="2">
        <v>1073.0436510305301</v>
      </c>
      <c r="AA185" s="2">
        <v>4.73719444444444</v>
      </c>
      <c r="AB185" s="2">
        <v>-74.069472222222203</v>
      </c>
      <c r="AC185" s="2">
        <v>2555</v>
      </c>
      <c r="AD185" s="2">
        <v>0</v>
      </c>
      <c r="AE185" s="2" t="s">
        <v>59</v>
      </c>
      <c r="AF185" s="2" t="s">
        <v>86</v>
      </c>
      <c r="AG185" s="2" t="s">
        <v>61</v>
      </c>
      <c r="AH185" s="2" t="s">
        <v>62</v>
      </c>
      <c r="AI185" s="2" t="s">
        <v>100</v>
      </c>
      <c r="AJ185" s="2">
        <v>1.30888673422818</v>
      </c>
      <c r="AK185" s="2">
        <v>4.6998070568874502</v>
      </c>
      <c r="AL185" s="2">
        <v>2.4908581066797701</v>
      </c>
      <c r="AM185" s="2">
        <v>0.75507979697583905</v>
      </c>
      <c r="AN185" s="2">
        <v>1.2756201947721899</v>
      </c>
      <c r="AO185" s="2">
        <v>2.49755832596214E-2</v>
      </c>
      <c r="AP185" s="2">
        <v>2.49755832596214E-2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1</v>
      </c>
      <c r="AW185" s="2">
        <v>0</v>
      </c>
      <c r="AX185" s="2">
        <v>0</v>
      </c>
      <c r="AY185" s="2">
        <v>15.3</v>
      </c>
      <c r="AZ185" s="2">
        <v>9.8000000000000007</v>
      </c>
      <c r="BA185" s="2">
        <v>29.7</v>
      </c>
      <c r="BB185" s="2">
        <v>564</v>
      </c>
      <c r="BC185" s="2">
        <v>68</v>
      </c>
      <c r="BD185" s="2">
        <v>1.8</v>
      </c>
      <c r="BE185" s="2">
        <v>43</v>
      </c>
      <c r="BF185" s="2">
        <v>25.4</v>
      </c>
      <c r="BG185" s="2">
        <v>162</v>
      </c>
      <c r="BH185" s="2">
        <v>9.1</v>
      </c>
      <c r="BI185" s="2">
        <v>9.1999999999999993</v>
      </c>
      <c r="BJ185" s="2">
        <v>18.3</v>
      </c>
      <c r="BK185" s="2">
        <v>0.34</v>
      </c>
      <c r="BL185" s="2">
        <v>7.3</v>
      </c>
      <c r="BM185" s="2">
        <v>0.9</v>
      </c>
      <c r="BN185" s="2">
        <v>7.5</v>
      </c>
      <c r="BO185" s="2">
        <v>2.9</v>
      </c>
      <c r="BP185" s="2">
        <f t="shared" si="4"/>
        <v>9.2930492193461252</v>
      </c>
      <c r="BQ185" s="2">
        <f t="shared" si="5"/>
        <v>28.944899290474932</v>
      </c>
    </row>
    <row r="186" spans="1:69" x14ac:dyDescent="0.2">
      <c r="A186" s="2" t="s">
        <v>1454</v>
      </c>
      <c r="B186" s="2" t="s">
        <v>47</v>
      </c>
      <c r="C186" s="2" t="s">
        <v>48</v>
      </c>
      <c r="D186" s="2" t="s">
        <v>49</v>
      </c>
      <c r="E186" s="2" t="s">
        <v>434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89</v>
      </c>
      <c r="L186" s="6" t="s">
        <v>103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1455</v>
      </c>
      <c r="R186" s="2">
        <v>5584415.5839999998</v>
      </c>
      <c r="S186" s="2">
        <v>0</v>
      </c>
      <c r="T186" s="2" t="s">
        <v>96</v>
      </c>
      <c r="U186" s="2" t="s">
        <v>97</v>
      </c>
      <c r="V186" s="2" t="s">
        <v>56</v>
      </c>
      <c r="W186" s="2" t="s">
        <v>98</v>
      </c>
      <c r="X186" s="2" t="s">
        <v>99</v>
      </c>
      <c r="Y186" s="2">
        <v>0.78673960163071899</v>
      </c>
      <c r="Z186" s="2">
        <v>786.73960163071899</v>
      </c>
      <c r="AA186" s="2">
        <v>4.73719444444444</v>
      </c>
      <c r="AB186" s="2">
        <v>-74.069472222222203</v>
      </c>
      <c r="AC186" s="2">
        <v>2555</v>
      </c>
      <c r="AD186" s="2">
        <v>0</v>
      </c>
      <c r="AE186" s="2" t="s">
        <v>59</v>
      </c>
      <c r="AF186" s="2" t="s">
        <v>86</v>
      </c>
      <c r="AG186" s="2" t="s">
        <v>61</v>
      </c>
      <c r="AH186" s="2" t="s">
        <v>62</v>
      </c>
      <c r="AI186" s="2" t="s">
        <v>100</v>
      </c>
      <c r="AJ186" s="2">
        <v>0.54870064077564995</v>
      </c>
      <c r="AK186" s="2">
        <v>4.8988745615195199</v>
      </c>
      <c r="AL186" s="2">
        <v>2.3730916048531601</v>
      </c>
      <c r="AM186" s="2">
        <v>0.55742899024924597</v>
      </c>
      <c r="AN186" s="2">
        <v>1.05499082207466</v>
      </c>
      <c r="AO186" s="2">
        <v>9.6446447352999398E-3</v>
      </c>
      <c r="AP186" s="2">
        <v>9.6446447352999398E-3</v>
      </c>
      <c r="AQ186" s="2">
        <v>0</v>
      </c>
      <c r="AR186" s="2">
        <v>1</v>
      </c>
      <c r="AS186" s="2">
        <v>0</v>
      </c>
      <c r="AT186" s="2">
        <v>0</v>
      </c>
      <c r="AU186" s="2">
        <v>0</v>
      </c>
      <c r="AV186" s="2">
        <v>8</v>
      </c>
      <c r="AW186" s="2">
        <v>0</v>
      </c>
      <c r="AX186" s="2">
        <v>0</v>
      </c>
      <c r="AY186" s="2">
        <v>15.3</v>
      </c>
      <c r="AZ186" s="2">
        <v>9.8000000000000007</v>
      </c>
      <c r="BA186" s="2">
        <v>29.7</v>
      </c>
      <c r="BB186" s="2">
        <v>564</v>
      </c>
      <c r="BC186" s="2">
        <v>68</v>
      </c>
      <c r="BD186" s="2">
        <v>1.8</v>
      </c>
      <c r="BE186" s="2">
        <v>43</v>
      </c>
      <c r="BF186" s="2">
        <v>25.4</v>
      </c>
      <c r="BG186" s="2">
        <v>162</v>
      </c>
      <c r="BH186" s="2">
        <v>9.1</v>
      </c>
      <c r="BI186" s="2">
        <v>9.1999999999999993</v>
      </c>
      <c r="BJ186" s="2">
        <v>18.3</v>
      </c>
      <c r="BK186" s="2">
        <v>0.34</v>
      </c>
      <c r="BL186" s="2">
        <v>7.3</v>
      </c>
      <c r="BM186" s="2">
        <v>0.9</v>
      </c>
      <c r="BN186" s="2">
        <v>7.5</v>
      </c>
      <c r="BO186" s="2">
        <v>2.9</v>
      </c>
      <c r="BP186" s="2">
        <f t="shared" si="4"/>
        <v>9.4256884465742896</v>
      </c>
      <c r="BQ186" s="2">
        <f t="shared" si="5"/>
        <v>29.144473176011029</v>
      </c>
    </row>
    <row r="187" spans="1:69" x14ac:dyDescent="0.2">
      <c r="A187" s="2" t="s">
        <v>2462</v>
      </c>
      <c r="B187" s="2" t="s">
        <v>47</v>
      </c>
      <c r="C187" s="2" t="s">
        <v>1935</v>
      </c>
      <c r="D187" s="2" t="s">
        <v>49</v>
      </c>
      <c r="E187" s="2" t="s">
        <v>462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89</v>
      </c>
      <c r="L187" s="6" t="s">
        <v>141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2463</v>
      </c>
      <c r="R187" s="2">
        <v>5869565.2170000002</v>
      </c>
      <c r="S187" s="2">
        <v>0</v>
      </c>
      <c r="T187" s="2" t="s">
        <v>96</v>
      </c>
      <c r="U187" s="2" t="s">
        <v>97</v>
      </c>
      <c r="V187" s="2" t="s">
        <v>56</v>
      </c>
      <c r="W187" s="2" t="s">
        <v>98</v>
      </c>
      <c r="X187" s="2" t="s">
        <v>99</v>
      </c>
      <c r="Y187" s="2">
        <v>1.82752580064767</v>
      </c>
      <c r="Z187" s="2">
        <v>1827.5258006476699</v>
      </c>
      <c r="AA187" s="2">
        <v>4.73719444444444</v>
      </c>
      <c r="AB187" s="2">
        <v>-74.069472222222203</v>
      </c>
      <c r="AC187" s="2">
        <v>2555</v>
      </c>
      <c r="AD187" s="2">
        <v>0</v>
      </c>
      <c r="AE187" s="2" t="s">
        <v>59</v>
      </c>
      <c r="AF187" s="2" t="s">
        <v>86</v>
      </c>
      <c r="AG187" s="2" t="s">
        <v>61</v>
      </c>
      <c r="AH187" s="2" t="s">
        <v>62</v>
      </c>
      <c r="AI187" s="2" t="s">
        <v>100</v>
      </c>
      <c r="AJ187" s="2">
        <v>0.16047648658791699</v>
      </c>
      <c r="AK187" s="2">
        <v>5.4698367584072196</v>
      </c>
      <c r="AL187" s="2">
        <v>0.52430811394793897</v>
      </c>
      <c r="AM187" s="2">
        <v>0.14800565050437001</v>
      </c>
      <c r="AN187" s="2">
        <v>2.6009507073792002</v>
      </c>
      <c r="AO187" s="2">
        <v>0.14697902790339001</v>
      </c>
      <c r="AP187" s="2">
        <v>0.14697902790339001</v>
      </c>
      <c r="AQ187" s="2">
        <v>1</v>
      </c>
      <c r="AR187" s="2">
        <v>2</v>
      </c>
      <c r="AS187" s="2">
        <v>0</v>
      </c>
      <c r="AT187" s="2">
        <v>0</v>
      </c>
      <c r="AU187" s="2">
        <v>1</v>
      </c>
      <c r="AV187" s="2">
        <v>33</v>
      </c>
      <c r="AW187" s="2">
        <v>0</v>
      </c>
      <c r="AX187" s="2">
        <v>0</v>
      </c>
      <c r="AY187" s="2">
        <v>15.3</v>
      </c>
      <c r="AZ187" s="2">
        <v>9.8000000000000007</v>
      </c>
      <c r="BA187" s="2">
        <v>29.7</v>
      </c>
      <c r="BB187" s="2">
        <v>564</v>
      </c>
      <c r="BC187" s="2">
        <v>68</v>
      </c>
      <c r="BD187" s="2">
        <v>1.8</v>
      </c>
      <c r="BE187" s="2">
        <v>43</v>
      </c>
      <c r="BF187" s="2">
        <v>25.4</v>
      </c>
      <c r="BG187" s="2">
        <v>162</v>
      </c>
      <c r="BH187" s="2">
        <v>9.1</v>
      </c>
      <c r="BI187" s="2">
        <v>9.1999999999999993</v>
      </c>
      <c r="BJ187" s="2">
        <v>18.3</v>
      </c>
      <c r="BK187" s="2">
        <v>0.34</v>
      </c>
      <c r="BL187" s="2">
        <v>7.3</v>
      </c>
      <c r="BM187" s="2">
        <v>0.9</v>
      </c>
      <c r="BN187" s="2">
        <v>7.5</v>
      </c>
      <c r="BO187" s="2">
        <v>2.9</v>
      </c>
      <c r="BP187" s="2">
        <f t="shared" si="4"/>
        <v>8.9523839374449157</v>
      </c>
      <c r="BQ187" s="2">
        <f t="shared" si="5"/>
        <v>28.425494228535353</v>
      </c>
    </row>
    <row r="188" spans="1:69" x14ac:dyDescent="0.2">
      <c r="A188" s="2" t="s">
        <v>2464</v>
      </c>
      <c r="B188" s="2" t="s">
        <v>47</v>
      </c>
      <c r="C188" s="2" t="s">
        <v>1935</v>
      </c>
      <c r="D188" s="2" t="s">
        <v>49</v>
      </c>
      <c r="E188" s="2" t="s">
        <v>2465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89</v>
      </c>
      <c r="L188" s="6" t="s">
        <v>141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2466</v>
      </c>
      <c r="R188" s="2">
        <v>3869565.2170000002</v>
      </c>
      <c r="S188" s="2">
        <v>0</v>
      </c>
      <c r="T188" s="2" t="s">
        <v>96</v>
      </c>
      <c r="U188" s="2" t="s">
        <v>97</v>
      </c>
      <c r="V188" s="2" t="s">
        <v>56</v>
      </c>
      <c r="W188" s="2" t="s">
        <v>98</v>
      </c>
      <c r="X188" s="2" t="s">
        <v>99</v>
      </c>
      <c r="Y188" s="2">
        <v>2.0620921283656202</v>
      </c>
      <c r="Z188" s="2">
        <v>2062.0921283656198</v>
      </c>
      <c r="AA188" s="2">
        <v>4.73719444444444</v>
      </c>
      <c r="AB188" s="2">
        <v>-74.069472222222203</v>
      </c>
      <c r="AC188" s="2">
        <v>2555</v>
      </c>
      <c r="AD188" s="2">
        <v>0</v>
      </c>
      <c r="AE188" s="2" t="s">
        <v>59</v>
      </c>
      <c r="AF188" s="2" t="s">
        <v>86</v>
      </c>
      <c r="AG188" s="2" t="s">
        <v>61</v>
      </c>
      <c r="AH188" s="2" t="s">
        <v>62</v>
      </c>
      <c r="AI188" s="2" t="s">
        <v>100</v>
      </c>
      <c r="AJ188" s="2">
        <v>0.59169325020236296</v>
      </c>
      <c r="AK188" s="2">
        <v>5.0734236522527203</v>
      </c>
      <c r="AL188" s="2">
        <v>0.25313094064276098</v>
      </c>
      <c r="AM188" s="2">
        <v>0.101967098375588</v>
      </c>
      <c r="AN188" s="2">
        <v>3.0297687928598398</v>
      </c>
      <c r="AO188" s="2">
        <v>7.9852233383484305E-3</v>
      </c>
      <c r="AP188" s="2">
        <v>7.9852233383484305E-3</v>
      </c>
      <c r="AQ188" s="2">
        <v>0</v>
      </c>
      <c r="AR188" s="2">
        <v>2</v>
      </c>
      <c r="AS188" s="2">
        <v>0</v>
      </c>
      <c r="AT188" s="2">
        <v>0</v>
      </c>
      <c r="AU188" s="2">
        <v>1</v>
      </c>
      <c r="AV188" s="2">
        <v>38</v>
      </c>
      <c r="AW188" s="2">
        <v>0</v>
      </c>
      <c r="AX188" s="2">
        <v>0</v>
      </c>
      <c r="AY188" s="2">
        <v>15.3</v>
      </c>
      <c r="AZ188" s="2">
        <v>9.8000000000000007</v>
      </c>
      <c r="BA188" s="2">
        <v>29.7</v>
      </c>
      <c r="BB188" s="2">
        <v>564</v>
      </c>
      <c r="BC188" s="2">
        <v>68</v>
      </c>
      <c r="BD188" s="2">
        <v>1.8</v>
      </c>
      <c r="BE188" s="2">
        <v>43</v>
      </c>
      <c r="BF188" s="2">
        <v>25.4</v>
      </c>
      <c r="BG188" s="2">
        <v>162</v>
      </c>
      <c r="BH188" s="2">
        <v>9.1</v>
      </c>
      <c r="BI188" s="2">
        <v>9.1999999999999993</v>
      </c>
      <c r="BJ188" s="2">
        <v>18.3</v>
      </c>
      <c r="BK188" s="2">
        <v>0.34</v>
      </c>
      <c r="BL188" s="2">
        <v>7.3</v>
      </c>
      <c r="BM188" s="2">
        <v>0.9</v>
      </c>
      <c r="BN188" s="2">
        <v>7.5</v>
      </c>
      <c r="BO188" s="2">
        <v>2.9</v>
      </c>
      <c r="BP188" s="2">
        <f t="shared" si="4"/>
        <v>8.8490386439966944</v>
      </c>
      <c r="BQ188" s="2">
        <f t="shared" si="5"/>
        <v>28.265919888105277</v>
      </c>
    </row>
    <row r="189" spans="1:69" x14ac:dyDescent="0.2">
      <c r="A189" s="2" t="s">
        <v>838</v>
      </c>
      <c r="B189" s="2" t="s">
        <v>47</v>
      </c>
      <c r="C189" s="2" t="s">
        <v>48</v>
      </c>
      <c r="D189" s="2" t="s">
        <v>49</v>
      </c>
      <c r="E189" s="2" t="s">
        <v>328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89</v>
      </c>
      <c r="L189" s="6" t="s">
        <v>141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839</v>
      </c>
      <c r="R189" s="2">
        <v>6461099.7240000004</v>
      </c>
      <c r="S189" s="2">
        <v>0</v>
      </c>
      <c r="T189" s="2" t="s">
        <v>96</v>
      </c>
      <c r="U189" s="2" t="s">
        <v>97</v>
      </c>
      <c r="V189" s="2" t="s">
        <v>56</v>
      </c>
      <c r="W189" s="2" t="s">
        <v>98</v>
      </c>
      <c r="X189" s="2" t="s">
        <v>99</v>
      </c>
      <c r="Y189" s="2">
        <v>0.783051371804378</v>
      </c>
      <c r="Z189" s="2">
        <v>783.05137180437805</v>
      </c>
      <c r="AA189" s="2">
        <v>4.73719444444444</v>
      </c>
      <c r="AB189" s="2">
        <v>-74.069472222222203</v>
      </c>
      <c r="AC189" s="2">
        <v>2555</v>
      </c>
      <c r="AD189" s="2">
        <v>0</v>
      </c>
      <c r="AE189" s="2" t="s">
        <v>59</v>
      </c>
      <c r="AF189" s="2" t="s">
        <v>86</v>
      </c>
      <c r="AG189" s="2" t="s">
        <v>61</v>
      </c>
      <c r="AH189" s="2" t="s">
        <v>62</v>
      </c>
      <c r="AI189" s="2" t="s">
        <v>100</v>
      </c>
      <c r="AJ189" s="2">
        <v>0.54827765781916205</v>
      </c>
      <c r="AK189" s="2">
        <v>4.9056608409869096</v>
      </c>
      <c r="AL189" s="2">
        <v>2.36497834892059</v>
      </c>
      <c r="AM189" s="2">
        <v>0.56050034973964502</v>
      </c>
      <c r="AN189" s="2">
        <v>1.06088553111615</v>
      </c>
      <c r="AO189" s="2">
        <v>5.8042860338053601E-3</v>
      </c>
      <c r="AP189" s="2">
        <v>5.8042860338053601E-3</v>
      </c>
      <c r="AQ189" s="2">
        <v>0</v>
      </c>
      <c r="AR189" s="2">
        <v>1</v>
      </c>
      <c r="AS189" s="2">
        <v>0</v>
      </c>
      <c r="AT189" s="2">
        <v>0</v>
      </c>
      <c r="AU189" s="2">
        <v>0</v>
      </c>
      <c r="AV189" s="2">
        <v>6</v>
      </c>
      <c r="AW189" s="2">
        <v>0</v>
      </c>
      <c r="AX189" s="2">
        <v>0</v>
      </c>
      <c r="AY189" s="2">
        <v>15.3</v>
      </c>
      <c r="AZ189" s="2">
        <v>9.8000000000000007</v>
      </c>
      <c r="BA189" s="2">
        <v>29.7</v>
      </c>
      <c r="BB189" s="2">
        <v>564</v>
      </c>
      <c r="BC189" s="2">
        <v>68</v>
      </c>
      <c r="BD189" s="2">
        <v>1.8</v>
      </c>
      <c r="BE189" s="2">
        <v>43</v>
      </c>
      <c r="BF189" s="2">
        <v>25.4</v>
      </c>
      <c r="BG189" s="2">
        <v>162</v>
      </c>
      <c r="BH189" s="2">
        <v>9.1</v>
      </c>
      <c r="BI189" s="2">
        <v>9.1999999999999993</v>
      </c>
      <c r="BJ189" s="2">
        <v>18.3</v>
      </c>
      <c r="BK189" s="2">
        <v>0.34</v>
      </c>
      <c r="BL189" s="2">
        <v>7.3</v>
      </c>
      <c r="BM189" s="2">
        <v>0.9</v>
      </c>
      <c r="BN189" s="2">
        <v>7.5</v>
      </c>
      <c r="BO189" s="2">
        <v>2.9</v>
      </c>
      <c r="BP189" s="2">
        <f t="shared" si="4"/>
        <v>9.4274094268774302</v>
      </c>
      <c r="BQ189" s="2">
        <f t="shared" si="5"/>
        <v>29.147053086558756</v>
      </c>
    </row>
    <row r="190" spans="1:69" x14ac:dyDescent="0.2">
      <c r="A190" s="2" t="s">
        <v>703</v>
      </c>
      <c r="B190" s="2" t="s">
        <v>47</v>
      </c>
      <c r="C190" s="2" t="s">
        <v>48</v>
      </c>
      <c r="D190" s="2" t="s">
        <v>49</v>
      </c>
      <c r="E190" s="2" t="s">
        <v>328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89</v>
      </c>
      <c r="L190" s="6" t="s">
        <v>103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704</v>
      </c>
      <c r="R190" s="2">
        <v>9014287.6459999997</v>
      </c>
      <c r="S190" s="2">
        <v>0</v>
      </c>
      <c r="T190" s="2" t="s">
        <v>96</v>
      </c>
      <c r="U190" s="2" t="s">
        <v>97</v>
      </c>
      <c r="V190" s="2" t="s">
        <v>56</v>
      </c>
      <c r="W190" s="2" t="s">
        <v>98</v>
      </c>
      <c r="X190" s="2" t="s">
        <v>99</v>
      </c>
      <c r="Y190" s="2">
        <v>0.36064919393865302</v>
      </c>
      <c r="Z190" s="2">
        <v>360.64919393865301</v>
      </c>
      <c r="AA190" s="2">
        <v>4.73719444444444</v>
      </c>
      <c r="AB190" s="2">
        <v>-74.069472222222203</v>
      </c>
      <c r="AC190" s="2">
        <v>2555</v>
      </c>
      <c r="AD190" s="2">
        <v>0</v>
      </c>
      <c r="AE190" s="2" t="s">
        <v>59</v>
      </c>
      <c r="AF190" s="2" t="s">
        <v>86</v>
      </c>
      <c r="AG190" s="2" t="s">
        <v>61</v>
      </c>
      <c r="AH190" s="2" t="s">
        <v>62</v>
      </c>
      <c r="AI190" s="2" t="s">
        <v>100</v>
      </c>
      <c r="AJ190" s="2">
        <v>1.4663856817276499</v>
      </c>
      <c r="AK190" s="2">
        <v>5.2430739206785004</v>
      </c>
      <c r="AL190" s="2">
        <v>2.2146888430454301</v>
      </c>
      <c r="AM190" s="2">
        <v>0.43550231010389601</v>
      </c>
      <c r="AN190" s="2">
        <v>1.8493576086744901</v>
      </c>
      <c r="AO190" s="2">
        <v>3.7305678892179103E-2</v>
      </c>
      <c r="AP190" s="2">
        <v>3.7305678892179103E-2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8</v>
      </c>
      <c r="AW190" s="2">
        <v>0</v>
      </c>
      <c r="AX190" s="2">
        <v>0</v>
      </c>
      <c r="AY190" s="2">
        <v>15.3</v>
      </c>
      <c r="AZ190" s="2">
        <v>9.8000000000000007</v>
      </c>
      <c r="BA190" s="2">
        <v>29.7</v>
      </c>
      <c r="BB190" s="2">
        <v>564</v>
      </c>
      <c r="BC190" s="2">
        <v>68</v>
      </c>
      <c r="BD190" s="2">
        <v>1.8</v>
      </c>
      <c r="BE190" s="2">
        <v>43</v>
      </c>
      <c r="BF190" s="2">
        <v>25.4</v>
      </c>
      <c r="BG190" s="2">
        <v>162</v>
      </c>
      <c r="BH190" s="2">
        <v>9.1</v>
      </c>
      <c r="BI190" s="2">
        <v>9.1999999999999993</v>
      </c>
      <c r="BJ190" s="2">
        <v>18.3</v>
      </c>
      <c r="BK190" s="2">
        <v>0.34</v>
      </c>
      <c r="BL190" s="2">
        <v>7.3</v>
      </c>
      <c r="BM190" s="2">
        <v>0.9</v>
      </c>
      <c r="BN190" s="2">
        <v>7.5</v>
      </c>
      <c r="BO190" s="2">
        <v>2.9</v>
      </c>
      <c r="BP190" s="2">
        <f t="shared" si="4"/>
        <v>9.6266014483392404</v>
      </c>
      <c r="BQ190" s="2">
        <f t="shared" si="5"/>
        <v>29.444038599862843</v>
      </c>
    </row>
    <row r="191" spans="1:69" x14ac:dyDescent="0.2">
      <c r="A191" s="2" t="s">
        <v>1934</v>
      </c>
      <c r="B191" s="2" t="s">
        <v>47</v>
      </c>
      <c r="C191" s="2" t="s">
        <v>1935</v>
      </c>
      <c r="D191" s="2" t="s">
        <v>49</v>
      </c>
      <c r="E191" s="2" t="s">
        <v>527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51</v>
      </c>
      <c r="L191" s="6" t="s">
        <v>52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1936</v>
      </c>
      <c r="R191" s="2">
        <v>10227272.73</v>
      </c>
      <c r="S191" s="2">
        <v>0</v>
      </c>
      <c r="T191" s="2" t="s">
        <v>96</v>
      </c>
      <c r="U191" s="2" t="s">
        <v>97</v>
      </c>
      <c r="V191" s="2" t="s">
        <v>56</v>
      </c>
      <c r="W191" s="2" t="s">
        <v>98</v>
      </c>
      <c r="X191" s="2" t="s">
        <v>99</v>
      </c>
      <c r="Y191" s="2">
        <v>1.73237209652619</v>
      </c>
      <c r="Z191" s="2">
        <v>1732.37209652619</v>
      </c>
      <c r="AA191" s="2">
        <v>4.73719444444444</v>
      </c>
      <c r="AB191" s="2">
        <v>-74.069472222222203</v>
      </c>
      <c r="AC191" s="2">
        <v>2555</v>
      </c>
      <c r="AD191" s="2">
        <v>0</v>
      </c>
      <c r="AE191" s="2" t="s">
        <v>59</v>
      </c>
      <c r="AF191" s="2" t="s">
        <v>86</v>
      </c>
      <c r="AG191" s="2" t="s">
        <v>61</v>
      </c>
      <c r="AH191" s="2" t="s">
        <v>62</v>
      </c>
      <c r="AI191" s="2" t="s">
        <v>100</v>
      </c>
      <c r="AJ191" s="2">
        <v>0.151125754368475</v>
      </c>
      <c r="AK191" s="2">
        <v>5.5894365406695998</v>
      </c>
      <c r="AL191" s="2">
        <v>0.74703752955565506</v>
      </c>
      <c r="AM191" s="2">
        <v>0.38906789108147799</v>
      </c>
      <c r="AN191" s="2">
        <v>2.3746386728724098</v>
      </c>
      <c r="AO191" s="2">
        <v>0.206048737707242</v>
      </c>
      <c r="AP191" s="2">
        <v>0.206048737707242</v>
      </c>
      <c r="AQ191" s="2">
        <v>1</v>
      </c>
      <c r="AR191" s="2">
        <v>2</v>
      </c>
      <c r="AS191" s="2">
        <v>0</v>
      </c>
      <c r="AT191" s="2">
        <v>0</v>
      </c>
      <c r="AU191" s="2">
        <v>1</v>
      </c>
      <c r="AV191" s="2">
        <v>22</v>
      </c>
      <c r="AW191" s="2">
        <v>0</v>
      </c>
      <c r="AX191" s="2">
        <v>0</v>
      </c>
      <c r="AY191" s="2">
        <v>15.3</v>
      </c>
      <c r="AZ191" s="2">
        <v>9.8000000000000007</v>
      </c>
      <c r="BA191" s="2">
        <v>29.7</v>
      </c>
      <c r="BB191" s="2">
        <v>564</v>
      </c>
      <c r="BC191" s="2">
        <v>68</v>
      </c>
      <c r="BD191" s="2">
        <v>1.8</v>
      </c>
      <c r="BE191" s="2">
        <v>43</v>
      </c>
      <c r="BF191" s="2">
        <v>25.4</v>
      </c>
      <c r="BG191" s="2">
        <v>162</v>
      </c>
      <c r="BH191" s="2">
        <v>9.1</v>
      </c>
      <c r="BI191" s="2">
        <v>9.1999999999999993</v>
      </c>
      <c r="BJ191" s="2">
        <v>18.3</v>
      </c>
      <c r="BK191" s="2">
        <v>0.34</v>
      </c>
      <c r="BL191" s="2">
        <v>7.3</v>
      </c>
      <c r="BM191" s="2">
        <v>0.9</v>
      </c>
      <c r="BN191" s="2">
        <v>7.5</v>
      </c>
      <c r="BO191" s="2">
        <v>2.9</v>
      </c>
      <c r="BP191" s="2">
        <f t="shared" si="4"/>
        <v>8.994650096772121</v>
      </c>
      <c r="BQ191" s="2">
        <f t="shared" si="5"/>
        <v>28.490483393423972</v>
      </c>
    </row>
    <row r="192" spans="1:69" x14ac:dyDescent="0.2">
      <c r="A192" s="2" t="s">
        <v>2831</v>
      </c>
      <c r="B192" s="2" t="s">
        <v>47</v>
      </c>
      <c r="C192" s="2" t="s">
        <v>1935</v>
      </c>
      <c r="D192" s="2" t="s">
        <v>49</v>
      </c>
      <c r="E192" s="2" t="s">
        <v>256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89</v>
      </c>
      <c r="L192" s="6" t="s">
        <v>141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2832</v>
      </c>
      <c r="R192" s="2">
        <v>5318181.818</v>
      </c>
      <c r="S192" s="2">
        <v>0</v>
      </c>
      <c r="T192" s="2" t="s">
        <v>96</v>
      </c>
      <c r="U192" s="2" t="s">
        <v>97</v>
      </c>
      <c r="V192" s="2" t="s">
        <v>56</v>
      </c>
      <c r="W192" s="2" t="s">
        <v>98</v>
      </c>
      <c r="X192" s="2" t="s">
        <v>99</v>
      </c>
      <c r="Y192" s="2">
        <v>1.4711292237323501</v>
      </c>
      <c r="Z192" s="2">
        <v>1471.1292237323501</v>
      </c>
      <c r="AA192" s="2">
        <v>4.73719444444444</v>
      </c>
      <c r="AB192" s="2">
        <v>-74.069472222222203</v>
      </c>
      <c r="AC192" s="2">
        <v>2555</v>
      </c>
      <c r="AD192" s="2">
        <v>0</v>
      </c>
      <c r="AE192" s="2" t="s">
        <v>59</v>
      </c>
      <c r="AF192" s="2" t="s">
        <v>86</v>
      </c>
      <c r="AG192" s="2" t="s">
        <v>61</v>
      </c>
      <c r="AH192" s="2" t="s">
        <v>62</v>
      </c>
      <c r="AI192" s="2" t="s">
        <v>100</v>
      </c>
      <c r="AJ192" s="2">
        <v>1.2477476288109699</v>
      </c>
      <c r="AK192" s="2">
        <v>4.4909184413823198</v>
      </c>
      <c r="AL192" s="2">
        <v>1.2689754851105499</v>
      </c>
      <c r="AM192" s="2">
        <v>8.5064748613670499E-2</v>
      </c>
      <c r="AN192" s="2">
        <v>2.9870339591368098</v>
      </c>
      <c r="AO192" s="2">
        <v>0.58112286601887997</v>
      </c>
      <c r="AP192" s="2">
        <v>0.58112286601887997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22</v>
      </c>
      <c r="AW192" s="2">
        <v>0</v>
      </c>
      <c r="AX192" s="2">
        <v>0</v>
      </c>
      <c r="AY192" s="2">
        <v>15.3</v>
      </c>
      <c r="AZ192" s="2">
        <v>9.8000000000000007</v>
      </c>
      <c r="BA192" s="2">
        <v>29.7</v>
      </c>
      <c r="BB192" s="2">
        <v>564</v>
      </c>
      <c r="BC192" s="2">
        <v>68</v>
      </c>
      <c r="BD192" s="2">
        <v>1.8</v>
      </c>
      <c r="BE192" s="2">
        <v>43</v>
      </c>
      <c r="BF192" s="2">
        <v>25.4</v>
      </c>
      <c r="BG192" s="2">
        <v>162</v>
      </c>
      <c r="BH192" s="2">
        <v>9.1</v>
      </c>
      <c r="BI192" s="2">
        <v>9.1999999999999993</v>
      </c>
      <c r="BJ192" s="2">
        <v>18.3</v>
      </c>
      <c r="BK192" s="2">
        <v>0.34</v>
      </c>
      <c r="BL192" s="2">
        <v>7.3</v>
      </c>
      <c r="BM192" s="2">
        <v>0.9</v>
      </c>
      <c r="BN192" s="2">
        <v>7.5</v>
      </c>
      <c r="BO192" s="2">
        <v>2.9</v>
      </c>
      <c r="BP192" s="2">
        <f t="shared" si="4"/>
        <v>9.1117199283675276</v>
      </c>
      <c r="BQ192" s="2">
        <f t="shared" si="5"/>
        <v>28.669675014312652</v>
      </c>
    </row>
    <row r="193" spans="1:69" x14ac:dyDescent="0.2">
      <c r="A193" s="2" t="s">
        <v>816</v>
      </c>
      <c r="B193" s="2" t="s">
        <v>47</v>
      </c>
      <c r="C193" s="2" t="s">
        <v>48</v>
      </c>
      <c r="D193" s="2" t="s">
        <v>49</v>
      </c>
      <c r="E193" s="2" t="s">
        <v>688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89</v>
      </c>
      <c r="L193" s="6" t="s">
        <v>141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817</v>
      </c>
      <c r="R193" s="2">
        <v>6018518.5190000003</v>
      </c>
      <c r="S193" s="2">
        <v>0</v>
      </c>
      <c r="T193" s="2" t="s">
        <v>96</v>
      </c>
      <c r="U193" s="2" t="s">
        <v>97</v>
      </c>
      <c r="V193" s="2" t="s">
        <v>56</v>
      </c>
      <c r="W193" s="2" t="s">
        <v>98</v>
      </c>
      <c r="X193" s="2" t="s">
        <v>99</v>
      </c>
      <c r="Y193" s="2">
        <v>1.0638261511609199</v>
      </c>
      <c r="Z193" s="2">
        <v>1063.8261511609201</v>
      </c>
      <c r="AA193" s="2">
        <v>4.73719444444444</v>
      </c>
      <c r="AB193" s="2">
        <v>-74.069472222222203</v>
      </c>
      <c r="AC193" s="2">
        <v>2555</v>
      </c>
      <c r="AD193" s="2">
        <v>0</v>
      </c>
      <c r="AE193" s="2" t="s">
        <v>59</v>
      </c>
      <c r="AF193" s="2" t="s">
        <v>86</v>
      </c>
      <c r="AG193" s="2" t="s">
        <v>61</v>
      </c>
      <c r="AH193" s="2" t="s">
        <v>62</v>
      </c>
      <c r="AI193" s="2" t="s">
        <v>100</v>
      </c>
      <c r="AJ193" s="2">
        <v>1.2262145294414</v>
      </c>
      <c r="AK193" s="2">
        <v>4.2596300771953901</v>
      </c>
      <c r="AL193" s="2">
        <v>2.2595112414097001</v>
      </c>
      <c r="AM193" s="2">
        <v>0.46798329927003002</v>
      </c>
      <c r="AN193" s="2">
        <v>2.87803568741931</v>
      </c>
      <c r="AO193" s="2">
        <v>0.21556985504939</v>
      </c>
      <c r="AP193" s="2">
        <v>0.21556985504939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19</v>
      </c>
      <c r="AW193" s="2">
        <v>0</v>
      </c>
      <c r="AX193" s="2">
        <v>0</v>
      </c>
      <c r="AY193" s="2">
        <v>15.3</v>
      </c>
      <c r="AZ193" s="2">
        <v>9.8000000000000007</v>
      </c>
      <c r="BA193" s="2">
        <v>29.7</v>
      </c>
      <c r="BB193" s="2">
        <v>564</v>
      </c>
      <c r="BC193" s="2">
        <v>68</v>
      </c>
      <c r="BD193" s="2">
        <v>1.8</v>
      </c>
      <c r="BE193" s="2">
        <v>43</v>
      </c>
      <c r="BF193" s="2">
        <v>25.4</v>
      </c>
      <c r="BG193" s="2">
        <v>162</v>
      </c>
      <c r="BH193" s="2">
        <v>9.1</v>
      </c>
      <c r="BI193" s="2">
        <v>9.1999999999999993</v>
      </c>
      <c r="BJ193" s="2">
        <v>18.3</v>
      </c>
      <c r="BK193" s="2">
        <v>0.34</v>
      </c>
      <c r="BL193" s="2">
        <v>7.3</v>
      </c>
      <c r="BM193" s="2">
        <v>0.9</v>
      </c>
      <c r="BN193" s="2">
        <v>7.5</v>
      </c>
      <c r="BO193" s="2">
        <v>2.9</v>
      </c>
      <c r="BP193" s="2">
        <f t="shared" si="4"/>
        <v>9.2972902914599658</v>
      </c>
      <c r="BQ193" s="2">
        <f t="shared" si="5"/>
        <v>28.951303189314515</v>
      </c>
    </row>
    <row r="194" spans="1:69" x14ac:dyDescent="0.2">
      <c r="A194" s="2" t="s">
        <v>1036</v>
      </c>
      <c r="B194" s="2" t="s">
        <v>47</v>
      </c>
      <c r="C194" s="2" t="s">
        <v>48</v>
      </c>
      <c r="D194" s="2" t="s">
        <v>49</v>
      </c>
      <c r="E194" s="2" t="s">
        <v>1037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89</v>
      </c>
      <c r="L194" s="6" t="s">
        <v>112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1038</v>
      </c>
      <c r="R194" s="2">
        <v>8046511.6279999996</v>
      </c>
      <c r="S194" s="2">
        <v>0</v>
      </c>
      <c r="T194" s="2" t="s">
        <v>96</v>
      </c>
      <c r="U194" s="2" t="s">
        <v>97</v>
      </c>
      <c r="V194" s="2" t="s">
        <v>56</v>
      </c>
      <c r="W194" s="2" t="s">
        <v>98</v>
      </c>
      <c r="X194" s="2" t="s">
        <v>99</v>
      </c>
      <c r="Y194" s="2">
        <v>2.33413793080934</v>
      </c>
      <c r="Z194" s="2">
        <v>2334.1379308093401</v>
      </c>
      <c r="AA194" s="2">
        <v>4.73719444444444</v>
      </c>
      <c r="AB194" s="2">
        <v>-74.069472222222203</v>
      </c>
      <c r="AC194" s="2">
        <v>2555</v>
      </c>
      <c r="AD194" s="2">
        <v>0</v>
      </c>
      <c r="AE194" s="2" t="s">
        <v>59</v>
      </c>
      <c r="AF194" s="2" t="s">
        <v>86</v>
      </c>
      <c r="AG194" s="2" t="s">
        <v>61</v>
      </c>
      <c r="AH194" s="2" t="s">
        <v>62</v>
      </c>
      <c r="AI194" s="2" t="s">
        <v>100</v>
      </c>
      <c r="AJ194" s="2">
        <v>0.792669862216689</v>
      </c>
      <c r="AK194" s="2">
        <v>4.88559812067371</v>
      </c>
      <c r="AL194" s="2">
        <v>1.20669883960891</v>
      </c>
      <c r="AM194" s="2">
        <v>0.58771862538769404</v>
      </c>
      <c r="AN194" s="2">
        <v>2.3781789157926601</v>
      </c>
      <c r="AO194" s="2">
        <v>1.0673695926724E-2</v>
      </c>
      <c r="AP194" s="2">
        <v>1.0673695926724E-2</v>
      </c>
      <c r="AQ194" s="2">
        <v>0</v>
      </c>
      <c r="AR194" s="2">
        <v>1</v>
      </c>
      <c r="AS194" s="2">
        <v>0</v>
      </c>
      <c r="AT194" s="2">
        <v>0</v>
      </c>
      <c r="AU194" s="2">
        <v>0</v>
      </c>
      <c r="AV194" s="2">
        <v>1</v>
      </c>
      <c r="AW194" s="2">
        <v>0</v>
      </c>
      <c r="AX194" s="2">
        <v>0</v>
      </c>
      <c r="AY194" s="2">
        <v>15.3</v>
      </c>
      <c r="AZ194" s="2">
        <v>9.8000000000000007</v>
      </c>
      <c r="BA194" s="2">
        <v>29.7</v>
      </c>
      <c r="BB194" s="2">
        <v>564</v>
      </c>
      <c r="BC194" s="2">
        <v>68</v>
      </c>
      <c r="BD194" s="2">
        <v>1.8</v>
      </c>
      <c r="BE194" s="2">
        <v>43</v>
      </c>
      <c r="BF194" s="2">
        <v>25.4</v>
      </c>
      <c r="BG194" s="2">
        <v>162</v>
      </c>
      <c r="BH194" s="2">
        <v>9.1</v>
      </c>
      <c r="BI194" s="2">
        <v>9.1999999999999993</v>
      </c>
      <c r="BJ194" s="2">
        <v>18.3</v>
      </c>
      <c r="BK194" s="2">
        <v>0.34</v>
      </c>
      <c r="BL194" s="2">
        <v>7.3</v>
      </c>
      <c r="BM194" s="2">
        <v>0.9</v>
      </c>
      <c r="BN194" s="2">
        <v>7.5</v>
      </c>
      <c r="BO194" s="2">
        <v>2.9</v>
      </c>
      <c r="BP194" s="2">
        <f t="shared" ref="BP194:BP257" si="6">+AZ194*EXP(-0.0495*Y194)</f>
        <v>8.7306738794295438</v>
      </c>
      <c r="BQ194" s="2">
        <f t="shared" ref="BQ194:BQ257" si="7">+BA194*EXP(-0.024*Y194)</f>
        <v>28.081970058335479</v>
      </c>
    </row>
    <row r="195" spans="1:69" x14ac:dyDescent="0.2">
      <c r="A195" s="2" t="s">
        <v>2893</v>
      </c>
      <c r="B195" s="2" t="s">
        <v>47</v>
      </c>
      <c r="C195" s="2" t="s">
        <v>1935</v>
      </c>
      <c r="D195" s="2" t="s">
        <v>49</v>
      </c>
      <c r="E195" s="2" t="s">
        <v>328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89</v>
      </c>
      <c r="L195" s="6" t="s">
        <v>141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2894</v>
      </c>
      <c r="R195" s="2">
        <v>7561436.6730000004</v>
      </c>
      <c r="S195" s="2">
        <v>0</v>
      </c>
      <c r="T195" s="2" t="s">
        <v>96</v>
      </c>
      <c r="U195" s="2" t="s">
        <v>97</v>
      </c>
      <c r="V195" s="2" t="s">
        <v>56</v>
      </c>
      <c r="W195" s="2" t="s">
        <v>98</v>
      </c>
      <c r="X195" s="2" t="s">
        <v>99</v>
      </c>
      <c r="Y195" s="2">
        <v>0.98274623292701502</v>
      </c>
      <c r="Z195" s="2">
        <v>982.74623292701494</v>
      </c>
      <c r="AA195" s="2">
        <v>4.73719444444444</v>
      </c>
      <c r="AB195" s="2">
        <v>-74.069472222222203</v>
      </c>
      <c r="AC195" s="2">
        <v>2555</v>
      </c>
      <c r="AD195" s="2">
        <v>0</v>
      </c>
      <c r="AE195" s="2" t="s">
        <v>59</v>
      </c>
      <c r="AF195" s="2" t="s">
        <v>86</v>
      </c>
      <c r="AG195" s="2" t="s">
        <v>61</v>
      </c>
      <c r="AH195" s="2" t="s">
        <v>62</v>
      </c>
      <c r="AI195" s="2" t="s">
        <v>100</v>
      </c>
      <c r="AJ195" s="2">
        <v>0.51854430602006096</v>
      </c>
      <c r="AK195" s="2">
        <v>5.2862661197177196</v>
      </c>
      <c r="AL195" s="2">
        <v>1.74518318772827</v>
      </c>
      <c r="AM195" s="2">
        <v>0.85274398762780701</v>
      </c>
      <c r="AN195" s="2">
        <v>1.4442205430317701</v>
      </c>
      <c r="AO195" s="2">
        <v>2.6513009878525902E-3</v>
      </c>
      <c r="AP195" s="2">
        <v>2.6513009878525902E-3</v>
      </c>
      <c r="AQ195" s="2">
        <v>0</v>
      </c>
      <c r="AR195" s="2">
        <v>2</v>
      </c>
      <c r="AS195" s="2">
        <v>0</v>
      </c>
      <c r="AT195" s="2">
        <v>0</v>
      </c>
      <c r="AU195" s="2">
        <v>0</v>
      </c>
      <c r="AV195" s="2">
        <v>7</v>
      </c>
      <c r="AW195" s="2">
        <v>0</v>
      </c>
      <c r="AX195" s="2">
        <v>0</v>
      </c>
      <c r="AY195" s="2">
        <v>15.3</v>
      </c>
      <c r="AZ195" s="2">
        <v>9.8000000000000007</v>
      </c>
      <c r="BA195" s="2">
        <v>29.7</v>
      </c>
      <c r="BB195" s="2">
        <v>564</v>
      </c>
      <c r="BC195" s="2">
        <v>68</v>
      </c>
      <c r="BD195" s="2">
        <v>1.8</v>
      </c>
      <c r="BE195" s="2">
        <v>43</v>
      </c>
      <c r="BF195" s="2">
        <v>25.4</v>
      </c>
      <c r="BG195" s="2">
        <v>162</v>
      </c>
      <c r="BH195" s="2">
        <v>9.1</v>
      </c>
      <c r="BI195" s="2">
        <v>9.1999999999999993</v>
      </c>
      <c r="BJ195" s="2">
        <v>18.3</v>
      </c>
      <c r="BK195" s="2">
        <v>0.34</v>
      </c>
      <c r="BL195" s="2">
        <v>7.3</v>
      </c>
      <c r="BM195" s="2">
        <v>0.9</v>
      </c>
      <c r="BN195" s="2">
        <v>7.5</v>
      </c>
      <c r="BO195" s="2">
        <v>2.9</v>
      </c>
      <c r="BP195" s="2">
        <f t="shared" si="6"/>
        <v>9.3346795363785819</v>
      </c>
      <c r="BQ195" s="2">
        <f t="shared" si="7"/>
        <v>29.007694901433531</v>
      </c>
    </row>
    <row r="196" spans="1:69" x14ac:dyDescent="0.2">
      <c r="A196" s="2" t="s">
        <v>2354</v>
      </c>
      <c r="B196" s="2" t="s">
        <v>47</v>
      </c>
      <c r="C196" s="2" t="s">
        <v>1935</v>
      </c>
      <c r="D196" s="2" t="s">
        <v>49</v>
      </c>
      <c r="E196" s="2" t="s">
        <v>93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89</v>
      </c>
      <c r="L196" s="6" t="s">
        <v>141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2355</v>
      </c>
      <c r="R196" s="2">
        <v>6619047.6189999999</v>
      </c>
      <c r="S196" s="2">
        <v>0</v>
      </c>
      <c r="T196" s="2" t="s">
        <v>96</v>
      </c>
      <c r="U196" s="2" t="s">
        <v>97</v>
      </c>
      <c r="V196" s="2" t="s">
        <v>56</v>
      </c>
      <c r="W196" s="2" t="s">
        <v>98</v>
      </c>
      <c r="X196" s="2" t="s">
        <v>99</v>
      </c>
      <c r="Y196" s="2">
        <v>2.7363804245246701</v>
      </c>
      <c r="Z196" s="2">
        <v>2736.3804245246702</v>
      </c>
      <c r="AA196" s="2">
        <v>4.73719444444444</v>
      </c>
      <c r="AB196" s="2">
        <v>-74.069472222222203</v>
      </c>
      <c r="AC196" s="2">
        <v>2555</v>
      </c>
      <c r="AD196" s="2">
        <v>0</v>
      </c>
      <c r="AE196" s="2" t="s">
        <v>59</v>
      </c>
      <c r="AF196" s="2" t="s">
        <v>86</v>
      </c>
      <c r="AG196" s="2" t="s">
        <v>61</v>
      </c>
      <c r="AH196" s="2" t="s">
        <v>62</v>
      </c>
      <c r="AI196" s="2" t="s">
        <v>100</v>
      </c>
      <c r="AJ196" s="2">
        <v>0.32287607343906199</v>
      </c>
      <c r="AK196" s="2">
        <v>5.5478330197195396</v>
      </c>
      <c r="AL196" s="2">
        <v>0.56033828947143205</v>
      </c>
      <c r="AM196" s="2">
        <v>9.6395717177534604E-2</v>
      </c>
      <c r="AN196" s="2">
        <v>3.32006731716716</v>
      </c>
      <c r="AO196" s="2">
        <v>0.163734170430757</v>
      </c>
      <c r="AP196" s="2">
        <v>0.163734170430757</v>
      </c>
      <c r="AQ196" s="2">
        <v>1</v>
      </c>
      <c r="AR196" s="2">
        <v>3</v>
      </c>
      <c r="AS196" s="2">
        <v>0</v>
      </c>
      <c r="AT196" s="2">
        <v>0</v>
      </c>
      <c r="AU196" s="2">
        <v>1</v>
      </c>
      <c r="AV196" s="2">
        <v>41</v>
      </c>
      <c r="AW196" s="2">
        <v>0</v>
      </c>
      <c r="AX196" s="2">
        <v>0</v>
      </c>
      <c r="AY196" s="2">
        <v>15.3</v>
      </c>
      <c r="AZ196" s="2">
        <v>9.8000000000000007</v>
      </c>
      <c r="BA196" s="2">
        <v>29.7</v>
      </c>
      <c r="BB196" s="2">
        <v>564</v>
      </c>
      <c r="BC196" s="2">
        <v>68</v>
      </c>
      <c r="BD196" s="2">
        <v>1.8</v>
      </c>
      <c r="BE196" s="2">
        <v>43</v>
      </c>
      <c r="BF196" s="2">
        <v>25.4</v>
      </c>
      <c r="BG196" s="2">
        <v>162</v>
      </c>
      <c r="BH196" s="2">
        <v>9.1</v>
      </c>
      <c r="BI196" s="2">
        <v>9.1999999999999993</v>
      </c>
      <c r="BJ196" s="2">
        <v>18.3</v>
      </c>
      <c r="BK196" s="2">
        <v>0.34</v>
      </c>
      <c r="BL196" s="2">
        <v>7.3</v>
      </c>
      <c r="BM196" s="2">
        <v>0.9</v>
      </c>
      <c r="BN196" s="2">
        <v>7.5</v>
      </c>
      <c r="BO196" s="2">
        <v>2.9</v>
      </c>
      <c r="BP196" s="2">
        <f t="shared" si="6"/>
        <v>8.5585566019037156</v>
      </c>
      <c r="BQ196" s="2">
        <f t="shared" si="7"/>
        <v>27.812176144613868</v>
      </c>
    </row>
    <row r="197" spans="1:69" x14ac:dyDescent="0.2">
      <c r="A197" s="2" t="s">
        <v>377</v>
      </c>
      <c r="B197" s="2" t="s">
        <v>47</v>
      </c>
      <c r="C197" s="2" t="s">
        <v>48</v>
      </c>
      <c r="D197" s="2" t="s">
        <v>49</v>
      </c>
      <c r="E197" s="2" t="s">
        <v>378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89</v>
      </c>
      <c r="L197" s="6" t="s">
        <v>141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379</v>
      </c>
      <c r="R197" s="2">
        <v>7894736.8420000002</v>
      </c>
      <c r="S197" s="2">
        <v>0</v>
      </c>
      <c r="T197" s="2" t="s">
        <v>96</v>
      </c>
      <c r="U197" s="2" t="s">
        <v>97</v>
      </c>
      <c r="V197" s="2" t="s">
        <v>56</v>
      </c>
      <c r="W197" s="2" t="s">
        <v>98</v>
      </c>
      <c r="X197" s="2" t="s">
        <v>99</v>
      </c>
      <c r="Y197" s="2">
        <v>1.2308301860436199</v>
      </c>
      <c r="Z197" s="2">
        <v>1230.83018604362</v>
      </c>
      <c r="AA197" s="2">
        <v>4.73719444444444</v>
      </c>
      <c r="AB197" s="2">
        <v>-74.069472222222203</v>
      </c>
      <c r="AC197" s="2">
        <v>2555</v>
      </c>
      <c r="AD197" s="2">
        <v>0</v>
      </c>
      <c r="AE197" s="2" t="s">
        <v>59</v>
      </c>
      <c r="AF197" s="2" t="s">
        <v>86</v>
      </c>
      <c r="AG197" s="2" t="s">
        <v>61</v>
      </c>
      <c r="AH197" s="2" t="s">
        <v>62</v>
      </c>
      <c r="AI197" s="2" t="s">
        <v>100</v>
      </c>
      <c r="AJ197" s="2">
        <v>8.1466678313060398E-2</v>
      </c>
      <c r="AK197" s="2">
        <v>5.4970324494469898</v>
      </c>
      <c r="AL197" s="2">
        <v>1.2889326081877699</v>
      </c>
      <c r="AM197" s="2">
        <v>0.80820397872623295</v>
      </c>
      <c r="AN197" s="2">
        <v>1.86361379630316</v>
      </c>
      <c r="AO197" s="2">
        <v>3.0405752849900099E-2</v>
      </c>
      <c r="AP197" s="2">
        <v>3.0405752849900099E-2</v>
      </c>
      <c r="AQ197" s="2">
        <v>1</v>
      </c>
      <c r="AR197" s="2">
        <v>2</v>
      </c>
      <c r="AS197" s="2">
        <v>0</v>
      </c>
      <c r="AT197" s="2">
        <v>0</v>
      </c>
      <c r="AU197" s="2">
        <v>0</v>
      </c>
      <c r="AV197" s="2">
        <v>8</v>
      </c>
      <c r="AW197" s="2">
        <v>0</v>
      </c>
      <c r="AX197" s="2">
        <v>0</v>
      </c>
      <c r="AY197" s="2">
        <v>15.3</v>
      </c>
      <c r="AZ197" s="2">
        <v>9.8000000000000007</v>
      </c>
      <c r="BA197" s="2">
        <v>29.7</v>
      </c>
      <c r="BB197" s="2">
        <v>564</v>
      </c>
      <c r="BC197" s="2">
        <v>68</v>
      </c>
      <c r="BD197" s="2">
        <v>1.8</v>
      </c>
      <c r="BE197" s="2">
        <v>43</v>
      </c>
      <c r="BF197" s="2">
        <v>25.4</v>
      </c>
      <c r="BG197" s="2">
        <v>162</v>
      </c>
      <c r="BH197" s="2">
        <v>9.1</v>
      </c>
      <c r="BI197" s="2">
        <v>9.1999999999999993</v>
      </c>
      <c r="BJ197" s="2">
        <v>18.3</v>
      </c>
      <c r="BK197" s="2">
        <v>0.34</v>
      </c>
      <c r="BL197" s="2">
        <v>7.3</v>
      </c>
      <c r="BM197" s="2">
        <v>0.9</v>
      </c>
      <c r="BN197" s="2">
        <v>7.5</v>
      </c>
      <c r="BO197" s="2">
        <v>2.9</v>
      </c>
      <c r="BP197" s="2">
        <f t="shared" si="6"/>
        <v>9.2207491913844795</v>
      </c>
      <c r="BQ197" s="2">
        <f t="shared" si="7"/>
        <v>28.835495801217583</v>
      </c>
    </row>
    <row r="198" spans="1:69" x14ac:dyDescent="0.2">
      <c r="A198" s="2" t="s">
        <v>243</v>
      </c>
      <c r="B198" s="2" t="s">
        <v>47</v>
      </c>
      <c r="C198" s="2" t="s">
        <v>48</v>
      </c>
      <c r="D198" s="2" t="s">
        <v>49</v>
      </c>
      <c r="E198" s="2" t="s">
        <v>153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89</v>
      </c>
      <c r="L198" s="6" t="s">
        <v>103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244</v>
      </c>
      <c r="R198" s="2">
        <v>8454106.2799999993</v>
      </c>
      <c r="S198" s="2">
        <v>0</v>
      </c>
      <c r="T198" s="2" t="s">
        <v>96</v>
      </c>
      <c r="U198" s="2" t="s">
        <v>97</v>
      </c>
      <c r="V198" s="2" t="s">
        <v>56</v>
      </c>
      <c r="W198" s="2" t="s">
        <v>98</v>
      </c>
      <c r="X198" s="2" t="s">
        <v>99</v>
      </c>
      <c r="Y198" s="2">
        <v>0.59956699500809896</v>
      </c>
      <c r="Z198" s="2">
        <v>599.56699500809896</v>
      </c>
      <c r="AA198" s="2">
        <v>4.73719444444444</v>
      </c>
      <c r="AB198" s="2">
        <v>-74.069472222222203</v>
      </c>
      <c r="AC198" s="2">
        <v>2555</v>
      </c>
      <c r="AD198" s="2">
        <v>0</v>
      </c>
      <c r="AE198" s="2" t="s">
        <v>59</v>
      </c>
      <c r="AF198" s="2" t="s">
        <v>86</v>
      </c>
      <c r="AG198" s="2" t="s">
        <v>61</v>
      </c>
      <c r="AH198" s="2" t="s">
        <v>62</v>
      </c>
      <c r="AI198" s="2" t="s">
        <v>100</v>
      </c>
      <c r="AJ198" s="2">
        <v>1.6236212890003301</v>
      </c>
      <c r="AK198" s="2">
        <v>4.6967542683878998</v>
      </c>
      <c r="AL198" s="2">
        <v>2.1062512866069798</v>
      </c>
      <c r="AM198" s="2">
        <v>0.12585907834273399</v>
      </c>
      <c r="AN198" s="2">
        <v>2.3925316892050699</v>
      </c>
      <c r="AO198" s="2">
        <v>0.27490351955809</v>
      </c>
      <c r="AP198" s="2">
        <v>0.27490351955809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11</v>
      </c>
      <c r="AW198" s="2">
        <v>0</v>
      </c>
      <c r="AX198" s="2">
        <v>0</v>
      </c>
      <c r="AY198" s="2">
        <v>15.3</v>
      </c>
      <c r="AZ198" s="2">
        <v>9.8000000000000007</v>
      </c>
      <c r="BA198" s="2">
        <v>29.7</v>
      </c>
      <c r="BB198" s="2">
        <v>564</v>
      </c>
      <c r="BC198" s="2">
        <v>68</v>
      </c>
      <c r="BD198" s="2">
        <v>1.8</v>
      </c>
      <c r="BE198" s="2">
        <v>43</v>
      </c>
      <c r="BF198" s="2">
        <v>25.4</v>
      </c>
      <c r="BG198" s="2">
        <v>162</v>
      </c>
      <c r="BH198" s="2">
        <v>9.1</v>
      </c>
      <c r="BI198" s="2">
        <v>9.1999999999999993</v>
      </c>
      <c r="BJ198" s="2">
        <v>18.3</v>
      </c>
      <c r="BK198" s="2">
        <v>0.34</v>
      </c>
      <c r="BL198" s="2">
        <v>7.3</v>
      </c>
      <c r="BM198" s="2">
        <v>0.9</v>
      </c>
      <c r="BN198" s="2">
        <v>7.5</v>
      </c>
      <c r="BO198" s="2">
        <v>2.9</v>
      </c>
      <c r="BP198" s="2">
        <f t="shared" si="6"/>
        <v>9.5134236727850983</v>
      </c>
      <c r="BQ198" s="2">
        <f t="shared" si="7"/>
        <v>29.275688803321167</v>
      </c>
    </row>
    <row r="199" spans="1:69" x14ac:dyDescent="0.2">
      <c r="A199" s="2" t="s">
        <v>2818</v>
      </c>
      <c r="B199" s="2" t="s">
        <v>47</v>
      </c>
      <c r="C199" s="2" t="s">
        <v>1935</v>
      </c>
      <c r="D199" s="2" t="s">
        <v>49</v>
      </c>
      <c r="E199" s="2" t="s">
        <v>160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89</v>
      </c>
      <c r="L199" s="6" t="s">
        <v>103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2819</v>
      </c>
      <c r="R199" s="2">
        <v>5339805.8250000002</v>
      </c>
      <c r="S199" s="2">
        <v>0</v>
      </c>
      <c r="T199" s="2" t="s">
        <v>96</v>
      </c>
      <c r="U199" s="2" t="s">
        <v>97</v>
      </c>
      <c r="V199" s="2" t="s">
        <v>56</v>
      </c>
      <c r="W199" s="2" t="s">
        <v>98</v>
      </c>
      <c r="X199" s="2" t="s">
        <v>99</v>
      </c>
      <c r="Y199" s="2">
        <v>0.80055543131421902</v>
      </c>
      <c r="Z199" s="2">
        <v>800.55543131421905</v>
      </c>
      <c r="AA199" s="2">
        <v>4.73719444444444</v>
      </c>
      <c r="AB199" s="2">
        <v>-74.069472222222203</v>
      </c>
      <c r="AC199" s="2">
        <v>2555</v>
      </c>
      <c r="AD199" s="2">
        <v>0</v>
      </c>
      <c r="AE199" s="2" t="s">
        <v>59</v>
      </c>
      <c r="AF199" s="2" t="s">
        <v>86</v>
      </c>
      <c r="AG199" s="2" t="s">
        <v>61</v>
      </c>
      <c r="AH199" s="2" t="s">
        <v>62</v>
      </c>
      <c r="AI199" s="2" t="s">
        <v>100</v>
      </c>
      <c r="AJ199" s="2">
        <v>0.43260427147476999</v>
      </c>
      <c r="AK199" s="2">
        <v>5.6112480702311904</v>
      </c>
      <c r="AL199" s="2">
        <v>1.5890900381967401</v>
      </c>
      <c r="AM199" s="2">
        <v>0.59430048321168605</v>
      </c>
      <c r="AN199" s="2">
        <v>1.7516399821727799</v>
      </c>
      <c r="AO199" s="2">
        <v>0.22004090795355799</v>
      </c>
      <c r="AP199" s="2">
        <v>0.22004090795355799</v>
      </c>
      <c r="AQ199" s="2">
        <v>1</v>
      </c>
      <c r="AR199" s="2">
        <v>2</v>
      </c>
      <c r="AS199" s="2">
        <v>0</v>
      </c>
      <c r="AT199" s="2">
        <v>0</v>
      </c>
      <c r="AU199" s="2">
        <v>0</v>
      </c>
      <c r="AV199" s="2">
        <v>9</v>
      </c>
      <c r="AW199" s="2">
        <v>0</v>
      </c>
      <c r="AX199" s="2">
        <v>0</v>
      </c>
      <c r="AY199" s="2">
        <v>15.3</v>
      </c>
      <c r="AZ199" s="2">
        <v>9.8000000000000007</v>
      </c>
      <c r="BA199" s="2">
        <v>29.7</v>
      </c>
      <c r="BB199" s="2">
        <v>564</v>
      </c>
      <c r="BC199" s="2">
        <v>68</v>
      </c>
      <c r="BD199" s="2">
        <v>1.8</v>
      </c>
      <c r="BE199" s="2">
        <v>43</v>
      </c>
      <c r="BF199" s="2">
        <v>25.4</v>
      </c>
      <c r="BG199" s="2">
        <v>162</v>
      </c>
      <c r="BH199" s="2">
        <v>9.1</v>
      </c>
      <c r="BI199" s="2">
        <v>9.1999999999999993</v>
      </c>
      <c r="BJ199" s="2">
        <v>18.3</v>
      </c>
      <c r="BK199" s="2">
        <v>0.34</v>
      </c>
      <c r="BL199" s="2">
        <v>7.3</v>
      </c>
      <c r="BM199" s="2">
        <v>0.9</v>
      </c>
      <c r="BN199" s="2">
        <v>7.5</v>
      </c>
      <c r="BO199" s="2">
        <v>2.9</v>
      </c>
      <c r="BP199" s="2">
        <f t="shared" si="6"/>
        <v>9.4192445767955029</v>
      </c>
      <c r="BQ199" s="2">
        <f t="shared" si="7"/>
        <v>29.134811056119222</v>
      </c>
    </row>
    <row r="200" spans="1:69" x14ac:dyDescent="0.2">
      <c r="A200" s="2" t="s">
        <v>152</v>
      </c>
      <c r="B200" s="2" t="s">
        <v>47</v>
      </c>
      <c r="C200" s="2" t="s">
        <v>48</v>
      </c>
      <c r="D200" s="2" t="s">
        <v>49</v>
      </c>
      <c r="E200" s="2" t="s">
        <v>153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89</v>
      </c>
      <c r="L200" s="6" t="s">
        <v>103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154</v>
      </c>
      <c r="R200" s="2">
        <v>5804878.0489999996</v>
      </c>
      <c r="S200" s="2">
        <v>0</v>
      </c>
      <c r="T200" s="2" t="s">
        <v>96</v>
      </c>
      <c r="U200" s="2" t="s">
        <v>97</v>
      </c>
      <c r="V200" s="2" t="s">
        <v>56</v>
      </c>
      <c r="W200" s="2" t="s">
        <v>98</v>
      </c>
      <c r="X200" s="2" t="s">
        <v>99</v>
      </c>
      <c r="Y200" s="2">
        <v>0.73871987033032005</v>
      </c>
      <c r="Z200" s="2">
        <v>738.71987033031996</v>
      </c>
      <c r="AA200" s="2">
        <v>4.73719444444444</v>
      </c>
      <c r="AB200" s="2">
        <v>-74.069472222222203</v>
      </c>
      <c r="AC200" s="2">
        <v>2555</v>
      </c>
      <c r="AD200" s="2">
        <v>0</v>
      </c>
      <c r="AE200" s="2" t="s">
        <v>59</v>
      </c>
      <c r="AF200" s="2" t="s">
        <v>86</v>
      </c>
      <c r="AG200" s="2" t="s">
        <v>61</v>
      </c>
      <c r="AH200" s="2" t="s">
        <v>62</v>
      </c>
      <c r="AI200" s="2" t="s">
        <v>100</v>
      </c>
      <c r="AJ200" s="2">
        <v>1.5254969747688201</v>
      </c>
      <c r="AK200" s="2">
        <v>4.5491541076794499</v>
      </c>
      <c r="AL200" s="2">
        <v>2.12699353416243</v>
      </c>
      <c r="AM200" s="2">
        <v>0.29955509365930499</v>
      </c>
      <c r="AN200" s="2">
        <v>2.54801989986285</v>
      </c>
      <c r="AO200" s="2">
        <v>0.106693527058798</v>
      </c>
      <c r="AP200" s="2">
        <v>0.106693527058798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14</v>
      </c>
      <c r="AW200" s="2">
        <v>0</v>
      </c>
      <c r="AX200" s="2">
        <v>0</v>
      </c>
      <c r="AY200" s="2">
        <v>15.3</v>
      </c>
      <c r="AZ200" s="2">
        <v>9.8000000000000007</v>
      </c>
      <c r="BA200" s="2">
        <v>29.7</v>
      </c>
      <c r="BB200" s="2">
        <v>564</v>
      </c>
      <c r="BC200" s="2">
        <v>68</v>
      </c>
      <c r="BD200" s="2">
        <v>1.8</v>
      </c>
      <c r="BE200" s="2">
        <v>43</v>
      </c>
      <c r="BF200" s="2">
        <v>25.4</v>
      </c>
      <c r="BG200" s="2">
        <v>162</v>
      </c>
      <c r="BH200" s="2">
        <v>9.1</v>
      </c>
      <c r="BI200" s="2">
        <v>9.1999999999999993</v>
      </c>
      <c r="BJ200" s="2">
        <v>18.3</v>
      </c>
      <c r="BK200" s="2">
        <v>0.34</v>
      </c>
      <c r="BL200" s="2">
        <v>7.3</v>
      </c>
      <c r="BM200" s="2">
        <v>0.9</v>
      </c>
      <c r="BN200" s="2">
        <v>7.5</v>
      </c>
      <c r="BO200" s="2">
        <v>2.9</v>
      </c>
      <c r="BP200" s="2">
        <f t="shared" si="6"/>
        <v>9.4481197371534034</v>
      </c>
      <c r="BQ200" s="2">
        <f t="shared" si="7"/>
        <v>29.178080772723693</v>
      </c>
    </row>
    <row r="201" spans="1:69" x14ac:dyDescent="0.2">
      <c r="A201" s="2" t="s">
        <v>2410</v>
      </c>
      <c r="B201" s="2" t="s">
        <v>47</v>
      </c>
      <c r="C201" s="2" t="s">
        <v>1935</v>
      </c>
      <c r="D201" s="2" t="s">
        <v>49</v>
      </c>
      <c r="E201" s="2" t="s">
        <v>93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89</v>
      </c>
      <c r="L201" s="6" t="s">
        <v>141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2411</v>
      </c>
      <c r="R201" s="2">
        <v>7107843.1370000001</v>
      </c>
      <c r="S201" s="2">
        <v>0</v>
      </c>
      <c r="T201" s="2" t="s">
        <v>96</v>
      </c>
      <c r="U201" s="2" t="s">
        <v>97</v>
      </c>
      <c r="V201" s="2" t="s">
        <v>56</v>
      </c>
      <c r="W201" s="2" t="s">
        <v>98</v>
      </c>
      <c r="X201" s="2" t="s">
        <v>99</v>
      </c>
      <c r="Y201" s="2">
        <v>2.91294002225801</v>
      </c>
      <c r="Z201" s="2">
        <v>2912.9400222580098</v>
      </c>
      <c r="AA201" s="2">
        <v>4.73719444444444</v>
      </c>
      <c r="AB201" s="2">
        <v>-74.069472222222203</v>
      </c>
      <c r="AC201" s="2">
        <v>2555</v>
      </c>
      <c r="AD201" s="2">
        <v>0</v>
      </c>
      <c r="AE201" s="2" t="s">
        <v>59</v>
      </c>
      <c r="AF201" s="2" t="s">
        <v>86</v>
      </c>
      <c r="AG201" s="2" t="s">
        <v>61</v>
      </c>
      <c r="AH201" s="2" t="s">
        <v>62</v>
      </c>
      <c r="AI201" s="2" t="s">
        <v>100</v>
      </c>
      <c r="AJ201" s="2">
        <v>0.21182572629299401</v>
      </c>
      <c r="AK201" s="2">
        <v>5.4452551654910097</v>
      </c>
      <c r="AL201" s="2">
        <v>0.66942125960587895</v>
      </c>
      <c r="AM201" s="2">
        <v>9.9701425176246194E-2</v>
      </c>
      <c r="AN201" s="2">
        <v>3.5363912111099598</v>
      </c>
      <c r="AO201" s="2">
        <v>0.33225275627419198</v>
      </c>
      <c r="AP201" s="2">
        <v>0.33225275627419198</v>
      </c>
      <c r="AQ201" s="2">
        <v>1</v>
      </c>
      <c r="AR201" s="2">
        <v>2</v>
      </c>
      <c r="AS201" s="2">
        <v>0</v>
      </c>
      <c r="AT201" s="2">
        <v>0</v>
      </c>
      <c r="AU201" s="2">
        <v>1</v>
      </c>
      <c r="AV201" s="2">
        <v>38</v>
      </c>
      <c r="AW201" s="2">
        <v>0</v>
      </c>
      <c r="AX201" s="2">
        <v>0</v>
      </c>
      <c r="AY201" s="2">
        <v>15.3</v>
      </c>
      <c r="AZ201" s="2">
        <v>9.8000000000000007</v>
      </c>
      <c r="BA201" s="2">
        <v>29.7</v>
      </c>
      <c r="BB201" s="2">
        <v>564</v>
      </c>
      <c r="BC201" s="2">
        <v>68</v>
      </c>
      <c r="BD201" s="2">
        <v>1.8</v>
      </c>
      <c r="BE201" s="2">
        <v>43</v>
      </c>
      <c r="BF201" s="2">
        <v>25.4</v>
      </c>
      <c r="BG201" s="2">
        <v>162</v>
      </c>
      <c r="BH201" s="2">
        <v>9.1</v>
      </c>
      <c r="BI201" s="2">
        <v>9.1999999999999993</v>
      </c>
      <c r="BJ201" s="2">
        <v>18.3</v>
      </c>
      <c r="BK201" s="2">
        <v>0.34</v>
      </c>
      <c r="BL201" s="2">
        <v>7.3</v>
      </c>
      <c r="BM201" s="2">
        <v>0.9</v>
      </c>
      <c r="BN201" s="2">
        <v>7.5</v>
      </c>
      <c r="BO201" s="2">
        <v>2.9</v>
      </c>
      <c r="BP201" s="2">
        <f t="shared" si="6"/>
        <v>8.4840832952376442</v>
      </c>
      <c r="BQ201" s="2">
        <f t="shared" si="7"/>
        <v>27.694573328283987</v>
      </c>
    </row>
    <row r="202" spans="1:69" x14ac:dyDescent="0.2">
      <c r="A202" s="2" t="s">
        <v>2163</v>
      </c>
      <c r="B202" s="2" t="s">
        <v>47</v>
      </c>
      <c r="C202" s="2" t="s">
        <v>1935</v>
      </c>
      <c r="D202" s="2" t="s">
        <v>49</v>
      </c>
      <c r="E202" s="2" t="s">
        <v>2164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89</v>
      </c>
      <c r="L202" s="6" t="s">
        <v>141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2165</v>
      </c>
      <c r="R202" s="2">
        <v>7107843.1370000001</v>
      </c>
      <c r="S202" s="2">
        <v>0</v>
      </c>
      <c r="T202" s="2" t="s">
        <v>96</v>
      </c>
      <c r="U202" s="2" t="s">
        <v>97</v>
      </c>
      <c r="V202" s="2" t="s">
        <v>56</v>
      </c>
      <c r="W202" s="2" t="s">
        <v>98</v>
      </c>
      <c r="X202" s="2" t="s">
        <v>99</v>
      </c>
      <c r="Y202" s="2">
        <v>2.0868033376202302</v>
      </c>
      <c r="Z202" s="2">
        <v>2086.8033376202302</v>
      </c>
      <c r="AA202" s="2">
        <v>4.73719444444444</v>
      </c>
      <c r="AB202" s="2">
        <v>-74.069472222222203</v>
      </c>
      <c r="AC202" s="2">
        <v>2555</v>
      </c>
      <c r="AD202" s="2">
        <v>0</v>
      </c>
      <c r="AE202" s="2" t="s">
        <v>59</v>
      </c>
      <c r="AF202" s="2" t="s">
        <v>86</v>
      </c>
      <c r="AG202" s="2" t="s">
        <v>61</v>
      </c>
      <c r="AH202" s="2" t="s">
        <v>62</v>
      </c>
      <c r="AI202" s="2" t="s">
        <v>100</v>
      </c>
      <c r="AJ202" s="2">
        <v>0.26118345901206902</v>
      </c>
      <c r="AK202" s="2">
        <v>5.4571240694195504</v>
      </c>
      <c r="AL202" s="2">
        <v>0.66217715711851399</v>
      </c>
      <c r="AM202" s="2">
        <v>0.396459443100738</v>
      </c>
      <c r="AN202" s="2">
        <v>2.5724555801060101</v>
      </c>
      <c r="AO202" s="2">
        <v>3.7920996817070699E-3</v>
      </c>
      <c r="AP202" s="2">
        <v>3.7920996817070699E-3</v>
      </c>
      <c r="AQ202" s="2">
        <v>1</v>
      </c>
      <c r="AR202" s="2">
        <v>3</v>
      </c>
      <c r="AS202" s="2">
        <v>0</v>
      </c>
      <c r="AT202" s="2">
        <v>0</v>
      </c>
      <c r="AU202" s="2">
        <v>1</v>
      </c>
      <c r="AV202" s="2">
        <v>25</v>
      </c>
      <c r="AW202" s="2">
        <v>0</v>
      </c>
      <c r="AX202" s="2">
        <v>0</v>
      </c>
      <c r="AY202" s="2">
        <v>15.3</v>
      </c>
      <c r="AZ202" s="2">
        <v>9.8000000000000007</v>
      </c>
      <c r="BA202" s="2">
        <v>29.7</v>
      </c>
      <c r="BB202" s="2">
        <v>564</v>
      </c>
      <c r="BC202" s="2">
        <v>68</v>
      </c>
      <c r="BD202" s="2">
        <v>1.8</v>
      </c>
      <c r="BE202" s="2">
        <v>43</v>
      </c>
      <c r="BF202" s="2">
        <v>25.4</v>
      </c>
      <c r="BG202" s="2">
        <v>162</v>
      </c>
      <c r="BH202" s="2">
        <v>9.1</v>
      </c>
      <c r="BI202" s="2">
        <v>9.1999999999999993</v>
      </c>
      <c r="BJ202" s="2">
        <v>18.3</v>
      </c>
      <c r="BK202" s="2">
        <v>0.34</v>
      </c>
      <c r="BL202" s="2">
        <v>7.3</v>
      </c>
      <c r="BM202" s="2">
        <v>0.9</v>
      </c>
      <c r="BN202" s="2">
        <v>7.5</v>
      </c>
      <c r="BO202" s="2">
        <v>2.9</v>
      </c>
      <c r="BP202" s="2">
        <f t="shared" si="6"/>
        <v>8.8382210743384935</v>
      </c>
      <c r="BQ202" s="2">
        <f t="shared" si="7"/>
        <v>28.249161216653839</v>
      </c>
    </row>
    <row r="203" spans="1:69" x14ac:dyDescent="0.2">
      <c r="A203" s="2" t="s">
        <v>2260</v>
      </c>
      <c r="B203" s="2" t="s">
        <v>47</v>
      </c>
      <c r="C203" s="2" t="s">
        <v>1935</v>
      </c>
      <c r="D203" s="2" t="s">
        <v>49</v>
      </c>
      <c r="E203" s="2" t="s">
        <v>527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89</v>
      </c>
      <c r="L203" s="6" t="s">
        <v>141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2261</v>
      </c>
      <c r="R203" s="2">
        <v>7107843.1370000001</v>
      </c>
      <c r="S203" s="2">
        <v>0</v>
      </c>
      <c r="T203" s="2" t="s">
        <v>96</v>
      </c>
      <c r="U203" s="2" t="s">
        <v>97</v>
      </c>
      <c r="V203" s="2" t="s">
        <v>56</v>
      </c>
      <c r="W203" s="2" t="s">
        <v>98</v>
      </c>
      <c r="X203" s="2" t="s">
        <v>99</v>
      </c>
      <c r="Y203" s="2">
        <v>2.0519267134988999</v>
      </c>
      <c r="Z203" s="2">
        <v>2051.9267134989</v>
      </c>
      <c r="AA203" s="2">
        <v>4.73719444444444</v>
      </c>
      <c r="AB203" s="2">
        <v>-74.069472222222203</v>
      </c>
      <c r="AC203" s="2">
        <v>2555</v>
      </c>
      <c r="AD203" s="2">
        <v>0</v>
      </c>
      <c r="AE203" s="2" t="s">
        <v>59</v>
      </c>
      <c r="AF203" s="2" t="s">
        <v>86</v>
      </c>
      <c r="AG203" s="2" t="s">
        <v>61</v>
      </c>
      <c r="AH203" s="2" t="s">
        <v>62</v>
      </c>
      <c r="AI203" s="2" t="s">
        <v>100</v>
      </c>
      <c r="AJ203" s="2">
        <v>0.23672249740742499</v>
      </c>
      <c r="AK203" s="2">
        <v>5.4562476551924304</v>
      </c>
      <c r="AL203" s="2">
        <v>0.67552730086685198</v>
      </c>
      <c r="AM203" s="2">
        <v>0.43119560871638701</v>
      </c>
      <c r="AN203" s="2">
        <v>2.5421706793345602</v>
      </c>
      <c r="AO203" s="2">
        <v>2.99520643874082E-2</v>
      </c>
      <c r="AP203" s="2">
        <v>2.99520643874082E-2</v>
      </c>
      <c r="AQ203" s="2">
        <v>1</v>
      </c>
      <c r="AR203" s="2">
        <v>2</v>
      </c>
      <c r="AS203" s="2">
        <v>0</v>
      </c>
      <c r="AT203" s="2">
        <v>0</v>
      </c>
      <c r="AU203" s="2">
        <v>1</v>
      </c>
      <c r="AV203" s="2">
        <v>24</v>
      </c>
      <c r="AW203" s="2">
        <v>0</v>
      </c>
      <c r="AX203" s="2">
        <v>0</v>
      </c>
      <c r="AY203" s="2">
        <v>15.3</v>
      </c>
      <c r="AZ203" s="2">
        <v>9.8000000000000007</v>
      </c>
      <c r="BA203" s="2">
        <v>29.7</v>
      </c>
      <c r="BB203" s="2">
        <v>564</v>
      </c>
      <c r="BC203" s="2">
        <v>68</v>
      </c>
      <c r="BD203" s="2">
        <v>1.8</v>
      </c>
      <c r="BE203" s="2">
        <v>43</v>
      </c>
      <c r="BF203" s="2">
        <v>25.4</v>
      </c>
      <c r="BG203" s="2">
        <v>162</v>
      </c>
      <c r="BH203" s="2">
        <v>9.1</v>
      </c>
      <c r="BI203" s="2">
        <v>9.1999999999999993</v>
      </c>
      <c r="BJ203" s="2">
        <v>18.3</v>
      </c>
      <c r="BK203" s="2">
        <v>0.34</v>
      </c>
      <c r="BL203" s="2">
        <v>7.3</v>
      </c>
      <c r="BM203" s="2">
        <v>0.9</v>
      </c>
      <c r="BN203" s="2">
        <v>7.5</v>
      </c>
      <c r="BO203" s="2">
        <v>2.9</v>
      </c>
      <c r="BP203" s="2">
        <f t="shared" si="6"/>
        <v>8.8534924948398483</v>
      </c>
      <c r="BQ203" s="2">
        <f t="shared" si="7"/>
        <v>28.272816764640453</v>
      </c>
    </row>
    <row r="204" spans="1:69" x14ac:dyDescent="0.2">
      <c r="A204" s="2" t="s">
        <v>3080</v>
      </c>
      <c r="B204" s="2" t="s">
        <v>47</v>
      </c>
      <c r="C204" s="2" t="s">
        <v>1935</v>
      </c>
      <c r="D204" s="2" t="s">
        <v>49</v>
      </c>
      <c r="E204" s="2" t="s">
        <v>184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89</v>
      </c>
      <c r="L204" s="6" t="s">
        <v>141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3081</v>
      </c>
      <c r="R204" s="2">
        <v>5392156.8629999999</v>
      </c>
      <c r="S204" s="2">
        <v>0</v>
      </c>
      <c r="T204" s="2" t="s">
        <v>96</v>
      </c>
      <c r="U204" s="2" t="s">
        <v>97</v>
      </c>
      <c r="V204" s="2" t="s">
        <v>56</v>
      </c>
      <c r="W204" s="2" t="s">
        <v>98</v>
      </c>
      <c r="X204" s="2" t="s">
        <v>99</v>
      </c>
      <c r="Y204" s="2">
        <v>2.7063448699246999</v>
      </c>
      <c r="Z204" s="2">
        <v>2706.3448699247001</v>
      </c>
      <c r="AA204" s="2">
        <v>4.73719444444444</v>
      </c>
      <c r="AB204" s="2">
        <v>-74.069472222222203</v>
      </c>
      <c r="AC204" s="2">
        <v>2555</v>
      </c>
      <c r="AD204" s="2">
        <v>0</v>
      </c>
      <c r="AE204" s="2" t="s">
        <v>59</v>
      </c>
      <c r="AF204" s="2" t="s">
        <v>86</v>
      </c>
      <c r="AG204" s="2" t="s">
        <v>61</v>
      </c>
      <c r="AH204" s="2" t="s">
        <v>62</v>
      </c>
      <c r="AI204" s="2" t="s">
        <v>87</v>
      </c>
      <c r="AJ204" s="2">
        <v>0.47783255963800297</v>
      </c>
      <c r="AK204" s="2">
        <v>2.6228815530453602</v>
      </c>
      <c r="AL204" s="2">
        <v>0.63642706644236502</v>
      </c>
      <c r="AM204" s="2">
        <v>0.152328529741696</v>
      </c>
      <c r="AN204" s="2">
        <v>2.3471889190958901</v>
      </c>
      <c r="AO204" s="2">
        <v>0.15492318654029599</v>
      </c>
      <c r="AP204" s="2">
        <v>0.15492318654029599</v>
      </c>
      <c r="AQ204" s="2">
        <v>2</v>
      </c>
      <c r="AR204" s="2">
        <v>3</v>
      </c>
      <c r="AS204" s="2">
        <v>0</v>
      </c>
      <c r="AT204" s="2">
        <v>0</v>
      </c>
      <c r="AU204" s="2">
        <v>1</v>
      </c>
      <c r="AV204" s="2">
        <v>25</v>
      </c>
      <c r="AW204" s="2">
        <v>0</v>
      </c>
      <c r="AX204" s="2">
        <v>0</v>
      </c>
      <c r="AY204" s="2">
        <v>15.3</v>
      </c>
      <c r="AZ204" s="2">
        <v>9.8000000000000007</v>
      </c>
      <c r="BA204" s="2">
        <v>29.7</v>
      </c>
      <c r="BB204" s="2">
        <v>564</v>
      </c>
      <c r="BC204" s="2">
        <v>68</v>
      </c>
      <c r="BD204" s="2">
        <v>1.8</v>
      </c>
      <c r="BE204" s="2">
        <v>43</v>
      </c>
      <c r="BF204" s="2">
        <v>25.4</v>
      </c>
      <c r="BG204" s="2">
        <v>162</v>
      </c>
      <c r="BH204" s="2">
        <v>9.1</v>
      </c>
      <c r="BI204" s="2">
        <v>9.1999999999999993</v>
      </c>
      <c r="BJ204" s="2">
        <v>18.3</v>
      </c>
      <c r="BK204" s="2">
        <v>0.34</v>
      </c>
      <c r="BL204" s="2">
        <v>7.3</v>
      </c>
      <c r="BM204" s="2">
        <v>0.9</v>
      </c>
      <c r="BN204" s="2">
        <v>7.5</v>
      </c>
      <c r="BO204" s="2">
        <v>2.9</v>
      </c>
      <c r="BP204" s="2">
        <f t="shared" si="6"/>
        <v>8.5712905849546903</v>
      </c>
      <c r="BQ204" s="2">
        <f t="shared" si="7"/>
        <v>27.832231871607259</v>
      </c>
    </row>
    <row r="205" spans="1:69" x14ac:dyDescent="0.2">
      <c r="A205" s="2" t="s">
        <v>3042</v>
      </c>
      <c r="B205" s="2" t="s">
        <v>47</v>
      </c>
      <c r="C205" s="2" t="s">
        <v>1935</v>
      </c>
      <c r="D205" s="2" t="s">
        <v>49</v>
      </c>
      <c r="E205" s="2" t="s">
        <v>1139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89</v>
      </c>
      <c r="L205" s="6" t="s">
        <v>141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3043</v>
      </c>
      <c r="R205" s="2">
        <v>4656862.7450000001</v>
      </c>
      <c r="S205" s="2">
        <v>0</v>
      </c>
      <c r="T205" s="2" t="s">
        <v>96</v>
      </c>
      <c r="U205" s="2" t="s">
        <v>97</v>
      </c>
      <c r="V205" s="2" t="s">
        <v>56</v>
      </c>
      <c r="W205" s="2" t="s">
        <v>98</v>
      </c>
      <c r="X205" s="2" t="s">
        <v>99</v>
      </c>
      <c r="Y205" s="2">
        <v>1.0133877353497101</v>
      </c>
      <c r="Z205" s="2">
        <v>1013.3877353497101</v>
      </c>
      <c r="AA205" s="2">
        <v>4.73719444444444</v>
      </c>
      <c r="AB205" s="2">
        <v>-74.069472222222203</v>
      </c>
      <c r="AC205" s="2">
        <v>2555</v>
      </c>
      <c r="AD205" s="2">
        <v>0</v>
      </c>
      <c r="AE205" s="2" t="s">
        <v>59</v>
      </c>
      <c r="AF205" s="2" t="s">
        <v>86</v>
      </c>
      <c r="AG205" s="2" t="s">
        <v>61</v>
      </c>
      <c r="AH205" s="2" t="s">
        <v>62</v>
      </c>
      <c r="AI205" s="2" t="s">
        <v>100</v>
      </c>
      <c r="AJ205" s="2">
        <v>1.2170581633333499</v>
      </c>
      <c r="AK205" s="2">
        <v>4.6248078640620403</v>
      </c>
      <c r="AL205" s="2">
        <v>1.6581953685472799</v>
      </c>
      <c r="AM205" s="2">
        <v>0.24770503154913101</v>
      </c>
      <c r="AN205" s="2">
        <v>2.6823205199854998</v>
      </c>
      <c r="AO205" s="2">
        <v>9.9277565395132703E-2</v>
      </c>
      <c r="AP205" s="2">
        <v>9.9277565395132703E-2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19</v>
      </c>
      <c r="AW205" s="2">
        <v>0</v>
      </c>
      <c r="AX205" s="2">
        <v>0</v>
      </c>
      <c r="AY205" s="2">
        <v>15.3</v>
      </c>
      <c r="AZ205" s="2">
        <v>9.8000000000000007</v>
      </c>
      <c r="BA205" s="2">
        <v>29.7</v>
      </c>
      <c r="BB205" s="2">
        <v>564</v>
      </c>
      <c r="BC205" s="2">
        <v>68</v>
      </c>
      <c r="BD205" s="2">
        <v>1.8</v>
      </c>
      <c r="BE205" s="2">
        <v>43</v>
      </c>
      <c r="BF205" s="2">
        <v>25.4</v>
      </c>
      <c r="BG205" s="2">
        <v>162</v>
      </c>
      <c r="BH205" s="2">
        <v>9.1</v>
      </c>
      <c r="BI205" s="2">
        <v>9.1999999999999993</v>
      </c>
      <c r="BJ205" s="2">
        <v>18.3</v>
      </c>
      <c r="BK205" s="2">
        <v>0.34</v>
      </c>
      <c r="BL205" s="2">
        <v>7.3</v>
      </c>
      <c r="BM205" s="2">
        <v>0.9</v>
      </c>
      <c r="BN205" s="2">
        <v>7.5</v>
      </c>
      <c r="BO205" s="2">
        <v>2.9</v>
      </c>
      <c r="BP205" s="2">
        <f t="shared" si="6"/>
        <v>9.3205318523929819</v>
      </c>
      <c r="BQ205" s="2">
        <f t="shared" si="7"/>
        <v>28.986370598812226</v>
      </c>
    </row>
    <row r="206" spans="1:69" x14ac:dyDescent="0.2">
      <c r="A206" s="2" t="s">
        <v>2223</v>
      </c>
      <c r="B206" s="2" t="s">
        <v>47</v>
      </c>
      <c r="C206" s="2" t="s">
        <v>1935</v>
      </c>
      <c r="D206" s="2" t="s">
        <v>49</v>
      </c>
      <c r="E206" s="2" t="s">
        <v>2224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89</v>
      </c>
      <c r="L206" s="6" t="s">
        <v>141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2225</v>
      </c>
      <c r="R206" s="2">
        <v>5273894.2240000004</v>
      </c>
      <c r="S206" s="2">
        <v>0</v>
      </c>
      <c r="T206" s="2" t="s">
        <v>96</v>
      </c>
      <c r="U206" s="2" t="s">
        <v>97</v>
      </c>
      <c r="V206" s="2" t="s">
        <v>56</v>
      </c>
      <c r="W206" s="2" t="s">
        <v>98</v>
      </c>
      <c r="X206" s="2" t="s">
        <v>99</v>
      </c>
      <c r="Y206" s="2">
        <v>2.9762652293579799</v>
      </c>
      <c r="Z206" s="2">
        <v>2976.2652293579799</v>
      </c>
      <c r="AA206" s="2">
        <v>4.73719444444444</v>
      </c>
      <c r="AB206" s="2">
        <v>-74.069472222222203</v>
      </c>
      <c r="AC206" s="2">
        <v>2555</v>
      </c>
      <c r="AD206" s="2">
        <v>0</v>
      </c>
      <c r="AE206" s="2" t="s">
        <v>59</v>
      </c>
      <c r="AF206" s="2" t="s">
        <v>86</v>
      </c>
      <c r="AG206" s="2" t="s">
        <v>61</v>
      </c>
      <c r="AH206" s="2" t="s">
        <v>62</v>
      </c>
      <c r="AI206" s="2" t="s">
        <v>100</v>
      </c>
      <c r="AJ206" s="2">
        <v>0.74117082834181303</v>
      </c>
      <c r="AK206" s="2">
        <v>5.3829532574764798</v>
      </c>
      <c r="AL206" s="2">
        <v>0.98464995195092497</v>
      </c>
      <c r="AM206" s="2">
        <v>0.21288670579619701</v>
      </c>
      <c r="AN206" s="2">
        <v>3.3040578806676399</v>
      </c>
      <c r="AO206" s="2">
        <v>0.31370710982990502</v>
      </c>
      <c r="AP206" s="2">
        <v>0.31370710982990502</v>
      </c>
      <c r="AQ206" s="2">
        <v>0</v>
      </c>
      <c r="AR206" s="2">
        <v>1</v>
      </c>
      <c r="AS206" s="2">
        <v>0</v>
      </c>
      <c r="AT206" s="2">
        <v>0</v>
      </c>
      <c r="AU206" s="2">
        <v>1</v>
      </c>
      <c r="AV206" s="2">
        <v>24</v>
      </c>
      <c r="AW206" s="2">
        <v>0</v>
      </c>
      <c r="AX206" s="2">
        <v>0</v>
      </c>
      <c r="AY206" s="2">
        <v>15.3</v>
      </c>
      <c r="AZ206" s="2">
        <v>9.8000000000000007</v>
      </c>
      <c r="BA206" s="2">
        <v>29.7</v>
      </c>
      <c r="BB206" s="2">
        <v>564</v>
      </c>
      <c r="BC206" s="2">
        <v>68</v>
      </c>
      <c r="BD206" s="2">
        <v>1.8</v>
      </c>
      <c r="BE206" s="2">
        <v>43</v>
      </c>
      <c r="BF206" s="2">
        <v>25.4</v>
      </c>
      <c r="BG206" s="2">
        <v>162</v>
      </c>
      <c r="BH206" s="2">
        <v>9.1</v>
      </c>
      <c r="BI206" s="2">
        <v>9.1999999999999993</v>
      </c>
      <c r="BJ206" s="2">
        <v>18.3</v>
      </c>
      <c r="BK206" s="2">
        <v>0.34</v>
      </c>
      <c r="BL206" s="2">
        <v>7.3</v>
      </c>
      <c r="BM206" s="2">
        <v>0.9</v>
      </c>
      <c r="BN206" s="2">
        <v>7.5</v>
      </c>
      <c r="BO206" s="2">
        <v>2.9</v>
      </c>
      <c r="BP206" s="2">
        <f t="shared" si="6"/>
        <v>8.4575307443419092</v>
      </c>
      <c r="BQ206" s="2">
        <f t="shared" si="7"/>
        <v>27.652514946451014</v>
      </c>
    </row>
    <row r="207" spans="1:69" x14ac:dyDescent="0.2">
      <c r="A207" s="2" t="s">
        <v>657</v>
      </c>
      <c r="B207" s="2" t="s">
        <v>47</v>
      </c>
      <c r="C207" s="2" t="s">
        <v>48</v>
      </c>
      <c r="D207" s="2" t="s">
        <v>49</v>
      </c>
      <c r="E207" s="2" t="s">
        <v>658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89</v>
      </c>
      <c r="L207" s="6" t="s">
        <v>141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659</v>
      </c>
      <c r="R207" s="2">
        <v>8250000</v>
      </c>
      <c r="S207" s="2">
        <v>0</v>
      </c>
      <c r="T207" s="2" t="s">
        <v>96</v>
      </c>
      <c r="U207" s="2" t="s">
        <v>97</v>
      </c>
      <c r="V207" s="2" t="s">
        <v>56</v>
      </c>
      <c r="W207" s="2" t="s">
        <v>98</v>
      </c>
      <c r="X207" s="2" t="s">
        <v>99</v>
      </c>
      <c r="Y207" s="2">
        <v>3.6794098033956799</v>
      </c>
      <c r="Z207" s="2">
        <v>3679.4098033956798</v>
      </c>
      <c r="AA207" s="2">
        <v>4.73719444444444</v>
      </c>
      <c r="AB207" s="2">
        <v>-74.069472222222203</v>
      </c>
      <c r="AC207" s="2">
        <v>2555</v>
      </c>
      <c r="AD207" s="2">
        <v>0</v>
      </c>
      <c r="AE207" s="2" t="s">
        <v>59</v>
      </c>
      <c r="AF207" s="2" t="s">
        <v>86</v>
      </c>
      <c r="AG207" s="2" t="s">
        <v>61</v>
      </c>
      <c r="AH207" s="2" t="s">
        <v>62</v>
      </c>
      <c r="AI207" s="2" t="s">
        <v>100</v>
      </c>
      <c r="AJ207" s="2">
        <v>1.3634609622389799</v>
      </c>
      <c r="AK207" s="2">
        <v>5.0729582812854002</v>
      </c>
      <c r="AL207" s="2">
        <v>0.93299811208404104</v>
      </c>
      <c r="AM207" s="2">
        <v>0.63567111805139298</v>
      </c>
      <c r="AN207" s="2">
        <v>2.8453940659598498</v>
      </c>
      <c r="AO207" s="2">
        <v>0.55089730512298896</v>
      </c>
      <c r="AP207" s="2">
        <v>0.55089730512298896</v>
      </c>
      <c r="AQ207" s="2">
        <v>0</v>
      </c>
      <c r="AR207" s="2">
        <v>0</v>
      </c>
      <c r="AS207" s="2">
        <v>0</v>
      </c>
      <c r="AT207" s="2">
        <v>0</v>
      </c>
      <c r="AU207" s="2">
        <v>2</v>
      </c>
      <c r="AV207" s="2">
        <v>9</v>
      </c>
      <c r="AW207" s="2">
        <v>0</v>
      </c>
      <c r="AX207" s="2">
        <v>0</v>
      </c>
      <c r="AY207" s="2">
        <v>15.3</v>
      </c>
      <c r="AZ207" s="2">
        <v>9.8000000000000007</v>
      </c>
      <c r="BA207" s="2">
        <v>29.7</v>
      </c>
      <c r="BB207" s="2">
        <v>564</v>
      </c>
      <c r="BC207" s="2">
        <v>68</v>
      </c>
      <c r="BD207" s="2">
        <v>1.8</v>
      </c>
      <c r="BE207" s="2">
        <v>43</v>
      </c>
      <c r="BF207" s="2">
        <v>25.4</v>
      </c>
      <c r="BG207" s="2">
        <v>162</v>
      </c>
      <c r="BH207" s="2">
        <v>9.1</v>
      </c>
      <c r="BI207" s="2">
        <v>9.1999999999999993</v>
      </c>
      <c r="BJ207" s="2">
        <v>18.3</v>
      </c>
      <c r="BK207" s="2">
        <v>0.34</v>
      </c>
      <c r="BL207" s="2">
        <v>7.3</v>
      </c>
      <c r="BM207" s="2">
        <v>0.9</v>
      </c>
      <c r="BN207" s="2">
        <v>7.5</v>
      </c>
      <c r="BO207" s="2">
        <v>2.9</v>
      </c>
      <c r="BP207" s="2">
        <f t="shared" si="6"/>
        <v>8.1682247827452912</v>
      </c>
      <c r="BQ207" s="2">
        <f t="shared" si="7"/>
        <v>27.189781172573316</v>
      </c>
    </row>
    <row r="208" spans="1:69" x14ac:dyDescent="0.2">
      <c r="A208" s="2" t="s">
        <v>3168</v>
      </c>
      <c r="B208" s="2" t="s">
        <v>47</v>
      </c>
      <c r="C208" s="2" t="s">
        <v>1935</v>
      </c>
      <c r="D208" s="2" t="s">
        <v>49</v>
      </c>
      <c r="E208" s="2" t="s">
        <v>357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89</v>
      </c>
      <c r="L208" s="6" t="s">
        <v>141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3169</v>
      </c>
      <c r="R208" s="2">
        <v>6500000</v>
      </c>
      <c r="S208" s="2">
        <v>0</v>
      </c>
      <c r="T208" s="2" t="s">
        <v>96</v>
      </c>
      <c r="U208" s="2" t="s">
        <v>97</v>
      </c>
      <c r="V208" s="2" t="s">
        <v>56</v>
      </c>
      <c r="W208" s="2" t="s">
        <v>98</v>
      </c>
      <c r="X208" s="2" t="s">
        <v>99</v>
      </c>
      <c r="Y208" s="2">
        <v>1.95407505566972</v>
      </c>
      <c r="Z208" s="2">
        <v>1954.0750556697201</v>
      </c>
      <c r="AA208" s="2">
        <v>4.73719444444444</v>
      </c>
      <c r="AB208" s="2">
        <v>-74.069472222222203</v>
      </c>
      <c r="AC208" s="2">
        <v>2555</v>
      </c>
      <c r="AD208" s="2">
        <v>0</v>
      </c>
      <c r="AE208" s="2" t="s">
        <v>59</v>
      </c>
      <c r="AF208" s="2" t="s">
        <v>86</v>
      </c>
      <c r="AG208" s="2" t="s">
        <v>61</v>
      </c>
      <c r="AH208" s="2" t="s">
        <v>62</v>
      </c>
      <c r="AI208" s="2" t="s">
        <v>100</v>
      </c>
      <c r="AJ208" s="2">
        <v>1.0701751153474</v>
      </c>
      <c r="AK208" s="2">
        <v>4.56086541769014</v>
      </c>
      <c r="AL208" s="2">
        <v>0.78936316152889996</v>
      </c>
      <c r="AM208" s="2">
        <v>0.26888738008843199</v>
      </c>
      <c r="AN208" s="2">
        <v>3.2427888982668001</v>
      </c>
      <c r="AO208" s="2">
        <v>0.36213883434961702</v>
      </c>
      <c r="AP208" s="2">
        <v>0.36213883434961702</v>
      </c>
      <c r="AQ208" s="2">
        <v>0</v>
      </c>
      <c r="AR208" s="2">
        <v>0</v>
      </c>
      <c r="AS208" s="2">
        <v>0</v>
      </c>
      <c r="AT208" s="2">
        <v>0</v>
      </c>
      <c r="AU208" s="2">
        <v>1</v>
      </c>
      <c r="AV208" s="2">
        <v>38</v>
      </c>
      <c r="AW208" s="2">
        <v>0</v>
      </c>
      <c r="AX208" s="2">
        <v>0</v>
      </c>
      <c r="AY208" s="2">
        <v>15.3</v>
      </c>
      <c r="AZ208" s="2">
        <v>9.8000000000000007</v>
      </c>
      <c r="BA208" s="2">
        <v>29.7</v>
      </c>
      <c r="BB208" s="2">
        <v>564</v>
      </c>
      <c r="BC208" s="2">
        <v>68</v>
      </c>
      <c r="BD208" s="2">
        <v>1.8</v>
      </c>
      <c r="BE208" s="2">
        <v>43</v>
      </c>
      <c r="BF208" s="2">
        <v>25.4</v>
      </c>
      <c r="BG208" s="2">
        <v>162</v>
      </c>
      <c r="BH208" s="2">
        <v>9.1</v>
      </c>
      <c r="BI208" s="2">
        <v>9.1999999999999993</v>
      </c>
      <c r="BJ208" s="2">
        <v>18.3</v>
      </c>
      <c r="BK208" s="2">
        <v>0.34</v>
      </c>
      <c r="BL208" s="2">
        <v>7.3</v>
      </c>
      <c r="BM208" s="2">
        <v>0.9</v>
      </c>
      <c r="BN208" s="2">
        <v>7.5</v>
      </c>
      <c r="BO208" s="2">
        <v>2.9</v>
      </c>
      <c r="BP208" s="2">
        <f t="shared" si="6"/>
        <v>8.8964798001293151</v>
      </c>
      <c r="BQ208" s="2">
        <f t="shared" si="7"/>
        <v>28.339291798201657</v>
      </c>
    </row>
    <row r="209" spans="1:69" x14ac:dyDescent="0.2">
      <c r="A209" s="2" t="s">
        <v>2516</v>
      </c>
      <c r="B209" s="2" t="s">
        <v>47</v>
      </c>
      <c r="C209" s="2" t="s">
        <v>1935</v>
      </c>
      <c r="D209" s="2" t="s">
        <v>49</v>
      </c>
      <c r="E209" s="2" t="s">
        <v>2517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89</v>
      </c>
      <c r="L209" s="6" t="s">
        <v>141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2518</v>
      </c>
      <c r="R209" s="2">
        <v>5500000</v>
      </c>
      <c r="S209" s="2">
        <v>0</v>
      </c>
      <c r="T209" s="2" t="s">
        <v>96</v>
      </c>
      <c r="U209" s="2" t="s">
        <v>97</v>
      </c>
      <c r="V209" s="2" t="s">
        <v>56</v>
      </c>
      <c r="W209" s="2" t="s">
        <v>98</v>
      </c>
      <c r="X209" s="2" t="s">
        <v>99</v>
      </c>
      <c r="Y209" s="2">
        <v>0.97614816812136496</v>
      </c>
      <c r="Z209" s="2">
        <v>976.14816812136496</v>
      </c>
      <c r="AA209" s="2">
        <v>4.73719444444444</v>
      </c>
      <c r="AB209" s="2">
        <v>-74.069472222222203</v>
      </c>
      <c r="AC209" s="2">
        <v>2555</v>
      </c>
      <c r="AD209" s="2">
        <v>0</v>
      </c>
      <c r="AE209" s="2" t="s">
        <v>59</v>
      </c>
      <c r="AF209" s="2" t="s">
        <v>86</v>
      </c>
      <c r="AG209" s="2" t="s">
        <v>61</v>
      </c>
      <c r="AH209" s="2" t="s">
        <v>62</v>
      </c>
      <c r="AI209" s="2" t="s">
        <v>100</v>
      </c>
      <c r="AJ209" s="2">
        <v>0.44186019819866401</v>
      </c>
      <c r="AK209" s="2">
        <v>5.3701182044267801</v>
      </c>
      <c r="AL209" s="2">
        <v>1.6697460770894399</v>
      </c>
      <c r="AM209" s="2">
        <v>0.88478109811060202</v>
      </c>
      <c r="AN209" s="2">
        <v>1.52854269979119</v>
      </c>
      <c r="AO209" s="2">
        <v>3.7351015274343E-3</v>
      </c>
      <c r="AP209" s="2">
        <v>3.7351015274343E-3</v>
      </c>
      <c r="AQ209" s="2">
        <v>1</v>
      </c>
      <c r="AR209" s="2">
        <v>2</v>
      </c>
      <c r="AS209" s="2">
        <v>0</v>
      </c>
      <c r="AT209" s="2">
        <v>0</v>
      </c>
      <c r="AU209" s="2">
        <v>0</v>
      </c>
      <c r="AV209" s="2">
        <v>7</v>
      </c>
      <c r="AW209" s="2">
        <v>0</v>
      </c>
      <c r="AX209" s="2">
        <v>0</v>
      </c>
      <c r="AY209" s="2">
        <v>15.3</v>
      </c>
      <c r="AZ209" s="2">
        <v>9.8000000000000007</v>
      </c>
      <c r="BA209" s="2">
        <v>29.7</v>
      </c>
      <c r="BB209" s="2">
        <v>564</v>
      </c>
      <c r="BC209" s="2">
        <v>68</v>
      </c>
      <c r="BD209" s="2">
        <v>1.8</v>
      </c>
      <c r="BE209" s="2">
        <v>43</v>
      </c>
      <c r="BF209" s="2">
        <v>25.4</v>
      </c>
      <c r="BG209" s="2">
        <v>162</v>
      </c>
      <c r="BH209" s="2">
        <v>9.1</v>
      </c>
      <c r="BI209" s="2">
        <v>9.1999999999999993</v>
      </c>
      <c r="BJ209" s="2">
        <v>18.3</v>
      </c>
      <c r="BK209" s="2">
        <v>0.34</v>
      </c>
      <c r="BL209" s="2">
        <v>7.3</v>
      </c>
      <c r="BM209" s="2">
        <v>0.9</v>
      </c>
      <c r="BN209" s="2">
        <v>7.5</v>
      </c>
      <c r="BO209" s="2">
        <v>2.9</v>
      </c>
      <c r="BP209" s="2">
        <f t="shared" si="6"/>
        <v>9.3377287799151514</v>
      </c>
      <c r="BQ209" s="2">
        <f t="shared" si="7"/>
        <v>29.012288736768745</v>
      </c>
    </row>
    <row r="210" spans="1:69" x14ac:dyDescent="0.2">
      <c r="A210" s="2" t="s">
        <v>587</v>
      </c>
      <c r="B210" s="2" t="s">
        <v>47</v>
      </c>
      <c r="C210" s="2" t="s">
        <v>48</v>
      </c>
      <c r="D210" s="2" t="s">
        <v>49</v>
      </c>
      <c r="E210" s="2" t="s">
        <v>153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89</v>
      </c>
      <c r="L210" s="6" t="s">
        <v>90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588</v>
      </c>
      <c r="R210" s="2">
        <v>9547738.693</v>
      </c>
      <c r="S210" s="2">
        <v>0</v>
      </c>
      <c r="T210" s="2" t="s">
        <v>96</v>
      </c>
      <c r="U210" s="2" t="s">
        <v>97</v>
      </c>
      <c r="V210" s="2" t="s">
        <v>56</v>
      </c>
      <c r="W210" s="2" t="s">
        <v>98</v>
      </c>
      <c r="X210" s="2" t="s">
        <v>99</v>
      </c>
      <c r="Y210" s="2">
        <v>0.52514011988010501</v>
      </c>
      <c r="Z210" s="2">
        <v>525.14011988010498</v>
      </c>
      <c r="AA210" s="2">
        <v>4.73719444444444</v>
      </c>
      <c r="AB210" s="2">
        <v>-74.069472222222203</v>
      </c>
      <c r="AC210" s="2">
        <v>2555</v>
      </c>
      <c r="AD210" s="2">
        <v>0</v>
      </c>
      <c r="AE210" s="2" t="s">
        <v>59</v>
      </c>
      <c r="AF210" s="2" t="s">
        <v>86</v>
      </c>
      <c r="AG210" s="2" t="s">
        <v>61</v>
      </c>
      <c r="AH210" s="2" t="s">
        <v>62</v>
      </c>
      <c r="AI210" s="2" t="s">
        <v>100</v>
      </c>
      <c r="AJ210" s="2">
        <v>1.39642988508406</v>
      </c>
      <c r="AK210" s="2">
        <v>4.7828752741512499</v>
      </c>
      <c r="AL210" s="2">
        <v>2.18256968454445</v>
      </c>
      <c r="AM210" s="2">
        <v>0.28342969160300302</v>
      </c>
      <c r="AN210" s="2">
        <v>2.3394315447476499</v>
      </c>
      <c r="AO210" s="2">
        <v>0.33092933285746501</v>
      </c>
      <c r="AP210" s="2">
        <v>0.33092933285746501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16</v>
      </c>
      <c r="AW210" s="2">
        <v>0</v>
      </c>
      <c r="AX210" s="2">
        <v>0</v>
      </c>
      <c r="AY210" s="2">
        <v>15.3</v>
      </c>
      <c r="AZ210" s="2">
        <v>9.8000000000000007</v>
      </c>
      <c r="BA210" s="2">
        <v>29.7</v>
      </c>
      <c r="BB210" s="2">
        <v>564</v>
      </c>
      <c r="BC210" s="2">
        <v>68</v>
      </c>
      <c r="BD210" s="2">
        <v>1.8</v>
      </c>
      <c r="BE210" s="2">
        <v>43</v>
      </c>
      <c r="BF210" s="2">
        <v>25.4</v>
      </c>
      <c r="BG210" s="2">
        <v>162</v>
      </c>
      <c r="BH210" s="2">
        <v>9.1</v>
      </c>
      <c r="BI210" s="2">
        <v>9.1999999999999993</v>
      </c>
      <c r="BJ210" s="2">
        <v>18.3</v>
      </c>
      <c r="BK210" s="2">
        <v>0.34</v>
      </c>
      <c r="BL210" s="2">
        <v>7.3</v>
      </c>
      <c r="BM210" s="2">
        <v>0.9</v>
      </c>
      <c r="BN210" s="2">
        <v>7.5</v>
      </c>
      <c r="BO210" s="2">
        <v>2.9</v>
      </c>
      <c r="BP210" s="2">
        <f t="shared" si="6"/>
        <v>9.5485370067074253</v>
      </c>
      <c r="BQ210" s="2">
        <f t="shared" si="7"/>
        <v>29.32802908852732</v>
      </c>
    </row>
    <row r="211" spans="1:69" x14ac:dyDescent="0.2">
      <c r="A211" s="2" t="s">
        <v>737</v>
      </c>
      <c r="B211" s="2" t="s">
        <v>47</v>
      </c>
      <c r="C211" s="2" t="s">
        <v>48</v>
      </c>
      <c r="D211" s="2" t="s">
        <v>49</v>
      </c>
      <c r="E211" s="2" t="s">
        <v>153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89</v>
      </c>
      <c r="L211" s="6" t="s">
        <v>90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738</v>
      </c>
      <c r="R211" s="2">
        <v>9547738.693</v>
      </c>
      <c r="S211" s="2">
        <v>0</v>
      </c>
      <c r="T211" s="2" t="s">
        <v>96</v>
      </c>
      <c r="U211" s="2" t="s">
        <v>97</v>
      </c>
      <c r="V211" s="2" t="s">
        <v>56</v>
      </c>
      <c r="W211" s="2" t="s">
        <v>98</v>
      </c>
      <c r="X211" s="2" t="s">
        <v>99</v>
      </c>
      <c r="Y211" s="2">
        <v>0.52514011988010501</v>
      </c>
      <c r="Z211" s="2">
        <v>525.14011988010498</v>
      </c>
      <c r="AA211" s="2">
        <v>4.73719444444444</v>
      </c>
      <c r="AB211" s="2">
        <v>-74.069472222222203</v>
      </c>
      <c r="AC211" s="2">
        <v>2555</v>
      </c>
      <c r="AD211" s="2">
        <v>0</v>
      </c>
      <c r="AE211" s="2" t="s">
        <v>59</v>
      </c>
      <c r="AF211" s="2" t="s">
        <v>86</v>
      </c>
      <c r="AG211" s="2" t="s">
        <v>61</v>
      </c>
      <c r="AH211" s="2" t="s">
        <v>62</v>
      </c>
      <c r="AI211" s="2" t="s">
        <v>100</v>
      </c>
      <c r="AJ211" s="2">
        <v>1.39642988508406</v>
      </c>
      <c r="AK211" s="2">
        <v>4.7828752741512499</v>
      </c>
      <c r="AL211" s="2">
        <v>2.18256968454445</v>
      </c>
      <c r="AM211" s="2">
        <v>0.28342969160300302</v>
      </c>
      <c r="AN211" s="2">
        <v>2.3394315447476499</v>
      </c>
      <c r="AO211" s="2">
        <v>0.33092933285746501</v>
      </c>
      <c r="AP211" s="2">
        <v>0.33092933285746501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16</v>
      </c>
      <c r="AW211" s="2">
        <v>0</v>
      </c>
      <c r="AX211" s="2">
        <v>0</v>
      </c>
      <c r="AY211" s="2">
        <v>15.3</v>
      </c>
      <c r="AZ211" s="2">
        <v>9.8000000000000007</v>
      </c>
      <c r="BA211" s="2">
        <v>29.7</v>
      </c>
      <c r="BB211" s="2">
        <v>564</v>
      </c>
      <c r="BC211" s="2">
        <v>68</v>
      </c>
      <c r="BD211" s="2">
        <v>1.8</v>
      </c>
      <c r="BE211" s="2">
        <v>43</v>
      </c>
      <c r="BF211" s="2">
        <v>25.4</v>
      </c>
      <c r="BG211" s="2">
        <v>162</v>
      </c>
      <c r="BH211" s="2">
        <v>9.1</v>
      </c>
      <c r="BI211" s="2">
        <v>9.1999999999999993</v>
      </c>
      <c r="BJ211" s="2">
        <v>18.3</v>
      </c>
      <c r="BK211" s="2">
        <v>0.34</v>
      </c>
      <c r="BL211" s="2">
        <v>7.3</v>
      </c>
      <c r="BM211" s="2">
        <v>0.9</v>
      </c>
      <c r="BN211" s="2">
        <v>7.5</v>
      </c>
      <c r="BO211" s="2">
        <v>2.9</v>
      </c>
      <c r="BP211" s="2">
        <f t="shared" si="6"/>
        <v>9.5485370067074253</v>
      </c>
      <c r="BQ211" s="2">
        <f t="shared" si="7"/>
        <v>29.32802908852732</v>
      </c>
    </row>
    <row r="212" spans="1:69" x14ac:dyDescent="0.2">
      <c r="A212" s="2" t="s">
        <v>739</v>
      </c>
      <c r="B212" s="2" t="s">
        <v>47</v>
      </c>
      <c r="C212" s="2" t="s">
        <v>48</v>
      </c>
      <c r="D212" s="2" t="s">
        <v>49</v>
      </c>
      <c r="E212" s="2" t="s">
        <v>153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89</v>
      </c>
      <c r="L212" s="6" t="s">
        <v>90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740</v>
      </c>
      <c r="R212" s="2">
        <v>9547738.693</v>
      </c>
      <c r="S212" s="2">
        <v>0</v>
      </c>
      <c r="T212" s="2" t="s">
        <v>96</v>
      </c>
      <c r="U212" s="2" t="s">
        <v>97</v>
      </c>
      <c r="V212" s="2" t="s">
        <v>56</v>
      </c>
      <c r="W212" s="2" t="s">
        <v>98</v>
      </c>
      <c r="X212" s="2" t="s">
        <v>99</v>
      </c>
      <c r="Y212" s="2">
        <v>0.52514011988010501</v>
      </c>
      <c r="Z212" s="2">
        <v>525.14011988010498</v>
      </c>
      <c r="AA212" s="2">
        <v>4.73719444444444</v>
      </c>
      <c r="AB212" s="2">
        <v>-74.069472222222203</v>
      </c>
      <c r="AC212" s="2">
        <v>2555</v>
      </c>
      <c r="AD212" s="2">
        <v>0</v>
      </c>
      <c r="AE212" s="2" t="s">
        <v>59</v>
      </c>
      <c r="AF212" s="2" t="s">
        <v>86</v>
      </c>
      <c r="AG212" s="2" t="s">
        <v>61</v>
      </c>
      <c r="AH212" s="2" t="s">
        <v>62</v>
      </c>
      <c r="AI212" s="2" t="s">
        <v>100</v>
      </c>
      <c r="AJ212" s="2">
        <v>1.39642988508406</v>
      </c>
      <c r="AK212" s="2">
        <v>4.7828752741512499</v>
      </c>
      <c r="AL212" s="2">
        <v>2.18256968454445</v>
      </c>
      <c r="AM212" s="2">
        <v>0.28342969160300302</v>
      </c>
      <c r="AN212" s="2">
        <v>2.3394315447476499</v>
      </c>
      <c r="AO212" s="2">
        <v>0.33092933285746501</v>
      </c>
      <c r="AP212" s="2">
        <v>0.33092933285746501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16</v>
      </c>
      <c r="AW212" s="2">
        <v>0</v>
      </c>
      <c r="AX212" s="2">
        <v>0</v>
      </c>
      <c r="AY212" s="2">
        <v>15.3</v>
      </c>
      <c r="AZ212" s="2">
        <v>9.8000000000000007</v>
      </c>
      <c r="BA212" s="2">
        <v>29.7</v>
      </c>
      <c r="BB212" s="2">
        <v>564</v>
      </c>
      <c r="BC212" s="2">
        <v>68</v>
      </c>
      <c r="BD212" s="2">
        <v>1.8</v>
      </c>
      <c r="BE212" s="2">
        <v>43</v>
      </c>
      <c r="BF212" s="2">
        <v>25.4</v>
      </c>
      <c r="BG212" s="2">
        <v>162</v>
      </c>
      <c r="BH212" s="2">
        <v>9.1</v>
      </c>
      <c r="BI212" s="2">
        <v>9.1999999999999993</v>
      </c>
      <c r="BJ212" s="2">
        <v>18.3</v>
      </c>
      <c r="BK212" s="2">
        <v>0.34</v>
      </c>
      <c r="BL212" s="2">
        <v>7.3</v>
      </c>
      <c r="BM212" s="2">
        <v>0.9</v>
      </c>
      <c r="BN212" s="2">
        <v>7.5</v>
      </c>
      <c r="BO212" s="2">
        <v>2.9</v>
      </c>
      <c r="BP212" s="2">
        <f t="shared" si="6"/>
        <v>9.5485370067074253</v>
      </c>
      <c r="BQ212" s="2">
        <f t="shared" si="7"/>
        <v>29.32802908852732</v>
      </c>
    </row>
    <row r="213" spans="1:69" x14ac:dyDescent="0.2">
      <c r="A213" s="2" t="s">
        <v>3046</v>
      </c>
      <c r="B213" s="2" t="s">
        <v>47</v>
      </c>
      <c r="C213" s="2" t="s">
        <v>1935</v>
      </c>
      <c r="D213" s="2" t="s">
        <v>49</v>
      </c>
      <c r="E213" s="2" t="s">
        <v>980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89</v>
      </c>
      <c r="L213" s="6" t="s">
        <v>141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3047</v>
      </c>
      <c r="R213" s="2">
        <v>4673366.8339999998</v>
      </c>
      <c r="S213" s="2">
        <v>0</v>
      </c>
      <c r="T213" s="2" t="s">
        <v>96</v>
      </c>
      <c r="U213" s="2" t="s">
        <v>97</v>
      </c>
      <c r="V213" s="2" t="s">
        <v>56</v>
      </c>
      <c r="W213" s="2" t="s">
        <v>98</v>
      </c>
      <c r="X213" s="2" t="s">
        <v>99</v>
      </c>
      <c r="Y213" s="2">
        <v>4.2793511701372404</v>
      </c>
      <c r="Z213" s="2">
        <v>4279.3511701372399</v>
      </c>
      <c r="AA213" s="2">
        <v>4.73719444444444</v>
      </c>
      <c r="AB213" s="2">
        <v>-74.069472222222203</v>
      </c>
      <c r="AC213" s="2">
        <v>2555</v>
      </c>
      <c r="AD213" s="2">
        <v>0</v>
      </c>
      <c r="AE213" s="2" t="s">
        <v>59</v>
      </c>
      <c r="AF213" s="2" t="s">
        <v>86</v>
      </c>
      <c r="AG213" s="2" t="s">
        <v>61</v>
      </c>
      <c r="AH213" s="2" t="s">
        <v>62</v>
      </c>
      <c r="AI213" s="2" t="s">
        <v>100</v>
      </c>
      <c r="AJ213" s="2">
        <v>0.19278411784591701</v>
      </c>
      <c r="AK213" s="2">
        <v>4.1759659586635296</v>
      </c>
      <c r="AL213" s="2">
        <v>0.191275364752785</v>
      </c>
      <c r="AM213" s="2">
        <v>0.122691635850873</v>
      </c>
      <c r="AN213" s="2">
        <v>3.1488765022786902</v>
      </c>
      <c r="AO213" s="2">
        <v>0.24099719075572201</v>
      </c>
      <c r="AP213" s="2">
        <v>0.24099719075572201</v>
      </c>
      <c r="AQ213" s="2">
        <v>1</v>
      </c>
      <c r="AR213" s="2">
        <v>3</v>
      </c>
      <c r="AS213" s="2">
        <v>0</v>
      </c>
      <c r="AT213" s="2">
        <v>0</v>
      </c>
      <c r="AU213" s="2">
        <v>1</v>
      </c>
      <c r="AV213" s="2">
        <v>49</v>
      </c>
      <c r="AW213" s="2">
        <v>0</v>
      </c>
      <c r="AX213" s="2">
        <v>0</v>
      </c>
      <c r="AY213" s="2">
        <v>15.3</v>
      </c>
      <c r="AZ213" s="2">
        <v>9.8000000000000007</v>
      </c>
      <c r="BA213" s="2">
        <v>29.7</v>
      </c>
      <c r="BB213" s="2">
        <v>564</v>
      </c>
      <c r="BC213" s="2">
        <v>68</v>
      </c>
      <c r="BD213" s="2">
        <v>1.8</v>
      </c>
      <c r="BE213" s="2">
        <v>43</v>
      </c>
      <c r="BF213" s="2">
        <v>25.4</v>
      </c>
      <c r="BG213" s="2">
        <v>162</v>
      </c>
      <c r="BH213" s="2">
        <v>9.1</v>
      </c>
      <c r="BI213" s="2">
        <v>9.1999999999999993</v>
      </c>
      <c r="BJ213" s="2">
        <v>18.3</v>
      </c>
      <c r="BK213" s="2">
        <v>0.34</v>
      </c>
      <c r="BL213" s="2">
        <v>7.3</v>
      </c>
      <c r="BM213" s="2">
        <v>0.9</v>
      </c>
      <c r="BN213" s="2">
        <v>7.5</v>
      </c>
      <c r="BO213" s="2">
        <v>2.9</v>
      </c>
      <c r="BP213" s="2">
        <f t="shared" si="6"/>
        <v>7.9292186726601059</v>
      </c>
      <c r="BQ213" s="2">
        <f t="shared" si="7"/>
        <v>26.801091591819347</v>
      </c>
    </row>
    <row r="214" spans="1:69" x14ac:dyDescent="0.2">
      <c r="A214" s="2" t="s">
        <v>677</v>
      </c>
      <c r="B214" s="2" t="s">
        <v>47</v>
      </c>
      <c r="C214" s="2" t="s">
        <v>48</v>
      </c>
      <c r="D214" s="2" t="s">
        <v>49</v>
      </c>
      <c r="E214" s="2" t="s">
        <v>378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89</v>
      </c>
      <c r="L214" s="6" t="s">
        <v>112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678</v>
      </c>
      <c r="R214" s="2">
        <v>10561255.279999999</v>
      </c>
      <c r="S214" s="2">
        <v>0</v>
      </c>
      <c r="T214" s="2" t="s">
        <v>96</v>
      </c>
      <c r="U214" s="2" t="s">
        <v>97</v>
      </c>
      <c r="V214" s="2" t="s">
        <v>56</v>
      </c>
      <c r="W214" s="2" t="s">
        <v>98</v>
      </c>
      <c r="X214" s="2" t="s">
        <v>99</v>
      </c>
      <c r="Y214" s="2">
        <v>1.88140657434013</v>
      </c>
      <c r="Z214" s="2">
        <v>1881.40657434013</v>
      </c>
      <c r="AA214" s="2">
        <v>4.73719444444444</v>
      </c>
      <c r="AB214" s="2">
        <v>-74.069472222222203</v>
      </c>
      <c r="AC214" s="2">
        <v>2555</v>
      </c>
      <c r="AD214" s="2">
        <v>0</v>
      </c>
      <c r="AE214" s="2" t="s">
        <v>59</v>
      </c>
      <c r="AF214" s="2" t="s">
        <v>86</v>
      </c>
      <c r="AG214" s="2" t="s">
        <v>61</v>
      </c>
      <c r="AH214" s="2" t="s">
        <v>62</v>
      </c>
      <c r="AI214" s="2" t="s">
        <v>100</v>
      </c>
      <c r="AJ214" s="2">
        <v>0.83227801958914005</v>
      </c>
      <c r="AK214" s="2">
        <v>4.5249961485637202</v>
      </c>
      <c r="AL214" s="2">
        <v>1.91928203813802</v>
      </c>
      <c r="AM214" s="2">
        <v>0.47067251468260302</v>
      </c>
      <c r="AN214" s="2">
        <v>1.4157468861945799</v>
      </c>
      <c r="AO214" s="2">
        <v>3.5209248114829502E-3</v>
      </c>
      <c r="AP214" s="2">
        <v>3.5209248114829502E-3</v>
      </c>
      <c r="AQ214" s="2">
        <v>0</v>
      </c>
      <c r="AR214" s="2">
        <v>1</v>
      </c>
      <c r="AS214" s="2">
        <v>0</v>
      </c>
      <c r="AT214" s="2">
        <v>0</v>
      </c>
      <c r="AU214" s="2">
        <v>0</v>
      </c>
      <c r="AV214" s="2">
        <v>7</v>
      </c>
      <c r="AW214" s="2">
        <v>0</v>
      </c>
      <c r="AX214" s="2">
        <v>0</v>
      </c>
      <c r="AY214" s="2">
        <v>15.3</v>
      </c>
      <c r="AZ214" s="2">
        <v>9.8000000000000007</v>
      </c>
      <c r="BA214" s="2">
        <v>29.7</v>
      </c>
      <c r="BB214" s="2">
        <v>564</v>
      </c>
      <c r="BC214" s="2">
        <v>68</v>
      </c>
      <c r="BD214" s="2">
        <v>1.8</v>
      </c>
      <c r="BE214" s="2">
        <v>43</v>
      </c>
      <c r="BF214" s="2">
        <v>25.4</v>
      </c>
      <c r="BG214" s="2">
        <v>162</v>
      </c>
      <c r="BH214" s="2">
        <v>9.1</v>
      </c>
      <c r="BI214" s="2">
        <v>9.1999999999999993</v>
      </c>
      <c r="BJ214" s="2">
        <v>18.3</v>
      </c>
      <c r="BK214" s="2">
        <v>0.34</v>
      </c>
      <c r="BL214" s="2">
        <v>7.3</v>
      </c>
      <c r="BM214" s="2">
        <v>0.9</v>
      </c>
      <c r="BN214" s="2">
        <v>7.5</v>
      </c>
      <c r="BO214" s="2">
        <v>2.9</v>
      </c>
      <c r="BP214" s="2">
        <f t="shared" si="6"/>
        <v>8.9285388621990993</v>
      </c>
      <c r="BQ214" s="2">
        <f t="shared" si="7"/>
        <v>28.388759882035455</v>
      </c>
    </row>
    <row r="215" spans="1:69" x14ac:dyDescent="0.2">
      <c r="A215" s="2" t="s">
        <v>2637</v>
      </c>
      <c r="B215" s="2" t="s">
        <v>47</v>
      </c>
      <c r="C215" s="2" t="s">
        <v>1935</v>
      </c>
      <c r="D215" s="2" t="s">
        <v>49</v>
      </c>
      <c r="E215" s="2" t="s">
        <v>1746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89</v>
      </c>
      <c r="L215" s="6" t="s">
        <v>141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2638</v>
      </c>
      <c r="R215" s="2">
        <v>5897435.8969999999</v>
      </c>
      <c r="S215" s="2">
        <v>0</v>
      </c>
      <c r="T215" s="2" t="s">
        <v>96</v>
      </c>
      <c r="U215" s="2" t="s">
        <v>97</v>
      </c>
      <c r="V215" s="2" t="s">
        <v>56</v>
      </c>
      <c r="W215" s="2" t="s">
        <v>98</v>
      </c>
      <c r="X215" s="2" t="s">
        <v>99</v>
      </c>
      <c r="Y215" s="2">
        <v>0.85818420885366498</v>
      </c>
      <c r="Z215" s="2">
        <v>858.18420885366504</v>
      </c>
      <c r="AA215" s="2">
        <v>4.73719444444444</v>
      </c>
      <c r="AB215" s="2">
        <v>-74.069472222222203</v>
      </c>
      <c r="AC215" s="2">
        <v>2555</v>
      </c>
      <c r="AD215" s="2">
        <v>0</v>
      </c>
      <c r="AE215" s="2" t="s">
        <v>59</v>
      </c>
      <c r="AF215" s="2" t="s">
        <v>86</v>
      </c>
      <c r="AG215" s="2" t="s">
        <v>61</v>
      </c>
      <c r="AH215" s="2" t="s">
        <v>62</v>
      </c>
      <c r="AI215" s="2" t="s">
        <v>100</v>
      </c>
      <c r="AJ215" s="2">
        <v>0.461541860331323</v>
      </c>
      <c r="AK215" s="2">
        <v>5.3959126564592399</v>
      </c>
      <c r="AL215" s="2">
        <v>1.41788905915746</v>
      </c>
      <c r="AM215" s="2">
        <v>0.33571535827840199</v>
      </c>
      <c r="AN215" s="2">
        <v>2.0320886029601799</v>
      </c>
      <c r="AO215" s="2">
        <v>0.45229591066800001</v>
      </c>
      <c r="AP215" s="2">
        <v>0.45229591066800001</v>
      </c>
      <c r="AQ215" s="2">
        <v>1</v>
      </c>
      <c r="AR215" s="2">
        <v>1</v>
      </c>
      <c r="AS215" s="2">
        <v>0</v>
      </c>
      <c r="AT215" s="2">
        <v>0</v>
      </c>
      <c r="AU215" s="2">
        <v>0</v>
      </c>
      <c r="AV215" s="2">
        <v>14</v>
      </c>
      <c r="AW215" s="2">
        <v>0</v>
      </c>
      <c r="AX215" s="2">
        <v>0</v>
      </c>
      <c r="AY215" s="2">
        <v>15.3</v>
      </c>
      <c r="AZ215" s="2">
        <v>9.8000000000000007</v>
      </c>
      <c r="BA215" s="2">
        <v>29.7</v>
      </c>
      <c r="BB215" s="2">
        <v>564</v>
      </c>
      <c r="BC215" s="2">
        <v>68</v>
      </c>
      <c r="BD215" s="2">
        <v>1.8</v>
      </c>
      <c r="BE215" s="2">
        <v>43</v>
      </c>
      <c r="BF215" s="2">
        <v>25.4</v>
      </c>
      <c r="BG215" s="2">
        <v>162</v>
      </c>
      <c r="BH215" s="2">
        <v>9.1</v>
      </c>
      <c r="BI215" s="2">
        <v>9.1999999999999993</v>
      </c>
      <c r="BJ215" s="2">
        <v>18.3</v>
      </c>
      <c r="BK215" s="2">
        <v>0.34</v>
      </c>
      <c r="BL215" s="2">
        <v>7.3</v>
      </c>
      <c r="BM215" s="2">
        <v>0.9</v>
      </c>
      <c r="BN215" s="2">
        <v>7.5</v>
      </c>
      <c r="BO215" s="2">
        <v>2.9</v>
      </c>
      <c r="BP215" s="2">
        <f t="shared" si="6"/>
        <v>9.3924132970331016</v>
      </c>
      <c r="BQ215" s="2">
        <f t="shared" si="7"/>
        <v>29.094542824765643</v>
      </c>
    </row>
    <row r="216" spans="1:69" x14ac:dyDescent="0.2">
      <c r="A216" s="2" t="s">
        <v>891</v>
      </c>
      <c r="B216" s="2" t="s">
        <v>47</v>
      </c>
      <c r="C216" s="2" t="s">
        <v>48</v>
      </c>
      <c r="D216" s="2" t="s">
        <v>49</v>
      </c>
      <c r="E216" s="2" t="s">
        <v>892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89</v>
      </c>
      <c r="L216" s="6" t="s">
        <v>103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893</v>
      </c>
      <c r="R216" s="2">
        <v>9067357.5130000003</v>
      </c>
      <c r="S216" s="2">
        <v>0</v>
      </c>
      <c r="T216" s="2" t="s">
        <v>96</v>
      </c>
      <c r="U216" s="2" t="s">
        <v>97</v>
      </c>
      <c r="V216" s="2" t="s">
        <v>56</v>
      </c>
      <c r="W216" s="2" t="s">
        <v>98</v>
      </c>
      <c r="X216" s="2" t="s">
        <v>99</v>
      </c>
      <c r="Y216" s="2">
        <v>2.5899310000931899</v>
      </c>
      <c r="Z216" s="2">
        <v>2589.9310000931901</v>
      </c>
      <c r="AA216" s="2">
        <v>4.73719444444444</v>
      </c>
      <c r="AB216" s="2">
        <v>-74.069472222222203</v>
      </c>
      <c r="AC216" s="2">
        <v>2555</v>
      </c>
      <c r="AD216" s="2">
        <v>0</v>
      </c>
      <c r="AE216" s="2" t="s">
        <v>59</v>
      </c>
      <c r="AF216" s="2" t="s">
        <v>86</v>
      </c>
      <c r="AG216" s="2" t="s">
        <v>61</v>
      </c>
      <c r="AH216" s="2" t="s">
        <v>62</v>
      </c>
      <c r="AI216" s="2" t="s">
        <v>100</v>
      </c>
      <c r="AJ216" s="2">
        <v>0.86090773597029202</v>
      </c>
      <c r="AK216" s="2">
        <v>5.0080914366006599</v>
      </c>
      <c r="AL216" s="2">
        <v>1.09528471959044</v>
      </c>
      <c r="AM216" s="2">
        <v>0.377540660900539</v>
      </c>
      <c r="AN216" s="2">
        <v>2.7203735149309498</v>
      </c>
      <c r="AO216" s="2">
        <v>0.34457940082569199</v>
      </c>
      <c r="AP216" s="2">
        <v>0.34457940082569199</v>
      </c>
      <c r="AQ216" s="2">
        <v>0</v>
      </c>
      <c r="AR216" s="2">
        <v>1</v>
      </c>
      <c r="AS216" s="2">
        <v>0</v>
      </c>
      <c r="AT216" s="2">
        <v>0</v>
      </c>
      <c r="AU216" s="2">
        <v>0</v>
      </c>
      <c r="AV216" s="2">
        <v>10</v>
      </c>
      <c r="AW216" s="2">
        <v>0</v>
      </c>
      <c r="AX216" s="2">
        <v>0</v>
      </c>
      <c r="AY216" s="2">
        <v>15.3</v>
      </c>
      <c r="AZ216" s="2">
        <v>9.8000000000000007</v>
      </c>
      <c r="BA216" s="2">
        <v>29.7</v>
      </c>
      <c r="BB216" s="2">
        <v>564</v>
      </c>
      <c r="BC216" s="2">
        <v>68</v>
      </c>
      <c r="BD216" s="2">
        <v>1.8</v>
      </c>
      <c r="BE216" s="2">
        <v>43</v>
      </c>
      <c r="BF216" s="2">
        <v>25.4</v>
      </c>
      <c r="BG216" s="2">
        <v>162</v>
      </c>
      <c r="BH216" s="2">
        <v>9.1</v>
      </c>
      <c r="BI216" s="2">
        <v>9.1999999999999993</v>
      </c>
      <c r="BJ216" s="2">
        <v>18.3</v>
      </c>
      <c r="BK216" s="2">
        <v>0.34</v>
      </c>
      <c r="BL216" s="2">
        <v>7.3</v>
      </c>
      <c r="BM216" s="2">
        <v>0.9</v>
      </c>
      <c r="BN216" s="2">
        <v>7.5</v>
      </c>
      <c r="BO216" s="2">
        <v>2.9</v>
      </c>
      <c r="BP216" s="2">
        <f t="shared" si="6"/>
        <v>8.6208251156861682</v>
      </c>
      <c r="BQ216" s="2">
        <f t="shared" si="7"/>
        <v>27.910101990532336</v>
      </c>
    </row>
    <row r="217" spans="1:69" x14ac:dyDescent="0.2">
      <c r="A217" s="2" t="s">
        <v>1943</v>
      </c>
      <c r="B217" s="2" t="s">
        <v>47</v>
      </c>
      <c r="C217" s="2" t="s">
        <v>1935</v>
      </c>
      <c r="D217" s="2" t="s">
        <v>49</v>
      </c>
      <c r="E217" s="2" t="s">
        <v>892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89</v>
      </c>
      <c r="L217" s="6" t="s">
        <v>141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1944</v>
      </c>
      <c r="R217" s="2">
        <v>7272727.273</v>
      </c>
      <c r="S217" s="2">
        <v>0</v>
      </c>
      <c r="T217" s="2" t="s">
        <v>96</v>
      </c>
      <c r="U217" s="2" t="s">
        <v>97</v>
      </c>
      <c r="V217" s="2" t="s">
        <v>56</v>
      </c>
      <c r="W217" s="2" t="s">
        <v>98</v>
      </c>
      <c r="X217" s="2" t="s">
        <v>99</v>
      </c>
      <c r="Y217" s="2">
        <v>2.9120829499840699</v>
      </c>
      <c r="Z217" s="2">
        <v>2912.0829499840702</v>
      </c>
      <c r="AA217" s="2">
        <v>4.73719444444444</v>
      </c>
      <c r="AB217" s="2">
        <v>-74.069472222222203</v>
      </c>
      <c r="AC217" s="2">
        <v>2555</v>
      </c>
      <c r="AD217" s="2">
        <v>0</v>
      </c>
      <c r="AE217" s="2" t="s">
        <v>59</v>
      </c>
      <c r="AF217" s="2" t="s">
        <v>86</v>
      </c>
      <c r="AG217" s="2" t="s">
        <v>61</v>
      </c>
      <c r="AH217" s="2" t="s">
        <v>62</v>
      </c>
      <c r="AI217" s="2" t="s">
        <v>100</v>
      </c>
      <c r="AJ217" s="2">
        <v>1.11535213008523</v>
      </c>
      <c r="AK217" s="2">
        <v>4.9888854066022796</v>
      </c>
      <c r="AL217" s="2">
        <v>1.2195805934269299</v>
      </c>
      <c r="AM217" s="2">
        <v>0.52512435456172502</v>
      </c>
      <c r="AN217" s="2">
        <v>3.0210827875351298</v>
      </c>
      <c r="AO217" s="2">
        <v>0.49767557830792902</v>
      </c>
      <c r="AP217" s="2">
        <v>0.49767557830792902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8</v>
      </c>
      <c r="AW217" s="2">
        <v>0</v>
      </c>
      <c r="AX217" s="2">
        <v>0</v>
      </c>
      <c r="AY217" s="2">
        <v>15.3</v>
      </c>
      <c r="AZ217" s="2">
        <v>9.8000000000000007</v>
      </c>
      <c r="BA217" s="2">
        <v>29.7</v>
      </c>
      <c r="BB217" s="2">
        <v>564</v>
      </c>
      <c r="BC217" s="2">
        <v>68</v>
      </c>
      <c r="BD217" s="2">
        <v>1.8</v>
      </c>
      <c r="BE217" s="2">
        <v>43</v>
      </c>
      <c r="BF217" s="2">
        <v>25.4</v>
      </c>
      <c r="BG217" s="2">
        <v>162</v>
      </c>
      <c r="BH217" s="2">
        <v>9.1</v>
      </c>
      <c r="BI217" s="2">
        <v>9.1999999999999993</v>
      </c>
      <c r="BJ217" s="2">
        <v>18.3</v>
      </c>
      <c r="BK217" s="2">
        <v>0.34</v>
      </c>
      <c r="BL217" s="2">
        <v>7.3</v>
      </c>
      <c r="BM217" s="2">
        <v>0.9</v>
      </c>
      <c r="BN217" s="2">
        <v>7.5</v>
      </c>
      <c r="BO217" s="2">
        <v>2.9</v>
      </c>
      <c r="BP217" s="2">
        <f t="shared" si="6"/>
        <v>8.4844432407647741</v>
      </c>
      <c r="BQ217" s="2">
        <f t="shared" si="7"/>
        <v>27.695143004165526</v>
      </c>
    </row>
    <row r="218" spans="1:69" x14ac:dyDescent="0.2">
      <c r="A218" s="2" t="s">
        <v>1994</v>
      </c>
      <c r="B218" s="2" t="s">
        <v>47</v>
      </c>
      <c r="C218" s="2" t="s">
        <v>1935</v>
      </c>
      <c r="D218" s="2" t="s">
        <v>49</v>
      </c>
      <c r="E218" s="2" t="s">
        <v>1567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89</v>
      </c>
      <c r="L218" s="6" t="s">
        <v>112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1995</v>
      </c>
      <c r="R218" s="2">
        <v>7291666.6670000004</v>
      </c>
      <c r="S218" s="2">
        <v>0</v>
      </c>
      <c r="T218" s="2" t="s">
        <v>130</v>
      </c>
      <c r="U218" s="2" t="s">
        <v>131</v>
      </c>
      <c r="V218" s="2" t="s">
        <v>56</v>
      </c>
      <c r="W218" s="2" t="s">
        <v>98</v>
      </c>
      <c r="X218" s="2" t="s">
        <v>132</v>
      </c>
      <c r="Y218" s="2">
        <v>3.8362090835094702</v>
      </c>
      <c r="Z218" s="2">
        <v>3836.20908350947</v>
      </c>
      <c r="AA218" s="2">
        <v>4.7837500000000004</v>
      </c>
      <c r="AB218" s="2">
        <v>-74.044138888888895</v>
      </c>
      <c r="AC218" s="2">
        <v>2580</v>
      </c>
      <c r="AD218" s="2">
        <v>0</v>
      </c>
      <c r="AE218" s="2" t="s">
        <v>133</v>
      </c>
      <c r="AF218" s="2" t="s">
        <v>86</v>
      </c>
      <c r="AG218" s="2" t="s">
        <v>61</v>
      </c>
      <c r="AH218" s="2" t="s">
        <v>62</v>
      </c>
      <c r="AI218" s="2" t="s">
        <v>100</v>
      </c>
      <c r="AJ218" s="2">
        <v>4.9252912979291299</v>
      </c>
      <c r="AK218" s="2">
        <v>0.70887886520211596</v>
      </c>
      <c r="AL218" s="2">
        <v>2.9671136308021699</v>
      </c>
      <c r="AM218" s="2">
        <v>1.1855966393237101</v>
      </c>
      <c r="AN218" s="2">
        <v>6.7616397833157897</v>
      </c>
      <c r="AO218" s="2">
        <v>2.3450867237648301</v>
      </c>
      <c r="AP218" s="2">
        <v>2.3450867237648301</v>
      </c>
      <c r="AQ218" s="2">
        <v>0</v>
      </c>
      <c r="AR218" s="2">
        <v>0</v>
      </c>
      <c r="AS218" s="2">
        <v>0</v>
      </c>
      <c r="AT218" s="2">
        <v>1</v>
      </c>
      <c r="AU218" s="2">
        <v>0</v>
      </c>
      <c r="AV218" s="2">
        <v>0</v>
      </c>
      <c r="AW218" s="2">
        <v>0</v>
      </c>
      <c r="AX218" s="2">
        <v>0</v>
      </c>
      <c r="AY218" s="2">
        <v>15.3</v>
      </c>
      <c r="AZ218" s="2">
        <v>9.8000000000000007</v>
      </c>
      <c r="BA218" s="2">
        <v>29.7</v>
      </c>
      <c r="BB218" s="2">
        <v>564</v>
      </c>
      <c r="BC218" s="2">
        <v>68</v>
      </c>
      <c r="BD218" s="2">
        <v>1.8</v>
      </c>
      <c r="BE218" s="2">
        <v>43</v>
      </c>
      <c r="BF218" s="2">
        <v>25.4</v>
      </c>
      <c r="BG218" s="2">
        <v>162</v>
      </c>
      <c r="BH218" s="2">
        <v>9.1</v>
      </c>
      <c r="BI218" s="2">
        <v>9.1999999999999993</v>
      </c>
      <c r="BJ218" s="2">
        <v>18.3</v>
      </c>
      <c r="BK218" s="2">
        <v>0.34</v>
      </c>
      <c r="BL218" s="2">
        <v>7.3</v>
      </c>
      <c r="BM218" s="2">
        <v>0.9</v>
      </c>
      <c r="BN218" s="2">
        <v>7.5</v>
      </c>
      <c r="BO218" s="2">
        <v>2.9</v>
      </c>
      <c r="BP218" s="2">
        <f t="shared" si="6"/>
        <v>8.1050719796507575</v>
      </c>
      <c r="BQ218" s="2">
        <f t="shared" si="7"/>
        <v>27.087653341199076</v>
      </c>
    </row>
    <row r="219" spans="1:69" x14ac:dyDescent="0.2">
      <c r="A219" s="2" t="s">
        <v>2746</v>
      </c>
      <c r="B219" s="2" t="s">
        <v>47</v>
      </c>
      <c r="C219" s="2" t="s">
        <v>1935</v>
      </c>
      <c r="D219" s="2" t="s">
        <v>49</v>
      </c>
      <c r="E219" s="2" t="s">
        <v>1004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89</v>
      </c>
      <c r="L219" s="6" t="s">
        <v>141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2747</v>
      </c>
      <c r="R219" s="2">
        <v>3385416.6669999999</v>
      </c>
      <c r="S219" s="2">
        <v>0</v>
      </c>
      <c r="T219" s="2" t="s">
        <v>96</v>
      </c>
      <c r="U219" s="2" t="s">
        <v>97</v>
      </c>
      <c r="V219" s="2" t="s">
        <v>56</v>
      </c>
      <c r="W219" s="2" t="s">
        <v>98</v>
      </c>
      <c r="X219" s="2" t="s">
        <v>99</v>
      </c>
      <c r="Y219" s="2">
        <v>2.0259978601268198</v>
      </c>
      <c r="Z219" s="2">
        <v>2025.9978601268199</v>
      </c>
      <c r="AA219" s="2">
        <v>4.73719444444444</v>
      </c>
      <c r="AB219" s="2">
        <v>-74.069472222222203</v>
      </c>
      <c r="AC219" s="2">
        <v>2555</v>
      </c>
      <c r="AD219" s="2">
        <v>0</v>
      </c>
      <c r="AE219" s="2" t="s">
        <v>59</v>
      </c>
      <c r="AF219" s="2" t="s">
        <v>86</v>
      </c>
      <c r="AG219" s="2" t="s">
        <v>61</v>
      </c>
      <c r="AH219" s="2" t="s">
        <v>62</v>
      </c>
      <c r="AI219" s="2" t="s">
        <v>100</v>
      </c>
      <c r="AJ219" s="2">
        <v>0.37561938092660302</v>
      </c>
      <c r="AK219" s="2">
        <v>3.4424876949698402</v>
      </c>
      <c r="AL219" s="2">
        <v>1.5373866823219799</v>
      </c>
      <c r="AM219" s="2">
        <v>0.135284361325922</v>
      </c>
      <c r="AN219" s="2">
        <v>3.2565916149146501</v>
      </c>
      <c r="AO219" s="2">
        <v>7.5012588893367399E-2</v>
      </c>
      <c r="AP219" s="2">
        <v>7.5012588893367399E-2</v>
      </c>
      <c r="AQ219" s="2">
        <v>2</v>
      </c>
      <c r="AR219" s="2">
        <v>4</v>
      </c>
      <c r="AS219" s="2">
        <v>0</v>
      </c>
      <c r="AT219" s="2">
        <v>0</v>
      </c>
      <c r="AU219" s="2">
        <v>0</v>
      </c>
      <c r="AV219" s="2">
        <v>22</v>
      </c>
      <c r="AW219" s="2">
        <v>0</v>
      </c>
      <c r="AX219" s="2">
        <v>0</v>
      </c>
      <c r="AY219" s="2">
        <v>15.3</v>
      </c>
      <c r="AZ219" s="2">
        <v>9.8000000000000007</v>
      </c>
      <c r="BA219" s="2">
        <v>29.7</v>
      </c>
      <c r="BB219" s="2">
        <v>564</v>
      </c>
      <c r="BC219" s="2">
        <v>68</v>
      </c>
      <c r="BD219" s="2">
        <v>1.8</v>
      </c>
      <c r="BE219" s="2">
        <v>43</v>
      </c>
      <c r="BF219" s="2">
        <v>25.4</v>
      </c>
      <c r="BG219" s="2">
        <v>162</v>
      </c>
      <c r="BH219" s="2">
        <v>9.1</v>
      </c>
      <c r="BI219" s="2">
        <v>9.1999999999999993</v>
      </c>
      <c r="BJ219" s="2">
        <v>18.3</v>
      </c>
      <c r="BK219" s="2">
        <v>0.34</v>
      </c>
      <c r="BL219" s="2">
        <v>7.3</v>
      </c>
      <c r="BM219" s="2">
        <v>0.9</v>
      </c>
      <c r="BN219" s="2">
        <v>7.5</v>
      </c>
      <c r="BO219" s="2">
        <v>2.9</v>
      </c>
      <c r="BP219" s="2">
        <f t="shared" si="6"/>
        <v>8.8648630551944567</v>
      </c>
      <c r="BQ219" s="2">
        <f t="shared" si="7"/>
        <v>28.290416201358422</v>
      </c>
    </row>
    <row r="220" spans="1:69" x14ac:dyDescent="0.2">
      <c r="A220" s="2" t="s">
        <v>670</v>
      </c>
      <c r="B220" s="2" t="s">
        <v>47</v>
      </c>
      <c r="C220" s="2" t="s">
        <v>48</v>
      </c>
      <c r="D220" s="2" t="s">
        <v>49</v>
      </c>
      <c r="E220" s="2" t="s">
        <v>536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89</v>
      </c>
      <c r="L220" s="6" t="s">
        <v>141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671</v>
      </c>
      <c r="R220" s="2">
        <v>6835988.852</v>
      </c>
      <c r="S220" s="2">
        <v>0</v>
      </c>
      <c r="T220" s="2" t="s">
        <v>96</v>
      </c>
      <c r="U220" s="2" t="s">
        <v>97</v>
      </c>
      <c r="V220" s="2" t="s">
        <v>56</v>
      </c>
      <c r="W220" s="2" t="s">
        <v>98</v>
      </c>
      <c r="X220" s="2" t="s">
        <v>99</v>
      </c>
      <c r="Y220" s="2">
        <v>3.7121697145165702</v>
      </c>
      <c r="Z220" s="2">
        <v>3712.1697145165699</v>
      </c>
      <c r="AA220" s="2">
        <v>4.73719444444444</v>
      </c>
      <c r="AB220" s="2">
        <v>-74.069472222222203</v>
      </c>
      <c r="AC220" s="2">
        <v>2555</v>
      </c>
      <c r="AD220" s="2">
        <v>0</v>
      </c>
      <c r="AE220" s="2" t="s">
        <v>59</v>
      </c>
      <c r="AF220" s="2" t="s">
        <v>86</v>
      </c>
      <c r="AG220" s="2" t="s">
        <v>61</v>
      </c>
      <c r="AH220" s="2" t="s">
        <v>62</v>
      </c>
      <c r="AI220" s="2" t="s">
        <v>100</v>
      </c>
      <c r="AJ220" s="2">
        <v>0.34139455197177898</v>
      </c>
      <c r="AK220" s="2">
        <v>4.6619638387271101</v>
      </c>
      <c r="AL220" s="2">
        <v>0.66712385387451101</v>
      </c>
      <c r="AM220" s="2">
        <v>0.26777174852784102</v>
      </c>
      <c r="AN220" s="2">
        <v>3.5723784409783499</v>
      </c>
      <c r="AO220" s="2">
        <v>0.27387222909891601</v>
      </c>
      <c r="AP220" s="2">
        <v>0.27387222909891601</v>
      </c>
      <c r="AQ220" s="2">
        <v>1</v>
      </c>
      <c r="AR220" s="2">
        <v>3</v>
      </c>
      <c r="AS220" s="2">
        <v>0</v>
      </c>
      <c r="AT220" s="2">
        <v>0</v>
      </c>
      <c r="AU220" s="2">
        <v>1</v>
      </c>
      <c r="AV220" s="2">
        <v>39</v>
      </c>
      <c r="AW220" s="2">
        <v>0</v>
      </c>
      <c r="AX220" s="2">
        <v>0</v>
      </c>
      <c r="AY220" s="2">
        <v>15.3</v>
      </c>
      <c r="AZ220" s="2">
        <v>9.8000000000000007</v>
      </c>
      <c r="BA220" s="2">
        <v>29.7</v>
      </c>
      <c r="BB220" s="2">
        <v>564</v>
      </c>
      <c r="BC220" s="2">
        <v>68</v>
      </c>
      <c r="BD220" s="2">
        <v>1.8</v>
      </c>
      <c r="BE220" s="2">
        <v>43</v>
      </c>
      <c r="BF220" s="2">
        <v>25.4</v>
      </c>
      <c r="BG220" s="2">
        <v>162</v>
      </c>
      <c r="BH220" s="2">
        <v>9.1</v>
      </c>
      <c r="BI220" s="2">
        <v>9.1999999999999993</v>
      </c>
      <c r="BJ220" s="2">
        <v>18.3</v>
      </c>
      <c r="BK220" s="2">
        <v>0.34</v>
      </c>
      <c r="BL220" s="2">
        <v>7.3</v>
      </c>
      <c r="BM220" s="2">
        <v>0.9</v>
      </c>
      <c r="BN220" s="2">
        <v>7.5</v>
      </c>
      <c r="BO220" s="2">
        <v>2.9</v>
      </c>
      <c r="BP220" s="2">
        <f t="shared" si="6"/>
        <v>8.1549897959401374</v>
      </c>
      <c r="BQ220" s="2">
        <f t="shared" si="7"/>
        <v>27.168411938773897</v>
      </c>
    </row>
    <row r="221" spans="1:69" x14ac:dyDescent="0.2">
      <c r="A221" s="2" t="s">
        <v>2488</v>
      </c>
      <c r="B221" s="2" t="s">
        <v>47</v>
      </c>
      <c r="C221" s="2" t="s">
        <v>1935</v>
      </c>
      <c r="D221" s="2" t="s">
        <v>49</v>
      </c>
      <c r="E221" s="2" t="s">
        <v>1703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89</v>
      </c>
      <c r="L221" s="6" t="s">
        <v>141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2489</v>
      </c>
      <c r="R221" s="2">
        <v>6631578.9469999997</v>
      </c>
      <c r="S221" s="2">
        <v>0</v>
      </c>
      <c r="T221" s="2" t="s">
        <v>130</v>
      </c>
      <c r="U221" s="2" t="s">
        <v>131</v>
      </c>
      <c r="V221" s="2" t="s">
        <v>56</v>
      </c>
      <c r="W221" s="2" t="s">
        <v>98</v>
      </c>
      <c r="X221" s="2" t="s">
        <v>132</v>
      </c>
      <c r="Y221" s="2">
        <v>3.0127393472225399</v>
      </c>
      <c r="Z221" s="2">
        <v>3012.7393472225399</v>
      </c>
      <c r="AA221" s="2">
        <v>4.7837500000000004</v>
      </c>
      <c r="AB221" s="2">
        <v>-74.044138888888895</v>
      </c>
      <c r="AC221" s="2">
        <v>2580</v>
      </c>
      <c r="AD221" s="2">
        <v>0</v>
      </c>
      <c r="AE221" s="2" t="s">
        <v>133</v>
      </c>
      <c r="AF221" s="2" t="s">
        <v>86</v>
      </c>
      <c r="AG221" s="2" t="s">
        <v>61</v>
      </c>
      <c r="AH221" s="2" t="s">
        <v>62</v>
      </c>
      <c r="AI221" s="2" t="s">
        <v>100</v>
      </c>
      <c r="AJ221" s="2">
        <v>1.99217033229164</v>
      </c>
      <c r="AK221" s="2">
        <v>4.1553341229734899</v>
      </c>
      <c r="AL221" s="2">
        <v>1.5109710873370701</v>
      </c>
      <c r="AM221" s="2">
        <v>0.50121330975045797</v>
      </c>
      <c r="AN221" s="2">
        <v>3.5394076284362002</v>
      </c>
      <c r="AO221" s="2">
        <v>1.1287310531034401E-2</v>
      </c>
      <c r="AP221" s="2">
        <v>1.1287310531034401E-2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5</v>
      </c>
      <c r="AW221" s="2">
        <v>0</v>
      </c>
      <c r="AX221" s="2">
        <v>1</v>
      </c>
      <c r="AY221" s="2">
        <v>15.3</v>
      </c>
      <c r="AZ221" s="2">
        <v>9.8000000000000007</v>
      </c>
      <c r="BA221" s="2">
        <v>29.7</v>
      </c>
      <c r="BB221" s="2">
        <v>564</v>
      </c>
      <c r="BC221" s="2">
        <v>68</v>
      </c>
      <c r="BD221" s="2">
        <v>1.8</v>
      </c>
      <c r="BE221" s="2">
        <v>43</v>
      </c>
      <c r="BF221" s="2">
        <v>25.4</v>
      </c>
      <c r="BG221" s="2">
        <v>162</v>
      </c>
      <c r="BH221" s="2">
        <v>9.1</v>
      </c>
      <c r="BI221" s="2">
        <v>9.1999999999999993</v>
      </c>
      <c r="BJ221" s="2">
        <v>18.3</v>
      </c>
      <c r="BK221" s="2">
        <v>0.34</v>
      </c>
      <c r="BL221" s="2">
        <v>7.3</v>
      </c>
      <c r="BM221" s="2">
        <v>0.9</v>
      </c>
      <c r="BN221" s="2">
        <v>7.5</v>
      </c>
      <c r="BO221" s="2">
        <v>2.9</v>
      </c>
      <c r="BP221" s="2">
        <f t="shared" si="6"/>
        <v>8.4422747124571487</v>
      </c>
      <c r="BQ221" s="2">
        <f t="shared" si="7"/>
        <v>27.628319112110855</v>
      </c>
    </row>
    <row r="222" spans="1:69" x14ac:dyDescent="0.2">
      <c r="A222" s="2" t="s">
        <v>2375</v>
      </c>
      <c r="B222" s="2" t="s">
        <v>47</v>
      </c>
      <c r="C222" s="2" t="s">
        <v>1935</v>
      </c>
      <c r="D222" s="2" t="s">
        <v>49</v>
      </c>
      <c r="E222" s="2" t="s">
        <v>246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89</v>
      </c>
      <c r="L222" s="6" t="s">
        <v>103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2376</v>
      </c>
      <c r="R222" s="2">
        <v>6421052.6320000002</v>
      </c>
      <c r="S222" s="2">
        <v>0</v>
      </c>
      <c r="T222" s="2" t="s">
        <v>130</v>
      </c>
      <c r="U222" s="2" t="s">
        <v>131</v>
      </c>
      <c r="V222" s="2" t="s">
        <v>56</v>
      </c>
      <c r="W222" s="2" t="s">
        <v>98</v>
      </c>
      <c r="X222" s="2" t="s">
        <v>132</v>
      </c>
      <c r="Y222" s="2">
        <v>1.8459420270606299</v>
      </c>
      <c r="Z222" s="2">
        <v>1845.9420270606299</v>
      </c>
      <c r="AA222" s="2">
        <v>4.7837500000000004</v>
      </c>
      <c r="AB222" s="2">
        <v>-74.044138888888895</v>
      </c>
      <c r="AC222" s="2">
        <v>2580</v>
      </c>
      <c r="AD222" s="2">
        <v>0</v>
      </c>
      <c r="AE222" s="2" t="s">
        <v>133</v>
      </c>
      <c r="AF222" s="2" t="s">
        <v>86</v>
      </c>
      <c r="AG222" s="2" t="s">
        <v>61</v>
      </c>
      <c r="AH222" s="2" t="s">
        <v>62</v>
      </c>
      <c r="AI222" s="2" t="s">
        <v>100</v>
      </c>
      <c r="AJ222" s="2">
        <v>2.9114436023930099</v>
      </c>
      <c r="AK222" s="2">
        <v>2.7469534235438799</v>
      </c>
      <c r="AL222" s="2">
        <v>1.8165562989067601</v>
      </c>
      <c r="AM222" s="2">
        <v>2.1857132931166001</v>
      </c>
      <c r="AN222" s="2">
        <v>6.0349730126462298</v>
      </c>
      <c r="AO222" s="2">
        <v>0.85609003953282703</v>
      </c>
      <c r="AP222" s="2">
        <v>0.85609003953282703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>
        <v>15.3</v>
      </c>
      <c r="AZ222" s="2">
        <v>9.8000000000000007</v>
      </c>
      <c r="BA222" s="2">
        <v>29.7</v>
      </c>
      <c r="BB222" s="2">
        <v>564</v>
      </c>
      <c r="BC222" s="2">
        <v>68</v>
      </c>
      <c r="BD222" s="2">
        <v>1.8</v>
      </c>
      <c r="BE222" s="2">
        <v>43</v>
      </c>
      <c r="BF222" s="2">
        <v>25.4</v>
      </c>
      <c r="BG222" s="2">
        <v>162</v>
      </c>
      <c r="BH222" s="2">
        <v>9.1</v>
      </c>
      <c r="BI222" s="2">
        <v>9.1999999999999993</v>
      </c>
      <c r="BJ222" s="2">
        <v>18.3</v>
      </c>
      <c r="BK222" s="2">
        <v>0.34</v>
      </c>
      <c r="BL222" s="2">
        <v>7.3</v>
      </c>
      <c r="BM222" s="2">
        <v>0.9</v>
      </c>
      <c r="BN222" s="2">
        <v>7.5</v>
      </c>
      <c r="BO222" s="2">
        <v>2.9</v>
      </c>
      <c r="BP222" s="2">
        <f t="shared" si="6"/>
        <v>8.9442266342100982</v>
      </c>
      <c r="BQ222" s="2">
        <f t="shared" si="7"/>
        <v>28.412933236549996</v>
      </c>
    </row>
    <row r="223" spans="1:69" x14ac:dyDescent="0.2">
      <c r="A223" s="2" t="s">
        <v>3009</v>
      </c>
      <c r="B223" s="2" t="s">
        <v>47</v>
      </c>
      <c r="C223" s="2" t="s">
        <v>1935</v>
      </c>
      <c r="D223" s="2" t="s">
        <v>49</v>
      </c>
      <c r="E223" s="2" t="s">
        <v>246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89</v>
      </c>
      <c r="L223" s="6" t="s">
        <v>141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3010</v>
      </c>
      <c r="R223" s="2">
        <v>4684210.5259999996</v>
      </c>
      <c r="S223" s="2">
        <v>0</v>
      </c>
      <c r="T223" s="2" t="s">
        <v>96</v>
      </c>
      <c r="U223" s="2" t="s">
        <v>97</v>
      </c>
      <c r="V223" s="2" t="s">
        <v>56</v>
      </c>
      <c r="W223" s="2" t="s">
        <v>98</v>
      </c>
      <c r="X223" s="2" t="s">
        <v>99</v>
      </c>
      <c r="Y223" s="2">
        <v>2.1077245945301302</v>
      </c>
      <c r="Z223" s="2">
        <v>2107.7245945301302</v>
      </c>
      <c r="AA223" s="2">
        <v>4.73719444444444</v>
      </c>
      <c r="AB223" s="2">
        <v>-74.069472222222203</v>
      </c>
      <c r="AC223" s="2">
        <v>2555</v>
      </c>
      <c r="AD223" s="2">
        <v>0</v>
      </c>
      <c r="AE223" s="2" t="s">
        <v>59</v>
      </c>
      <c r="AF223" s="2" t="s">
        <v>86</v>
      </c>
      <c r="AG223" s="2" t="s">
        <v>61</v>
      </c>
      <c r="AH223" s="2" t="s">
        <v>62</v>
      </c>
      <c r="AI223" s="2" t="s">
        <v>100</v>
      </c>
      <c r="AJ223" s="2">
        <v>2.5810246551867202</v>
      </c>
      <c r="AK223" s="2">
        <v>4.3009854849078701</v>
      </c>
      <c r="AL223" s="2">
        <v>1.8585215137100299</v>
      </c>
      <c r="AM223" s="2">
        <v>0.585010149575375</v>
      </c>
      <c r="AN223" s="2">
        <v>2.3469263076964699</v>
      </c>
      <c r="AO223" s="2">
        <v>7.6888103817429497E-3</v>
      </c>
      <c r="AP223" s="2">
        <v>7.6888103817429497E-3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13</v>
      </c>
      <c r="AW223" s="2">
        <v>0</v>
      </c>
      <c r="AX223" s="2">
        <v>1</v>
      </c>
      <c r="AY223" s="2">
        <v>15.3</v>
      </c>
      <c r="AZ223" s="2">
        <v>9.8000000000000007</v>
      </c>
      <c r="BA223" s="2">
        <v>29.7</v>
      </c>
      <c r="BB223" s="2">
        <v>564</v>
      </c>
      <c r="BC223" s="2">
        <v>68</v>
      </c>
      <c r="BD223" s="2">
        <v>1.8</v>
      </c>
      <c r="BE223" s="2">
        <v>43</v>
      </c>
      <c r="BF223" s="2">
        <v>25.4</v>
      </c>
      <c r="BG223" s="2">
        <v>162</v>
      </c>
      <c r="BH223" s="2">
        <v>9.1</v>
      </c>
      <c r="BI223" s="2">
        <v>9.1999999999999993</v>
      </c>
      <c r="BJ223" s="2">
        <v>18.3</v>
      </c>
      <c r="BK223" s="2">
        <v>0.34</v>
      </c>
      <c r="BL223" s="2">
        <v>7.3</v>
      </c>
      <c r="BM223" s="2">
        <v>0.9</v>
      </c>
      <c r="BN223" s="2">
        <v>7.5</v>
      </c>
      <c r="BO223" s="2">
        <v>2.9</v>
      </c>
      <c r="BP223" s="2">
        <f t="shared" si="6"/>
        <v>8.8290729307357108</v>
      </c>
      <c r="BQ223" s="2">
        <f t="shared" si="7"/>
        <v>28.23498058604789</v>
      </c>
    </row>
    <row r="224" spans="1:69" x14ac:dyDescent="0.2">
      <c r="A224" s="2" t="s">
        <v>1986</v>
      </c>
      <c r="B224" s="2" t="s">
        <v>47</v>
      </c>
      <c r="C224" s="2" t="s">
        <v>1935</v>
      </c>
      <c r="D224" s="2" t="s">
        <v>49</v>
      </c>
      <c r="E224" s="2" t="s">
        <v>1567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89</v>
      </c>
      <c r="L224" s="6" t="s">
        <v>103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1987</v>
      </c>
      <c r="R224" s="2">
        <v>6613756.6140000001</v>
      </c>
      <c r="S224" s="2">
        <v>0</v>
      </c>
      <c r="T224" s="2" t="s">
        <v>130</v>
      </c>
      <c r="U224" s="2" t="s">
        <v>131</v>
      </c>
      <c r="V224" s="2" t="s">
        <v>56</v>
      </c>
      <c r="W224" s="2" t="s">
        <v>98</v>
      </c>
      <c r="X224" s="2" t="s">
        <v>132</v>
      </c>
      <c r="Y224" s="2">
        <v>3.68748649960598</v>
      </c>
      <c r="Z224" s="2">
        <v>3687.48649960598</v>
      </c>
      <c r="AA224" s="2">
        <v>4.7837500000000004</v>
      </c>
      <c r="AB224" s="2">
        <v>-74.044138888888895</v>
      </c>
      <c r="AC224" s="2">
        <v>2580</v>
      </c>
      <c r="AD224" s="2">
        <v>0</v>
      </c>
      <c r="AE224" s="2" t="s">
        <v>133</v>
      </c>
      <c r="AF224" s="2" t="s">
        <v>86</v>
      </c>
      <c r="AG224" s="2" t="s">
        <v>61</v>
      </c>
      <c r="AH224" s="2" t="s">
        <v>62</v>
      </c>
      <c r="AI224" s="2" t="s">
        <v>100</v>
      </c>
      <c r="AJ224" s="2">
        <v>4.7292455351642797</v>
      </c>
      <c r="AK224" s="2">
        <v>0.91214576968735905</v>
      </c>
      <c r="AL224" s="2">
        <v>2.92834642743804</v>
      </c>
      <c r="AM224" s="2">
        <v>1.01129049368951</v>
      </c>
      <c r="AN224" s="2">
        <v>6.5360308208408</v>
      </c>
      <c r="AO224" s="2">
        <v>2.2443034556205599</v>
      </c>
      <c r="AP224" s="2">
        <v>2.2443034556205599</v>
      </c>
      <c r="AQ224" s="2">
        <v>0</v>
      </c>
      <c r="AR224" s="2">
        <v>0</v>
      </c>
      <c r="AS224" s="2">
        <v>0</v>
      </c>
      <c r="AT224" s="2">
        <v>1</v>
      </c>
      <c r="AU224" s="2">
        <v>0</v>
      </c>
      <c r="AV224" s="2">
        <v>0</v>
      </c>
      <c r="AW224" s="2">
        <v>0</v>
      </c>
      <c r="AX224" s="2">
        <v>0</v>
      </c>
      <c r="AY224" s="2">
        <v>15.3</v>
      </c>
      <c r="AZ224" s="2">
        <v>9.8000000000000007</v>
      </c>
      <c r="BA224" s="2">
        <v>29.7</v>
      </c>
      <c r="BB224" s="2">
        <v>564</v>
      </c>
      <c r="BC224" s="2">
        <v>68</v>
      </c>
      <c r="BD224" s="2">
        <v>1.8</v>
      </c>
      <c r="BE224" s="2">
        <v>43</v>
      </c>
      <c r="BF224" s="2">
        <v>25.4</v>
      </c>
      <c r="BG224" s="2">
        <v>162</v>
      </c>
      <c r="BH224" s="2">
        <v>9.1</v>
      </c>
      <c r="BI224" s="2">
        <v>9.1999999999999993</v>
      </c>
      <c r="BJ224" s="2">
        <v>18.3</v>
      </c>
      <c r="BK224" s="2">
        <v>0.34</v>
      </c>
      <c r="BL224" s="2">
        <v>7.3</v>
      </c>
      <c r="BM224" s="2">
        <v>0.9</v>
      </c>
      <c r="BN224" s="2">
        <v>7.5</v>
      </c>
      <c r="BO224" s="2">
        <v>2.9</v>
      </c>
      <c r="BP224" s="2">
        <f t="shared" si="6"/>
        <v>8.1649598080791304</v>
      </c>
      <c r="BQ224" s="2">
        <f t="shared" si="7"/>
        <v>27.184511196896398</v>
      </c>
    </row>
    <row r="225" spans="1:69" x14ac:dyDescent="0.2">
      <c r="A225" s="2" t="s">
        <v>1980</v>
      </c>
      <c r="B225" s="2" t="s">
        <v>47</v>
      </c>
      <c r="C225" s="2" t="s">
        <v>1935</v>
      </c>
      <c r="D225" s="2" t="s">
        <v>49</v>
      </c>
      <c r="E225" s="2" t="s">
        <v>1567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89</v>
      </c>
      <c r="L225" s="6" t="s">
        <v>103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1981</v>
      </c>
      <c r="R225" s="2">
        <v>6613756.6140000001</v>
      </c>
      <c r="S225" s="2">
        <v>0</v>
      </c>
      <c r="T225" s="2" t="s">
        <v>130</v>
      </c>
      <c r="U225" s="2" t="s">
        <v>131</v>
      </c>
      <c r="V225" s="2" t="s">
        <v>56</v>
      </c>
      <c r="W225" s="2" t="s">
        <v>98</v>
      </c>
      <c r="X225" s="2" t="s">
        <v>132</v>
      </c>
      <c r="Y225" s="2">
        <v>3.5025681294718498</v>
      </c>
      <c r="Z225" s="2">
        <v>3502.5681294718502</v>
      </c>
      <c r="AA225" s="2">
        <v>4.7837500000000004</v>
      </c>
      <c r="AB225" s="2">
        <v>-74.044138888888895</v>
      </c>
      <c r="AC225" s="2">
        <v>2580</v>
      </c>
      <c r="AD225" s="2">
        <v>0</v>
      </c>
      <c r="AE225" s="2" t="s">
        <v>133</v>
      </c>
      <c r="AF225" s="2" t="s">
        <v>86</v>
      </c>
      <c r="AG225" s="2" t="s">
        <v>61</v>
      </c>
      <c r="AH225" s="2" t="s">
        <v>62</v>
      </c>
      <c r="AI225" s="2" t="s">
        <v>100</v>
      </c>
      <c r="AJ225" s="2">
        <v>4.6396870211077799</v>
      </c>
      <c r="AK225" s="2">
        <v>1.01807335943719</v>
      </c>
      <c r="AL225" s="2">
        <v>2.6182647166667099</v>
      </c>
      <c r="AM225" s="2">
        <v>1.3406266469619601</v>
      </c>
      <c r="AN225" s="2">
        <v>6.76291041323325</v>
      </c>
      <c r="AO225" s="2">
        <v>1.9941339011497801</v>
      </c>
      <c r="AP225" s="2">
        <v>1.9941339011497801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>
        <v>15.3</v>
      </c>
      <c r="AZ225" s="2">
        <v>9.8000000000000007</v>
      </c>
      <c r="BA225" s="2">
        <v>29.7</v>
      </c>
      <c r="BB225" s="2">
        <v>564</v>
      </c>
      <c r="BC225" s="2">
        <v>68</v>
      </c>
      <c r="BD225" s="2">
        <v>1.8</v>
      </c>
      <c r="BE225" s="2">
        <v>43</v>
      </c>
      <c r="BF225" s="2">
        <v>25.4</v>
      </c>
      <c r="BG225" s="2">
        <v>162</v>
      </c>
      <c r="BH225" s="2">
        <v>9.1</v>
      </c>
      <c r="BI225" s="2">
        <v>9.1999999999999993</v>
      </c>
      <c r="BJ225" s="2">
        <v>18.3</v>
      </c>
      <c r="BK225" s="2">
        <v>0.34</v>
      </c>
      <c r="BL225" s="2">
        <v>7.3</v>
      </c>
      <c r="BM225" s="2">
        <v>0.9</v>
      </c>
      <c r="BN225" s="2">
        <v>7.5</v>
      </c>
      <c r="BO225" s="2">
        <v>2.9</v>
      </c>
      <c r="BP225" s="2">
        <f t="shared" si="6"/>
        <v>8.2400405355131277</v>
      </c>
      <c r="BQ225" s="2">
        <f t="shared" si="7"/>
        <v>27.305425281341279</v>
      </c>
    </row>
    <row r="226" spans="1:69" x14ac:dyDescent="0.2">
      <c r="A226" s="2" t="s">
        <v>2000</v>
      </c>
      <c r="B226" s="2" t="s">
        <v>47</v>
      </c>
      <c r="C226" s="2" t="s">
        <v>1935</v>
      </c>
      <c r="D226" s="2" t="s">
        <v>49</v>
      </c>
      <c r="E226" s="2" t="s">
        <v>1567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89</v>
      </c>
      <c r="L226" s="6" t="s">
        <v>103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2001</v>
      </c>
      <c r="R226" s="2">
        <v>5291005.2910000002</v>
      </c>
      <c r="S226" s="2">
        <v>0</v>
      </c>
      <c r="T226" s="2" t="s">
        <v>130</v>
      </c>
      <c r="U226" s="2" t="s">
        <v>131</v>
      </c>
      <c r="V226" s="2" t="s">
        <v>56</v>
      </c>
      <c r="W226" s="2" t="s">
        <v>98</v>
      </c>
      <c r="X226" s="2" t="s">
        <v>132</v>
      </c>
      <c r="Y226" s="2">
        <v>3.71665467420747</v>
      </c>
      <c r="Z226" s="2">
        <v>3716.6546742074702</v>
      </c>
      <c r="AA226" s="2">
        <v>4.7837500000000004</v>
      </c>
      <c r="AB226" s="2">
        <v>-74.044138888888895</v>
      </c>
      <c r="AC226" s="2">
        <v>2580</v>
      </c>
      <c r="AD226" s="2">
        <v>0</v>
      </c>
      <c r="AE226" s="2" t="s">
        <v>133</v>
      </c>
      <c r="AF226" s="2" t="s">
        <v>86</v>
      </c>
      <c r="AG226" s="2" t="s">
        <v>61</v>
      </c>
      <c r="AH226" s="2" t="s">
        <v>62</v>
      </c>
      <c r="AI226" s="2" t="s">
        <v>100</v>
      </c>
      <c r="AJ226" s="2">
        <v>4.7900787504893296</v>
      </c>
      <c r="AK226" s="2">
        <v>0.84384938832921597</v>
      </c>
      <c r="AL226" s="2">
        <v>2.8979209628964102</v>
      </c>
      <c r="AM226" s="2">
        <v>1.11843236761011</v>
      </c>
      <c r="AN226" s="2">
        <v>6.6525565572955196</v>
      </c>
      <c r="AO226" s="2">
        <v>2.2450882786661999</v>
      </c>
      <c r="AP226" s="2">
        <v>2.2450882786661999</v>
      </c>
      <c r="AQ226" s="2">
        <v>0</v>
      </c>
      <c r="AR226" s="2">
        <v>0</v>
      </c>
      <c r="AS226" s="2">
        <v>0</v>
      </c>
      <c r="AT226" s="2">
        <v>1</v>
      </c>
      <c r="AU226" s="2">
        <v>0</v>
      </c>
      <c r="AV226" s="2">
        <v>0</v>
      </c>
      <c r="AW226" s="2">
        <v>0</v>
      </c>
      <c r="AX226" s="2">
        <v>0</v>
      </c>
      <c r="AY226" s="2">
        <v>15.3</v>
      </c>
      <c r="AZ226" s="2">
        <v>9.8000000000000007</v>
      </c>
      <c r="BA226" s="2">
        <v>29.7</v>
      </c>
      <c r="BB226" s="2">
        <v>564</v>
      </c>
      <c r="BC226" s="2">
        <v>68</v>
      </c>
      <c r="BD226" s="2">
        <v>1.8</v>
      </c>
      <c r="BE226" s="2">
        <v>43</v>
      </c>
      <c r="BF226" s="2">
        <v>25.4</v>
      </c>
      <c r="BG226" s="2">
        <v>162</v>
      </c>
      <c r="BH226" s="2">
        <v>9.1</v>
      </c>
      <c r="BI226" s="2">
        <v>9.1999999999999993</v>
      </c>
      <c r="BJ226" s="2">
        <v>18.3</v>
      </c>
      <c r="BK226" s="2">
        <v>0.34</v>
      </c>
      <c r="BL226" s="2">
        <v>7.3</v>
      </c>
      <c r="BM226" s="2">
        <v>0.9</v>
      </c>
      <c r="BN226" s="2">
        <v>7.5</v>
      </c>
      <c r="BO226" s="2">
        <v>2.9</v>
      </c>
      <c r="BP226" s="2">
        <f t="shared" si="6"/>
        <v>8.1531795442650239</v>
      </c>
      <c r="BQ226" s="2">
        <f t="shared" si="7"/>
        <v>27.165487714579182</v>
      </c>
    </row>
    <row r="227" spans="1:69" x14ac:dyDescent="0.2">
      <c r="A227" s="2" t="s">
        <v>3237</v>
      </c>
      <c r="B227" s="2" t="s">
        <v>47</v>
      </c>
      <c r="C227" s="2" t="s">
        <v>1935</v>
      </c>
      <c r="D227" s="2" t="s">
        <v>49</v>
      </c>
      <c r="E227" s="2" t="s">
        <v>1567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89</v>
      </c>
      <c r="L227" s="6" t="s">
        <v>103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3238</v>
      </c>
      <c r="R227" s="2">
        <v>5319148.9359999998</v>
      </c>
      <c r="S227" s="2">
        <v>0</v>
      </c>
      <c r="T227" s="2" t="s">
        <v>130</v>
      </c>
      <c r="U227" s="2" t="s">
        <v>131</v>
      </c>
      <c r="V227" s="2" t="s">
        <v>56</v>
      </c>
      <c r="W227" s="2" t="s">
        <v>98</v>
      </c>
      <c r="X227" s="2" t="s">
        <v>132</v>
      </c>
      <c r="Y227" s="2">
        <v>3.7163821568160902</v>
      </c>
      <c r="Z227" s="2">
        <v>3716.3821568160902</v>
      </c>
      <c r="AA227" s="2">
        <v>4.7837500000000004</v>
      </c>
      <c r="AB227" s="2">
        <v>-74.044138888888895</v>
      </c>
      <c r="AC227" s="2">
        <v>2580</v>
      </c>
      <c r="AD227" s="2">
        <v>0</v>
      </c>
      <c r="AE227" s="2" t="s">
        <v>133</v>
      </c>
      <c r="AF227" s="2" t="s">
        <v>86</v>
      </c>
      <c r="AG227" s="2" t="s">
        <v>61</v>
      </c>
      <c r="AH227" s="2" t="s">
        <v>62</v>
      </c>
      <c r="AI227" s="2" t="s">
        <v>100</v>
      </c>
      <c r="AJ227" s="2">
        <v>4.7897410542473997</v>
      </c>
      <c r="AK227" s="2">
        <v>0.84419079927652396</v>
      </c>
      <c r="AL227" s="2">
        <v>2.89781564545682</v>
      </c>
      <c r="AM227" s="2">
        <v>1.11819758850741</v>
      </c>
      <c r="AN227" s="2">
        <v>6.65221563245845</v>
      </c>
      <c r="AO227" s="2">
        <v>2.2448864016089098</v>
      </c>
      <c r="AP227" s="2">
        <v>2.2448864016089098</v>
      </c>
      <c r="AQ227" s="2">
        <v>0</v>
      </c>
      <c r="AR227" s="2">
        <v>0</v>
      </c>
      <c r="AS227" s="2">
        <v>0</v>
      </c>
      <c r="AT227" s="2">
        <v>1</v>
      </c>
      <c r="AU227" s="2">
        <v>0</v>
      </c>
      <c r="AV227" s="2">
        <v>0</v>
      </c>
      <c r="AW227" s="2">
        <v>0</v>
      </c>
      <c r="AX227" s="2">
        <v>0</v>
      </c>
      <c r="AY227" s="2">
        <v>15.3</v>
      </c>
      <c r="AZ227" s="2">
        <v>9.8000000000000007</v>
      </c>
      <c r="BA227" s="2">
        <v>29.7</v>
      </c>
      <c r="BB227" s="2">
        <v>564</v>
      </c>
      <c r="BC227" s="2">
        <v>68</v>
      </c>
      <c r="BD227" s="2">
        <v>1.8</v>
      </c>
      <c r="BE227" s="2">
        <v>43</v>
      </c>
      <c r="BF227" s="2">
        <v>25.4</v>
      </c>
      <c r="BG227" s="2">
        <v>162</v>
      </c>
      <c r="BH227" s="2">
        <v>9.1</v>
      </c>
      <c r="BI227" s="2">
        <v>9.1999999999999993</v>
      </c>
      <c r="BJ227" s="2">
        <v>18.3</v>
      </c>
      <c r="BK227" s="2">
        <v>0.34</v>
      </c>
      <c r="BL227" s="2">
        <v>7.3</v>
      </c>
      <c r="BM227" s="2">
        <v>0.9</v>
      </c>
      <c r="BN227" s="2">
        <v>7.5</v>
      </c>
      <c r="BO227" s="2">
        <v>2.9</v>
      </c>
      <c r="BP227" s="2">
        <f t="shared" si="6"/>
        <v>8.1532895282262743</v>
      </c>
      <c r="BQ227" s="2">
        <f t="shared" si="7"/>
        <v>27.165665388788554</v>
      </c>
    </row>
    <row r="228" spans="1:69" x14ac:dyDescent="0.2">
      <c r="A228" s="2" t="s">
        <v>855</v>
      </c>
      <c r="B228" s="2" t="s">
        <v>47</v>
      </c>
      <c r="C228" s="2" t="s">
        <v>48</v>
      </c>
      <c r="D228" s="2" t="s">
        <v>49</v>
      </c>
      <c r="E228" s="2" t="s">
        <v>328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89</v>
      </c>
      <c r="L228" s="6" t="s">
        <v>141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856</v>
      </c>
      <c r="R228" s="2">
        <v>5533115.6969999997</v>
      </c>
      <c r="S228" s="2">
        <v>0</v>
      </c>
      <c r="T228" s="2" t="s">
        <v>96</v>
      </c>
      <c r="U228" s="2" t="s">
        <v>97</v>
      </c>
      <c r="V228" s="2" t="s">
        <v>56</v>
      </c>
      <c r="W228" s="2" t="s">
        <v>98</v>
      </c>
      <c r="X228" s="2" t="s">
        <v>99</v>
      </c>
      <c r="Y228" s="2">
        <v>0.82083695779694499</v>
      </c>
      <c r="Z228" s="2">
        <v>820.83695779694494</v>
      </c>
      <c r="AA228" s="2">
        <v>4.73719444444444</v>
      </c>
      <c r="AB228" s="2">
        <v>-74.069472222222203</v>
      </c>
      <c r="AC228" s="2">
        <v>2555</v>
      </c>
      <c r="AD228" s="2">
        <v>0</v>
      </c>
      <c r="AE228" s="2" t="s">
        <v>59</v>
      </c>
      <c r="AF228" s="2" t="s">
        <v>86</v>
      </c>
      <c r="AG228" s="2" t="s">
        <v>61</v>
      </c>
      <c r="AH228" s="2" t="s">
        <v>62</v>
      </c>
      <c r="AI228" s="2" t="s">
        <v>100</v>
      </c>
      <c r="AJ228" s="2">
        <v>0.63124085023128396</v>
      </c>
      <c r="AK228" s="2">
        <v>5.2740734828074904</v>
      </c>
      <c r="AL228" s="2">
        <v>1.85479003696849</v>
      </c>
      <c r="AM228" s="2">
        <v>0.82567854276744901</v>
      </c>
      <c r="AN228" s="2">
        <v>1.4137954585611501</v>
      </c>
      <c r="AO228" s="2">
        <v>0.116237467374137</v>
      </c>
      <c r="AP228" s="2">
        <v>0.116237467374137</v>
      </c>
      <c r="AQ228" s="2">
        <v>0</v>
      </c>
      <c r="AR228" s="2">
        <v>2</v>
      </c>
      <c r="AS228" s="2">
        <v>0</v>
      </c>
      <c r="AT228" s="2">
        <v>0</v>
      </c>
      <c r="AU228" s="2">
        <v>0</v>
      </c>
      <c r="AV228" s="2">
        <v>7</v>
      </c>
      <c r="AW228" s="2">
        <v>0</v>
      </c>
      <c r="AX228" s="2">
        <v>0</v>
      </c>
      <c r="AY228" s="2">
        <v>15.3</v>
      </c>
      <c r="AZ228" s="2">
        <v>9.8000000000000007</v>
      </c>
      <c r="BA228" s="2">
        <v>29.7</v>
      </c>
      <c r="BB228" s="2">
        <v>564</v>
      </c>
      <c r="BC228" s="2">
        <v>68</v>
      </c>
      <c r="BD228" s="2">
        <v>1.8</v>
      </c>
      <c r="BE228" s="2">
        <v>43</v>
      </c>
      <c r="BF228" s="2">
        <v>25.4</v>
      </c>
      <c r="BG228" s="2">
        <v>162</v>
      </c>
      <c r="BH228" s="2">
        <v>9.1</v>
      </c>
      <c r="BI228" s="2">
        <v>9.1999999999999993</v>
      </c>
      <c r="BJ228" s="2">
        <v>18.3</v>
      </c>
      <c r="BK228" s="2">
        <v>0.34</v>
      </c>
      <c r="BL228" s="2">
        <v>7.3</v>
      </c>
      <c r="BM228" s="2">
        <v>0.9</v>
      </c>
      <c r="BN228" s="2">
        <v>7.5</v>
      </c>
      <c r="BO228" s="2">
        <v>2.9</v>
      </c>
      <c r="BP228" s="2">
        <f t="shared" si="6"/>
        <v>9.4097930073852538</v>
      </c>
      <c r="BQ228" s="2">
        <f t="shared" si="7"/>
        <v>29.120632944436039</v>
      </c>
    </row>
    <row r="229" spans="1:69" x14ac:dyDescent="0.2">
      <c r="A229" s="2" t="s">
        <v>1922</v>
      </c>
      <c r="B229" s="2" t="s">
        <v>47</v>
      </c>
      <c r="C229" s="2" t="s">
        <v>48</v>
      </c>
      <c r="D229" s="2" t="s">
        <v>49</v>
      </c>
      <c r="E229" s="2" t="s">
        <v>1746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89</v>
      </c>
      <c r="L229" s="6" t="s">
        <v>103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1923</v>
      </c>
      <c r="R229" s="2">
        <v>6393506.4210000001</v>
      </c>
      <c r="S229" s="2">
        <v>0</v>
      </c>
      <c r="T229" s="2" t="s">
        <v>96</v>
      </c>
      <c r="U229" s="2" t="s">
        <v>97</v>
      </c>
      <c r="V229" s="2" t="s">
        <v>56</v>
      </c>
      <c r="W229" s="2" t="s">
        <v>98</v>
      </c>
      <c r="X229" s="2" t="s">
        <v>99</v>
      </c>
      <c r="Y229" s="2">
        <v>1.7451057298349899</v>
      </c>
      <c r="Z229" s="2">
        <v>1745.1057298349899</v>
      </c>
      <c r="AA229" s="2">
        <v>4.73719444444444</v>
      </c>
      <c r="AB229" s="2">
        <v>-74.069472222222203</v>
      </c>
      <c r="AC229" s="2">
        <v>2555</v>
      </c>
      <c r="AD229" s="2">
        <v>0</v>
      </c>
      <c r="AE229" s="2" t="s">
        <v>59</v>
      </c>
      <c r="AF229" s="2" t="s">
        <v>86</v>
      </c>
      <c r="AG229" s="2" t="s">
        <v>61</v>
      </c>
      <c r="AH229" s="2" t="s">
        <v>62</v>
      </c>
      <c r="AI229" s="2" t="s">
        <v>100</v>
      </c>
      <c r="AJ229" s="2">
        <v>1.0033683699559801</v>
      </c>
      <c r="AK229" s="2">
        <v>4.0483556940102696</v>
      </c>
      <c r="AL229" s="2">
        <v>1.5750121752447399</v>
      </c>
      <c r="AM229" s="2">
        <v>0.36520564830233998</v>
      </c>
      <c r="AN229" s="2">
        <v>3.37489171660184</v>
      </c>
      <c r="AO229" s="2">
        <v>0.18785593072627901</v>
      </c>
      <c r="AP229" s="2">
        <v>0.18785593072627901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16</v>
      </c>
      <c r="AW229" s="2">
        <v>0</v>
      </c>
      <c r="AX229" s="2">
        <v>0</v>
      </c>
      <c r="AY229" s="2">
        <v>15.3</v>
      </c>
      <c r="AZ229" s="2">
        <v>9.8000000000000007</v>
      </c>
      <c r="BA229" s="2">
        <v>29.7</v>
      </c>
      <c r="BB229" s="2">
        <v>564</v>
      </c>
      <c r="BC229" s="2">
        <v>68</v>
      </c>
      <c r="BD229" s="2">
        <v>1.8</v>
      </c>
      <c r="BE229" s="2">
        <v>43</v>
      </c>
      <c r="BF229" s="2">
        <v>25.4</v>
      </c>
      <c r="BG229" s="2">
        <v>162</v>
      </c>
      <c r="BH229" s="2">
        <v>9.1</v>
      </c>
      <c r="BI229" s="2">
        <v>9.1999999999999993</v>
      </c>
      <c r="BJ229" s="2">
        <v>18.3</v>
      </c>
      <c r="BK229" s="2">
        <v>0.34</v>
      </c>
      <c r="BL229" s="2">
        <v>7.3</v>
      </c>
      <c r="BM229" s="2">
        <v>0.9</v>
      </c>
      <c r="BN229" s="2">
        <v>7.5</v>
      </c>
      <c r="BO229" s="2">
        <v>2.9</v>
      </c>
      <c r="BP229" s="2">
        <f t="shared" si="6"/>
        <v>8.9889824216540344</v>
      </c>
      <c r="BQ229" s="2">
        <f t="shared" si="7"/>
        <v>28.481777826893893</v>
      </c>
    </row>
    <row r="230" spans="1:69" x14ac:dyDescent="0.2">
      <c r="A230" s="2" t="s">
        <v>2129</v>
      </c>
      <c r="B230" s="2" t="s">
        <v>47</v>
      </c>
      <c r="C230" s="2" t="s">
        <v>1935</v>
      </c>
      <c r="D230" s="2" t="s">
        <v>49</v>
      </c>
      <c r="E230" s="2" t="s">
        <v>246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89</v>
      </c>
      <c r="L230" s="6" t="s">
        <v>112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2130</v>
      </c>
      <c r="R230" s="2">
        <v>7369318.182</v>
      </c>
      <c r="S230" s="2">
        <v>0</v>
      </c>
      <c r="T230" s="2" t="s">
        <v>130</v>
      </c>
      <c r="U230" s="2" t="s">
        <v>131</v>
      </c>
      <c r="V230" s="2" t="s">
        <v>56</v>
      </c>
      <c r="W230" s="2" t="s">
        <v>98</v>
      </c>
      <c r="X230" s="2" t="s">
        <v>132</v>
      </c>
      <c r="Y230" s="2">
        <v>2.1002188565624702</v>
      </c>
      <c r="Z230" s="2">
        <v>2100.2188565624701</v>
      </c>
      <c r="AA230" s="2">
        <v>4.7837500000000004</v>
      </c>
      <c r="AB230" s="2">
        <v>-74.044138888888895</v>
      </c>
      <c r="AC230" s="2">
        <v>2580</v>
      </c>
      <c r="AD230" s="2">
        <v>0</v>
      </c>
      <c r="AE230" s="2" t="s">
        <v>133</v>
      </c>
      <c r="AF230" s="2" t="s">
        <v>86</v>
      </c>
      <c r="AG230" s="2" t="s">
        <v>61</v>
      </c>
      <c r="AH230" s="2" t="s">
        <v>62</v>
      </c>
      <c r="AI230" s="2" t="s">
        <v>100</v>
      </c>
      <c r="AJ230" s="2">
        <v>3.3914627939464101</v>
      </c>
      <c r="AK230" s="2">
        <v>2.41531329087905</v>
      </c>
      <c r="AL230" s="2">
        <v>1.4455702223675</v>
      </c>
      <c r="AM230" s="2">
        <v>2.2486728413527199</v>
      </c>
      <c r="AN230" s="2">
        <v>6.61445205805627</v>
      </c>
      <c r="AO230" s="2">
        <v>0.60140228220639602</v>
      </c>
      <c r="AP230" s="2">
        <v>0.60140228220639602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>
        <v>15.3</v>
      </c>
      <c r="AZ230" s="2">
        <v>9.8000000000000007</v>
      </c>
      <c r="BA230" s="2">
        <v>29.7</v>
      </c>
      <c r="BB230" s="2">
        <v>564</v>
      </c>
      <c r="BC230" s="2">
        <v>68</v>
      </c>
      <c r="BD230" s="2">
        <v>1.8</v>
      </c>
      <c r="BE230" s="2">
        <v>43</v>
      </c>
      <c r="BF230" s="2">
        <v>25.4</v>
      </c>
      <c r="BG230" s="2">
        <v>162</v>
      </c>
      <c r="BH230" s="2">
        <v>9.1</v>
      </c>
      <c r="BI230" s="2">
        <v>9.1999999999999993</v>
      </c>
      <c r="BJ230" s="2">
        <v>18.3</v>
      </c>
      <c r="BK230" s="2">
        <v>0.34</v>
      </c>
      <c r="BL230" s="2">
        <v>7.3</v>
      </c>
      <c r="BM230" s="2">
        <v>0.9</v>
      </c>
      <c r="BN230" s="2">
        <v>7.5</v>
      </c>
      <c r="BO230" s="2">
        <v>2.9</v>
      </c>
      <c r="BP230" s="2">
        <f t="shared" si="6"/>
        <v>8.832353841224732</v>
      </c>
      <c r="BQ230" s="2">
        <f t="shared" si="7"/>
        <v>28.240067228961465</v>
      </c>
    </row>
    <row r="231" spans="1:69" x14ac:dyDescent="0.2">
      <c r="A231" s="2" t="s">
        <v>944</v>
      </c>
      <c r="B231" s="2" t="s">
        <v>47</v>
      </c>
      <c r="C231" s="2" t="s">
        <v>48</v>
      </c>
      <c r="D231" s="2" t="s">
        <v>49</v>
      </c>
      <c r="E231" s="2" t="s">
        <v>892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89</v>
      </c>
      <c r="L231" s="6" t="s">
        <v>141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945</v>
      </c>
      <c r="R231" s="2">
        <v>7357954.5449999999</v>
      </c>
      <c r="S231" s="2">
        <v>0</v>
      </c>
      <c r="T231" s="2" t="s">
        <v>96</v>
      </c>
      <c r="U231" s="2" t="s">
        <v>97</v>
      </c>
      <c r="V231" s="2" t="s">
        <v>56</v>
      </c>
      <c r="W231" s="2" t="s">
        <v>98</v>
      </c>
      <c r="X231" s="2" t="s">
        <v>99</v>
      </c>
      <c r="Y231" s="2">
        <v>2.7553895160222401</v>
      </c>
      <c r="Z231" s="2">
        <v>2755.3895160222401</v>
      </c>
      <c r="AA231" s="2">
        <v>4.73719444444444</v>
      </c>
      <c r="AB231" s="2">
        <v>-74.069472222222203</v>
      </c>
      <c r="AC231" s="2">
        <v>2555</v>
      </c>
      <c r="AD231" s="2">
        <v>0</v>
      </c>
      <c r="AE231" s="2" t="s">
        <v>59</v>
      </c>
      <c r="AF231" s="2" t="s">
        <v>86</v>
      </c>
      <c r="AG231" s="2" t="s">
        <v>61</v>
      </c>
      <c r="AH231" s="2" t="s">
        <v>62</v>
      </c>
      <c r="AI231" s="2" t="s">
        <v>100</v>
      </c>
      <c r="AJ231" s="2">
        <v>1.04278561932869</v>
      </c>
      <c r="AK231" s="2">
        <v>4.8798650049623502</v>
      </c>
      <c r="AL231" s="2">
        <v>1.2482369393287001</v>
      </c>
      <c r="AM231" s="2">
        <v>0.52396241500997898</v>
      </c>
      <c r="AN231" s="2">
        <v>2.7999825141311998</v>
      </c>
      <c r="AO231" s="2">
        <v>0.32870577670410001</v>
      </c>
      <c r="AP231" s="2">
        <v>0.32870577670410001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6</v>
      </c>
      <c r="AW231" s="2">
        <v>0</v>
      </c>
      <c r="AX231" s="2">
        <v>0</v>
      </c>
      <c r="AY231" s="2">
        <v>15.3</v>
      </c>
      <c r="AZ231" s="2">
        <v>9.8000000000000007</v>
      </c>
      <c r="BA231" s="2">
        <v>29.7</v>
      </c>
      <c r="BB231" s="2">
        <v>564</v>
      </c>
      <c r="BC231" s="2">
        <v>68</v>
      </c>
      <c r="BD231" s="2">
        <v>1.8</v>
      </c>
      <c r="BE231" s="2">
        <v>43</v>
      </c>
      <c r="BF231" s="2">
        <v>25.4</v>
      </c>
      <c r="BG231" s="2">
        <v>162</v>
      </c>
      <c r="BH231" s="2">
        <v>9.1</v>
      </c>
      <c r="BI231" s="2">
        <v>9.1999999999999993</v>
      </c>
      <c r="BJ231" s="2">
        <v>18.3</v>
      </c>
      <c r="BK231" s="2">
        <v>0.34</v>
      </c>
      <c r="BL231" s="2">
        <v>7.3</v>
      </c>
      <c r="BM231" s="2">
        <v>0.9</v>
      </c>
      <c r="BN231" s="2">
        <v>7.5</v>
      </c>
      <c r="BO231" s="2">
        <v>2.9</v>
      </c>
      <c r="BP231" s="2">
        <f t="shared" si="6"/>
        <v>8.5505072154489561</v>
      </c>
      <c r="BQ231" s="2">
        <f t="shared" si="7"/>
        <v>27.79949061769209</v>
      </c>
    </row>
    <row r="232" spans="1:69" x14ac:dyDescent="0.2">
      <c r="A232" s="2" t="s">
        <v>701</v>
      </c>
      <c r="B232" s="2" t="s">
        <v>47</v>
      </c>
      <c r="C232" s="2" t="s">
        <v>48</v>
      </c>
      <c r="D232" s="2" t="s">
        <v>49</v>
      </c>
      <c r="E232" s="2" t="s">
        <v>511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89</v>
      </c>
      <c r="L232" s="6" t="s">
        <v>141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702</v>
      </c>
      <c r="R232" s="2">
        <v>8999259.5549999997</v>
      </c>
      <c r="S232" s="2">
        <v>0</v>
      </c>
      <c r="T232" s="2" t="s">
        <v>96</v>
      </c>
      <c r="U232" s="2" t="s">
        <v>97</v>
      </c>
      <c r="V232" s="2" t="s">
        <v>56</v>
      </c>
      <c r="W232" s="2" t="s">
        <v>98</v>
      </c>
      <c r="X232" s="2" t="s">
        <v>99</v>
      </c>
      <c r="Y232" s="2">
        <v>2.4552080505038698</v>
      </c>
      <c r="Z232" s="2">
        <v>2455.2080505038698</v>
      </c>
      <c r="AA232" s="2">
        <v>4.73719444444444</v>
      </c>
      <c r="AB232" s="2">
        <v>-74.069472222222203</v>
      </c>
      <c r="AC232" s="2">
        <v>2555</v>
      </c>
      <c r="AD232" s="2">
        <v>0</v>
      </c>
      <c r="AE232" s="2" t="s">
        <v>59</v>
      </c>
      <c r="AF232" s="2" t="s">
        <v>86</v>
      </c>
      <c r="AG232" s="2" t="s">
        <v>61</v>
      </c>
      <c r="AH232" s="2" t="s">
        <v>62</v>
      </c>
      <c r="AI232" s="2" t="s">
        <v>100</v>
      </c>
      <c r="AJ232" s="2">
        <v>0.65092317192593996</v>
      </c>
      <c r="AK232" s="2">
        <v>5.2465165171586099</v>
      </c>
      <c r="AL232" s="2">
        <v>0.85015638776680202</v>
      </c>
      <c r="AM232" s="2">
        <v>0.15328535901126999</v>
      </c>
      <c r="AN232" s="2">
        <v>2.75102889499437</v>
      </c>
      <c r="AO232" s="2">
        <v>0.28399613184809103</v>
      </c>
      <c r="AP232" s="2">
        <v>0.28399613184809103</v>
      </c>
      <c r="AQ232" s="2">
        <v>0</v>
      </c>
      <c r="AR232" s="2">
        <v>2</v>
      </c>
      <c r="AS232" s="2">
        <v>0</v>
      </c>
      <c r="AT232" s="2">
        <v>0</v>
      </c>
      <c r="AU232" s="2">
        <v>1</v>
      </c>
      <c r="AV232" s="2">
        <v>21</v>
      </c>
      <c r="AW232" s="2">
        <v>0</v>
      </c>
      <c r="AX232" s="2">
        <v>0</v>
      </c>
      <c r="AY232" s="2">
        <v>15.3</v>
      </c>
      <c r="AZ232" s="2">
        <v>9.8000000000000007</v>
      </c>
      <c r="BA232" s="2">
        <v>29.7</v>
      </c>
      <c r="BB232" s="2">
        <v>564</v>
      </c>
      <c r="BC232" s="2">
        <v>68</v>
      </c>
      <c r="BD232" s="2">
        <v>1.8</v>
      </c>
      <c r="BE232" s="2">
        <v>43</v>
      </c>
      <c r="BF232" s="2">
        <v>25.4</v>
      </c>
      <c r="BG232" s="2">
        <v>162</v>
      </c>
      <c r="BH232" s="2">
        <v>9.1</v>
      </c>
      <c r="BI232" s="2">
        <v>9.1999999999999993</v>
      </c>
      <c r="BJ232" s="2">
        <v>18.3</v>
      </c>
      <c r="BK232" s="2">
        <v>0.34</v>
      </c>
      <c r="BL232" s="2">
        <v>7.3</v>
      </c>
      <c r="BM232" s="2">
        <v>0.9</v>
      </c>
      <c r="BN232" s="2">
        <v>7.5</v>
      </c>
      <c r="BO232" s="2">
        <v>2.9</v>
      </c>
      <c r="BP232" s="2">
        <f t="shared" si="6"/>
        <v>8.6785076761174267</v>
      </c>
      <c r="BQ232" s="2">
        <f t="shared" si="7"/>
        <v>28.000491192106338</v>
      </c>
    </row>
    <row r="233" spans="1:69" x14ac:dyDescent="0.2">
      <c r="A233" s="2" t="s">
        <v>1358</v>
      </c>
      <c r="B233" s="2" t="s">
        <v>47</v>
      </c>
      <c r="C233" s="2" t="s">
        <v>48</v>
      </c>
      <c r="D233" s="2" t="s">
        <v>49</v>
      </c>
      <c r="E233" s="2" t="s">
        <v>1359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89</v>
      </c>
      <c r="L233" s="6" t="s">
        <v>103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1360</v>
      </c>
      <c r="R233" s="2">
        <v>7142857.1430000002</v>
      </c>
      <c r="S233" s="2">
        <v>0</v>
      </c>
      <c r="T233" s="2" t="s">
        <v>96</v>
      </c>
      <c r="U233" s="2" t="s">
        <v>97</v>
      </c>
      <c r="V233" s="2" t="s">
        <v>56</v>
      </c>
      <c r="W233" s="2" t="s">
        <v>98</v>
      </c>
      <c r="X233" s="2" t="s">
        <v>99</v>
      </c>
      <c r="Y233" s="2">
        <v>0.88671121650524398</v>
      </c>
      <c r="Z233" s="2">
        <v>886.71121650524401</v>
      </c>
      <c r="AA233" s="2">
        <v>4.73719444444444</v>
      </c>
      <c r="AB233" s="2">
        <v>-74.069472222222203</v>
      </c>
      <c r="AC233" s="2">
        <v>2555</v>
      </c>
      <c r="AD233" s="2">
        <v>0</v>
      </c>
      <c r="AE233" s="2" t="s">
        <v>59</v>
      </c>
      <c r="AF233" s="2" t="s">
        <v>86</v>
      </c>
      <c r="AG233" s="2" t="s">
        <v>61</v>
      </c>
      <c r="AH233" s="2" t="s">
        <v>62</v>
      </c>
      <c r="AI233" s="2" t="s">
        <v>100</v>
      </c>
      <c r="AJ233" s="2">
        <v>1.7706531786814099</v>
      </c>
      <c r="AK233" s="2">
        <v>5.2869131366024096</v>
      </c>
      <c r="AL233" s="2">
        <v>1.8674251934483199</v>
      </c>
      <c r="AM233" s="2">
        <v>0.62318105288456205</v>
      </c>
      <c r="AN233" s="2">
        <v>1.9437936190826901</v>
      </c>
      <c r="AO233" s="2">
        <v>0.11236527521020299</v>
      </c>
      <c r="AP233" s="2">
        <v>0.11236527521020299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14</v>
      </c>
      <c r="AW233" s="2">
        <v>0</v>
      </c>
      <c r="AX233" s="2">
        <v>0</v>
      </c>
      <c r="AY233" s="2">
        <v>15.3</v>
      </c>
      <c r="AZ233" s="2">
        <v>9.8000000000000007</v>
      </c>
      <c r="BA233" s="2">
        <v>29.7</v>
      </c>
      <c r="BB233" s="2">
        <v>564</v>
      </c>
      <c r="BC233" s="2">
        <v>68</v>
      </c>
      <c r="BD233" s="2">
        <v>1.8</v>
      </c>
      <c r="BE233" s="2">
        <v>43</v>
      </c>
      <c r="BF233" s="2">
        <v>25.4</v>
      </c>
      <c r="BG233" s="2">
        <v>162</v>
      </c>
      <c r="BH233" s="2">
        <v>9.1</v>
      </c>
      <c r="BI233" s="2">
        <v>9.1999999999999993</v>
      </c>
      <c r="BJ233" s="2">
        <v>18.3</v>
      </c>
      <c r="BK233" s="2">
        <v>0.34</v>
      </c>
      <c r="BL233" s="2">
        <v>7.3</v>
      </c>
      <c r="BM233" s="2">
        <v>0.9</v>
      </c>
      <c r="BN233" s="2">
        <v>7.5</v>
      </c>
      <c r="BO233" s="2">
        <v>2.9</v>
      </c>
      <c r="BP233" s="2">
        <f t="shared" si="6"/>
        <v>9.3791597532364666</v>
      </c>
      <c r="BQ233" s="2">
        <f t="shared" si="7"/>
        <v>29.074630116244581</v>
      </c>
    </row>
    <row r="234" spans="1:69" x14ac:dyDescent="0.2">
      <c r="A234" s="2" t="s">
        <v>2170</v>
      </c>
      <c r="B234" s="2" t="s">
        <v>47</v>
      </c>
      <c r="C234" s="2" t="s">
        <v>1935</v>
      </c>
      <c r="D234" s="2" t="s">
        <v>49</v>
      </c>
      <c r="E234" s="2" t="s">
        <v>1582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89</v>
      </c>
      <c r="L234" s="6" t="s">
        <v>103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2171</v>
      </c>
      <c r="R234" s="2">
        <v>4857142.8569999998</v>
      </c>
      <c r="S234" s="2">
        <v>0</v>
      </c>
      <c r="T234" s="2" t="s">
        <v>96</v>
      </c>
      <c r="U234" s="2" t="s">
        <v>97</v>
      </c>
      <c r="V234" s="2" t="s">
        <v>56</v>
      </c>
      <c r="W234" s="2" t="s">
        <v>98</v>
      </c>
      <c r="X234" s="2" t="s">
        <v>99</v>
      </c>
      <c r="Y234" s="2">
        <v>2.6217077789157202</v>
      </c>
      <c r="Z234" s="2">
        <v>2621.7077789157202</v>
      </c>
      <c r="AA234" s="2">
        <v>4.73719444444444</v>
      </c>
      <c r="AB234" s="2">
        <v>-74.069472222222203</v>
      </c>
      <c r="AC234" s="2">
        <v>2555</v>
      </c>
      <c r="AD234" s="2">
        <v>0</v>
      </c>
      <c r="AE234" s="2" t="s">
        <v>59</v>
      </c>
      <c r="AF234" s="2" t="s">
        <v>86</v>
      </c>
      <c r="AG234" s="2" t="s">
        <v>61</v>
      </c>
      <c r="AH234" s="2" t="s">
        <v>62</v>
      </c>
      <c r="AI234" s="2" t="s">
        <v>87</v>
      </c>
      <c r="AJ234" s="2">
        <v>0.35715506484840298</v>
      </c>
      <c r="AK234" s="2">
        <v>2.6718636531469402</v>
      </c>
      <c r="AL234" s="2">
        <v>0.68598438563990904</v>
      </c>
      <c r="AM234" s="2">
        <v>0.37492290694245101</v>
      </c>
      <c r="AN234" s="2">
        <v>2.2989423654052299</v>
      </c>
      <c r="AO234" s="2">
        <v>0.20734208890536299</v>
      </c>
      <c r="AP234" s="2">
        <v>0.20734208890536299</v>
      </c>
      <c r="AQ234" s="2">
        <v>1</v>
      </c>
      <c r="AR234" s="2">
        <v>4</v>
      </c>
      <c r="AS234" s="2">
        <v>0</v>
      </c>
      <c r="AT234" s="2">
        <v>0</v>
      </c>
      <c r="AU234" s="2">
        <v>1</v>
      </c>
      <c r="AV234" s="2">
        <v>31</v>
      </c>
      <c r="AW234" s="2">
        <v>0</v>
      </c>
      <c r="AX234" s="2">
        <v>0</v>
      </c>
      <c r="AY234" s="2">
        <v>15.3</v>
      </c>
      <c r="AZ234" s="2">
        <v>9.8000000000000007</v>
      </c>
      <c r="BA234" s="2">
        <v>29.7</v>
      </c>
      <c r="BB234" s="2">
        <v>564</v>
      </c>
      <c r="BC234" s="2">
        <v>68</v>
      </c>
      <c r="BD234" s="2">
        <v>1.8</v>
      </c>
      <c r="BE234" s="2">
        <v>43</v>
      </c>
      <c r="BF234" s="2">
        <v>25.4</v>
      </c>
      <c r="BG234" s="2">
        <v>162</v>
      </c>
      <c r="BH234" s="2">
        <v>9.1</v>
      </c>
      <c r="BI234" s="2">
        <v>9.1999999999999993</v>
      </c>
      <c r="BJ234" s="2">
        <v>18.3</v>
      </c>
      <c r="BK234" s="2">
        <v>0.34</v>
      </c>
      <c r="BL234" s="2">
        <v>7.3</v>
      </c>
      <c r="BM234" s="2">
        <v>0.9</v>
      </c>
      <c r="BN234" s="2">
        <v>7.5</v>
      </c>
      <c r="BO234" s="2">
        <v>2.9</v>
      </c>
      <c r="BP234" s="2">
        <f t="shared" si="6"/>
        <v>8.6072756431829784</v>
      </c>
      <c r="BQ234" s="2">
        <f t="shared" si="7"/>
        <v>27.888824669751397</v>
      </c>
    </row>
    <row r="235" spans="1:69" x14ac:dyDescent="0.2">
      <c r="A235" s="2" t="s">
        <v>2580</v>
      </c>
      <c r="B235" s="2" t="s">
        <v>47</v>
      </c>
      <c r="C235" s="2" t="s">
        <v>1935</v>
      </c>
      <c r="D235" s="2" t="s">
        <v>49</v>
      </c>
      <c r="E235" s="2" t="s">
        <v>1703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89</v>
      </c>
      <c r="L235" s="6" t="s">
        <v>141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2581</v>
      </c>
      <c r="R235" s="2">
        <v>4114285.7140000002</v>
      </c>
      <c r="S235" s="2">
        <v>0</v>
      </c>
      <c r="T235" s="2" t="s">
        <v>130</v>
      </c>
      <c r="U235" s="2" t="s">
        <v>131</v>
      </c>
      <c r="V235" s="2" t="s">
        <v>56</v>
      </c>
      <c r="W235" s="2" t="s">
        <v>98</v>
      </c>
      <c r="X235" s="2" t="s">
        <v>132</v>
      </c>
      <c r="Y235" s="2">
        <v>2.5646671366623299</v>
      </c>
      <c r="Z235" s="2">
        <v>2564.66713666233</v>
      </c>
      <c r="AA235" s="2">
        <v>4.7837500000000004</v>
      </c>
      <c r="AB235" s="2">
        <v>-74.044138888888895</v>
      </c>
      <c r="AC235" s="2">
        <v>2580</v>
      </c>
      <c r="AD235" s="2">
        <v>0</v>
      </c>
      <c r="AE235" s="2" t="s">
        <v>133</v>
      </c>
      <c r="AF235" s="2" t="s">
        <v>86</v>
      </c>
      <c r="AG235" s="2" t="s">
        <v>61</v>
      </c>
      <c r="AH235" s="2" t="s">
        <v>62</v>
      </c>
      <c r="AI235" s="2" t="s">
        <v>100</v>
      </c>
      <c r="AJ235" s="2">
        <v>1.42064324087703</v>
      </c>
      <c r="AK235" s="2">
        <v>3.80703277783386</v>
      </c>
      <c r="AL235" s="2">
        <v>1.3191402447552401</v>
      </c>
      <c r="AM235" s="2">
        <v>0.71181592608669897</v>
      </c>
      <c r="AN235" s="2">
        <v>4.0453010016699604</v>
      </c>
      <c r="AO235" s="2">
        <v>0.41348430210299802</v>
      </c>
      <c r="AP235" s="2">
        <v>0.41348430210299802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5</v>
      </c>
      <c r="AW235" s="2">
        <v>0</v>
      </c>
      <c r="AX235" s="2">
        <v>1</v>
      </c>
      <c r="AY235" s="2">
        <v>15.3</v>
      </c>
      <c r="AZ235" s="2">
        <v>9.8000000000000007</v>
      </c>
      <c r="BA235" s="2">
        <v>29.7</v>
      </c>
      <c r="BB235" s="2">
        <v>564</v>
      </c>
      <c r="BC235" s="2">
        <v>68</v>
      </c>
      <c r="BD235" s="2">
        <v>1.8</v>
      </c>
      <c r="BE235" s="2">
        <v>43</v>
      </c>
      <c r="BF235" s="2">
        <v>25.4</v>
      </c>
      <c r="BG235" s="2">
        <v>162</v>
      </c>
      <c r="BH235" s="2">
        <v>9.1</v>
      </c>
      <c r="BI235" s="2">
        <v>9.1999999999999993</v>
      </c>
      <c r="BJ235" s="2">
        <v>18.3</v>
      </c>
      <c r="BK235" s="2">
        <v>0.34</v>
      </c>
      <c r="BL235" s="2">
        <v>7.3</v>
      </c>
      <c r="BM235" s="2">
        <v>0.9</v>
      </c>
      <c r="BN235" s="2">
        <v>7.5</v>
      </c>
      <c r="BO235" s="2">
        <v>2.9</v>
      </c>
      <c r="BP235" s="2">
        <f t="shared" si="6"/>
        <v>8.6316127293110139</v>
      </c>
      <c r="BQ235" s="2">
        <f t="shared" si="7"/>
        <v>27.927029930116291</v>
      </c>
    </row>
    <row r="236" spans="1:69" x14ac:dyDescent="0.2">
      <c r="A236" s="2" t="s">
        <v>535</v>
      </c>
      <c r="B236" s="2" t="s">
        <v>47</v>
      </c>
      <c r="C236" s="2" t="s">
        <v>48</v>
      </c>
      <c r="D236" s="2" t="s">
        <v>49</v>
      </c>
      <c r="E236" s="2" t="s">
        <v>536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89</v>
      </c>
      <c r="L236" s="6" t="s">
        <v>103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537</v>
      </c>
      <c r="R236" s="2">
        <v>9569792.9920000006</v>
      </c>
      <c r="S236" s="2">
        <v>0</v>
      </c>
      <c r="T236" s="2" t="s">
        <v>96</v>
      </c>
      <c r="U236" s="2" t="s">
        <v>97</v>
      </c>
      <c r="V236" s="2" t="s">
        <v>56</v>
      </c>
      <c r="W236" s="2" t="s">
        <v>98</v>
      </c>
      <c r="X236" s="2" t="s">
        <v>99</v>
      </c>
      <c r="Y236" s="2">
        <v>3.5508639101164401</v>
      </c>
      <c r="Z236" s="2">
        <v>3550.8639101164399</v>
      </c>
      <c r="AA236" s="2">
        <v>4.73719444444444</v>
      </c>
      <c r="AB236" s="2">
        <v>-74.069472222222203</v>
      </c>
      <c r="AC236" s="2">
        <v>2555</v>
      </c>
      <c r="AD236" s="2">
        <v>0</v>
      </c>
      <c r="AE236" s="2" t="s">
        <v>59</v>
      </c>
      <c r="AF236" s="2" t="s">
        <v>86</v>
      </c>
      <c r="AG236" s="2" t="s">
        <v>61</v>
      </c>
      <c r="AH236" s="2" t="s">
        <v>62</v>
      </c>
      <c r="AI236" s="2" t="s">
        <v>100</v>
      </c>
      <c r="AJ236" s="2">
        <v>0.40458568473006901</v>
      </c>
      <c r="AK236" s="2">
        <v>4.5786424531908398</v>
      </c>
      <c r="AL236" s="2">
        <v>0.85505354699962499</v>
      </c>
      <c r="AM236" s="2">
        <v>0.42356517592765403</v>
      </c>
      <c r="AN236" s="2">
        <v>3.8181106303374799</v>
      </c>
      <c r="AO236" s="2">
        <v>0.30794811539463501</v>
      </c>
      <c r="AP236" s="2">
        <v>0.30794811539463501</v>
      </c>
      <c r="AQ236" s="2">
        <v>1</v>
      </c>
      <c r="AR236" s="2">
        <v>3</v>
      </c>
      <c r="AS236" s="2">
        <v>0</v>
      </c>
      <c r="AT236" s="2">
        <v>0</v>
      </c>
      <c r="AU236" s="2">
        <v>1</v>
      </c>
      <c r="AV236" s="2">
        <v>36</v>
      </c>
      <c r="AW236" s="2">
        <v>0</v>
      </c>
      <c r="AX236" s="2">
        <v>0</v>
      </c>
      <c r="AY236" s="2">
        <v>15.3</v>
      </c>
      <c r="AZ236" s="2">
        <v>9.8000000000000007</v>
      </c>
      <c r="BA236" s="2">
        <v>29.7</v>
      </c>
      <c r="BB236" s="2">
        <v>564</v>
      </c>
      <c r="BC236" s="2">
        <v>68</v>
      </c>
      <c r="BD236" s="2">
        <v>1.8</v>
      </c>
      <c r="BE236" s="2">
        <v>43</v>
      </c>
      <c r="BF236" s="2">
        <v>25.4</v>
      </c>
      <c r="BG236" s="2">
        <v>162</v>
      </c>
      <c r="BH236" s="2">
        <v>9.1</v>
      </c>
      <c r="BI236" s="2">
        <v>9.1999999999999993</v>
      </c>
      <c r="BJ236" s="2">
        <v>18.3</v>
      </c>
      <c r="BK236" s="2">
        <v>0.34</v>
      </c>
      <c r="BL236" s="2">
        <v>7.3</v>
      </c>
      <c r="BM236" s="2">
        <v>0.9</v>
      </c>
      <c r="BN236" s="2">
        <v>7.5</v>
      </c>
      <c r="BO236" s="2">
        <v>2.9</v>
      </c>
      <c r="BP236" s="2">
        <f t="shared" si="6"/>
        <v>8.2203650834412567</v>
      </c>
      <c r="BQ236" s="2">
        <f t="shared" si="7"/>
        <v>27.273793932895611</v>
      </c>
    </row>
    <row r="237" spans="1:69" x14ac:dyDescent="0.2">
      <c r="A237" s="2" t="s">
        <v>2117</v>
      </c>
      <c r="B237" s="2" t="s">
        <v>47</v>
      </c>
      <c r="C237" s="2" t="s">
        <v>1935</v>
      </c>
      <c r="D237" s="2" t="s">
        <v>49</v>
      </c>
      <c r="E237" s="2" t="s">
        <v>256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89</v>
      </c>
      <c r="L237" s="6" t="s">
        <v>141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2118</v>
      </c>
      <c r="R237" s="2">
        <v>8529411.7650000006</v>
      </c>
      <c r="S237" s="2">
        <v>0</v>
      </c>
      <c r="T237" s="2" t="s">
        <v>96</v>
      </c>
      <c r="U237" s="2" t="s">
        <v>97</v>
      </c>
      <c r="V237" s="2" t="s">
        <v>56</v>
      </c>
      <c r="W237" s="2" t="s">
        <v>98</v>
      </c>
      <c r="X237" s="2" t="s">
        <v>99</v>
      </c>
      <c r="Y237" s="2">
        <v>1.3233403858947399</v>
      </c>
      <c r="Z237" s="2">
        <v>1323.3403858947399</v>
      </c>
      <c r="AA237" s="2">
        <v>4.73719444444444</v>
      </c>
      <c r="AB237" s="2">
        <v>-74.069472222222203</v>
      </c>
      <c r="AC237" s="2">
        <v>2555</v>
      </c>
      <c r="AD237" s="2">
        <v>0</v>
      </c>
      <c r="AE237" s="2" t="s">
        <v>59</v>
      </c>
      <c r="AF237" s="2" t="s">
        <v>86</v>
      </c>
      <c r="AG237" s="2" t="s">
        <v>61</v>
      </c>
      <c r="AH237" s="2" t="s">
        <v>62</v>
      </c>
      <c r="AI237" s="2" t="s">
        <v>100</v>
      </c>
      <c r="AJ237" s="2">
        <v>1.1727028974729601</v>
      </c>
      <c r="AK237" s="2">
        <v>4.5674415484530302</v>
      </c>
      <c r="AL237" s="2">
        <v>1.3373466137016801</v>
      </c>
      <c r="AM237" s="2">
        <v>6.2098983490890602E-2</v>
      </c>
      <c r="AN237" s="2">
        <v>2.8615924806266202</v>
      </c>
      <c r="AO237" s="2">
        <v>0.46566499048681298</v>
      </c>
      <c r="AP237" s="2">
        <v>0.46566499048681298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20</v>
      </c>
      <c r="AW237" s="2">
        <v>0</v>
      </c>
      <c r="AX237" s="2">
        <v>0</v>
      </c>
      <c r="AY237" s="2">
        <v>15.3</v>
      </c>
      <c r="AZ237" s="2">
        <v>9.8000000000000007</v>
      </c>
      <c r="BA237" s="2">
        <v>29.7</v>
      </c>
      <c r="BB237" s="2">
        <v>564</v>
      </c>
      <c r="BC237" s="2">
        <v>68</v>
      </c>
      <c r="BD237" s="2">
        <v>1.8</v>
      </c>
      <c r="BE237" s="2">
        <v>43</v>
      </c>
      <c r="BF237" s="2">
        <v>25.4</v>
      </c>
      <c r="BG237" s="2">
        <v>162</v>
      </c>
      <c r="BH237" s="2">
        <v>9.1</v>
      </c>
      <c r="BI237" s="2">
        <v>9.1999999999999993</v>
      </c>
      <c r="BJ237" s="2">
        <v>18.3</v>
      </c>
      <c r="BK237" s="2">
        <v>0.34</v>
      </c>
      <c r="BL237" s="2">
        <v>7.3</v>
      </c>
      <c r="BM237" s="2">
        <v>0.9</v>
      </c>
      <c r="BN237" s="2">
        <v>7.5</v>
      </c>
      <c r="BO237" s="2">
        <v>2.9</v>
      </c>
      <c r="BP237" s="2">
        <f t="shared" si="6"/>
        <v>9.1786215607320223</v>
      </c>
      <c r="BQ237" s="2">
        <f t="shared" si="7"/>
        <v>28.771544961242778</v>
      </c>
    </row>
    <row r="238" spans="1:69" x14ac:dyDescent="0.2">
      <c r="A238" s="2" t="s">
        <v>2986</v>
      </c>
      <c r="B238" s="2" t="s">
        <v>47</v>
      </c>
      <c r="C238" s="2" t="s">
        <v>1935</v>
      </c>
      <c r="D238" s="2" t="s">
        <v>49</v>
      </c>
      <c r="E238" s="2" t="s">
        <v>246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89</v>
      </c>
      <c r="L238" s="6" t="s">
        <v>141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2987</v>
      </c>
      <c r="R238" s="2">
        <v>4823529.4119999995</v>
      </c>
      <c r="S238" s="2">
        <v>0</v>
      </c>
      <c r="T238" s="2" t="s">
        <v>96</v>
      </c>
      <c r="U238" s="2" t="s">
        <v>97</v>
      </c>
      <c r="V238" s="2" t="s">
        <v>56</v>
      </c>
      <c r="W238" s="2" t="s">
        <v>98</v>
      </c>
      <c r="X238" s="2" t="s">
        <v>99</v>
      </c>
      <c r="Y238" s="2">
        <v>2.1077245945301302</v>
      </c>
      <c r="Z238" s="2">
        <v>2107.7245945301302</v>
      </c>
      <c r="AA238" s="2">
        <v>4.73719444444444</v>
      </c>
      <c r="AB238" s="2">
        <v>-74.069472222222203</v>
      </c>
      <c r="AC238" s="2">
        <v>2555</v>
      </c>
      <c r="AD238" s="2">
        <v>0</v>
      </c>
      <c r="AE238" s="2" t="s">
        <v>59</v>
      </c>
      <c r="AF238" s="2" t="s">
        <v>86</v>
      </c>
      <c r="AG238" s="2" t="s">
        <v>61</v>
      </c>
      <c r="AH238" s="2" t="s">
        <v>62</v>
      </c>
      <c r="AI238" s="2" t="s">
        <v>100</v>
      </c>
      <c r="AJ238" s="2">
        <v>2.5810246551867202</v>
      </c>
      <c r="AK238" s="2">
        <v>4.3009854849078701</v>
      </c>
      <c r="AL238" s="2">
        <v>1.8585215137100299</v>
      </c>
      <c r="AM238" s="2">
        <v>0.585010149575375</v>
      </c>
      <c r="AN238" s="2">
        <v>2.3469263076964699</v>
      </c>
      <c r="AO238" s="2">
        <v>7.6888103817429497E-3</v>
      </c>
      <c r="AP238" s="2">
        <v>7.6888103817429497E-3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13</v>
      </c>
      <c r="AW238" s="2">
        <v>0</v>
      </c>
      <c r="AX238" s="2">
        <v>1</v>
      </c>
      <c r="AY238" s="2">
        <v>15.3</v>
      </c>
      <c r="AZ238" s="2">
        <v>9.8000000000000007</v>
      </c>
      <c r="BA238" s="2">
        <v>29.7</v>
      </c>
      <c r="BB238" s="2">
        <v>564</v>
      </c>
      <c r="BC238" s="2">
        <v>68</v>
      </c>
      <c r="BD238" s="2">
        <v>1.8</v>
      </c>
      <c r="BE238" s="2">
        <v>43</v>
      </c>
      <c r="BF238" s="2">
        <v>25.4</v>
      </c>
      <c r="BG238" s="2">
        <v>162</v>
      </c>
      <c r="BH238" s="2">
        <v>9.1</v>
      </c>
      <c r="BI238" s="2">
        <v>9.1999999999999993</v>
      </c>
      <c r="BJ238" s="2">
        <v>18.3</v>
      </c>
      <c r="BK238" s="2">
        <v>0.34</v>
      </c>
      <c r="BL238" s="2">
        <v>7.3</v>
      </c>
      <c r="BM238" s="2">
        <v>0.9</v>
      </c>
      <c r="BN238" s="2">
        <v>7.5</v>
      </c>
      <c r="BO238" s="2">
        <v>2.9</v>
      </c>
      <c r="BP238" s="2">
        <f t="shared" si="6"/>
        <v>8.8290729307357108</v>
      </c>
      <c r="BQ238" s="2">
        <f t="shared" si="7"/>
        <v>28.23498058604789</v>
      </c>
    </row>
    <row r="239" spans="1:69" x14ac:dyDescent="0.2">
      <c r="A239" s="2" t="s">
        <v>1209</v>
      </c>
      <c r="B239" s="2" t="s">
        <v>47</v>
      </c>
      <c r="C239" s="2" t="s">
        <v>48</v>
      </c>
      <c r="D239" s="2" t="s">
        <v>49</v>
      </c>
      <c r="E239" s="2" t="s">
        <v>1210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89</v>
      </c>
      <c r="L239" s="6" t="s">
        <v>103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1211</v>
      </c>
      <c r="R239" s="2">
        <v>7602097.943</v>
      </c>
      <c r="S239" s="2">
        <v>0</v>
      </c>
      <c r="T239" s="2" t="s">
        <v>96</v>
      </c>
      <c r="U239" s="2" t="s">
        <v>97</v>
      </c>
      <c r="V239" s="2" t="s">
        <v>56</v>
      </c>
      <c r="W239" s="2" t="s">
        <v>98</v>
      </c>
      <c r="X239" s="2" t="s">
        <v>99</v>
      </c>
      <c r="Y239" s="2">
        <v>2.3839708592265301</v>
      </c>
      <c r="Z239" s="2">
        <v>2383.9708592265301</v>
      </c>
      <c r="AA239" s="2">
        <v>4.73719444444444</v>
      </c>
      <c r="AB239" s="2">
        <v>-74.069472222222203</v>
      </c>
      <c r="AC239" s="2">
        <v>2555</v>
      </c>
      <c r="AD239" s="2">
        <v>0</v>
      </c>
      <c r="AE239" s="2" t="s">
        <v>59</v>
      </c>
      <c r="AF239" s="2" t="s">
        <v>86</v>
      </c>
      <c r="AG239" s="2" t="s">
        <v>61</v>
      </c>
      <c r="AH239" s="2" t="s">
        <v>62</v>
      </c>
      <c r="AI239" s="2" t="s">
        <v>100</v>
      </c>
      <c r="AJ239" s="2">
        <v>2.4512243585660798</v>
      </c>
      <c r="AK239" s="2">
        <v>4.22571320860831</v>
      </c>
      <c r="AL239" s="2">
        <v>1.68560538655613</v>
      </c>
      <c r="AM239" s="2">
        <v>0.51926949564155001</v>
      </c>
      <c r="AN239" s="2">
        <v>2.7113669969538199</v>
      </c>
      <c r="AO239" s="2">
        <v>0.28309183136351201</v>
      </c>
      <c r="AP239" s="2">
        <v>0.28309183136351201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14</v>
      </c>
      <c r="AW239" s="2">
        <v>0</v>
      </c>
      <c r="AX239" s="2">
        <v>1</v>
      </c>
      <c r="AY239" s="2">
        <v>15.3</v>
      </c>
      <c r="AZ239" s="2">
        <v>9.8000000000000007</v>
      </c>
      <c r="BA239" s="2">
        <v>29.7</v>
      </c>
      <c r="BB239" s="2">
        <v>564</v>
      </c>
      <c r="BC239" s="2">
        <v>68</v>
      </c>
      <c r="BD239" s="2">
        <v>1.8</v>
      </c>
      <c r="BE239" s="2">
        <v>43</v>
      </c>
      <c r="BF239" s="2">
        <v>25.4</v>
      </c>
      <c r="BG239" s="2">
        <v>162</v>
      </c>
      <c r="BH239" s="2">
        <v>9.1</v>
      </c>
      <c r="BI239" s="2">
        <v>9.1999999999999993</v>
      </c>
      <c r="BJ239" s="2">
        <v>18.3</v>
      </c>
      <c r="BK239" s="2">
        <v>0.34</v>
      </c>
      <c r="BL239" s="2">
        <v>7.3</v>
      </c>
      <c r="BM239" s="2">
        <v>0.9</v>
      </c>
      <c r="BN239" s="2">
        <v>7.5</v>
      </c>
      <c r="BO239" s="2">
        <v>2.9</v>
      </c>
      <c r="BP239" s="2">
        <f t="shared" si="6"/>
        <v>8.7091642048155293</v>
      </c>
      <c r="BQ239" s="2">
        <f t="shared" si="7"/>
        <v>28.048404371164782</v>
      </c>
    </row>
    <row r="240" spans="1:69" x14ac:dyDescent="0.2">
      <c r="A240" s="2" t="s">
        <v>2981</v>
      </c>
      <c r="B240" s="2" t="s">
        <v>47</v>
      </c>
      <c r="C240" s="2" t="s">
        <v>1935</v>
      </c>
      <c r="D240" s="2" t="s">
        <v>49</v>
      </c>
      <c r="E240" s="2" t="s">
        <v>246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89</v>
      </c>
      <c r="L240" s="6" t="s">
        <v>141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2982</v>
      </c>
      <c r="R240" s="2">
        <v>5266272.1890000002</v>
      </c>
      <c r="S240" s="2">
        <v>0</v>
      </c>
      <c r="T240" s="2" t="s">
        <v>96</v>
      </c>
      <c r="U240" s="2" t="s">
        <v>97</v>
      </c>
      <c r="V240" s="2" t="s">
        <v>56</v>
      </c>
      <c r="W240" s="2" t="s">
        <v>98</v>
      </c>
      <c r="X240" s="2" t="s">
        <v>99</v>
      </c>
      <c r="Y240" s="2">
        <v>2.1077245945301302</v>
      </c>
      <c r="Z240" s="2">
        <v>2107.7245945301302</v>
      </c>
      <c r="AA240" s="2">
        <v>4.73719444444444</v>
      </c>
      <c r="AB240" s="2">
        <v>-74.069472222222203</v>
      </c>
      <c r="AC240" s="2">
        <v>2555</v>
      </c>
      <c r="AD240" s="2">
        <v>0</v>
      </c>
      <c r="AE240" s="2" t="s">
        <v>59</v>
      </c>
      <c r="AF240" s="2" t="s">
        <v>86</v>
      </c>
      <c r="AG240" s="2" t="s">
        <v>61</v>
      </c>
      <c r="AH240" s="2" t="s">
        <v>62</v>
      </c>
      <c r="AI240" s="2" t="s">
        <v>100</v>
      </c>
      <c r="AJ240" s="2">
        <v>2.5810246551867202</v>
      </c>
      <c r="AK240" s="2">
        <v>4.3009854849078701</v>
      </c>
      <c r="AL240" s="2">
        <v>1.8585215137100299</v>
      </c>
      <c r="AM240" s="2">
        <v>0.585010149575375</v>
      </c>
      <c r="AN240" s="2">
        <v>2.3469263076964699</v>
      </c>
      <c r="AO240" s="2">
        <v>7.6888103817429497E-3</v>
      </c>
      <c r="AP240" s="2">
        <v>7.6888103817429497E-3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13</v>
      </c>
      <c r="AW240" s="2">
        <v>0</v>
      </c>
      <c r="AX240" s="2">
        <v>1</v>
      </c>
      <c r="AY240" s="2">
        <v>15.3</v>
      </c>
      <c r="AZ240" s="2">
        <v>9.8000000000000007</v>
      </c>
      <c r="BA240" s="2">
        <v>29.7</v>
      </c>
      <c r="BB240" s="2">
        <v>564</v>
      </c>
      <c r="BC240" s="2">
        <v>68</v>
      </c>
      <c r="BD240" s="2">
        <v>1.8</v>
      </c>
      <c r="BE240" s="2">
        <v>43</v>
      </c>
      <c r="BF240" s="2">
        <v>25.4</v>
      </c>
      <c r="BG240" s="2">
        <v>162</v>
      </c>
      <c r="BH240" s="2">
        <v>9.1</v>
      </c>
      <c r="BI240" s="2">
        <v>9.1999999999999993</v>
      </c>
      <c r="BJ240" s="2">
        <v>18.3</v>
      </c>
      <c r="BK240" s="2">
        <v>0.34</v>
      </c>
      <c r="BL240" s="2">
        <v>7.3</v>
      </c>
      <c r="BM240" s="2">
        <v>0.9</v>
      </c>
      <c r="BN240" s="2">
        <v>7.5</v>
      </c>
      <c r="BO240" s="2">
        <v>2.9</v>
      </c>
      <c r="BP240" s="2">
        <f t="shared" si="6"/>
        <v>8.8290729307357108</v>
      </c>
      <c r="BQ240" s="2">
        <f t="shared" si="7"/>
        <v>28.23498058604789</v>
      </c>
    </row>
    <row r="241" spans="1:69" x14ac:dyDescent="0.2">
      <c r="A241" s="2" t="s">
        <v>3017</v>
      </c>
      <c r="B241" s="2" t="s">
        <v>47</v>
      </c>
      <c r="C241" s="2" t="s">
        <v>1935</v>
      </c>
      <c r="D241" s="2" t="s">
        <v>49</v>
      </c>
      <c r="E241" s="2" t="s">
        <v>246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89</v>
      </c>
      <c r="L241" s="6" t="s">
        <v>141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3018</v>
      </c>
      <c r="R241" s="2">
        <v>4852071.0060000001</v>
      </c>
      <c r="S241" s="2">
        <v>0</v>
      </c>
      <c r="T241" s="2" t="s">
        <v>96</v>
      </c>
      <c r="U241" s="2" t="s">
        <v>97</v>
      </c>
      <c r="V241" s="2" t="s">
        <v>56</v>
      </c>
      <c r="W241" s="2" t="s">
        <v>98</v>
      </c>
      <c r="X241" s="2" t="s">
        <v>99</v>
      </c>
      <c r="Y241" s="2">
        <v>2.1077245945301302</v>
      </c>
      <c r="Z241" s="2">
        <v>2107.7245945301302</v>
      </c>
      <c r="AA241" s="2">
        <v>4.73719444444444</v>
      </c>
      <c r="AB241" s="2">
        <v>-74.069472222222203</v>
      </c>
      <c r="AC241" s="2">
        <v>2555</v>
      </c>
      <c r="AD241" s="2">
        <v>0</v>
      </c>
      <c r="AE241" s="2" t="s">
        <v>59</v>
      </c>
      <c r="AF241" s="2" t="s">
        <v>86</v>
      </c>
      <c r="AG241" s="2" t="s">
        <v>61</v>
      </c>
      <c r="AH241" s="2" t="s">
        <v>62</v>
      </c>
      <c r="AI241" s="2" t="s">
        <v>100</v>
      </c>
      <c r="AJ241" s="2">
        <v>2.5810246551867202</v>
      </c>
      <c r="AK241" s="2">
        <v>4.3009854849078701</v>
      </c>
      <c r="AL241" s="2">
        <v>1.8585215137100299</v>
      </c>
      <c r="AM241" s="2">
        <v>0.585010149575375</v>
      </c>
      <c r="AN241" s="2">
        <v>2.3469263076964699</v>
      </c>
      <c r="AO241" s="2">
        <v>7.6888103817429497E-3</v>
      </c>
      <c r="AP241" s="2">
        <v>7.6888103817429497E-3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13</v>
      </c>
      <c r="AW241" s="2">
        <v>0</v>
      </c>
      <c r="AX241" s="2">
        <v>1</v>
      </c>
      <c r="AY241" s="2">
        <v>15.3</v>
      </c>
      <c r="AZ241" s="2">
        <v>9.8000000000000007</v>
      </c>
      <c r="BA241" s="2">
        <v>29.7</v>
      </c>
      <c r="BB241" s="2">
        <v>564</v>
      </c>
      <c r="BC241" s="2">
        <v>68</v>
      </c>
      <c r="BD241" s="2">
        <v>1.8</v>
      </c>
      <c r="BE241" s="2">
        <v>43</v>
      </c>
      <c r="BF241" s="2">
        <v>25.4</v>
      </c>
      <c r="BG241" s="2">
        <v>162</v>
      </c>
      <c r="BH241" s="2">
        <v>9.1</v>
      </c>
      <c r="BI241" s="2">
        <v>9.1999999999999993</v>
      </c>
      <c r="BJ241" s="2">
        <v>18.3</v>
      </c>
      <c r="BK241" s="2">
        <v>0.34</v>
      </c>
      <c r="BL241" s="2">
        <v>7.3</v>
      </c>
      <c r="BM241" s="2">
        <v>0.9</v>
      </c>
      <c r="BN241" s="2">
        <v>7.5</v>
      </c>
      <c r="BO241" s="2">
        <v>2.9</v>
      </c>
      <c r="BP241" s="2">
        <f t="shared" si="6"/>
        <v>8.8290729307357108</v>
      </c>
      <c r="BQ241" s="2">
        <f t="shared" si="7"/>
        <v>28.23498058604789</v>
      </c>
    </row>
    <row r="242" spans="1:69" x14ac:dyDescent="0.2">
      <c r="A242" s="2" t="s">
        <v>3218</v>
      </c>
      <c r="B242" s="2" t="s">
        <v>47</v>
      </c>
      <c r="C242" s="2" t="s">
        <v>1935</v>
      </c>
      <c r="D242" s="2" t="s">
        <v>49</v>
      </c>
      <c r="E242" s="2" t="s">
        <v>907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89</v>
      </c>
      <c r="L242" s="6" t="s">
        <v>94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3219</v>
      </c>
      <c r="R242" s="2">
        <v>4994047.6189999999</v>
      </c>
      <c r="S242" s="2">
        <v>0</v>
      </c>
      <c r="T242" s="2" t="s">
        <v>96</v>
      </c>
      <c r="U242" s="2" t="s">
        <v>97</v>
      </c>
      <c r="V242" s="2" t="s">
        <v>56</v>
      </c>
      <c r="W242" s="2" t="s">
        <v>98</v>
      </c>
      <c r="X242" s="2" t="s">
        <v>99</v>
      </c>
      <c r="Y242" s="2">
        <v>1.2681541832494601</v>
      </c>
      <c r="Z242" s="2">
        <v>1268.1541832494599</v>
      </c>
      <c r="AA242" s="2">
        <v>4.73719444444444</v>
      </c>
      <c r="AB242" s="2">
        <v>-74.069472222222203</v>
      </c>
      <c r="AC242" s="2">
        <v>2555</v>
      </c>
      <c r="AD242" s="2">
        <v>0</v>
      </c>
      <c r="AE242" s="2" t="s">
        <v>59</v>
      </c>
      <c r="AF242" s="2" t="s">
        <v>86</v>
      </c>
      <c r="AG242" s="2" t="s">
        <v>61</v>
      </c>
      <c r="AH242" s="2" t="s">
        <v>62</v>
      </c>
      <c r="AI242" s="2" t="s">
        <v>100</v>
      </c>
      <c r="AJ242" s="2">
        <v>1.0220919415715199</v>
      </c>
      <c r="AK242" s="2">
        <v>4.0538579073310101</v>
      </c>
      <c r="AL242" s="2">
        <v>2.0615187590574902</v>
      </c>
      <c r="AM242" s="2">
        <v>0.26151367839393003</v>
      </c>
      <c r="AN242" s="2">
        <v>3.0831734840326499</v>
      </c>
      <c r="AO242" s="2">
        <v>4.94961792254906E-2</v>
      </c>
      <c r="AP242" s="2">
        <v>4.94961792254906E-2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13</v>
      </c>
      <c r="AW242" s="2">
        <v>0</v>
      </c>
      <c r="AX242" s="2">
        <v>0</v>
      </c>
      <c r="AY242" s="2">
        <v>15.3</v>
      </c>
      <c r="AZ242" s="2">
        <v>9.8000000000000007</v>
      </c>
      <c r="BA242" s="2">
        <v>29.7</v>
      </c>
      <c r="BB242" s="2">
        <v>564</v>
      </c>
      <c r="BC242" s="2">
        <v>68</v>
      </c>
      <c r="BD242" s="2">
        <v>1.8</v>
      </c>
      <c r="BE242" s="2">
        <v>43</v>
      </c>
      <c r="BF242" s="2">
        <v>25.4</v>
      </c>
      <c r="BG242" s="2">
        <v>162</v>
      </c>
      <c r="BH242" s="2">
        <v>9.1</v>
      </c>
      <c r="BI242" s="2">
        <v>9.1999999999999993</v>
      </c>
      <c r="BJ242" s="2">
        <v>18.3</v>
      </c>
      <c r="BK242" s="2">
        <v>0.34</v>
      </c>
      <c r="BL242" s="2">
        <v>7.3</v>
      </c>
      <c r="BM242" s="2">
        <v>0.9</v>
      </c>
      <c r="BN242" s="2">
        <v>7.5</v>
      </c>
      <c r="BO242" s="2">
        <v>2.9</v>
      </c>
      <c r="BP242" s="2">
        <f t="shared" si="6"/>
        <v>9.2037292354880407</v>
      </c>
      <c r="BQ242" s="2">
        <f t="shared" si="7"/>
        <v>28.809677223621105</v>
      </c>
    </row>
    <row r="243" spans="1:69" x14ac:dyDescent="0.2">
      <c r="A243" s="2" t="s">
        <v>2049</v>
      </c>
      <c r="B243" s="2" t="s">
        <v>47</v>
      </c>
      <c r="C243" s="2" t="s">
        <v>1935</v>
      </c>
      <c r="D243" s="2" t="s">
        <v>49</v>
      </c>
      <c r="E243" s="2" t="s">
        <v>1567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89</v>
      </c>
      <c r="L243" s="6" t="s">
        <v>103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2050</v>
      </c>
      <c r="R243" s="2">
        <v>6580128.0130000003</v>
      </c>
      <c r="S243" s="2">
        <v>0</v>
      </c>
      <c r="T243" s="2" t="s">
        <v>130</v>
      </c>
      <c r="U243" s="2" t="s">
        <v>131</v>
      </c>
      <c r="V243" s="2" t="s">
        <v>56</v>
      </c>
      <c r="W243" s="2" t="s">
        <v>98</v>
      </c>
      <c r="X243" s="2" t="s">
        <v>132</v>
      </c>
      <c r="Y243" s="2">
        <v>3.71665467420747</v>
      </c>
      <c r="Z243" s="2">
        <v>3716.6546742074702</v>
      </c>
      <c r="AA243" s="2">
        <v>4.7837500000000004</v>
      </c>
      <c r="AB243" s="2">
        <v>-74.044138888888895</v>
      </c>
      <c r="AC243" s="2">
        <v>2580</v>
      </c>
      <c r="AD243" s="2">
        <v>0</v>
      </c>
      <c r="AE243" s="2" t="s">
        <v>133</v>
      </c>
      <c r="AF243" s="2" t="s">
        <v>86</v>
      </c>
      <c r="AG243" s="2" t="s">
        <v>61</v>
      </c>
      <c r="AH243" s="2" t="s">
        <v>62</v>
      </c>
      <c r="AI243" s="2" t="s">
        <v>100</v>
      </c>
      <c r="AJ243" s="2">
        <v>4.7900787504893296</v>
      </c>
      <c r="AK243" s="2">
        <v>0.84384938832921597</v>
      </c>
      <c r="AL243" s="2">
        <v>2.8979209628964102</v>
      </c>
      <c r="AM243" s="2">
        <v>1.11843236761011</v>
      </c>
      <c r="AN243" s="2">
        <v>6.6525565572955196</v>
      </c>
      <c r="AO243" s="2">
        <v>2.2450882786661999</v>
      </c>
      <c r="AP243" s="2">
        <v>2.2450882786661999</v>
      </c>
      <c r="AQ243" s="2">
        <v>0</v>
      </c>
      <c r="AR243" s="2">
        <v>0</v>
      </c>
      <c r="AS243" s="2">
        <v>0</v>
      </c>
      <c r="AT243" s="2">
        <v>1</v>
      </c>
      <c r="AU243" s="2">
        <v>0</v>
      </c>
      <c r="AV243" s="2">
        <v>0</v>
      </c>
      <c r="AW243" s="2">
        <v>0</v>
      </c>
      <c r="AX243" s="2">
        <v>0</v>
      </c>
      <c r="AY243" s="2">
        <v>15.3</v>
      </c>
      <c r="AZ243" s="2">
        <v>9.8000000000000007</v>
      </c>
      <c r="BA243" s="2">
        <v>29.7</v>
      </c>
      <c r="BB243" s="2">
        <v>564</v>
      </c>
      <c r="BC243" s="2">
        <v>68</v>
      </c>
      <c r="BD243" s="2">
        <v>1.8</v>
      </c>
      <c r="BE243" s="2">
        <v>43</v>
      </c>
      <c r="BF243" s="2">
        <v>25.4</v>
      </c>
      <c r="BG243" s="2">
        <v>162</v>
      </c>
      <c r="BH243" s="2">
        <v>9.1</v>
      </c>
      <c r="BI243" s="2">
        <v>9.1999999999999993</v>
      </c>
      <c r="BJ243" s="2">
        <v>18.3</v>
      </c>
      <c r="BK243" s="2">
        <v>0.34</v>
      </c>
      <c r="BL243" s="2">
        <v>7.3</v>
      </c>
      <c r="BM243" s="2">
        <v>0.9</v>
      </c>
      <c r="BN243" s="2">
        <v>7.5</v>
      </c>
      <c r="BO243" s="2">
        <v>2.9</v>
      </c>
      <c r="BP243" s="2">
        <f t="shared" si="6"/>
        <v>8.1531795442650239</v>
      </c>
      <c r="BQ243" s="2">
        <f t="shared" si="7"/>
        <v>27.165487714579182</v>
      </c>
    </row>
    <row r="244" spans="1:69" x14ac:dyDescent="0.2">
      <c r="A244" s="2" t="s">
        <v>2535</v>
      </c>
      <c r="B244" s="2" t="s">
        <v>47</v>
      </c>
      <c r="C244" s="2" t="s">
        <v>1935</v>
      </c>
      <c r="D244" s="2" t="s">
        <v>49</v>
      </c>
      <c r="E244" s="2" t="s">
        <v>2240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89</v>
      </c>
      <c r="L244" s="6" t="s">
        <v>103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2536</v>
      </c>
      <c r="R244" s="2">
        <v>6586826.3470000001</v>
      </c>
      <c r="S244" s="2">
        <v>0</v>
      </c>
      <c r="T244" s="2" t="s">
        <v>130</v>
      </c>
      <c r="U244" s="2" t="s">
        <v>131</v>
      </c>
      <c r="V244" s="2" t="s">
        <v>56</v>
      </c>
      <c r="W244" s="2" t="s">
        <v>98</v>
      </c>
      <c r="X244" s="2" t="s">
        <v>132</v>
      </c>
      <c r="Y244" s="2">
        <v>3.3455450932348199</v>
      </c>
      <c r="Z244" s="2">
        <v>3345.5450932348199</v>
      </c>
      <c r="AA244" s="2">
        <v>4.7837500000000004</v>
      </c>
      <c r="AB244" s="2">
        <v>-74.044138888888895</v>
      </c>
      <c r="AC244" s="2">
        <v>2580</v>
      </c>
      <c r="AD244" s="2">
        <v>0</v>
      </c>
      <c r="AE244" s="2" t="s">
        <v>133</v>
      </c>
      <c r="AF244" s="2" t="s">
        <v>86</v>
      </c>
      <c r="AG244" s="2" t="s">
        <v>61</v>
      </c>
      <c r="AH244" s="2" t="s">
        <v>62</v>
      </c>
      <c r="AI244" s="2" t="s">
        <v>100</v>
      </c>
      <c r="AJ244" s="2">
        <v>4.5287617179422099</v>
      </c>
      <c r="AK244" s="2">
        <v>1.17051234638972</v>
      </c>
      <c r="AL244" s="2">
        <v>2.41282607146616</v>
      </c>
      <c r="AM244" s="2">
        <v>1.5105826192232199</v>
      </c>
      <c r="AN244" s="2">
        <v>6.84007137455602</v>
      </c>
      <c r="AO244" s="2">
        <v>1.81164841559351</v>
      </c>
      <c r="AP244" s="2">
        <v>1.81164841559351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>
        <v>15.3</v>
      </c>
      <c r="AZ244" s="2">
        <v>9.8000000000000007</v>
      </c>
      <c r="BA244" s="2">
        <v>29.7</v>
      </c>
      <c r="BB244" s="2">
        <v>564</v>
      </c>
      <c r="BC244" s="2">
        <v>68</v>
      </c>
      <c r="BD244" s="2">
        <v>1.8</v>
      </c>
      <c r="BE244" s="2">
        <v>43</v>
      </c>
      <c r="BF244" s="2">
        <v>25.4</v>
      </c>
      <c r="BG244" s="2">
        <v>162</v>
      </c>
      <c r="BH244" s="2">
        <v>9.1</v>
      </c>
      <c r="BI244" s="2">
        <v>9.1999999999999993</v>
      </c>
      <c r="BJ244" s="2">
        <v>18.3</v>
      </c>
      <c r="BK244" s="2">
        <v>0.34</v>
      </c>
      <c r="BL244" s="2">
        <v>7.3</v>
      </c>
      <c r="BM244" s="2">
        <v>0.9</v>
      </c>
      <c r="BN244" s="2">
        <v>7.5</v>
      </c>
      <c r="BO244" s="2">
        <v>2.9</v>
      </c>
      <c r="BP244" s="2">
        <f t="shared" si="6"/>
        <v>8.3043369593892482</v>
      </c>
      <c r="BQ244" s="2">
        <f t="shared" si="7"/>
        <v>27.408521359640108</v>
      </c>
    </row>
    <row r="245" spans="1:69" x14ac:dyDescent="0.2">
      <c r="A245" s="2" t="s">
        <v>687</v>
      </c>
      <c r="B245" s="2" t="s">
        <v>47</v>
      </c>
      <c r="C245" s="2" t="s">
        <v>48</v>
      </c>
      <c r="D245" s="2" t="s">
        <v>49</v>
      </c>
      <c r="E245" s="2" t="s">
        <v>688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89</v>
      </c>
      <c r="L245" s="6" t="s">
        <v>141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689</v>
      </c>
      <c r="R245" s="2">
        <v>5386698.7659999998</v>
      </c>
      <c r="S245" s="2">
        <v>0</v>
      </c>
      <c r="T245" s="2" t="s">
        <v>96</v>
      </c>
      <c r="U245" s="2" t="s">
        <v>97</v>
      </c>
      <c r="V245" s="2" t="s">
        <v>56</v>
      </c>
      <c r="W245" s="2" t="s">
        <v>98</v>
      </c>
      <c r="X245" s="2" t="s">
        <v>99</v>
      </c>
      <c r="Y245" s="2">
        <v>1.55545823302299</v>
      </c>
      <c r="Z245" s="2">
        <v>1555.45823302299</v>
      </c>
      <c r="AA245" s="2">
        <v>4.73719444444444</v>
      </c>
      <c r="AB245" s="2">
        <v>-74.069472222222203</v>
      </c>
      <c r="AC245" s="2">
        <v>2555</v>
      </c>
      <c r="AD245" s="2">
        <v>0</v>
      </c>
      <c r="AE245" s="2" t="s">
        <v>59</v>
      </c>
      <c r="AF245" s="2" t="s">
        <v>86</v>
      </c>
      <c r="AG245" s="2" t="s">
        <v>61</v>
      </c>
      <c r="AH245" s="2" t="s">
        <v>62</v>
      </c>
      <c r="AI245" s="2" t="s">
        <v>100</v>
      </c>
      <c r="AJ245" s="2">
        <v>1.33036082958143</v>
      </c>
      <c r="AK245" s="2">
        <v>4.3964880648169702</v>
      </c>
      <c r="AL245" s="2">
        <v>1.29658530989743</v>
      </c>
      <c r="AM245" s="2">
        <v>0.175784622374271</v>
      </c>
      <c r="AN245" s="2">
        <v>3.0875208042711102</v>
      </c>
      <c r="AO245" s="2">
        <v>0.49430757729277403</v>
      </c>
      <c r="AP245" s="2">
        <v>0.49430757729277403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21</v>
      </c>
      <c r="AW245" s="2">
        <v>0</v>
      </c>
      <c r="AX245" s="2">
        <v>0</v>
      </c>
      <c r="AY245" s="2">
        <v>15.3</v>
      </c>
      <c r="AZ245" s="2">
        <v>9.8000000000000007</v>
      </c>
      <c r="BA245" s="2">
        <v>29.7</v>
      </c>
      <c r="BB245" s="2">
        <v>564</v>
      </c>
      <c r="BC245" s="2">
        <v>68</v>
      </c>
      <c r="BD245" s="2">
        <v>1.8</v>
      </c>
      <c r="BE245" s="2">
        <v>43</v>
      </c>
      <c r="BF245" s="2">
        <v>25.4</v>
      </c>
      <c r="BG245" s="2">
        <v>162</v>
      </c>
      <c r="BH245" s="2">
        <v>9.1</v>
      </c>
      <c r="BI245" s="2">
        <v>9.1999999999999993</v>
      </c>
      <c r="BJ245" s="2">
        <v>18.3</v>
      </c>
      <c r="BK245" s="2">
        <v>0.34</v>
      </c>
      <c r="BL245" s="2">
        <v>7.3</v>
      </c>
      <c r="BM245" s="2">
        <v>0.9</v>
      </c>
      <c r="BN245" s="2">
        <v>7.5</v>
      </c>
      <c r="BO245" s="2">
        <v>2.9</v>
      </c>
      <c r="BP245" s="2">
        <f t="shared" si="6"/>
        <v>9.0737642777834751</v>
      </c>
      <c r="BQ245" s="2">
        <f t="shared" si="7"/>
        <v>28.611709245473961</v>
      </c>
    </row>
    <row r="246" spans="1:69" x14ac:dyDescent="0.2">
      <c r="A246" s="2" t="s">
        <v>1393</v>
      </c>
      <c r="B246" s="2" t="s">
        <v>47</v>
      </c>
      <c r="C246" s="2" t="s">
        <v>48</v>
      </c>
      <c r="D246" s="2" t="s">
        <v>49</v>
      </c>
      <c r="E246" s="2" t="s">
        <v>434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89</v>
      </c>
      <c r="L246" s="6" t="s">
        <v>90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1394</v>
      </c>
      <c r="R246" s="2">
        <v>8012048.193</v>
      </c>
      <c r="S246" s="2">
        <v>0</v>
      </c>
      <c r="T246" s="2" t="s">
        <v>96</v>
      </c>
      <c r="U246" s="2" t="s">
        <v>97</v>
      </c>
      <c r="V246" s="2" t="s">
        <v>56</v>
      </c>
      <c r="W246" s="2" t="s">
        <v>98</v>
      </c>
      <c r="X246" s="2" t="s">
        <v>99</v>
      </c>
      <c r="Y246" s="2">
        <v>0.71897747891943098</v>
      </c>
      <c r="Z246" s="2">
        <v>718.97747891943095</v>
      </c>
      <c r="AA246" s="2">
        <v>4.73719444444444</v>
      </c>
      <c r="AB246" s="2">
        <v>-74.069472222222203</v>
      </c>
      <c r="AC246" s="2">
        <v>2555</v>
      </c>
      <c r="AD246" s="2">
        <v>0</v>
      </c>
      <c r="AE246" s="2" t="s">
        <v>59</v>
      </c>
      <c r="AF246" s="2" t="s">
        <v>86</v>
      </c>
      <c r="AG246" s="2" t="s">
        <v>61</v>
      </c>
      <c r="AH246" s="2" t="s">
        <v>62</v>
      </c>
      <c r="AI246" s="2" t="s">
        <v>100</v>
      </c>
      <c r="AJ246" s="2">
        <v>1.0257894740594</v>
      </c>
      <c r="AK246" s="2">
        <v>4.9130331474529001</v>
      </c>
      <c r="AL246" s="2">
        <v>2.6229479001849199</v>
      </c>
      <c r="AM246" s="2">
        <v>0.94499465881549605</v>
      </c>
      <c r="AN246" s="2">
        <v>1.2429753916500701</v>
      </c>
      <c r="AO246" s="2">
        <v>8.8845211294589194E-2</v>
      </c>
      <c r="AP246" s="2">
        <v>8.8845211294589194E-2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3</v>
      </c>
      <c r="AW246" s="2">
        <v>0</v>
      </c>
      <c r="AX246" s="2">
        <v>0</v>
      </c>
      <c r="AY246" s="2">
        <v>15.3</v>
      </c>
      <c r="AZ246" s="2">
        <v>9.8000000000000007</v>
      </c>
      <c r="BA246" s="2">
        <v>29.7</v>
      </c>
      <c r="BB246" s="2">
        <v>564</v>
      </c>
      <c r="BC246" s="2">
        <v>68</v>
      </c>
      <c r="BD246" s="2">
        <v>1.8</v>
      </c>
      <c r="BE246" s="2">
        <v>43</v>
      </c>
      <c r="BF246" s="2">
        <v>25.4</v>
      </c>
      <c r="BG246" s="2">
        <v>162</v>
      </c>
      <c r="BH246" s="2">
        <v>9.1</v>
      </c>
      <c r="BI246" s="2">
        <v>9.1999999999999993</v>
      </c>
      <c r="BJ246" s="2">
        <v>18.3</v>
      </c>
      <c r="BK246" s="2">
        <v>0.34</v>
      </c>
      <c r="BL246" s="2">
        <v>7.3</v>
      </c>
      <c r="BM246" s="2">
        <v>0.9</v>
      </c>
      <c r="BN246" s="2">
        <v>7.5</v>
      </c>
      <c r="BO246" s="2">
        <v>2.9</v>
      </c>
      <c r="BP246" s="2">
        <f t="shared" si="6"/>
        <v>9.4573574098269493</v>
      </c>
      <c r="BQ246" s="2">
        <f t="shared" si="7"/>
        <v>29.191909130712865</v>
      </c>
    </row>
    <row r="247" spans="1:69" x14ac:dyDescent="0.2">
      <c r="A247" s="2" t="s">
        <v>3210</v>
      </c>
      <c r="B247" s="2" t="s">
        <v>47</v>
      </c>
      <c r="C247" s="2" t="s">
        <v>1935</v>
      </c>
      <c r="D247" s="2" t="s">
        <v>49</v>
      </c>
      <c r="E247" s="2" t="s">
        <v>3196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89</v>
      </c>
      <c r="L247" s="6" t="s">
        <v>103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3211</v>
      </c>
      <c r="R247" s="2">
        <v>7235453.7230000002</v>
      </c>
      <c r="S247" s="2">
        <v>0</v>
      </c>
      <c r="T247" s="2" t="s">
        <v>130</v>
      </c>
      <c r="U247" s="2" t="s">
        <v>131</v>
      </c>
      <c r="V247" s="2" t="s">
        <v>56</v>
      </c>
      <c r="W247" s="2" t="s">
        <v>98</v>
      </c>
      <c r="X247" s="2" t="s">
        <v>132</v>
      </c>
      <c r="Y247" s="2">
        <v>3.6871611395105699</v>
      </c>
      <c r="Z247" s="2">
        <v>3687.1611395105701</v>
      </c>
      <c r="AA247" s="2">
        <v>4.7837500000000004</v>
      </c>
      <c r="AB247" s="2">
        <v>-74.044138888888895</v>
      </c>
      <c r="AC247" s="2">
        <v>2580</v>
      </c>
      <c r="AD247" s="2">
        <v>0</v>
      </c>
      <c r="AE247" s="2" t="s">
        <v>133</v>
      </c>
      <c r="AF247" s="2" t="s">
        <v>86</v>
      </c>
      <c r="AG247" s="2" t="s">
        <v>61</v>
      </c>
      <c r="AH247" s="2" t="s">
        <v>62</v>
      </c>
      <c r="AI247" s="2" t="s">
        <v>100</v>
      </c>
      <c r="AJ247" s="2">
        <v>4.7289952597657896</v>
      </c>
      <c r="AK247" s="2">
        <v>0.91236428975934503</v>
      </c>
      <c r="AL247" s="2">
        <v>2.9279645638132799</v>
      </c>
      <c r="AM247" s="2">
        <v>1.0115505489813901</v>
      </c>
      <c r="AN247" s="2">
        <v>6.5361307493788603</v>
      </c>
      <c r="AO247" s="2">
        <v>2.2439383550145502</v>
      </c>
      <c r="AP247" s="2">
        <v>2.2439383550145502</v>
      </c>
      <c r="AQ247" s="2">
        <v>0</v>
      </c>
      <c r="AR247" s="2">
        <v>0</v>
      </c>
      <c r="AS247" s="2">
        <v>0</v>
      </c>
      <c r="AT247" s="2">
        <v>1</v>
      </c>
      <c r="AU247" s="2">
        <v>0</v>
      </c>
      <c r="AV247" s="2">
        <v>0</v>
      </c>
      <c r="AW247" s="2">
        <v>0</v>
      </c>
      <c r="AX247" s="2">
        <v>0</v>
      </c>
      <c r="AY247" s="2">
        <v>15.3</v>
      </c>
      <c r="AZ247" s="2">
        <v>9.8000000000000007</v>
      </c>
      <c r="BA247" s="2">
        <v>29.7</v>
      </c>
      <c r="BB247" s="2">
        <v>564</v>
      </c>
      <c r="BC247" s="2">
        <v>68</v>
      </c>
      <c r="BD247" s="2">
        <v>1.8</v>
      </c>
      <c r="BE247" s="2">
        <v>43</v>
      </c>
      <c r="BF247" s="2">
        <v>25.4</v>
      </c>
      <c r="BG247" s="2">
        <v>162</v>
      </c>
      <c r="BH247" s="2">
        <v>9.1</v>
      </c>
      <c r="BI247" s="2">
        <v>9.1999999999999993</v>
      </c>
      <c r="BJ247" s="2">
        <v>18.3</v>
      </c>
      <c r="BK247" s="2">
        <v>0.34</v>
      </c>
      <c r="BL247" s="2">
        <v>7.3</v>
      </c>
      <c r="BM247" s="2">
        <v>0.9</v>
      </c>
      <c r="BN247" s="2">
        <v>7.5</v>
      </c>
      <c r="BO247" s="2">
        <v>2.9</v>
      </c>
      <c r="BP247" s="2">
        <f t="shared" si="6"/>
        <v>8.1650913084671153</v>
      </c>
      <c r="BQ247" s="2">
        <f t="shared" si="7"/>
        <v>27.184723471848947</v>
      </c>
    </row>
    <row r="248" spans="1:69" x14ac:dyDescent="0.2">
      <c r="A248" s="2" t="s">
        <v>327</v>
      </c>
      <c r="B248" s="2" t="s">
        <v>47</v>
      </c>
      <c r="C248" s="2" t="s">
        <v>48</v>
      </c>
      <c r="D248" s="2" t="s">
        <v>49</v>
      </c>
      <c r="E248" s="2" t="s">
        <v>328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89</v>
      </c>
      <c r="L248" s="6" t="s">
        <v>90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329</v>
      </c>
      <c r="R248" s="2">
        <v>9975816.2029999997</v>
      </c>
      <c r="S248" s="2">
        <v>0</v>
      </c>
      <c r="T248" s="2" t="s">
        <v>96</v>
      </c>
      <c r="U248" s="2" t="s">
        <v>97</v>
      </c>
      <c r="V248" s="2" t="s">
        <v>56</v>
      </c>
      <c r="W248" s="2" t="s">
        <v>98</v>
      </c>
      <c r="X248" s="2" t="s">
        <v>99</v>
      </c>
      <c r="Y248" s="2">
        <v>0.92044602673895504</v>
      </c>
      <c r="Z248" s="2">
        <v>920.44602673895497</v>
      </c>
      <c r="AA248" s="2">
        <v>4.73719444444444</v>
      </c>
      <c r="AB248" s="2">
        <v>-74.069472222222203</v>
      </c>
      <c r="AC248" s="2">
        <v>2555</v>
      </c>
      <c r="AD248" s="2">
        <v>0</v>
      </c>
      <c r="AE248" s="2" t="s">
        <v>59</v>
      </c>
      <c r="AF248" s="2" t="s">
        <v>86</v>
      </c>
      <c r="AG248" s="2" t="s">
        <v>61</v>
      </c>
      <c r="AH248" s="2" t="s">
        <v>62</v>
      </c>
      <c r="AI248" s="2" t="s">
        <v>100</v>
      </c>
      <c r="AJ248" s="2">
        <v>1.0189483938498101</v>
      </c>
      <c r="AK248" s="2">
        <v>4.7178536404104996</v>
      </c>
      <c r="AL248" s="2">
        <v>2.69861137464589</v>
      </c>
      <c r="AM248" s="2">
        <v>0.89391377712652798</v>
      </c>
      <c r="AN248" s="2">
        <v>1.1017640540962099</v>
      </c>
      <c r="AO248" s="2">
        <v>2.4248676681473E-2</v>
      </c>
      <c r="AP248" s="2">
        <v>2.4248676681473E-2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7</v>
      </c>
      <c r="AW248" s="2">
        <v>0</v>
      </c>
      <c r="AX248" s="2">
        <v>0</v>
      </c>
      <c r="AY248" s="2">
        <v>15.3</v>
      </c>
      <c r="AZ248" s="2">
        <v>9.8000000000000007</v>
      </c>
      <c r="BA248" s="2">
        <v>29.7</v>
      </c>
      <c r="BB248" s="2">
        <v>564</v>
      </c>
      <c r="BC248" s="2">
        <v>68</v>
      </c>
      <c r="BD248" s="2">
        <v>1.8</v>
      </c>
      <c r="BE248" s="2">
        <v>43</v>
      </c>
      <c r="BF248" s="2">
        <v>25.4</v>
      </c>
      <c r="BG248" s="2">
        <v>162</v>
      </c>
      <c r="BH248" s="2">
        <v>9.1</v>
      </c>
      <c r="BI248" s="2">
        <v>9.1999999999999993</v>
      </c>
      <c r="BJ248" s="2">
        <v>18.3</v>
      </c>
      <c r="BK248" s="2">
        <v>0.34</v>
      </c>
      <c r="BL248" s="2">
        <v>7.3</v>
      </c>
      <c r="BM248" s="2">
        <v>0.9</v>
      </c>
      <c r="BN248" s="2">
        <v>7.5</v>
      </c>
      <c r="BO248" s="2">
        <v>2.9</v>
      </c>
      <c r="BP248" s="2">
        <f t="shared" si="6"/>
        <v>9.3635108161083433</v>
      </c>
      <c r="BQ248" s="2">
        <f t="shared" si="7"/>
        <v>29.051099791912172</v>
      </c>
    </row>
    <row r="249" spans="1:69" x14ac:dyDescent="0.2">
      <c r="A249" s="2" t="s">
        <v>2723</v>
      </c>
      <c r="B249" s="2" t="s">
        <v>47</v>
      </c>
      <c r="C249" s="2" t="s">
        <v>1935</v>
      </c>
      <c r="D249" s="2" t="s">
        <v>49</v>
      </c>
      <c r="E249" s="2" t="s">
        <v>256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89</v>
      </c>
      <c r="L249" s="6" t="s">
        <v>103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2724</v>
      </c>
      <c r="R249" s="2">
        <v>5182926.8289999999</v>
      </c>
      <c r="S249" s="2">
        <v>0</v>
      </c>
      <c r="T249" s="2" t="s">
        <v>96</v>
      </c>
      <c r="U249" s="2" t="s">
        <v>97</v>
      </c>
      <c r="V249" s="2" t="s">
        <v>56</v>
      </c>
      <c r="W249" s="2" t="s">
        <v>98</v>
      </c>
      <c r="X249" s="2" t="s">
        <v>99</v>
      </c>
      <c r="Y249" s="2">
        <v>1.54490894069039</v>
      </c>
      <c r="Z249" s="2">
        <v>1544.90894069039</v>
      </c>
      <c r="AA249" s="2">
        <v>4.73719444444444</v>
      </c>
      <c r="AB249" s="2">
        <v>-74.069472222222203</v>
      </c>
      <c r="AC249" s="2">
        <v>2555</v>
      </c>
      <c r="AD249" s="2">
        <v>0</v>
      </c>
      <c r="AE249" s="2" t="s">
        <v>59</v>
      </c>
      <c r="AF249" s="2" t="s">
        <v>86</v>
      </c>
      <c r="AG249" s="2" t="s">
        <v>61</v>
      </c>
      <c r="AH249" s="2" t="s">
        <v>62</v>
      </c>
      <c r="AI249" s="2" t="s">
        <v>100</v>
      </c>
      <c r="AJ249" s="2">
        <v>1.2926942352845701</v>
      </c>
      <c r="AK249" s="2">
        <v>4.45096957456723</v>
      </c>
      <c r="AL249" s="2">
        <v>1.24346089733295</v>
      </c>
      <c r="AM249" s="2">
        <v>0.15832913502287899</v>
      </c>
      <c r="AN249" s="2">
        <v>3.0520347486386799</v>
      </c>
      <c r="AO249" s="2">
        <v>0.53497594230655299</v>
      </c>
      <c r="AP249" s="2">
        <v>0.53497594230655299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22</v>
      </c>
      <c r="AW249" s="2">
        <v>0</v>
      </c>
      <c r="AX249" s="2">
        <v>0</v>
      </c>
      <c r="AY249" s="2">
        <v>15.3</v>
      </c>
      <c r="AZ249" s="2">
        <v>9.8000000000000007</v>
      </c>
      <c r="BA249" s="2">
        <v>29.7</v>
      </c>
      <c r="BB249" s="2">
        <v>564</v>
      </c>
      <c r="BC249" s="2">
        <v>68</v>
      </c>
      <c r="BD249" s="2">
        <v>1.8</v>
      </c>
      <c r="BE249" s="2">
        <v>43</v>
      </c>
      <c r="BF249" s="2">
        <v>25.4</v>
      </c>
      <c r="BG249" s="2">
        <v>162</v>
      </c>
      <c r="BH249" s="2">
        <v>9.1</v>
      </c>
      <c r="BI249" s="2">
        <v>9.1999999999999993</v>
      </c>
      <c r="BJ249" s="2">
        <v>18.3</v>
      </c>
      <c r="BK249" s="2">
        <v>0.34</v>
      </c>
      <c r="BL249" s="2">
        <v>7.3</v>
      </c>
      <c r="BM249" s="2">
        <v>0.9</v>
      </c>
      <c r="BN249" s="2">
        <v>7.5</v>
      </c>
      <c r="BO249" s="2">
        <v>2.9</v>
      </c>
      <c r="BP249" s="2">
        <f t="shared" si="6"/>
        <v>9.0785037438268041</v>
      </c>
      <c r="BQ249" s="2">
        <f t="shared" si="7"/>
        <v>28.618954161419275</v>
      </c>
    </row>
    <row r="250" spans="1:69" x14ac:dyDescent="0.2">
      <c r="A250" s="2" t="s">
        <v>973</v>
      </c>
      <c r="B250" s="2" t="s">
        <v>47</v>
      </c>
      <c r="C250" s="2" t="s">
        <v>48</v>
      </c>
      <c r="D250" s="2" t="s">
        <v>49</v>
      </c>
      <c r="E250" s="2" t="s">
        <v>511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89</v>
      </c>
      <c r="L250" s="6" t="s">
        <v>141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974</v>
      </c>
      <c r="R250" s="2">
        <v>5530973.4510000004</v>
      </c>
      <c r="S250" s="2">
        <v>0</v>
      </c>
      <c r="T250" s="2" t="s">
        <v>96</v>
      </c>
      <c r="U250" s="2" t="s">
        <v>97</v>
      </c>
      <c r="V250" s="2" t="s">
        <v>56</v>
      </c>
      <c r="W250" s="2" t="s">
        <v>98</v>
      </c>
      <c r="X250" s="2" t="s">
        <v>99</v>
      </c>
      <c r="Y250" s="2">
        <v>2.0833555373073702</v>
      </c>
      <c r="Z250" s="2">
        <v>2083.35553730737</v>
      </c>
      <c r="AA250" s="2">
        <v>4.73719444444444</v>
      </c>
      <c r="AB250" s="2">
        <v>-74.069472222222203</v>
      </c>
      <c r="AC250" s="2">
        <v>2555</v>
      </c>
      <c r="AD250" s="2">
        <v>0</v>
      </c>
      <c r="AE250" s="2" t="s">
        <v>59</v>
      </c>
      <c r="AF250" s="2" t="s">
        <v>86</v>
      </c>
      <c r="AG250" s="2" t="s">
        <v>61</v>
      </c>
      <c r="AH250" s="2" t="s">
        <v>62</v>
      </c>
      <c r="AI250" s="2" t="s">
        <v>100</v>
      </c>
      <c r="AJ250" s="2">
        <v>0.30688802155078099</v>
      </c>
      <c r="AK250" s="2">
        <v>5.3788378161252703</v>
      </c>
      <c r="AL250" s="2">
        <v>0.74295959556851199</v>
      </c>
      <c r="AM250" s="2">
        <v>0.40941849343175202</v>
      </c>
      <c r="AN250" s="2">
        <v>2.5131334200373701</v>
      </c>
      <c r="AO250" s="2">
        <v>5.9876856593420397E-3</v>
      </c>
      <c r="AP250" s="2">
        <v>5.9876856593420397E-3</v>
      </c>
      <c r="AQ250" s="2">
        <v>1</v>
      </c>
      <c r="AR250" s="2">
        <v>2</v>
      </c>
      <c r="AS250" s="2">
        <v>0</v>
      </c>
      <c r="AT250" s="2">
        <v>0</v>
      </c>
      <c r="AU250" s="2">
        <v>1</v>
      </c>
      <c r="AV250" s="2">
        <v>24</v>
      </c>
      <c r="AW250" s="2">
        <v>0</v>
      </c>
      <c r="AX250" s="2">
        <v>0</v>
      </c>
      <c r="AY250" s="2">
        <v>15.3</v>
      </c>
      <c r="AZ250" s="2">
        <v>9.8000000000000007</v>
      </c>
      <c r="BA250" s="2">
        <v>29.7</v>
      </c>
      <c r="BB250" s="2">
        <v>564</v>
      </c>
      <c r="BC250" s="2">
        <v>68</v>
      </c>
      <c r="BD250" s="2">
        <v>1.8</v>
      </c>
      <c r="BE250" s="2">
        <v>43</v>
      </c>
      <c r="BF250" s="2">
        <v>25.4</v>
      </c>
      <c r="BG250" s="2">
        <v>162</v>
      </c>
      <c r="BH250" s="2">
        <v>9.1</v>
      </c>
      <c r="BI250" s="2">
        <v>9.1999999999999993</v>
      </c>
      <c r="BJ250" s="2">
        <v>18.3</v>
      </c>
      <c r="BK250" s="2">
        <v>0.34</v>
      </c>
      <c r="BL250" s="2">
        <v>7.3</v>
      </c>
      <c r="BM250" s="2">
        <v>0.9</v>
      </c>
      <c r="BN250" s="2">
        <v>7.5</v>
      </c>
      <c r="BO250" s="2">
        <v>2.9</v>
      </c>
      <c r="BP250" s="2">
        <f t="shared" si="6"/>
        <v>8.8397295879194768</v>
      </c>
      <c r="BQ250" s="2">
        <f t="shared" si="7"/>
        <v>28.251498852574066</v>
      </c>
    </row>
    <row r="251" spans="1:69" x14ac:dyDescent="0.2">
      <c r="A251" s="2" t="s">
        <v>1745</v>
      </c>
      <c r="B251" s="2" t="s">
        <v>47</v>
      </c>
      <c r="C251" s="2" t="s">
        <v>48</v>
      </c>
      <c r="D251" s="2" t="s">
        <v>49</v>
      </c>
      <c r="E251" s="2" t="s">
        <v>1746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89</v>
      </c>
      <c r="L251" s="6" t="s">
        <v>103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1747</v>
      </c>
      <c r="R251" s="2">
        <v>7173778.602</v>
      </c>
      <c r="S251" s="2">
        <v>0</v>
      </c>
      <c r="T251" s="2" t="s">
        <v>96</v>
      </c>
      <c r="U251" s="2" t="s">
        <v>97</v>
      </c>
      <c r="V251" s="2" t="s">
        <v>56</v>
      </c>
      <c r="W251" s="2" t="s">
        <v>98</v>
      </c>
      <c r="X251" s="2" t="s">
        <v>99</v>
      </c>
      <c r="Y251" s="2">
        <v>0.769634623659051</v>
      </c>
      <c r="Z251" s="2">
        <v>769.63462365905104</v>
      </c>
      <c r="AA251" s="2">
        <v>4.73719444444444</v>
      </c>
      <c r="AB251" s="2">
        <v>-74.069472222222203</v>
      </c>
      <c r="AC251" s="2">
        <v>2555</v>
      </c>
      <c r="AD251" s="2">
        <v>0</v>
      </c>
      <c r="AE251" s="2" t="s">
        <v>59</v>
      </c>
      <c r="AF251" s="2" t="s">
        <v>86</v>
      </c>
      <c r="AG251" s="2" t="s">
        <v>61</v>
      </c>
      <c r="AH251" s="2" t="s">
        <v>62</v>
      </c>
      <c r="AI251" s="2" t="s">
        <v>100</v>
      </c>
      <c r="AJ251" s="2">
        <v>1.31861353244683</v>
      </c>
      <c r="AK251" s="2">
        <v>4.6681788807356597</v>
      </c>
      <c r="AL251" s="2">
        <v>1.9422227693517999</v>
      </c>
      <c r="AM251" s="2">
        <v>0.24328687459515899</v>
      </c>
      <c r="AN251" s="2">
        <v>2.5362784710370199</v>
      </c>
      <c r="AO251" s="2">
        <v>0.21554385001892001</v>
      </c>
      <c r="AP251" s="2">
        <v>0.21554385001892001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18</v>
      </c>
      <c r="AW251" s="2">
        <v>0</v>
      </c>
      <c r="AX251" s="2">
        <v>0</v>
      </c>
      <c r="AY251" s="2">
        <v>15.3</v>
      </c>
      <c r="AZ251" s="2">
        <v>9.8000000000000007</v>
      </c>
      <c r="BA251" s="2">
        <v>29.7</v>
      </c>
      <c r="BB251" s="2">
        <v>564</v>
      </c>
      <c r="BC251" s="2">
        <v>68</v>
      </c>
      <c r="BD251" s="2">
        <v>1.8</v>
      </c>
      <c r="BE251" s="2">
        <v>43</v>
      </c>
      <c r="BF251" s="2">
        <v>25.4</v>
      </c>
      <c r="BG251" s="2">
        <v>162</v>
      </c>
      <c r="BH251" s="2">
        <v>9.1</v>
      </c>
      <c r="BI251" s="2">
        <v>9.1999999999999993</v>
      </c>
      <c r="BJ251" s="2">
        <v>18.3</v>
      </c>
      <c r="BK251" s="2">
        <v>0.34</v>
      </c>
      <c r="BL251" s="2">
        <v>7.3</v>
      </c>
      <c r="BM251" s="2">
        <v>0.9</v>
      </c>
      <c r="BN251" s="2">
        <v>7.5</v>
      </c>
      <c r="BO251" s="2">
        <v>2.9</v>
      </c>
      <c r="BP251" s="2">
        <f t="shared" si="6"/>
        <v>9.4336725227073082</v>
      </c>
      <c r="BQ251" s="2">
        <f t="shared" si="7"/>
        <v>29.156440005871417</v>
      </c>
    </row>
    <row r="252" spans="1:69" x14ac:dyDescent="0.2">
      <c r="A252" s="2" t="s">
        <v>2762</v>
      </c>
      <c r="B252" s="2" t="s">
        <v>47</v>
      </c>
      <c r="C252" s="2" t="s">
        <v>1935</v>
      </c>
      <c r="D252" s="2" t="s">
        <v>49</v>
      </c>
      <c r="E252" s="2" t="s">
        <v>1703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89</v>
      </c>
      <c r="L252" s="6" t="s">
        <v>141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2763</v>
      </c>
      <c r="R252" s="2">
        <v>12462612.16</v>
      </c>
      <c r="S252" s="2">
        <v>0</v>
      </c>
      <c r="T252" s="2" t="s">
        <v>130</v>
      </c>
      <c r="U252" s="2" t="s">
        <v>131</v>
      </c>
      <c r="V252" s="2" t="s">
        <v>56</v>
      </c>
      <c r="W252" s="2" t="s">
        <v>98</v>
      </c>
      <c r="X252" s="2" t="s">
        <v>132</v>
      </c>
      <c r="Y252" s="2">
        <v>2.9917366845339899</v>
      </c>
      <c r="Z252" s="2">
        <v>2991.7366845339898</v>
      </c>
      <c r="AA252" s="2">
        <v>4.7837500000000004</v>
      </c>
      <c r="AB252" s="2">
        <v>-74.044138888888895</v>
      </c>
      <c r="AC252" s="2">
        <v>2580</v>
      </c>
      <c r="AD252" s="2">
        <v>0</v>
      </c>
      <c r="AE252" s="2" t="s">
        <v>133</v>
      </c>
      <c r="AF252" s="2" t="s">
        <v>86</v>
      </c>
      <c r="AG252" s="2" t="s">
        <v>61</v>
      </c>
      <c r="AH252" s="2" t="s">
        <v>62</v>
      </c>
      <c r="AI252" s="2" t="s">
        <v>100</v>
      </c>
      <c r="AJ252" s="2">
        <v>2.0717822973484399</v>
      </c>
      <c r="AK252" s="2">
        <v>4.0313462919187204</v>
      </c>
      <c r="AL252" s="2">
        <v>1.63540745234769</v>
      </c>
      <c r="AM252" s="2">
        <v>0.59349534814627702</v>
      </c>
      <c r="AN252" s="2">
        <v>3.5569206422980999</v>
      </c>
      <c r="AO252" s="2">
        <v>1.6349897306229301E-2</v>
      </c>
      <c r="AP252" s="2">
        <v>1.6349897306229301E-2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5</v>
      </c>
      <c r="AW252" s="2">
        <v>0</v>
      </c>
      <c r="AX252" s="2">
        <v>1</v>
      </c>
      <c r="AY252" s="2">
        <v>15.3</v>
      </c>
      <c r="AZ252" s="2">
        <v>9.8000000000000007</v>
      </c>
      <c r="BA252" s="2">
        <v>29.7</v>
      </c>
      <c r="BB252" s="2">
        <v>564</v>
      </c>
      <c r="BC252" s="2">
        <v>68</v>
      </c>
      <c r="BD252" s="2">
        <v>1.8</v>
      </c>
      <c r="BE252" s="2">
        <v>43</v>
      </c>
      <c r="BF252" s="2">
        <v>25.4</v>
      </c>
      <c r="BG252" s="2">
        <v>162</v>
      </c>
      <c r="BH252" s="2">
        <v>9.1</v>
      </c>
      <c r="BI252" s="2">
        <v>9.1999999999999993</v>
      </c>
      <c r="BJ252" s="2">
        <v>18.3</v>
      </c>
      <c r="BK252" s="2">
        <v>0.34</v>
      </c>
      <c r="BL252" s="2">
        <v>7.3</v>
      </c>
      <c r="BM252" s="2">
        <v>0.9</v>
      </c>
      <c r="BN252" s="2">
        <v>7.5</v>
      </c>
      <c r="BO252" s="2">
        <v>2.9</v>
      </c>
      <c r="BP252" s="2">
        <f t="shared" si="6"/>
        <v>8.4510561336700309</v>
      </c>
      <c r="BQ252" s="2">
        <f t="shared" si="7"/>
        <v>27.642249061015246</v>
      </c>
    </row>
    <row r="253" spans="1:69" x14ac:dyDescent="0.2">
      <c r="A253" s="2" t="s">
        <v>3090</v>
      </c>
      <c r="B253" s="2" t="s">
        <v>47</v>
      </c>
      <c r="C253" s="2" t="s">
        <v>1935</v>
      </c>
      <c r="D253" s="2" t="s">
        <v>49</v>
      </c>
      <c r="E253" s="2" t="s">
        <v>1567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89</v>
      </c>
      <c r="L253" s="6" t="s">
        <v>90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3091</v>
      </c>
      <c r="R253" s="2">
        <v>6875000</v>
      </c>
      <c r="S253" s="2">
        <v>0</v>
      </c>
      <c r="T253" s="2" t="s">
        <v>130</v>
      </c>
      <c r="U253" s="2" t="s">
        <v>131</v>
      </c>
      <c r="V253" s="2" t="s">
        <v>56</v>
      </c>
      <c r="W253" s="2" t="s">
        <v>98</v>
      </c>
      <c r="X253" s="2" t="s">
        <v>132</v>
      </c>
      <c r="Y253" s="2">
        <v>3.71665467420747</v>
      </c>
      <c r="Z253" s="2">
        <v>3716.6546742074702</v>
      </c>
      <c r="AA253" s="2">
        <v>4.7837500000000004</v>
      </c>
      <c r="AB253" s="2">
        <v>-74.044138888888895</v>
      </c>
      <c r="AC253" s="2">
        <v>2580</v>
      </c>
      <c r="AD253" s="2">
        <v>0</v>
      </c>
      <c r="AE253" s="2" t="s">
        <v>133</v>
      </c>
      <c r="AF253" s="2" t="s">
        <v>86</v>
      </c>
      <c r="AG253" s="2" t="s">
        <v>61</v>
      </c>
      <c r="AH253" s="2" t="s">
        <v>62</v>
      </c>
      <c r="AI253" s="2" t="s">
        <v>100</v>
      </c>
      <c r="AJ253" s="2">
        <v>4.7900787504893296</v>
      </c>
      <c r="AK253" s="2">
        <v>0.84384938832921597</v>
      </c>
      <c r="AL253" s="2">
        <v>2.8979209628964102</v>
      </c>
      <c r="AM253" s="2">
        <v>1.11843236761011</v>
      </c>
      <c r="AN253" s="2">
        <v>6.6525565572955196</v>
      </c>
      <c r="AO253" s="2">
        <v>2.2450882786661999</v>
      </c>
      <c r="AP253" s="2">
        <v>2.2450882786661999</v>
      </c>
      <c r="AQ253" s="2">
        <v>0</v>
      </c>
      <c r="AR253" s="2">
        <v>0</v>
      </c>
      <c r="AS253" s="2">
        <v>0</v>
      </c>
      <c r="AT253" s="2">
        <v>1</v>
      </c>
      <c r="AU253" s="2">
        <v>0</v>
      </c>
      <c r="AV253" s="2">
        <v>0</v>
      </c>
      <c r="AW253" s="2">
        <v>0</v>
      </c>
      <c r="AX253" s="2">
        <v>0</v>
      </c>
      <c r="AY253" s="2">
        <v>15.3</v>
      </c>
      <c r="AZ253" s="2">
        <v>9.8000000000000007</v>
      </c>
      <c r="BA253" s="2">
        <v>29.7</v>
      </c>
      <c r="BB253" s="2">
        <v>564</v>
      </c>
      <c r="BC253" s="2">
        <v>68</v>
      </c>
      <c r="BD253" s="2">
        <v>1.8</v>
      </c>
      <c r="BE253" s="2">
        <v>43</v>
      </c>
      <c r="BF253" s="2">
        <v>25.4</v>
      </c>
      <c r="BG253" s="2">
        <v>162</v>
      </c>
      <c r="BH253" s="2">
        <v>9.1</v>
      </c>
      <c r="BI253" s="2">
        <v>9.1999999999999993</v>
      </c>
      <c r="BJ253" s="2">
        <v>18.3</v>
      </c>
      <c r="BK253" s="2">
        <v>0.34</v>
      </c>
      <c r="BL253" s="2">
        <v>7.3</v>
      </c>
      <c r="BM253" s="2">
        <v>0.9</v>
      </c>
      <c r="BN253" s="2">
        <v>7.5</v>
      </c>
      <c r="BO253" s="2">
        <v>2.9</v>
      </c>
      <c r="BP253" s="2">
        <f t="shared" si="6"/>
        <v>8.1531795442650239</v>
      </c>
      <c r="BQ253" s="2">
        <f t="shared" si="7"/>
        <v>27.165487714579182</v>
      </c>
    </row>
    <row r="254" spans="1:69" x14ac:dyDescent="0.2">
      <c r="A254" s="2" t="s">
        <v>2100</v>
      </c>
      <c r="B254" s="2" t="s">
        <v>47</v>
      </c>
      <c r="C254" s="2" t="s">
        <v>1935</v>
      </c>
      <c r="D254" s="2" t="s">
        <v>49</v>
      </c>
      <c r="E254" s="2" t="s">
        <v>1966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89</v>
      </c>
      <c r="L254" s="6" t="s">
        <v>103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2101</v>
      </c>
      <c r="R254" s="2">
        <v>4687500</v>
      </c>
      <c r="S254" s="2">
        <v>0</v>
      </c>
      <c r="T254" s="2" t="s">
        <v>130</v>
      </c>
      <c r="U254" s="2" t="s">
        <v>131</v>
      </c>
      <c r="V254" s="2" t="s">
        <v>56</v>
      </c>
      <c r="W254" s="2" t="s">
        <v>98</v>
      </c>
      <c r="X254" s="2" t="s">
        <v>132</v>
      </c>
      <c r="Y254" s="2">
        <v>1.93774855045836</v>
      </c>
      <c r="Z254" s="2">
        <v>1937.7485504583599</v>
      </c>
      <c r="AA254" s="2">
        <v>4.7837500000000004</v>
      </c>
      <c r="AB254" s="2">
        <v>-74.044138888888895</v>
      </c>
      <c r="AC254" s="2">
        <v>2580</v>
      </c>
      <c r="AD254" s="2">
        <v>0</v>
      </c>
      <c r="AE254" s="2" t="s">
        <v>133</v>
      </c>
      <c r="AF254" s="2" t="s">
        <v>86</v>
      </c>
      <c r="AG254" s="2" t="s">
        <v>61</v>
      </c>
      <c r="AH254" s="2" t="s">
        <v>62</v>
      </c>
      <c r="AI254" s="2" t="s">
        <v>87</v>
      </c>
      <c r="AJ254" s="2">
        <v>0.285139719662238</v>
      </c>
      <c r="AK254" s="2">
        <v>2.1890943932211702</v>
      </c>
      <c r="AL254" s="2">
        <v>1.8752661806711901</v>
      </c>
      <c r="AM254" s="2">
        <v>0.33453331455942398</v>
      </c>
      <c r="AN254" s="2">
        <v>3.2668441325653199</v>
      </c>
      <c r="AO254" s="2">
        <v>0.26059286788941299</v>
      </c>
      <c r="AP254" s="2">
        <v>0.26059286788941299</v>
      </c>
      <c r="AQ254" s="2">
        <v>2</v>
      </c>
      <c r="AR254" s="2">
        <v>2</v>
      </c>
      <c r="AS254" s="2">
        <v>0</v>
      </c>
      <c r="AT254" s="2">
        <v>0</v>
      </c>
      <c r="AU254" s="2">
        <v>0</v>
      </c>
      <c r="AV254" s="2">
        <v>13</v>
      </c>
      <c r="AW254" s="2">
        <v>0</v>
      </c>
      <c r="AX254" s="2">
        <v>0</v>
      </c>
      <c r="AY254" s="2">
        <v>15.3</v>
      </c>
      <c r="AZ254" s="2">
        <v>9.8000000000000007</v>
      </c>
      <c r="BA254" s="2">
        <v>29.7</v>
      </c>
      <c r="BB254" s="2">
        <v>564</v>
      </c>
      <c r="BC254" s="2">
        <v>68</v>
      </c>
      <c r="BD254" s="2">
        <v>1.8</v>
      </c>
      <c r="BE254" s="2">
        <v>43</v>
      </c>
      <c r="BF254" s="2">
        <v>25.4</v>
      </c>
      <c r="BG254" s="2">
        <v>162</v>
      </c>
      <c r="BH254" s="2">
        <v>9.1</v>
      </c>
      <c r="BI254" s="2">
        <v>9.1999999999999993</v>
      </c>
      <c r="BJ254" s="2">
        <v>18.3</v>
      </c>
      <c r="BK254" s="2">
        <v>0.34</v>
      </c>
      <c r="BL254" s="2">
        <v>7.3</v>
      </c>
      <c r="BM254" s="2">
        <v>0.9</v>
      </c>
      <c r="BN254" s="2">
        <v>7.5</v>
      </c>
      <c r="BO254" s="2">
        <v>2.9</v>
      </c>
      <c r="BP254" s="2">
        <f t="shared" si="6"/>
        <v>8.9036725031515633</v>
      </c>
      <c r="BQ254" s="2">
        <f t="shared" si="7"/>
        <v>28.350398332315706</v>
      </c>
    </row>
    <row r="255" spans="1:69" x14ac:dyDescent="0.2">
      <c r="A255" s="2" t="s">
        <v>1103</v>
      </c>
      <c r="B255" s="2" t="s">
        <v>47</v>
      </c>
      <c r="C255" s="2" t="s">
        <v>48</v>
      </c>
      <c r="D255" s="2" t="s">
        <v>49</v>
      </c>
      <c r="E255" s="2" t="s">
        <v>119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89</v>
      </c>
      <c r="L255" s="6" t="s">
        <v>112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1104</v>
      </c>
      <c r="R255" s="2">
        <v>8012209.0810000002</v>
      </c>
      <c r="S255" s="2">
        <v>0</v>
      </c>
      <c r="T255" s="2" t="s">
        <v>96</v>
      </c>
      <c r="U255" s="2" t="s">
        <v>97</v>
      </c>
      <c r="V255" s="2" t="s">
        <v>56</v>
      </c>
      <c r="W255" s="2" t="s">
        <v>98</v>
      </c>
      <c r="X255" s="2" t="s">
        <v>99</v>
      </c>
      <c r="Y255" s="2">
        <v>1.72851111775981</v>
      </c>
      <c r="Z255" s="2">
        <v>1728.5111177598101</v>
      </c>
      <c r="AA255" s="2">
        <v>4.73719444444444</v>
      </c>
      <c r="AB255" s="2">
        <v>-74.069472222222203</v>
      </c>
      <c r="AC255" s="2">
        <v>2555</v>
      </c>
      <c r="AD255" s="2">
        <v>0</v>
      </c>
      <c r="AE255" s="2" t="s">
        <v>59</v>
      </c>
      <c r="AF255" s="2" t="s">
        <v>86</v>
      </c>
      <c r="AG255" s="2" t="s">
        <v>61</v>
      </c>
      <c r="AH255" s="2" t="s">
        <v>62</v>
      </c>
      <c r="AI255" s="2" t="s">
        <v>100</v>
      </c>
      <c r="AJ255" s="2">
        <v>0.76550910836885699</v>
      </c>
      <c r="AK255" s="2">
        <v>3.8064793343015002</v>
      </c>
      <c r="AL255" s="2">
        <v>1.1994747960183401</v>
      </c>
      <c r="AM255" s="2">
        <v>0.43335209129386598</v>
      </c>
      <c r="AN255" s="2">
        <v>3.12192442468131</v>
      </c>
      <c r="AO255" s="2">
        <v>8.35351075541447E-2</v>
      </c>
      <c r="AP255" s="2">
        <v>8.35351075541447E-2</v>
      </c>
      <c r="AQ255" s="2">
        <v>0</v>
      </c>
      <c r="AR255" s="2">
        <v>2</v>
      </c>
      <c r="AS255" s="2">
        <v>0</v>
      </c>
      <c r="AT255" s="2">
        <v>0</v>
      </c>
      <c r="AU255" s="2">
        <v>0</v>
      </c>
      <c r="AV255" s="2">
        <v>12</v>
      </c>
      <c r="AW255" s="2">
        <v>0</v>
      </c>
      <c r="AX255" s="2">
        <v>0</v>
      </c>
      <c r="AY255" s="2">
        <v>15.3</v>
      </c>
      <c r="AZ255" s="2">
        <v>9.8000000000000007</v>
      </c>
      <c r="BA255" s="2">
        <v>29.7</v>
      </c>
      <c r="BB255" s="2">
        <v>564</v>
      </c>
      <c r="BC255" s="2">
        <v>68</v>
      </c>
      <c r="BD255" s="2">
        <v>1.8</v>
      </c>
      <c r="BE255" s="2">
        <v>43</v>
      </c>
      <c r="BF255" s="2">
        <v>25.4</v>
      </c>
      <c r="BG255" s="2">
        <v>162</v>
      </c>
      <c r="BH255" s="2">
        <v>9.1</v>
      </c>
      <c r="BI255" s="2">
        <v>9.1999999999999993</v>
      </c>
      <c r="BJ255" s="2">
        <v>18.3</v>
      </c>
      <c r="BK255" s="2">
        <v>0.34</v>
      </c>
      <c r="BL255" s="2">
        <v>7.3</v>
      </c>
      <c r="BM255" s="2">
        <v>0.9</v>
      </c>
      <c r="BN255" s="2">
        <v>7.5</v>
      </c>
      <c r="BO255" s="2">
        <v>2.9</v>
      </c>
      <c r="BP255" s="2">
        <f t="shared" si="6"/>
        <v>8.9963693046282742</v>
      </c>
      <c r="BQ255" s="2">
        <f t="shared" si="7"/>
        <v>28.493123543379056</v>
      </c>
    </row>
    <row r="256" spans="1:69" x14ac:dyDescent="0.2">
      <c r="A256" s="2" t="s">
        <v>2921</v>
      </c>
      <c r="B256" s="2" t="s">
        <v>47</v>
      </c>
      <c r="C256" s="2" t="s">
        <v>1935</v>
      </c>
      <c r="D256" s="2" t="s">
        <v>49</v>
      </c>
      <c r="E256" s="2" t="s">
        <v>2922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89</v>
      </c>
      <c r="L256" s="6" t="s">
        <v>141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2923</v>
      </c>
      <c r="R256" s="2">
        <v>8280254.7769999998</v>
      </c>
      <c r="S256" s="2">
        <v>0</v>
      </c>
      <c r="T256" s="2" t="s">
        <v>96</v>
      </c>
      <c r="U256" s="2" t="s">
        <v>97</v>
      </c>
      <c r="V256" s="2" t="s">
        <v>56</v>
      </c>
      <c r="W256" s="2" t="s">
        <v>98</v>
      </c>
      <c r="X256" s="2" t="s">
        <v>99</v>
      </c>
      <c r="Y256" s="2">
        <v>3.08807459935784</v>
      </c>
      <c r="Z256" s="2">
        <v>3088.0745993578398</v>
      </c>
      <c r="AA256" s="2">
        <v>4.73719444444444</v>
      </c>
      <c r="AB256" s="2">
        <v>-74.069472222222203</v>
      </c>
      <c r="AC256" s="2">
        <v>2555</v>
      </c>
      <c r="AD256" s="2">
        <v>0</v>
      </c>
      <c r="AE256" s="2" t="s">
        <v>59</v>
      </c>
      <c r="AF256" s="2" t="s">
        <v>86</v>
      </c>
      <c r="AG256" s="2" t="s">
        <v>61</v>
      </c>
      <c r="AH256" s="2" t="s">
        <v>62</v>
      </c>
      <c r="AI256" s="2" t="s">
        <v>100</v>
      </c>
      <c r="AJ256" s="2">
        <v>0.31862649046008201</v>
      </c>
      <c r="AK256" s="2">
        <v>5.0269872281975401</v>
      </c>
      <c r="AL256" s="2">
        <v>0.82339424871885403</v>
      </c>
      <c r="AM256" s="2">
        <v>0.132382856409199</v>
      </c>
      <c r="AN256" s="2">
        <v>3.8976607907383101</v>
      </c>
      <c r="AO256" s="2">
        <v>0.39095182842074599</v>
      </c>
      <c r="AP256" s="2">
        <v>0.39095182842074599</v>
      </c>
      <c r="AQ256" s="2">
        <v>2</v>
      </c>
      <c r="AR256" s="2">
        <v>2</v>
      </c>
      <c r="AS256" s="2">
        <v>0</v>
      </c>
      <c r="AT256" s="2">
        <v>0</v>
      </c>
      <c r="AU256" s="2">
        <v>1</v>
      </c>
      <c r="AV256" s="2">
        <v>37</v>
      </c>
      <c r="AW256" s="2">
        <v>0</v>
      </c>
      <c r="AX256" s="2">
        <v>0</v>
      </c>
      <c r="AY256" s="2">
        <v>15.3</v>
      </c>
      <c r="AZ256" s="2">
        <v>9.8000000000000007</v>
      </c>
      <c r="BA256" s="2">
        <v>29.7</v>
      </c>
      <c r="BB256" s="2">
        <v>564</v>
      </c>
      <c r="BC256" s="2">
        <v>68</v>
      </c>
      <c r="BD256" s="2">
        <v>1.8</v>
      </c>
      <c r="BE256" s="2">
        <v>43</v>
      </c>
      <c r="BF256" s="2">
        <v>25.4</v>
      </c>
      <c r="BG256" s="2">
        <v>162</v>
      </c>
      <c r="BH256" s="2">
        <v>9.1</v>
      </c>
      <c r="BI256" s="2">
        <v>9.1999999999999993</v>
      </c>
      <c r="BJ256" s="2">
        <v>18.3</v>
      </c>
      <c r="BK256" s="2">
        <v>0.34</v>
      </c>
      <c r="BL256" s="2">
        <v>7.3</v>
      </c>
      <c r="BM256" s="2">
        <v>0.9</v>
      </c>
      <c r="BN256" s="2">
        <v>7.5</v>
      </c>
      <c r="BO256" s="2">
        <v>2.9</v>
      </c>
      <c r="BP256" s="2">
        <f t="shared" si="6"/>
        <v>8.4108512950701702</v>
      </c>
      <c r="BQ256" s="2">
        <f t="shared" si="7"/>
        <v>27.578410970542688</v>
      </c>
    </row>
    <row r="257" spans="1:69" x14ac:dyDescent="0.2">
      <c r="A257" s="2" t="s">
        <v>3114</v>
      </c>
      <c r="B257" s="2" t="s">
        <v>47</v>
      </c>
      <c r="C257" s="2" t="s">
        <v>1935</v>
      </c>
      <c r="D257" s="2" t="s">
        <v>49</v>
      </c>
      <c r="E257" s="2" t="s">
        <v>1534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89</v>
      </c>
      <c r="L257" s="6" t="s">
        <v>141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3115</v>
      </c>
      <c r="R257" s="2">
        <v>4709677.4189999998</v>
      </c>
      <c r="S257" s="2">
        <v>0</v>
      </c>
      <c r="T257" s="2" t="s">
        <v>96</v>
      </c>
      <c r="U257" s="2" t="s">
        <v>97</v>
      </c>
      <c r="V257" s="2" t="s">
        <v>56</v>
      </c>
      <c r="W257" s="2" t="s">
        <v>98</v>
      </c>
      <c r="X257" s="2" t="s">
        <v>99</v>
      </c>
      <c r="Y257" s="2">
        <v>2.4070060436293099</v>
      </c>
      <c r="Z257" s="2">
        <v>2407.0060436293102</v>
      </c>
      <c r="AA257" s="2">
        <v>4.73719444444444</v>
      </c>
      <c r="AB257" s="2">
        <v>-74.069472222222203</v>
      </c>
      <c r="AC257" s="2">
        <v>2555</v>
      </c>
      <c r="AD257" s="2">
        <v>0</v>
      </c>
      <c r="AE257" s="2" t="s">
        <v>59</v>
      </c>
      <c r="AF257" s="2" t="s">
        <v>86</v>
      </c>
      <c r="AG257" s="2" t="s">
        <v>61</v>
      </c>
      <c r="AH257" s="2" t="s">
        <v>62</v>
      </c>
      <c r="AI257" s="2" t="s">
        <v>87</v>
      </c>
      <c r="AJ257" s="2">
        <v>0.36720423961888699</v>
      </c>
      <c r="AK257" s="2">
        <v>2.9370634051900599</v>
      </c>
      <c r="AL257" s="2">
        <v>1.0751456326765301</v>
      </c>
      <c r="AM257" s="2">
        <v>0.14850711132347599</v>
      </c>
      <c r="AN257" s="2">
        <v>2.3606473583335799</v>
      </c>
      <c r="AO257" s="2">
        <v>0.39302566189510701</v>
      </c>
      <c r="AP257" s="2">
        <v>0.39302566189510701</v>
      </c>
      <c r="AQ257" s="2">
        <v>2</v>
      </c>
      <c r="AR257" s="2">
        <v>4</v>
      </c>
      <c r="AS257" s="2">
        <v>0</v>
      </c>
      <c r="AT257" s="2">
        <v>0</v>
      </c>
      <c r="AU257" s="2">
        <v>0</v>
      </c>
      <c r="AV257" s="2">
        <v>31</v>
      </c>
      <c r="AW257" s="2">
        <v>0</v>
      </c>
      <c r="AX257" s="2">
        <v>0</v>
      </c>
      <c r="AY257" s="2">
        <v>15.3</v>
      </c>
      <c r="AZ257" s="2">
        <v>9.8000000000000007</v>
      </c>
      <c r="BA257" s="2">
        <v>29.7</v>
      </c>
      <c r="BB257" s="2">
        <v>564</v>
      </c>
      <c r="BC257" s="2">
        <v>68</v>
      </c>
      <c r="BD257" s="2">
        <v>1.8</v>
      </c>
      <c r="BE257" s="2">
        <v>43</v>
      </c>
      <c r="BF257" s="2">
        <v>25.4</v>
      </c>
      <c r="BG257" s="2">
        <v>162</v>
      </c>
      <c r="BH257" s="2">
        <v>9.1</v>
      </c>
      <c r="BI257" s="2">
        <v>9.1999999999999993</v>
      </c>
      <c r="BJ257" s="2">
        <v>18.3</v>
      </c>
      <c r="BK257" s="2">
        <v>0.34</v>
      </c>
      <c r="BL257" s="2">
        <v>7.3</v>
      </c>
      <c r="BM257" s="2">
        <v>0.9</v>
      </c>
      <c r="BN257" s="2">
        <v>7.5</v>
      </c>
      <c r="BO257" s="2">
        <v>2.9</v>
      </c>
      <c r="BP257" s="2">
        <f t="shared" si="6"/>
        <v>8.699239312707542</v>
      </c>
      <c r="BQ257" s="2">
        <f t="shared" si="7"/>
        <v>28.032902252684067</v>
      </c>
    </row>
    <row r="258" spans="1:69" x14ac:dyDescent="0.2">
      <c r="A258" s="2" t="s">
        <v>832</v>
      </c>
      <c r="B258" s="2" t="s">
        <v>47</v>
      </c>
      <c r="C258" s="2" t="s">
        <v>48</v>
      </c>
      <c r="D258" s="2" t="s">
        <v>49</v>
      </c>
      <c r="E258" s="2" t="s">
        <v>511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89</v>
      </c>
      <c r="L258" s="6" t="s">
        <v>103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833</v>
      </c>
      <c r="R258" s="2">
        <v>7826767.5449999999</v>
      </c>
      <c r="S258" s="2">
        <v>0</v>
      </c>
      <c r="T258" s="2" t="s">
        <v>96</v>
      </c>
      <c r="U258" s="2" t="s">
        <v>97</v>
      </c>
      <c r="V258" s="2" t="s">
        <v>56</v>
      </c>
      <c r="W258" s="2" t="s">
        <v>98</v>
      </c>
      <c r="X258" s="2" t="s">
        <v>99</v>
      </c>
      <c r="Y258" s="2">
        <v>3.2770752734514899</v>
      </c>
      <c r="Z258" s="2">
        <v>3277.0752734514899</v>
      </c>
      <c r="AA258" s="2">
        <v>4.73719444444444</v>
      </c>
      <c r="AB258" s="2">
        <v>-74.069472222222203</v>
      </c>
      <c r="AC258" s="2">
        <v>2555</v>
      </c>
      <c r="AD258" s="2">
        <v>0</v>
      </c>
      <c r="AE258" s="2" t="s">
        <v>59</v>
      </c>
      <c r="AF258" s="2" t="s">
        <v>86</v>
      </c>
      <c r="AG258" s="2" t="s">
        <v>61</v>
      </c>
      <c r="AH258" s="2" t="s">
        <v>62</v>
      </c>
      <c r="AI258" s="2" t="s">
        <v>100</v>
      </c>
      <c r="AJ258" s="2">
        <v>0.95630696643320601</v>
      </c>
      <c r="AK258" s="2">
        <v>5.2777029231104198</v>
      </c>
      <c r="AL258" s="2">
        <v>1.2794007730058801</v>
      </c>
      <c r="AM258" s="2">
        <v>0.215895476690354</v>
      </c>
      <c r="AN258" s="2">
        <v>3.2869780713390599</v>
      </c>
      <c r="AO258" s="2">
        <v>0.21356666240786401</v>
      </c>
      <c r="AP258" s="2">
        <v>0.21356666240786401</v>
      </c>
      <c r="AQ258" s="2">
        <v>0</v>
      </c>
      <c r="AR258" s="2">
        <v>1</v>
      </c>
      <c r="AS258" s="2">
        <v>0</v>
      </c>
      <c r="AT258" s="2">
        <v>0</v>
      </c>
      <c r="AU258" s="2">
        <v>0</v>
      </c>
      <c r="AV258" s="2">
        <v>12</v>
      </c>
      <c r="AW258" s="2">
        <v>0</v>
      </c>
      <c r="AX258" s="2">
        <v>0</v>
      </c>
      <c r="AY258" s="2">
        <v>15.3</v>
      </c>
      <c r="AZ258" s="2">
        <v>9.8000000000000007</v>
      </c>
      <c r="BA258" s="2">
        <v>29.7</v>
      </c>
      <c r="BB258" s="2">
        <v>564</v>
      </c>
      <c r="BC258" s="2">
        <v>68</v>
      </c>
      <c r="BD258" s="2">
        <v>1.8</v>
      </c>
      <c r="BE258" s="2">
        <v>43</v>
      </c>
      <c r="BF258" s="2">
        <v>25.4</v>
      </c>
      <c r="BG258" s="2">
        <v>162</v>
      </c>
      <c r="BH258" s="2">
        <v>9.1</v>
      </c>
      <c r="BI258" s="2">
        <v>9.1999999999999993</v>
      </c>
      <c r="BJ258" s="2">
        <v>18.3</v>
      </c>
      <c r="BK258" s="2">
        <v>0.34</v>
      </c>
      <c r="BL258" s="2">
        <v>7.3</v>
      </c>
      <c r="BM258" s="2">
        <v>0.9</v>
      </c>
      <c r="BN258" s="2">
        <v>7.5</v>
      </c>
      <c r="BO258" s="2">
        <v>2.9</v>
      </c>
      <c r="BP258" s="2">
        <f t="shared" ref="BP258:BP321" si="8">+AZ258*EXP(-0.0495*Y258)</f>
        <v>8.3325302340388152</v>
      </c>
      <c r="BQ258" s="2">
        <f t="shared" ref="BQ258:BQ321" si="9">+BA258*EXP(-0.024*Y258)</f>
        <v>27.453598142719599</v>
      </c>
    </row>
    <row r="259" spans="1:69" x14ac:dyDescent="0.2">
      <c r="A259" s="2" t="s">
        <v>681</v>
      </c>
      <c r="B259" s="2" t="s">
        <v>47</v>
      </c>
      <c r="C259" s="2" t="s">
        <v>48</v>
      </c>
      <c r="D259" s="2" t="s">
        <v>49</v>
      </c>
      <c r="E259" s="2" t="s">
        <v>511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89</v>
      </c>
      <c r="L259" s="6" t="s">
        <v>103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682</v>
      </c>
      <c r="R259" s="2">
        <v>7500652.2309999997</v>
      </c>
      <c r="S259" s="2">
        <v>0</v>
      </c>
      <c r="T259" s="2" t="s">
        <v>96</v>
      </c>
      <c r="U259" s="2" t="s">
        <v>97</v>
      </c>
      <c r="V259" s="2" t="s">
        <v>56</v>
      </c>
      <c r="W259" s="2" t="s">
        <v>98</v>
      </c>
      <c r="X259" s="2" t="s">
        <v>99</v>
      </c>
      <c r="Y259" s="2">
        <v>3.5091026479452498</v>
      </c>
      <c r="Z259" s="2">
        <v>3509.1026479452498</v>
      </c>
      <c r="AA259" s="2">
        <v>4.73719444444444</v>
      </c>
      <c r="AB259" s="2">
        <v>-74.069472222222203</v>
      </c>
      <c r="AC259" s="2">
        <v>2555</v>
      </c>
      <c r="AD259" s="2">
        <v>0</v>
      </c>
      <c r="AE259" s="2" t="s">
        <v>59</v>
      </c>
      <c r="AF259" s="2" t="s">
        <v>86</v>
      </c>
      <c r="AG259" s="2" t="s">
        <v>61</v>
      </c>
      <c r="AH259" s="2" t="s">
        <v>62</v>
      </c>
      <c r="AI259" s="2" t="s">
        <v>100</v>
      </c>
      <c r="AJ259" s="2">
        <v>1.2014046998496599</v>
      </c>
      <c r="AK259" s="2">
        <v>5.13884189955471</v>
      </c>
      <c r="AL259" s="2">
        <v>1.1123368853828799</v>
      </c>
      <c r="AM259" s="2">
        <v>0.46484255601087299</v>
      </c>
      <c r="AN259" s="2">
        <v>3.0243944943474799</v>
      </c>
      <c r="AO259" s="2">
        <v>0.41051593439182998</v>
      </c>
      <c r="AP259" s="2">
        <v>0.41051593439182998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9</v>
      </c>
      <c r="AW259" s="2">
        <v>0</v>
      </c>
      <c r="AX259" s="2">
        <v>0</v>
      </c>
      <c r="AY259" s="2">
        <v>15.3</v>
      </c>
      <c r="AZ259" s="2">
        <v>9.8000000000000007</v>
      </c>
      <c r="BA259" s="2">
        <v>29.7</v>
      </c>
      <c r="BB259" s="2">
        <v>564</v>
      </c>
      <c r="BC259" s="2">
        <v>68</v>
      </c>
      <c r="BD259" s="2">
        <v>1.8</v>
      </c>
      <c r="BE259" s="2">
        <v>43</v>
      </c>
      <c r="BF259" s="2">
        <v>25.4</v>
      </c>
      <c r="BG259" s="2">
        <v>162</v>
      </c>
      <c r="BH259" s="2">
        <v>9.1</v>
      </c>
      <c r="BI259" s="2">
        <v>9.1999999999999993</v>
      </c>
      <c r="BJ259" s="2">
        <v>18.3</v>
      </c>
      <c r="BK259" s="2">
        <v>0.34</v>
      </c>
      <c r="BL259" s="2">
        <v>7.3</v>
      </c>
      <c r="BM259" s="2">
        <v>0.9</v>
      </c>
      <c r="BN259" s="2">
        <v>7.5</v>
      </c>
      <c r="BO259" s="2">
        <v>2.9</v>
      </c>
      <c r="BP259" s="2">
        <f t="shared" si="8"/>
        <v>8.2373756540193739</v>
      </c>
      <c r="BQ259" s="2">
        <f t="shared" si="9"/>
        <v>27.301143349772186</v>
      </c>
    </row>
    <row r="260" spans="1:69" x14ac:dyDescent="0.2">
      <c r="A260" s="2" t="s">
        <v>2897</v>
      </c>
      <c r="B260" s="2" t="s">
        <v>47</v>
      </c>
      <c r="C260" s="2" t="s">
        <v>1935</v>
      </c>
      <c r="D260" s="2" t="s">
        <v>49</v>
      </c>
      <c r="E260" s="2" t="s">
        <v>1291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89</v>
      </c>
      <c r="L260" s="6" t="s">
        <v>141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2898</v>
      </c>
      <c r="R260" s="2">
        <v>5294117.6469999999</v>
      </c>
      <c r="S260" s="2">
        <v>0</v>
      </c>
      <c r="T260" s="2" t="s">
        <v>96</v>
      </c>
      <c r="U260" s="2" t="s">
        <v>97</v>
      </c>
      <c r="V260" s="2" t="s">
        <v>56</v>
      </c>
      <c r="W260" s="2" t="s">
        <v>98</v>
      </c>
      <c r="X260" s="2" t="s">
        <v>99</v>
      </c>
      <c r="Y260" s="2">
        <v>2.8842644810651299</v>
      </c>
      <c r="Z260" s="2">
        <v>2884.26448106513</v>
      </c>
      <c r="AA260" s="2">
        <v>4.73719444444444</v>
      </c>
      <c r="AB260" s="2">
        <v>-74.069472222222203</v>
      </c>
      <c r="AC260" s="2">
        <v>2555</v>
      </c>
      <c r="AD260" s="2">
        <v>0</v>
      </c>
      <c r="AE260" s="2" t="s">
        <v>59</v>
      </c>
      <c r="AF260" s="2" t="s">
        <v>86</v>
      </c>
      <c r="AG260" s="2" t="s">
        <v>61</v>
      </c>
      <c r="AH260" s="2" t="s">
        <v>62</v>
      </c>
      <c r="AI260" s="2" t="s">
        <v>87</v>
      </c>
      <c r="AJ260" s="2">
        <v>0.48020301670820098</v>
      </c>
      <c r="AK260" s="2">
        <v>2.5835063102910998</v>
      </c>
      <c r="AL260" s="2">
        <v>0.99335087322245796</v>
      </c>
      <c r="AM260" s="2">
        <v>0.101576772913897</v>
      </c>
      <c r="AN260" s="2">
        <v>1.88873091631794</v>
      </c>
      <c r="AO260" s="2">
        <v>0.21489993321930201</v>
      </c>
      <c r="AP260" s="2">
        <v>0.21489993321930201</v>
      </c>
      <c r="AQ260" s="2">
        <v>1</v>
      </c>
      <c r="AR260" s="2">
        <v>3</v>
      </c>
      <c r="AS260" s="2">
        <v>0</v>
      </c>
      <c r="AT260" s="2">
        <v>0</v>
      </c>
      <c r="AU260" s="2">
        <v>1</v>
      </c>
      <c r="AV260" s="2">
        <v>37</v>
      </c>
      <c r="AW260" s="2">
        <v>0</v>
      </c>
      <c r="AX260" s="2">
        <v>0</v>
      </c>
      <c r="AY260" s="2">
        <v>15.3</v>
      </c>
      <c r="AZ260" s="2">
        <v>9.8000000000000007</v>
      </c>
      <c r="BA260" s="2">
        <v>29.7</v>
      </c>
      <c r="BB260" s="2">
        <v>564</v>
      </c>
      <c r="BC260" s="2">
        <v>68</v>
      </c>
      <c r="BD260" s="2">
        <v>1.8</v>
      </c>
      <c r="BE260" s="2">
        <v>43</v>
      </c>
      <c r="BF260" s="2">
        <v>25.4</v>
      </c>
      <c r="BG260" s="2">
        <v>162</v>
      </c>
      <c r="BH260" s="2">
        <v>9.1</v>
      </c>
      <c r="BI260" s="2">
        <v>9.1999999999999993</v>
      </c>
      <c r="BJ260" s="2">
        <v>18.3</v>
      </c>
      <c r="BK260" s="2">
        <v>0.34</v>
      </c>
      <c r="BL260" s="2">
        <v>7.3</v>
      </c>
      <c r="BM260" s="2">
        <v>0.9</v>
      </c>
      <c r="BN260" s="2">
        <v>7.5</v>
      </c>
      <c r="BO260" s="2">
        <v>2.9</v>
      </c>
      <c r="BP260" s="2">
        <f t="shared" si="8"/>
        <v>8.4961344873428288</v>
      </c>
      <c r="BQ260" s="2">
        <f t="shared" si="9"/>
        <v>27.713639653456823</v>
      </c>
    </row>
    <row r="261" spans="1:69" x14ac:dyDescent="0.2">
      <c r="A261" s="2" t="s">
        <v>2526</v>
      </c>
      <c r="B261" s="2" t="s">
        <v>47</v>
      </c>
      <c r="C261" s="2" t="s">
        <v>1935</v>
      </c>
      <c r="D261" s="2" t="s">
        <v>49</v>
      </c>
      <c r="E261" s="2" t="s">
        <v>246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89</v>
      </c>
      <c r="L261" s="6" t="s">
        <v>103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2527</v>
      </c>
      <c r="R261" s="2">
        <v>6518733.1270000003</v>
      </c>
      <c r="S261" s="2">
        <v>0</v>
      </c>
      <c r="T261" s="2" t="s">
        <v>130</v>
      </c>
      <c r="U261" s="2" t="s">
        <v>131</v>
      </c>
      <c r="V261" s="2" t="s">
        <v>56</v>
      </c>
      <c r="W261" s="2" t="s">
        <v>98</v>
      </c>
      <c r="X261" s="2" t="s">
        <v>132</v>
      </c>
      <c r="Y261" s="2">
        <v>2.0949547206089898</v>
      </c>
      <c r="Z261" s="2">
        <v>2094.9547206089901</v>
      </c>
      <c r="AA261" s="2">
        <v>4.7837500000000004</v>
      </c>
      <c r="AB261" s="2">
        <v>-74.044138888888895</v>
      </c>
      <c r="AC261" s="2">
        <v>2580</v>
      </c>
      <c r="AD261" s="2">
        <v>0</v>
      </c>
      <c r="AE261" s="2" t="s">
        <v>133</v>
      </c>
      <c r="AF261" s="2" t="s">
        <v>86</v>
      </c>
      <c r="AG261" s="2" t="s">
        <v>61</v>
      </c>
      <c r="AH261" s="2" t="s">
        <v>62</v>
      </c>
      <c r="AI261" s="2" t="s">
        <v>100</v>
      </c>
      <c r="AJ261" s="2">
        <v>3.32276533133376</v>
      </c>
      <c r="AK261" s="2">
        <v>2.4194734193849601</v>
      </c>
      <c r="AL261" s="2">
        <v>1.5842510886873999</v>
      </c>
      <c r="AM261" s="2">
        <v>2.1418666492752299</v>
      </c>
      <c r="AN261" s="2">
        <v>6.4505005854721196</v>
      </c>
      <c r="AO261" s="2">
        <v>0.69186044047607498</v>
      </c>
      <c r="AP261" s="2">
        <v>0.69186044047607498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>
        <v>15.3</v>
      </c>
      <c r="AZ261" s="2">
        <v>9.8000000000000007</v>
      </c>
      <c r="BA261" s="2">
        <v>29.7</v>
      </c>
      <c r="BB261" s="2">
        <v>564</v>
      </c>
      <c r="BC261" s="2">
        <v>68</v>
      </c>
      <c r="BD261" s="2">
        <v>1.8</v>
      </c>
      <c r="BE261" s="2">
        <v>43</v>
      </c>
      <c r="BF261" s="2">
        <v>25.4</v>
      </c>
      <c r="BG261" s="2">
        <v>162</v>
      </c>
      <c r="BH261" s="2">
        <v>9.1</v>
      </c>
      <c r="BI261" s="2">
        <v>9.1999999999999993</v>
      </c>
      <c r="BJ261" s="2">
        <v>18.3</v>
      </c>
      <c r="BK261" s="2">
        <v>0.34</v>
      </c>
      <c r="BL261" s="2">
        <v>7.3</v>
      </c>
      <c r="BM261" s="2">
        <v>0.9</v>
      </c>
      <c r="BN261" s="2">
        <v>7.5</v>
      </c>
      <c r="BO261" s="2">
        <v>2.9</v>
      </c>
      <c r="BP261" s="2">
        <f t="shared" si="8"/>
        <v>8.8346556293203822</v>
      </c>
      <c r="BQ261" s="2">
        <f t="shared" si="9"/>
        <v>28.243635283626904</v>
      </c>
    </row>
    <row r="262" spans="1:69" x14ac:dyDescent="0.2">
      <c r="A262" s="2" t="s">
        <v>822</v>
      </c>
      <c r="B262" s="2" t="s">
        <v>47</v>
      </c>
      <c r="C262" s="2" t="s">
        <v>48</v>
      </c>
      <c r="D262" s="2" t="s">
        <v>49</v>
      </c>
      <c r="E262" s="2" t="s">
        <v>328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89</v>
      </c>
      <c r="L262" s="6" t="s">
        <v>141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823</v>
      </c>
      <c r="R262" s="2">
        <v>5811649.716</v>
      </c>
      <c r="S262" s="2">
        <v>0</v>
      </c>
      <c r="T262" s="2" t="s">
        <v>96</v>
      </c>
      <c r="U262" s="2" t="s">
        <v>97</v>
      </c>
      <c r="V262" s="2" t="s">
        <v>56</v>
      </c>
      <c r="W262" s="2" t="s">
        <v>98</v>
      </c>
      <c r="X262" s="2" t="s">
        <v>99</v>
      </c>
      <c r="Y262" s="2">
        <v>0.75469485389051105</v>
      </c>
      <c r="Z262" s="2">
        <v>754.69485389051101</v>
      </c>
      <c r="AA262" s="2">
        <v>4.73719444444444</v>
      </c>
      <c r="AB262" s="2">
        <v>-74.069472222222203</v>
      </c>
      <c r="AC262" s="2">
        <v>2555</v>
      </c>
      <c r="AD262" s="2">
        <v>0</v>
      </c>
      <c r="AE262" s="2" t="s">
        <v>59</v>
      </c>
      <c r="AF262" s="2" t="s">
        <v>86</v>
      </c>
      <c r="AG262" s="2" t="s">
        <v>61</v>
      </c>
      <c r="AH262" s="2" t="s">
        <v>62</v>
      </c>
      <c r="AI262" s="2" t="s">
        <v>100</v>
      </c>
      <c r="AJ262" s="2">
        <v>0.58455903267585296</v>
      </c>
      <c r="AK262" s="2">
        <v>5.38789206188547</v>
      </c>
      <c r="AL262" s="2">
        <v>1.7914996184340399</v>
      </c>
      <c r="AM262" s="2">
        <v>0.74390977011034398</v>
      </c>
      <c r="AN262" s="2">
        <v>1.5255587135779101</v>
      </c>
      <c r="AO262" s="2">
        <v>2.8652480057635399E-4</v>
      </c>
      <c r="AP262" s="2">
        <v>2.8652480057635399E-4</v>
      </c>
      <c r="AQ262" s="2">
        <v>0</v>
      </c>
      <c r="AR262" s="2">
        <v>2</v>
      </c>
      <c r="AS262" s="2">
        <v>0</v>
      </c>
      <c r="AT262" s="2">
        <v>0</v>
      </c>
      <c r="AU262" s="2">
        <v>0</v>
      </c>
      <c r="AV262" s="2">
        <v>11</v>
      </c>
      <c r="AW262" s="2">
        <v>0</v>
      </c>
      <c r="AX262" s="2">
        <v>0</v>
      </c>
      <c r="AY262" s="2">
        <v>15.3</v>
      </c>
      <c r="AZ262" s="2">
        <v>9.8000000000000007</v>
      </c>
      <c r="BA262" s="2">
        <v>29.7</v>
      </c>
      <c r="BB262" s="2">
        <v>564</v>
      </c>
      <c r="BC262" s="2">
        <v>68</v>
      </c>
      <c r="BD262" s="2">
        <v>1.8</v>
      </c>
      <c r="BE262" s="2">
        <v>43</v>
      </c>
      <c r="BF262" s="2">
        <v>25.4</v>
      </c>
      <c r="BG262" s="2">
        <v>162</v>
      </c>
      <c r="BH262" s="2">
        <v>9.1</v>
      </c>
      <c r="BI262" s="2">
        <v>9.1999999999999993</v>
      </c>
      <c r="BJ262" s="2">
        <v>18.3</v>
      </c>
      <c r="BK262" s="2">
        <v>0.34</v>
      </c>
      <c r="BL262" s="2">
        <v>7.3</v>
      </c>
      <c r="BM262" s="2">
        <v>0.9</v>
      </c>
      <c r="BN262" s="2">
        <v>7.5</v>
      </c>
      <c r="BO262" s="2">
        <v>2.9</v>
      </c>
      <c r="BP262" s="2">
        <f t="shared" si="8"/>
        <v>9.4406514792536207</v>
      </c>
      <c r="BQ262" s="2">
        <f t="shared" si="9"/>
        <v>29.166896052313508</v>
      </c>
    </row>
    <row r="263" spans="1:69" x14ac:dyDescent="0.2">
      <c r="A263" s="2" t="s">
        <v>4181</v>
      </c>
      <c r="B263" s="2" t="s">
        <v>47</v>
      </c>
      <c r="C263" s="2" t="s">
        <v>3273</v>
      </c>
      <c r="D263" s="2" t="s">
        <v>49</v>
      </c>
      <c r="E263" s="2" t="s">
        <v>2435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89</v>
      </c>
      <c r="L263" s="6" t="s">
        <v>141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4182</v>
      </c>
      <c r="R263" s="2">
        <v>5133333.3329999996</v>
      </c>
      <c r="S263" s="2">
        <v>0</v>
      </c>
      <c r="T263" s="2" t="s">
        <v>96</v>
      </c>
      <c r="U263" s="2" t="s">
        <v>97</v>
      </c>
      <c r="V263" s="2" t="s">
        <v>56</v>
      </c>
      <c r="W263" s="2" t="s">
        <v>98</v>
      </c>
      <c r="X263" s="2" t="s">
        <v>99</v>
      </c>
      <c r="Y263" s="2">
        <v>1.91804207748638</v>
      </c>
      <c r="Z263" s="2">
        <v>1918.0420774863801</v>
      </c>
      <c r="AA263" s="2">
        <v>4.73719444444444</v>
      </c>
      <c r="AB263" s="2">
        <v>-74.069472222222203</v>
      </c>
      <c r="AC263" s="2">
        <v>2555</v>
      </c>
      <c r="AD263" s="2">
        <v>0</v>
      </c>
      <c r="AE263" s="2" t="s">
        <v>59</v>
      </c>
      <c r="AF263" s="2" t="s">
        <v>86</v>
      </c>
      <c r="AG263" s="2" t="s">
        <v>61</v>
      </c>
      <c r="AH263" s="2" t="s">
        <v>62</v>
      </c>
      <c r="AI263" s="2" t="s">
        <v>100</v>
      </c>
      <c r="AJ263" s="2">
        <v>5.2815802702927503E-2</v>
      </c>
      <c r="AK263" s="2">
        <v>5.6262528370061196</v>
      </c>
      <c r="AL263" s="2">
        <v>0.57249370046869297</v>
      </c>
      <c r="AM263" s="2">
        <v>0.28036028106592198</v>
      </c>
      <c r="AN263" s="2">
        <v>2.5612404988485502</v>
      </c>
      <c r="AO263" s="2">
        <v>0.120358298935377</v>
      </c>
      <c r="AP263" s="2">
        <v>0.120358298935377</v>
      </c>
      <c r="AQ263" s="2">
        <v>1</v>
      </c>
      <c r="AR263" s="2">
        <v>2</v>
      </c>
      <c r="AS263" s="2">
        <v>0</v>
      </c>
      <c r="AT263" s="2">
        <v>0</v>
      </c>
      <c r="AU263" s="2">
        <v>1</v>
      </c>
      <c r="AV263" s="2">
        <v>31</v>
      </c>
      <c r="AW263" s="2">
        <v>0</v>
      </c>
      <c r="AX263" s="2">
        <v>0</v>
      </c>
      <c r="AY263" s="2">
        <v>15.3</v>
      </c>
      <c r="AZ263" s="2">
        <v>9.8000000000000007</v>
      </c>
      <c r="BA263" s="2">
        <v>29.7</v>
      </c>
      <c r="BB263" s="2">
        <v>564</v>
      </c>
      <c r="BC263" s="2">
        <v>68</v>
      </c>
      <c r="BD263" s="2">
        <v>1.8</v>
      </c>
      <c r="BE263" s="2">
        <v>43</v>
      </c>
      <c r="BF263" s="2">
        <v>25.4</v>
      </c>
      <c r="BG263" s="2">
        <v>162</v>
      </c>
      <c r="BH263" s="2">
        <v>9.1</v>
      </c>
      <c r="BI263" s="2">
        <v>9.1999999999999993</v>
      </c>
      <c r="BJ263" s="2">
        <v>18.3</v>
      </c>
      <c r="BK263" s="2">
        <v>0.34</v>
      </c>
      <c r="BL263" s="2">
        <v>7.3</v>
      </c>
      <c r="BM263" s="2">
        <v>0.9</v>
      </c>
      <c r="BN263" s="2">
        <v>7.5</v>
      </c>
      <c r="BO263" s="2">
        <v>2.9</v>
      </c>
      <c r="BP263" s="2">
        <f t="shared" si="8"/>
        <v>8.9123620097267757</v>
      </c>
      <c r="BQ263" s="2">
        <f t="shared" si="9"/>
        <v>28.363809976223617</v>
      </c>
    </row>
    <row r="264" spans="1:69" x14ac:dyDescent="0.2">
      <c r="A264" s="2" t="s">
        <v>1473</v>
      </c>
      <c r="B264" s="2" t="s">
        <v>47</v>
      </c>
      <c r="C264" s="2" t="s">
        <v>48</v>
      </c>
      <c r="D264" s="2" t="s">
        <v>49</v>
      </c>
      <c r="E264" s="2" t="s">
        <v>1474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89</v>
      </c>
      <c r="L264" s="6" t="s">
        <v>112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1475</v>
      </c>
      <c r="R264" s="2">
        <v>8695652.1740000006</v>
      </c>
      <c r="S264" s="2">
        <v>0</v>
      </c>
      <c r="T264" s="2" t="s">
        <v>96</v>
      </c>
      <c r="U264" s="2" t="s">
        <v>97</v>
      </c>
      <c r="V264" s="2" t="s">
        <v>56</v>
      </c>
      <c r="W264" s="2" t="s">
        <v>98</v>
      </c>
      <c r="X264" s="2" t="s">
        <v>99</v>
      </c>
      <c r="Y264" s="2">
        <v>1.64224782663776</v>
      </c>
      <c r="Z264" s="2">
        <v>1642.24782663776</v>
      </c>
      <c r="AA264" s="2">
        <v>4.73719444444444</v>
      </c>
      <c r="AB264" s="2">
        <v>-74.069472222222203</v>
      </c>
      <c r="AC264" s="2">
        <v>2555</v>
      </c>
      <c r="AD264" s="2">
        <v>0</v>
      </c>
      <c r="AE264" s="2" t="s">
        <v>59</v>
      </c>
      <c r="AF264" s="2" t="s">
        <v>86</v>
      </c>
      <c r="AG264" s="2" t="s">
        <v>61</v>
      </c>
      <c r="AH264" s="2" t="s">
        <v>62</v>
      </c>
      <c r="AI264" s="2" t="s">
        <v>100</v>
      </c>
      <c r="AJ264" s="2">
        <v>0.80200740251793401</v>
      </c>
      <c r="AK264" s="2">
        <v>3.7267242534438099</v>
      </c>
      <c r="AL264" s="2">
        <v>1.5225872966385301</v>
      </c>
      <c r="AM264" s="2">
        <v>0.110038874304085</v>
      </c>
      <c r="AN264" s="2">
        <v>3.1274765472508199</v>
      </c>
      <c r="AO264" s="2">
        <v>4.7014017760218497E-2</v>
      </c>
      <c r="AP264" s="2">
        <v>4.7014017760218497E-2</v>
      </c>
      <c r="AQ264" s="2">
        <v>0</v>
      </c>
      <c r="AR264" s="2">
        <v>2</v>
      </c>
      <c r="AS264" s="2">
        <v>0</v>
      </c>
      <c r="AT264" s="2">
        <v>0</v>
      </c>
      <c r="AU264" s="2">
        <v>0</v>
      </c>
      <c r="AV264" s="2">
        <v>11</v>
      </c>
      <c r="AW264" s="2">
        <v>0</v>
      </c>
      <c r="AX264" s="2">
        <v>0</v>
      </c>
      <c r="AY264" s="2">
        <v>15.3</v>
      </c>
      <c r="AZ264" s="2">
        <v>9.8000000000000007</v>
      </c>
      <c r="BA264" s="2">
        <v>29.7</v>
      </c>
      <c r="BB264" s="2">
        <v>564</v>
      </c>
      <c r="BC264" s="2">
        <v>68</v>
      </c>
      <c r="BD264" s="2">
        <v>1.8</v>
      </c>
      <c r="BE264" s="2">
        <v>43</v>
      </c>
      <c r="BF264" s="2">
        <v>25.4</v>
      </c>
      <c r="BG264" s="2">
        <v>162</v>
      </c>
      <c r="BH264" s="2">
        <v>9.1</v>
      </c>
      <c r="BI264" s="2">
        <v>9.1999999999999993</v>
      </c>
      <c r="BJ264" s="2">
        <v>18.3</v>
      </c>
      <c r="BK264" s="2">
        <v>0.34</v>
      </c>
      <c r="BL264" s="2">
        <v>7.3</v>
      </c>
      <c r="BM264" s="2">
        <v>0.9</v>
      </c>
      <c r="BN264" s="2">
        <v>7.5</v>
      </c>
      <c r="BO264" s="2">
        <v>2.9</v>
      </c>
      <c r="BP264" s="2">
        <f t="shared" si="8"/>
        <v>9.0348662307116516</v>
      </c>
      <c r="BQ264" s="2">
        <f t="shared" si="9"/>
        <v>28.552174504118323</v>
      </c>
    </row>
    <row r="265" spans="1:69" x14ac:dyDescent="0.2">
      <c r="A265" s="2" t="s">
        <v>1702</v>
      </c>
      <c r="B265" s="2" t="s">
        <v>47</v>
      </c>
      <c r="C265" s="2" t="s">
        <v>48</v>
      </c>
      <c r="D265" s="2" t="s">
        <v>49</v>
      </c>
      <c r="E265" s="2" t="s">
        <v>1703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89</v>
      </c>
      <c r="L265" s="6" t="s">
        <v>90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1704</v>
      </c>
      <c r="R265" s="2">
        <v>8783783.784</v>
      </c>
      <c r="S265" s="2">
        <v>0</v>
      </c>
      <c r="T265" s="2" t="s">
        <v>96</v>
      </c>
      <c r="U265" s="2" t="s">
        <v>97</v>
      </c>
      <c r="V265" s="2" t="s">
        <v>56</v>
      </c>
      <c r="W265" s="2" t="s">
        <v>98</v>
      </c>
      <c r="X265" s="2" t="s">
        <v>99</v>
      </c>
      <c r="Y265" s="2">
        <v>2.4514046450849101</v>
      </c>
      <c r="Z265" s="2">
        <v>2451.40464508491</v>
      </c>
      <c r="AA265" s="2">
        <v>4.73719444444444</v>
      </c>
      <c r="AB265" s="2">
        <v>-74.069472222222203</v>
      </c>
      <c r="AC265" s="2">
        <v>2555</v>
      </c>
      <c r="AD265" s="2">
        <v>0</v>
      </c>
      <c r="AE265" s="2" t="s">
        <v>59</v>
      </c>
      <c r="AF265" s="2" t="s">
        <v>86</v>
      </c>
      <c r="AG265" s="2" t="s">
        <v>61</v>
      </c>
      <c r="AH265" s="2" t="s">
        <v>62</v>
      </c>
      <c r="AI265" s="2" t="s">
        <v>100</v>
      </c>
      <c r="AJ265" s="2">
        <v>2.09539717692906</v>
      </c>
      <c r="AK265" s="2">
        <v>4.4394347433484898</v>
      </c>
      <c r="AL265" s="2">
        <v>1.35292219480767</v>
      </c>
      <c r="AM265" s="2">
        <v>0.16245052189928799</v>
      </c>
      <c r="AN265" s="2">
        <v>2.99124111596872</v>
      </c>
      <c r="AO265" s="2">
        <v>0.36631502041505698</v>
      </c>
      <c r="AP265" s="2">
        <v>0.36631502041505698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15</v>
      </c>
      <c r="AW265" s="2">
        <v>0</v>
      </c>
      <c r="AX265" s="2">
        <v>1</v>
      </c>
      <c r="AY265" s="2">
        <v>15.3</v>
      </c>
      <c r="AZ265" s="2">
        <v>9.8000000000000007</v>
      </c>
      <c r="BA265" s="2">
        <v>29.7</v>
      </c>
      <c r="BB265" s="2">
        <v>564</v>
      </c>
      <c r="BC265" s="2">
        <v>68</v>
      </c>
      <c r="BD265" s="2">
        <v>1.8</v>
      </c>
      <c r="BE265" s="2">
        <v>43</v>
      </c>
      <c r="BF265" s="2">
        <v>25.4</v>
      </c>
      <c r="BG265" s="2">
        <v>162</v>
      </c>
      <c r="BH265" s="2">
        <v>9.1</v>
      </c>
      <c r="BI265" s="2">
        <v>9.1999999999999993</v>
      </c>
      <c r="BJ265" s="2">
        <v>18.3</v>
      </c>
      <c r="BK265" s="2">
        <v>0.34</v>
      </c>
      <c r="BL265" s="2">
        <v>7.3</v>
      </c>
      <c r="BM265" s="2">
        <v>0.9</v>
      </c>
      <c r="BN265" s="2">
        <v>7.5</v>
      </c>
      <c r="BO265" s="2">
        <v>2.9</v>
      </c>
      <c r="BP265" s="2">
        <f t="shared" si="8"/>
        <v>8.6801417201467927</v>
      </c>
      <c r="BQ265" s="2">
        <f t="shared" si="9"/>
        <v>28.003047242043298</v>
      </c>
    </row>
    <row r="266" spans="1:69" x14ac:dyDescent="0.2">
      <c r="A266" s="2" t="s">
        <v>1976</v>
      </c>
      <c r="B266" s="2" t="s">
        <v>47</v>
      </c>
      <c r="C266" s="2" t="s">
        <v>1935</v>
      </c>
      <c r="D266" s="2" t="s">
        <v>49</v>
      </c>
      <c r="E266" s="2" t="s">
        <v>907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89</v>
      </c>
      <c r="L266" s="6" t="s">
        <v>103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1977</v>
      </c>
      <c r="R266" s="2">
        <v>5646258.5029999996</v>
      </c>
      <c r="S266" s="2">
        <v>0</v>
      </c>
      <c r="T266" s="2" t="s">
        <v>96</v>
      </c>
      <c r="U266" s="2" t="s">
        <v>97</v>
      </c>
      <c r="V266" s="2" t="s">
        <v>56</v>
      </c>
      <c r="W266" s="2" t="s">
        <v>98</v>
      </c>
      <c r="X266" s="2" t="s">
        <v>99</v>
      </c>
      <c r="Y266" s="2">
        <v>1.1038644148782299</v>
      </c>
      <c r="Z266" s="2">
        <v>1103.86441487823</v>
      </c>
      <c r="AA266" s="2">
        <v>4.73719444444444</v>
      </c>
      <c r="AB266" s="2">
        <v>-74.069472222222203</v>
      </c>
      <c r="AC266" s="2">
        <v>2555</v>
      </c>
      <c r="AD266" s="2">
        <v>0</v>
      </c>
      <c r="AE266" s="2" t="s">
        <v>59</v>
      </c>
      <c r="AF266" s="2" t="s">
        <v>86</v>
      </c>
      <c r="AG266" s="2" t="s">
        <v>61</v>
      </c>
      <c r="AH266" s="2" t="s">
        <v>62</v>
      </c>
      <c r="AI266" s="2" t="s">
        <v>100</v>
      </c>
      <c r="AJ266" s="2">
        <v>1.18720261489707</v>
      </c>
      <c r="AK266" s="2">
        <v>4.2270976567040401</v>
      </c>
      <c r="AL266" s="2">
        <v>2.2346018027672598</v>
      </c>
      <c r="AM266" s="2">
        <v>0.43168645754533203</v>
      </c>
      <c r="AN266" s="2">
        <v>2.9170250212858799</v>
      </c>
      <c r="AO266" s="2">
        <v>0.22024111866233401</v>
      </c>
      <c r="AP266" s="2">
        <v>0.22024111866233401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19</v>
      </c>
      <c r="AW266" s="2">
        <v>0</v>
      </c>
      <c r="AX266" s="2">
        <v>0</v>
      </c>
      <c r="AY266" s="2">
        <v>15.3</v>
      </c>
      <c r="AZ266" s="2">
        <v>9.8000000000000007</v>
      </c>
      <c r="BA266" s="2">
        <v>29.7</v>
      </c>
      <c r="BB266" s="2">
        <v>564</v>
      </c>
      <c r="BC266" s="2">
        <v>68</v>
      </c>
      <c r="BD266" s="2">
        <v>1.8</v>
      </c>
      <c r="BE266" s="2">
        <v>43</v>
      </c>
      <c r="BF266" s="2">
        <v>25.4</v>
      </c>
      <c r="BG266" s="2">
        <v>162</v>
      </c>
      <c r="BH266" s="2">
        <v>9.1</v>
      </c>
      <c r="BI266" s="2">
        <v>9.1999999999999993</v>
      </c>
      <c r="BJ266" s="2">
        <v>18.3</v>
      </c>
      <c r="BK266" s="2">
        <v>0.34</v>
      </c>
      <c r="BL266" s="2">
        <v>7.3</v>
      </c>
      <c r="BM266" s="2">
        <v>0.9</v>
      </c>
      <c r="BN266" s="2">
        <v>7.5</v>
      </c>
      <c r="BO266" s="2">
        <v>2.9</v>
      </c>
      <c r="BP266" s="2">
        <f t="shared" si="8"/>
        <v>9.2788822944882217</v>
      </c>
      <c r="BQ266" s="2">
        <f t="shared" si="9"/>
        <v>28.923496713441025</v>
      </c>
    </row>
    <row r="267" spans="1:69" x14ac:dyDescent="0.2">
      <c r="A267" s="2" t="s">
        <v>1788</v>
      </c>
      <c r="B267" s="2" t="s">
        <v>47</v>
      </c>
      <c r="C267" s="2" t="s">
        <v>48</v>
      </c>
      <c r="D267" s="2" t="s">
        <v>49</v>
      </c>
      <c r="E267" s="2" t="s">
        <v>153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89</v>
      </c>
      <c r="L267" s="6" t="s">
        <v>103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1789</v>
      </c>
      <c r="R267" s="2">
        <v>8859810.5360000003</v>
      </c>
      <c r="S267" s="2">
        <v>0</v>
      </c>
      <c r="T267" s="2" t="s">
        <v>96</v>
      </c>
      <c r="U267" s="2" t="s">
        <v>97</v>
      </c>
      <c r="V267" s="2" t="s">
        <v>56</v>
      </c>
      <c r="W267" s="2" t="s">
        <v>98</v>
      </c>
      <c r="X267" s="2" t="s">
        <v>99</v>
      </c>
      <c r="Y267" s="2">
        <v>0.74649944624008002</v>
      </c>
      <c r="Z267" s="2">
        <v>746.49944624008003</v>
      </c>
      <c r="AA267" s="2">
        <v>4.73719444444444</v>
      </c>
      <c r="AB267" s="2">
        <v>-74.069472222222203</v>
      </c>
      <c r="AC267" s="2">
        <v>2555</v>
      </c>
      <c r="AD267" s="2">
        <v>0</v>
      </c>
      <c r="AE267" s="2" t="s">
        <v>59</v>
      </c>
      <c r="AF267" s="2" t="s">
        <v>86</v>
      </c>
      <c r="AG267" s="2" t="s">
        <v>61</v>
      </c>
      <c r="AH267" s="2" t="s">
        <v>62</v>
      </c>
      <c r="AI267" s="2" t="s">
        <v>100</v>
      </c>
      <c r="AJ267" s="2">
        <v>1.5240312148984201</v>
      </c>
      <c r="AK267" s="2">
        <v>4.5440441097689801</v>
      </c>
      <c r="AL267" s="2">
        <v>2.0712308519875</v>
      </c>
      <c r="AM267" s="2">
        <v>0.28110436661889399</v>
      </c>
      <c r="AN267" s="2">
        <v>2.54729543665167</v>
      </c>
      <c r="AO267" s="2">
        <v>0.123856945521019</v>
      </c>
      <c r="AP267" s="2">
        <v>0.123856945521019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14</v>
      </c>
      <c r="AW267" s="2">
        <v>0</v>
      </c>
      <c r="AX267" s="2">
        <v>0</v>
      </c>
      <c r="AY267" s="2">
        <v>15.3</v>
      </c>
      <c r="AZ267" s="2">
        <v>9.8000000000000007</v>
      </c>
      <c r="BA267" s="2">
        <v>29.7</v>
      </c>
      <c r="BB267" s="2">
        <v>564</v>
      </c>
      <c r="BC267" s="2">
        <v>68</v>
      </c>
      <c r="BD267" s="2">
        <v>1.8</v>
      </c>
      <c r="BE267" s="2">
        <v>43</v>
      </c>
      <c r="BF267" s="2">
        <v>25.4</v>
      </c>
      <c r="BG267" s="2">
        <v>162</v>
      </c>
      <c r="BH267" s="2">
        <v>9.1</v>
      </c>
      <c r="BI267" s="2">
        <v>9.1999999999999993</v>
      </c>
      <c r="BJ267" s="2">
        <v>18.3</v>
      </c>
      <c r="BK267" s="2">
        <v>0.34</v>
      </c>
      <c r="BL267" s="2">
        <v>7.3</v>
      </c>
      <c r="BM267" s="2">
        <v>0.9</v>
      </c>
      <c r="BN267" s="2">
        <v>7.5</v>
      </c>
      <c r="BO267" s="2">
        <v>2.9</v>
      </c>
      <c r="BP267" s="2">
        <f t="shared" si="8"/>
        <v>9.4444820705584327</v>
      </c>
      <c r="BQ267" s="2">
        <f t="shared" si="9"/>
        <v>29.172633447011588</v>
      </c>
    </row>
    <row r="268" spans="1:69" x14ac:dyDescent="0.2">
      <c r="A268" s="2" t="s">
        <v>1325</v>
      </c>
      <c r="B268" s="2" t="s">
        <v>47</v>
      </c>
      <c r="C268" s="2" t="s">
        <v>48</v>
      </c>
      <c r="D268" s="2" t="s">
        <v>49</v>
      </c>
      <c r="E268" s="2" t="s">
        <v>688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89</v>
      </c>
      <c r="L268" s="6" t="s">
        <v>103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1326</v>
      </c>
      <c r="R268" s="2">
        <v>7534246.5750000002</v>
      </c>
      <c r="S268" s="2">
        <v>0</v>
      </c>
      <c r="T268" s="2" t="s">
        <v>96</v>
      </c>
      <c r="U268" s="2" t="s">
        <v>97</v>
      </c>
      <c r="V268" s="2" t="s">
        <v>56</v>
      </c>
      <c r="W268" s="2" t="s">
        <v>98</v>
      </c>
      <c r="X268" s="2" t="s">
        <v>99</v>
      </c>
      <c r="Y268" s="2">
        <v>2.3839708592265301</v>
      </c>
      <c r="Z268" s="2">
        <v>2383.9708592265301</v>
      </c>
      <c r="AA268" s="2">
        <v>4.73719444444444</v>
      </c>
      <c r="AB268" s="2">
        <v>-74.069472222222203</v>
      </c>
      <c r="AC268" s="2">
        <v>2555</v>
      </c>
      <c r="AD268" s="2">
        <v>0</v>
      </c>
      <c r="AE268" s="2" t="s">
        <v>59</v>
      </c>
      <c r="AF268" s="2" t="s">
        <v>86</v>
      </c>
      <c r="AG268" s="2" t="s">
        <v>61</v>
      </c>
      <c r="AH268" s="2" t="s">
        <v>62</v>
      </c>
      <c r="AI268" s="2" t="s">
        <v>100</v>
      </c>
      <c r="AJ268" s="2">
        <v>2.4512243585660798</v>
      </c>
      <c r="AK268" s="2">
        <v>4.22571320860831</v>
      </c>
      <c r="AL268" s="2">
        <v>1.68560538655613</v>
      </c>
      <c r="AM268" s="2">
        <v>0.51926949564155001</v>
      </c>
      <c r="AN268" s="2">
        <v>2.7113669969538199</v>
      </c>
      <c r="AO268" s="2">
        <v>0.28309183136351201</v>
      </c>
      <c r="AP268" s="2">
        <v>0.28309183136351201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14</v>
      </c>
      <c r="AW268" s="2">
        <v>0</v>
      </c>
      <c r="AX268" s="2">
        <v>1</v>
      </c>
      <c r="AY268" s="2">
        <v>15.3</v>
      </c>
      <c r="AZ268" s="2">
        <v>9.8000000000000007</v>
      </c>
      <c r="BA268" s="2">
        <v>29.7</v>
      </c>
      <c r="BB268" s="2">
        <v>564</v>
      </c>
      <c r="BC268" s="2">
        <v>68</v>
      </c>
      <c r="BD268" s="2">
        <v>1.8</v>
      </c>
      <c r="BE268" s="2">
        <v>43</v>
      </c>
      <c r="BF268" s="2">
        <v>25.4</v>
      </c>
      <c r="BG268" s="2">
        <v>162</v>
      </c>
      <c r="BH268" s="2">
        <v>9.1</v>
      </c>
      <c r="BI268" s="2">
        <v>9.1999999999999993</v>
      </c>
      <c r="BJ268" s="2">
        <v>18.3</v>
      </c>
      <c r="BK268" s="2">
        <v>0.34</v>
      </c>
      <c r="BL268" s="2">
        <v>7.3</v>
      </c>
      <c r="BM268" s="2">
        <v>0.9</v>
      </c>
      <c r="BN268" s="2">
        <v>7.5</v>
      </c>
      <c r="BO268" s="2">
        <v>2.9</v>
      </c>
      <c r="BP268" s="2">
        <f t="shared" si="8"/>
        <v>8.7091642048155293</v>
      </c>
      <c r="BQ268" s="2">
        <f t="shared" si="9"/>
        <v>28.048404371164782</v>
      </c>
    </row>
    <row r="269" spans="1:69" x14ac:dyDescent="0.2">
      <c r="A269" s="2" t="s">
        <v>2805</v>
      </c>
      <c r="B269" s="2" t="s">
        <v>47</v>
      </c>
      <c r="C269" s="2" t="s">
        <v>1935</v>
      </c>
      <c r="D269" s="2" t="s">
        <v>49</v>
      </c>
      <c r="E269" s="2" t="s">
        <v>2806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89</v>
      </c>
      <c r="L269" s="6" t="s">
        <v>103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2807</v>
      </c>
      <c r="R269" s="2">
        <v>5503448.2759999996</v>
      </c>
      <c r="S269" s="2">
        <v>0</v>
      </c>
      <c r="T269" s="2" t="s">
        <v>96</v>
      </c>
      <c r="U269" s="2" t="s">
        <v>97</v>
      </c>
      <c r="V269" s="2" t="s">
        <v>56</v>
      </c>
      <c r="W269" s="2" t="s">
        <v>98</v>
      </c>
      <c r="X269" s="2" t="s">
        <v>99</v>
      </c>
      <c r="Y269" s="2">
        <v>2.1133013335481898</v>
      </c>
      <c r="Z269" s="2">
        <v>2113.3013335481901</v>
      </c>
      <c r="AA269" s="2">
        <v>4.73719444444444</v>
      </c>
      <c r="AB269" s="2">
        <v>-74.069472222222203</v>
      </c>
      <c r="AC269" s="2">
        <v>2555</v>
      </c>
      <c r="AD269" s="2">
        <v>0</v>
      </c>
      <c r="AE269" s="2" t="s">
        <v>59</v>
      </c>
      <c r="AF269" s="2" t="s">
        <v>86</v>
      </c>
      <c r="AG269" s="2" t="s">
        <v>61</v>
      </c>
      <c r="AH269" s="2" t="s">
        <v>62</v>
      </c>
      <c r="AI269" s="2" t="s">
        <v>100</v>
      </c>
      <c r="AJ269" s="2">
        <v>2.5904576078643502</v>
      </c>
      <c r="AK269" s="2">
        <v>4.3012740610713198</v>
      </c>
      <c r="AL269" s="2">
        <v>1.85042291884673</v>
      </c>
      <c r="AM269" s="2">
        <v>0.59546031515494402</v>
      </c>
      <c r="AN269" s="2">
        <v>2.3575601420200401</v>
      </c>
      <c r="AO269" s="2">
        <v>8.6799975842776801E-4</v>
      </c>
      <c r="AP269" s="2">
        <v>8.6799975842776801E-4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14</v>
      </c>
      <c r="AW269" s="2">
        <v>0</v>
      </c>
      <c r="AX269" s="2">
        <v>1</v>
      </c>
      <c r="AY269" s="2">
        <v>15.3</v>
      </c>
      <c r="AZ269" s="2">
        <v>9.8000000000000007</v>
      </c>
      <c r="BA269" s="2">
        <v>29.7</v>
      </c>
      <c r="BB269" s="2">
        <v>564</v>
      </c>
      <c r="BC269" s="2">
        <v>68</v>
      </c>
      <c r="BD269" s="2">
        <v>1.8</v>
      </c>
      <c r="BE269" s="2">
        <v>43</v>
      </c>
      <c r="BF269" s="2">
        <v>25.4</v>
      </c>
      <c r="BG269" s="2">
        <v>162</v>
      </c>
      <c r="BH269" s="2">
        <v>9.1</v>
      </c>
      <c r="BI269" s="2">
        <v>9.1999999999999993</v>
      </c>
      <c r="BJ269" s="2">
        <v>18.3</v>
      </c>
      <c r="BK269" s="2">
        <v>0.34</v>
      </c>
      <c r="BL269" s="2">
        <v>7.3</v>
      </c>
      <c r="BM269" s="2">
        <v>0.9</v>
      </c>
      <c r="BN269" s="2">
        <v>7.5</v>
      </c>
      <c r="BO269" s="2">
        <v>2.9</v>
      </c>
      <c r="BP269" s="2">
        <f t="shared" si="8"/>
        <v>8.8266360140473292</v>
      </c>
      <c r="BQ269" s="2">
        <f t="shared" si="9"/>
        <v>28.231201820102029</v>
      </c>
    </row>
    <row r="270" spans="1:69" x14ac:dyDescent="0.2">
      <c r="A270" s="2" t="s">
        <v>1425</v>
      </c>
      <c r="B270" s="2" t="s">
        <v>47</v>
      </c>
      <c r="C270" s="2" t="s">
        <v>48</v>
      </c>
      <c r="D270" s="2" t="s">
        <v>49</v>
      </c>
      <c r="E270" s="2" t="s">
        <v>688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89</v>
      </c>
      <c r="L270" s="6" t="s">
        <v>103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1426</v>
      </c>
      <c r="R270" s="2">
        <v>7986111.1109999996</v>
      </c>
      <c r="S270" s="2">
        <v>0</v>
      </c>
      <c r="T270" s="2" t="s">
        <v>96</v>
      </c>
      <c r="U270" s="2" t="s">
        <v>97</v>
      </c>
      <c r="V270" s="2" t="s">
        <v>56</v>
      </c>
      <c r="W270" s="2" t="s">
        <v>98</v>
      </c>
      <c r="X270" s="2" t="s">
        <v>99</v>
      </c>
      <c r="Y270" s="2">
        <v>2.3910248121942002</v>
      </c>
      <c r="Z270" s="2">
        <v>2391.0248121942</v>
      </c>
      <c r="AA270" s="2">
        <v>4.73719444444444</v>
      </c>
      <c r="AB270" s="2">
        <v>-74.069472222222203</v>
      </c>
      <c r="AC270" s="2">
        <v>2555</v>
      </c>
      <c r="AD270" s="2">
        <v>0</v>
      </c>
      <c r="AE270" s="2" t="s">
        <v>59</v>
      </c>
      <c r="AF270" s="2" t="s">
        <v>86</v>
      </c>
      <c r="AG270" s="2" t="s">
        <v>61</v>
      </c>
      <c r="AH270" s="2" t="s">
        <v>62</v>
      </c>
      <c r="AI270" s="2" t="s">
        <v>100</v>
      </c>
      <c r="AJ270" s="2">
        <v>2.3239187963189698</v>
      </c>
      <c r="AK270" s="2">
        <v>4.3068789974692603</v>
      </c>
      <c r="AL270" s="2">
        <v>1.56323312054651</v>
      </c>
      <c r="AM270" s="2">
        <v>0.39426782952837502</v>
      </c>
      <c r="AN270" s="2">
        <v>2.8003484835167498</v>
      </c>
      <c r="AO270" s="2">
        <v>0.30735041224765403</v>
      </c>
      <c r="AP270" s="2">
        <v>0.30735041224765403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13</v>
      </c>
      <c r="AW270" s="2">
        <v>0</v>
      </c>
      <c r="AX270" s="2">
        <v>1</v>
      </c>
      <c r="AY270" s="2">
        <v>15.3</v>
      </c>
      <c r="AZ270" s="2">
        <v>9.8000000000000007</v>
      </c>
      <c r="BA270" s="2">
        <v>29.7</v>
      </c>
      <c r="BB270" s="2">
        <v>564</v>
      </c>
      <c r="BC270" s="2">
        <v>68</v>
      </c>
      <c r="BD270" s="2">
        <v>1.8</v>
      </c>
      <c r="BE270" s="2">
        <v>43</v>
      </c>
      <c r="BF270" s="2">
        <v>25.4</v>
      </c>
      <c r="BG270" s="2">
        <v>162</v>
      </c>
      <c r="BH270" s="2">
        <v>9.1</v>
      </c>
      <c r="BI270" s="2">
        <v>9.1999999999999993</v>
      </c>
      <c r="BJ270" s="2">
        <v>18.3</v>
      </c>
      <c r="BK270" s="2">
        <v>0.34</v>
      </c>
      <c r="BL270" s="2">
        <v>7.3</v>
      </c>
      <c r="BM270" s="2">
        <v>0.9</v>
      </c>
      <c r="BN270" s="2">
        <v>7.5</v>
      </c>
      <c r="BO270" s="2">
        <v>2.9</v>
      </c>
      <c r="BP270" s="2">
        <f t="shared" si="8"/>
        <v>8.7061237509479987</v>
      </c>
      <c r="BQ270" s="2">
        <f t="shared" si="9"/>
        <v>28.043656322080246</v>
      </c>
    </row>
    <row r="271" spans="1:69" x14ac:dyDescent="0.2">
      <c r="A271" s="2" t="s">
        <v>1236</v>
      </c>
      <c r="B271" s="2" t="s">
        <v>47</v>
      </c>
      <c r="C271" s="2" t="s">
        <v>48</v>
      </c>
      <c r="D271" s="2" t="s">
        <v>49</v>
      </c>
      <c r="E271" s="2" t="s">
        <v>256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89</v>
      </c>
      <c r="L271" s="6" t="s">
        <v>103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1237</v>
      </c>
      <c r="R271" s="2">
        <v>7638888.8890000004</v>
      </c>
      <c r="S271" s="2">
        <v>0</v>
      </c>
      <c r="T271" s="2" t="s">
        <v>96</v>
      </c>
      <c r="U271" s="2" t="s">
        <v>97</v>
      </c>
      <c r="V271" s="2" t="s">
        <v>56</v>
      </c>
      <c r="W271" s="2" t="s">
        <v>98</v>
      </c>
      <c r="X271" s="2" t="s">
        <v>99</v>
      </c>
      <c r="Y271" s="2">
        <v>1.54433900045606</v>
      </c>
      <c r="Z271" s="2">
        <v>1544.3390004560599</v>
      </c>
      <c r="AA271" s="2">
        <v>4.73719444444444</v>
      </c>
      <c r="AB271" s="2">
        <v>-74.069472222222203</v>
      </c>
      <c r="AC271" s="2">
        <v>2555</v>
      </c>
      <c r="AD271" s="2">
        <v>0</v>
      </c>
      <c r="AE271" s="2" t="s">
        <v>59</v>
      </c>
      <c r="AF271" s="2" t="s">
        <v>86</v>
      </c>
      <c r="AG271" s="2" t="s">
        <v>61</v>
      </c>
      <c r="AH271" s="2" t="s">
        <v>62</v>
      </c>
      <c r="AI271" s="2" t="s">
        <v>100</v>
      </c>
      <c r="AJ271" s="2">
        <v>1.3070123289381801</v>
      </c>
      <c r="AK271" s="2">
        <v>4.3654333669409802</v>
      </c>
      <c r="AL271" s="2">
        <v>1.3446171878580599</v>
      </c>
      <c r="AM271" s="2">
        <v>0.18321882305879</v>
      </c>
      <c r="AN271" s="2">
        <v>3.0975358254256502</v>
      </c>
      <c r="AO271" s="2">
        <v>0.46211703433124102</v>
      </c>
      <c r="AP271" s="2">
        <v>0.46211703433124102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21</v>
      </c>
      <c r="AW271" s="2">
        <v>0</v>
      </c>
      <c r="AX271" s="2">
        <v>0</v>
      </c>
      <c r="AY271" s="2">
        <v>15.3</v>
      </c>
      <c r="AZ271" s="2">
        <v>9.8000000000000007</v>
      </c>
      <c r="BA271" s="2">
        <v>29.7</v>
      </c>
      <c r="BB271" s="2">
        <v>564</v>
      </c>
      <c r="BC271" s="2">
        <v>68</v>
      </c>
      <c r="BD271" s="2">
        <v>1.8</v>
      </c>
      <c r="BE271" s="2">
        <v>43</v>
      </c>
      <c r="BF271" s="2">
        <v>25.4</v>
      </c>
      <c r="BG271" s="2">
        <v>162</v>
      </c>
      <c r="BH271" s="2">
        <v>9.1</v>
      </c>
      <c r="BI271" s="2">
        <v>9.1999999999999993</v>
      </c>
      <c r="BJ271" s="2">
        <v>18.3</v>
      </c>
      <c r="BK271" s="2">
        <v>0.34</v>
      </c>
      <c r="BL271" s="2">
        <v>7.3</v>
      </c>
      <c r="BM271" s="2">
        <v>0.9</v>
      </c>
      <c r="BN271" s="2">
        <v>7.5</v>
      </c>
      <c r="BO271" s="2">
        <v>2.9</v>
      </c>
      <c r="BP271" s="2">
        <f t="shared" si="8"/>
        <v>9.0787598705649977</v>
      </c>
      <c r="BQ271" s="2">
        <f t="shared" si="9"/>
        <v>28.619345630339222</v>
      </c>
    </row>
    <row r="272" spans="1:69" x14ac:dyDescent="0.2">
      <c r="A272" s="2" t="s">
        <v>3013</v>
      </c>
      <c r="B272" s="2" t="s">
        <v>47</v>
      </c>
      <c r="C272" s="2" t="s">
        <v>1935</v>
      </c>
      <c r="D272" s="2" t="s">
        <v>49</v>
      </c>
      <c r="E272" s="2" t="s">
        <v>246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89</v>
      </c>
      <c r="L272" s="6" t="s">
        <v>141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3014</v>
      </c>
      <c r="R272" s="2">
        <v>5312827.6830000002</v>
      </c>
      <c r="S272" s="2">
        <v>0</v>
      </c>
      <c r="T272" s="2" t="s">
        <v>96</v>
      </c>
      <c r="U272" s="2" t="s">
        <v>97</v>
      </c>
      <c r="V272" s="2" t="s">
        <v>56</v>
      </c>
      <c r="W272" s="2" t="s">
        <v>98</v>
      </c>
      <c r="X272" s="2" t="s">
        <v>99</v>
      </c>
      <c r="Y272" s="2">
        <v>2.1077245945301302</v>
      </c>
      <c r="Z272" s="2">
        <v>2107.7245945301302</v>
      </c>
      <c r="AA272" s="2">
        <v>4.73719444444444</v>
      </c>
      <c r="AB272" s="2">
        <v>-74.069472222222203</v>
      </c>
      <c r="AC272" s="2">
        <v>2555</v>
      </c>
      <c r="AD272" s="2">
        <v>0</v>
      </c>
      <c r="AE272" s="2" t="s">
        <v>59</v>
      </c>
      <c r="AF272" s="2" t="s">
        <v>86</v>
      </c>
      <c r="AG272" s="2" t="s">
        <v>61</v>
      </c>
      <c r="AH272" s="2" t="s">
        <v>62</v>
      </c>
      <c r="AI272" s="2" t="s">
        <v>100</v>
      </c>
      <c r="AJ272" s="2">
        <v>2.5810246551867202</v>
      </c>
      <c r="AK272" s="2">
        <v>4.3009854849078701</v>
      </c>
      <c r="AL272" s="2">
        <v>1.8585215137100299</v>
      </c>
      <c r="AM272" s="2">
        <v>0.585010149575375</v>
      </c>
      <c r="AN272" s="2">
        <v>2.3469263076964699</v>
      </c>
      <c r="AO272" s="2">
        <v>7.6888103817429497E-3</v>
      </c>
      <c r="AP272" s="2">
        <v>7.6888103817429497E-3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13</v>
      </c>
      <c r="AW272" s="2">
        <v>0</v>
      </c>
      <c r="AX272" s="2">
        <v>1</v>
      </c>
      <c r="AY272" s="2">
        <v>15.3</v>
      </c>
      <c r="AZ272" s="2">
        <v>9.8000000000000007</v>
      </c>
      <c r="BA272" s="2">
        <v>29.7</v>
      </c>
      <c r="BB272" s="2">
        <v>564</v>
      </c>
      <c r="BC272" s="2">
        <v>68</v>
      </c>
      <c r="BD272" s="2">
        <v>1.8</v>
      </c>
      <c r="BE272" s="2">
        <v>43</v>
      </c>
      <c r="BF272" s="2">
        <v>25.4</v>
      </c>
      <c r="BG272" s="2">
        <v>162</v>
      </c>
      <c r="BH272" s="2">
        <v>9.1</v>
      </c>
      <c r="BI272" s="2">
        <v>9.1999999999999993</v>
      </c>
      <c r="BJ272" s="2">
        <v>18.3</v>
      </c>
      <c r="BK272" s="2">
        <v>0.34</v>
      </c>
      <c r="BL272" s="2">
        <v>7.3</v>
      </c>
      <c r="BM272" s="2">
        <v>0.9</v>
      </c>
      <c r="BN272" s="2">
        <v>7.5</v>
      </c>
      <c r="BO272" s="2">
        <v>2.9</v>
      </c>
      <c r="BP272" s="2">
        <f t="shared" si="8"/>
        <v>8.8290729307357108</v>
      </c>
      <c r="BQ272" s="2">
        <f t="shared" si="9"/>
        <v>28.23498058604789</v>
      </c>
    </row>
    <row r="273" spans="1:69" x14ac:dyDescent="0.2">
      <c r="A273" s="2" t="s">
        <v>3178</v>
      </c>
      <c r="B273" s="2" t="s">
        <v>47</v>
      </c>
      <c r="C273" s="2" t="s">
        <v>1935</v>
      </c>
      <c r="D273" s="2" t="s">
        <v>49</v>
      </c>
      <c r="E273" s="2" t="s">
        <v>1567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89</v>
      </c>
      <c r="L273" s="6" t="s">
        <v>112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3179</v>
      </c>
      <c r="R273" s="2">
        <v>6690140.8449999997</v>
      </c>
      <c r="S273" s="2">
        <v>0</v>
      </c>
      <c r="T273" s="2" t="s">
        <v>130</v>
      </c>
      <c r="U273" s="2" t="s">
        <v>131</v>
      </c>
      <c r="V273" s="2" t="s">
        <v>56</v>
      </c>
      <c r="W273" s="2" t="s">
        <v>98</v>
      </c>
      <c r="X273" s="2" t="s">
        <v>132</v>
      </c>
      <c r="Y273" s="2">
        <v>3.42804694651063</v>
      </c>
      <c r="Z273" s="2">
        <v>3428.0469465106298</v>
      </c>
      <c r="AA273" s="2">
        <v>4.7837500000000004</v>
      </c>
      <c r="AB273" s="2">
        <v>-74.044138888888895</v>
      </c>
      <c r="AC273" s="2">
        <v>2580</v>
      </c>
      <c r="AD273" s="2">
        <v>0</v>
      </c>
      <c r="AE273" s="2" t="s">
        <v>133</v>
      </c>
      <c r="AF273" s="2" t="s">
        <v>86</v>
      </c>
      <c r="AG273" s="2" t="s">
        <v>61</v>
      </c>
      <c r="AH273" s="2" t="s">
        <v>62</v>
      </c>
      <c r="AI273" s="2" t="s">
        <v>100</v>
      </c>
      <c r="AJ273" s="2">
        <v>4.50106253937596</v>
      </c>
      <c r="AK273" s="2">
        <v>1.13305608819558</v>
      </c>
      <c r="AL273" s="2">
        <v>2.6749646413131498</v>
      </c>
      <c r="AM273" s="2">
        <v>1.14521720398764</v>
      </c>
      <c r="AN273" s="2">
        <v>6.5237151980591799</v>
      </c>
      <c r="AO273" s="2">
        <v>1.9784146700130301</v>
      </c>
      <c r="AP273" s="2">
        <v>1.9784146700130301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>
        <v>15.3</v>
      </c>
      <c r="AZ273" s="2">
        <v>9.8000000000000007</v>
      </c>
      <c r="BA273" s="2">
        <v>29.7</v>
      </c>
      <c r="BB273" s="2">
        <v>564</v>
      </c>
      <c r="BC273" s="2">
        <v>68</v>
      </c>
      <c r="BD273" s="2">
        <v>1.8</v>
      </c>
      <c r="BE273" s="2">
        <v>43</v>
      </c>
      <c r="BF273" s="2">
        <v>25.4</v>
      </c>
      <c r="BG273" s="2">
        <v>162</v>
      </c>
      <c r="BH273" s="2">
        <v>9.1</v>
      </c>
      <c r="BI273" s="2">
        <v>9.1999999999999993</v>
      </c>
      <c r="BJ273" s="2">
        <v>18.3</v>
      </c>
      <c r="BK273" s="2">
        <v>0.34</v>
      </c>
      <c r="BL273" s="2">
        <v>7.3</v>
      </c>
      <c r="BM273" s="2">
        <v>0.9</v>
      </c>
      <c r="BN273" s="2">
        <v>7.5</v>
      </c>
      <c r="BO273" s="2">
        <v>2.9</v>
      </c>
      <c r="BP273" s="2">
        <f t="shared" si="8"/>
        <v>8.2704925162273479</v>
      </c>
      <c r="BQ273" s="2">
        <f t="shared" si="9"/>
        <v>27.354304961408108</v>
      </c>
    </row>
    <row r="274" spans="1:69" x14ac:dyDescent="0.2">
      <c r="A274" s="2" t="s">
        <v>1860</v>
      </c>
      <c r="B274" s="2" t="s">
        <v>47</v>
      </c>
      <c r="C274" s="2" t="s">
        <v>48</v>
      </c>
      <c r="D274" s="2" t="s">
        <v>49</v>
      </c>
      <c r="E274" s="2" t="s">
        <v>1746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89</v>
      </c>
      <c r="L274" s="6" t="s">
        <v>90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1861</v>
      </c>
      <c r="R274" s="2">
        <v>12695035.460000001</v>
      </c>
      <c r="S274" s="2">
        <v>0</v>
      </c>
      <c r="T274" s="2" t="s">
        <v>96</v>
      </c>
      <c r="U274" s="2" t="s">
        <v>97</v>
      </c>
      <c r="V274" s="2" t="s">
        <v>56</v>
      </c>
      <c r="W274" s="2" t="s">
        <v>98</v>
      </c>
      <c r="X274" s="2" t="s">
        <v>99</v>
      </c>
      <c r="Y274" s="2">
        <v>0.51844523258964204</v>
      </c>
      <c r="Z274" s="2">
        <v>518.44523258964205</v>
      </c>
      <c r="AA274" s="2">
        <v>4.73719444444444</v>
      </c>
      <c r="AB274" s="2">
        <v>-74.069472222222203</v>
      </c>
      <c r="AC274" s="2">
        <v>2555</v>
      </c>
      <c r="AD274" s="2">
        <v>0</v>
      </c>
      <c r="AE274" s="2" t="s">
        <v>59</v>
      </c>
      <c r="AF274" s="2" t="s">
        <v>86</v>
      </c>
      <c r="AG274" s="2" t="s">
        <v>61</v>
      </c>
      <c r="AH274" s="2" t="s">
        <v>62</v>
      </c>
      <c r="AI274" s="2" t="s">
        <v>100</v>
      </c>
      <c r="AJ274" s="2">
        <v>1.3923249842808201</v>
      </c>
      <c r="AK274" s="2">
        <v>4.7895459021765401</v>
      </c>
      <c r="AL274" s="2">
        <v>2.1818501339158201</v>
      </c>
      <c r="AM274" s="2">
        <v>0.281945709606855</v>
      </c>
      <c r="AN274" s="2">
        <v>2.33269170350823</v>
      </c>
      <c r="AO274" s="2">
        <v>0.324448942148583</v>
      </c>
      <c r="AP274" s="2">
        <v>0.324448942148583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16</v>
      </c>
      <c r="AW274" s="2">
        <v>0</v>
      </c>
      <c r="AX274" s="2">
        <v>0</v>
      </c>
      <c r="AY274" s="2">
        <v>15.3</v>
      </c>
      <c r="AZ274" s="2">
        <v>9.8000000000000007</v>
      </c>
      <c r="BA274" s="2">
        <v>29.7</v>
      </c>
      <c r="BB274" s="2">
        <v>564</v>
      </c>
      <c r="BC274" s="2">
        <v>68</v>
      </c>
      <c r="BD274" s="2">
        <v>1.8</v>
      </c>
      <c r="BE274" s="2">
        <v>43</v>
      </c>
      <c r="BF274" s="2">
        <v>25.4</v>
      </c>
      <c r="BG274" s="2">
        <v>162</v>
      </c>
      <c r="BH274" s="2">
        <v>9.1</v>
      </c>
      <c r="BI274" s="2">
        <v>9.1999999999999993</v>
      </c>
      <c r="BJ274" s="2">
        <v>18.3</v>
      </c>
      <c r="BK274" s="2">
        <v>0.34</v>
      </c>
      <c r="BL274" s="2">
        <v>7.3</v>
      </c>
      <c r="BM274" s="2">
        <v>0.9</v>
      </c>
      <c r="BN274" s="2">
        <v>7.5</v>
      </c>
      <c r="BO274" s="2">
        <v>2.9</v>
      </c>
      <c r="BP274" s="2">
        <f t="shared" si="8"/>
        <v>9.5517018868571402</v>
      </c>
      <c r="BQ274" s="2">
        <f t="shared" si="9"/>
        <v>29.332741815512072</v>
      </c>
    </row>
    <row r="275" spans="1:69" x14ac:dyDescent="0.2">
      <c r="A275" s="2" t="s">
        <v>3140</v>
      </c>
      <c r="B275" s="2" t="s">
        <v>47</v>
      </c>
      <c r="C275" s="2" t="s">
        <v>1935</v>
      </c>
      <c r="D275" s="2" t="s">
        <v>49</v>
      </c>
      <c r="E275" s="2" t="s">
        <v>269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89</v>
      </c>
      <c r="L275" s="6" t="s">
        <v>103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3141</v>
      </c>
      <c r="R275" s="2">
        <v>4964539.0070000002</v>
      </c>
      <c r="S275" s="2">
        <v>0</v>
      </c>
      <c r="T275" s="2" t="s">
        <v>130</v>
      </c>
      <c r="U275" s="2" t="s">
        <v>131</v>
      </c>
      <c r="V275" s="2" t="s">
        <v>56</v>
      </c>
      <c r="W275" s="2" t="s">
        <v>98</v>
      </c>
      <c r="X275" s="2" t="s">
        <v>132</v>
      </c>
      <c r="Y275" s="2">
        <v>2.0498789177742101</v>
      </c>
      <c r="Z275" s="2">
        <v>2049.8789177742101</v>
      </c>
      <c r="AA275" s="2">
        <v>4.7837500000000004</v>
      </c>
      <c r="AB275" s="2">
        <v>-74.044138888888895</v>
      </c>
      <c r="AC275" s="2">
        <v>2580</v>
      </c>
      <c r="AD275" s="2">
        <v>0</v>
      </c>
      <c r="AE275" s="2" t="s">
        <v>133</v>
      </c>
      <c r="AF275" s="2" t="s">
        <v>86</v>
      </c>
      <c r="AG275" s="2" t="s">
        <v>61</v>
      </c>
      <c r="AH275" s="2" t="s">
        <v>62</v>
      </c>
      <c r="AI275" s="2" t="s">
        <v>87</v>
      </c>
      <c r="AJ275" s="2">
        <v>1.1155618122778299</v>
      </c>
      <c r="AK275" s="2">
        <v>1.18273318790951</v>
      </c>
      <c r="AL275" s="2">
        <v>1.9857589727863001</v>
      </c>
      <c r="AM275" s="2">
        <v>0.412729184214016</v>
      </c>
      <c r="AN275" s="2">
        <v>3.09293956293839</v>
      </c>
      <c r="AO275" s="2">
        <v>0.15727184695287399</v>
      </c>
      <c r="AP275" s="2">
        <v>0.15727184695287399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6</v>
      </c>
      <c r="AW275" s="2">
        <v>0</v>
      </c>
      <c r="AX275" s="2">
        <v>0</v>
      </c>
      <c r="AY275" s="2">
        <v>15.3</v>
      </c>
      <c r="AZ275" s="2">
        <v>9.8000000000000007</v>
      </c>
      <c r="BA275" s="2">
        <v>29.7</v>
      </c>
      <c r="BB275" s="2">
        <v>564</v>
      </c>
      <c r="BC275" s="2">
        <v>68</v>
      </c>
      <c r="BD275" s="2">
        <v>1.8</v>
      </c>
      <c r="BE275" s="2">
        <v>43</v>
      </c>
      <c r="BF275" s="2">
        <v>25.4</v>
      </c>
      <c r="BG275" s="2">
        <v>162</v>
      </c>
      <c r="BH275" s="2">
        <v>9.1</v>
      </c>
      <c r="BI275" s="2">
        <v>9.1999999999999993</v>
      </c>
      <c r="BJ275" s="2">
        <v>18.3</v>
      </c>
      <c r="BK275" s="2">
        <v>0.34</v>
      </c>
      <c r="BL275" s="2">
        <v>7.3</v>
      </c>
      <c r="BM275" s="2">
        <v>0.9</v>
      </c>
      <c r="BN275" s="2">
        <v>7.5</v>
      </c>
      <c r="BO275" s="2">
        <v>2.9</v>
      </c>
      <c r="BP275" s="2">
        <f t="shared" si="8"/>
        <v>8.8543899824583292</v>
      </c>
      <c r="BQ275" s="2">
        <f t="shared" si="9"/>
        <v>28.274206325665713</v>
      </c>
    </row>
    <row r="276" spans="1:69" x14ac:dyDescent="0.2">
      <c r="A276" s="2" t="s">
        <v>2104</v>
      </c>
      <c r="B276" s="2" t="s">
        <v>47</v>
      </c>
      <c r="C276" s="2" t="s">
        <v>1935</v>
      </c>
      <c r="D276" s="2" t="s">
        <v>49</v>
      </c>
      <c r="E276" s="2" t="s">
        <v>160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89</v>
      </c>
      <c r="L276" s="6" t="s">
        <v>103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2105</v>
      </c>
      <c r="R276" s="2">
        <v>5571428.5710000005</v>
      </c>
      <c r="S276" s="2">
        <v>0</v>
      </c>
      <c r="T276" s="2" t="s">
        <v>96</v>
      </c>
      <c r="U276" s="2" t="s">
        <v>97</v>
      </c>
      <c r="V276" s="2" t="s">
        <v>56</v>
      </c>
      <c r="W276" s="2" t="s">
        <v>98</v>
      </c>
      <c r="X276" s="2" t="s">
        <v>99</v>
      </c>
      <c r="Y276" s="2">
        <v>1.02767209164381</v>
      </c>
      <c r="Z276" s="2">
        <v>1027.6720916438101</v>
      </c>
      <c r="AA276" s="2">
        <v>4.73719444444444</v>
      </c>
      <c r="AB276" s="2">
        <v>-74.069472222222203</v>
      </c>
      <c r="AC276" s="2">
        <v>2555</v>
      </c>
      <c r="AD276" s="2">
        <v>0</v>
      </c>
      <c r="AE276" s="2" t="s">
        <v>59</v>
      </c>
      <c r="AF276" s="2" t="s">
        <v>86</v>
      </c>
      <c r="AG276" s="2" t="s">
        <v>61</v>
      </c>
      <c r="AH276" s="2" t="s">
        <v>62</v>
      </c>
      <c r="AI276" s="2" t="s">
        <v>100</v>
      </c>
      <c r="AJ276" s="2">
        <v>0.308560042961396</v>
      </c>
      <c r="AK276" s="2">
        <v>5.4639790050438197</v>
      </c>
      <c r="AL276" s="2">
        <v>1.2713918999431999</v>
      </c>
      <c r="AM276" s="2">
        <v>0.44086818170225001</v>
      </c>
      <c r="AN276" s="2">
        <v>2.0590768384814702</v>
      </c>
      <c r="AO276" s="2">
        <v>0.38717633141487001</v>
      </c>
      <c r="AP276" s="2">
        <v>0.38717633141487001</v>
      </c>
      <c r="AQ276" s="2">
        <v>1</v>
      </c>
      <c r="AR276" s="2">
        <v>2</v>
      </c>
      <c r="AS276" s="2">
        <v>0</v>
      </c>
      <c r="AT276" s="2">
        <v>0</v>
      </c>
      <c r="AU276" s="2">
        <v>0</v>
      </c>
      <c r="AV276" s="2">
        <v>20</v>
      </c>
      <c r="AW276" s="2">
        <v>0</v>
      </c>
      <c r="AX276" s="2">
        <v>0</v>
      </c>
      <c r="AY276" s="2">
        <v>15.3</v>
      </c>
      <c r="AZ276" s="2">
        <v>9.8000000000000007</v>
      </c>
      <c r="BA276" s="2">
        <v>29.7</v>
      </c>
      <c r="BB276" s="2">
        <v>564</v>
      </c>
      <c r="BC276" s="2">
        <v>68</v>
      </c>
      <c r="BD276" s="2">
        <v>1.8</v>
      </c>
      <c r="BE276" s="2">
        <v>43</v>
      </c>
      <c r="BF276" s="2">
        <v>25.4</v>
      </c>
      <c r="BG276" s="2">
        <v>162</v>
      </c>
      <c r="BH276" s="2">
        <v>9.1</v>
      </c>
      <c r="BI276" s="2">
        <v>9.1999999999999993</v>
      </c>
      <c r="BJ276" s="2">
        <v>18.3</v>
      </c>
      <c r="BK276" s="2">
        <v>0.34</v>
      </c>
      <c r="BL276" s="2">
        <v>7.3</v>
      </c>
      <c r="BM276" s="2">
        <v>0.9</v>
      </c>
      <c r="BN276" s="2">
        <v>7.5</v>
      </c>
      <c r="BO276" s="2">
        <v>2.9</v>
      </c>
      <c r="BP276" s="2">
        <f t="shared" si="8"/>
        <v>9.3139438607790481</v>
      </c>
      <c r="BQ276" s="2">
        <f t="shared" si="9"/>
        <v>28.976435062495074</v>
      </c>
    </row>
    <row r="277" spans="1:69" x14ac:dyDescent="0.2">
      <c r="A277" s="2" t="s">
        <v>2864</v>
      </c>
      <c r="B277" s="2" t="s">
        <v>47</v>
      </c>
      <c r="C277" s="2" t="s">
        <v>1935</v>
      </c>
      <c r="D277" s="2" t="s">
        <v>49</v>
      </c>
      <c r="E277" s="2" t="s">
        <v>1966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89</v>
      </c>
      <c r="L277" s="6" t="s">
        <v>141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2865</v>
      </c>
      <c r="R277" s="2">
        <v>4892857.1430000002</v>
      </c>
      <c r="S277" s="2">
        <v>0</v>
      </c>
      <c r="T277" s="2" t="s">
        <v>130</v>
      </c>
      <c r="U277" s="2" t="s">
        <v>131</v>
      </c>
      <c r="V277" s="2" t="s">
        <v>56</v>
      </c>
      <c r="W277" s="2" t="s">
        <v>98</v>
      </c>
      <c r="X277" s="2" t="s">
        <v>132</v>
      </c>
      <c r="Y277" s="2">
        <v>2.1794079758685299</v>
      </c>
      <c r="Z277" s="2">
        <v>2179.4079758685298</v>
      </c>
      <c r="AA277" s="2">
        <v>4.7837500000000004</v>
      </c>
      <c r="AB277" s="2">
        <v>-74.044138888888895</v>
      </c>
      <c r="AC277" s="2">
        <v>2580</v>
      </c>
      <c r="AD277" s="2">
        <v>0</v>
      </c>
      <c r="AE277" s="2" t="s">
        <v>133</v>
      </c>
      <c r="AF277" s="2" t="s">
        <v>86</v>
      </c>
      <c r="AG277" s="2" t="s">
        <v>61</v>
      </c>
      <c r="AH277" s="2" t="s">
        <v>62</v>
      </c>
      <c r="AI277" s="2" t="s">
        <v>87</v>
      </c>
      <c r="AJ277" s="2">
        <v>0.23080352105268101</v>
      </c>
      <c r="AK277" s="2">
        <v>2.20169651844162</v>
      </c>
      <c r="AL277" s="2">
        <v>1.70590807246772</v>
      </c>
      <c r="AM277" s="2">
        <v>0.37890493191338898</v>
      </c>
      <c r="AN277" s="2">
        <v>3.0615258623527102</v>
      </c>
      <c r="AO277" s="2">
        <v>0.102811469089158</v>
      </c>
      <c r="AP277" s="2">
        <v>0.102811469089158</v>
      </c>
      <c r="AQ277" s="2">
        <v>1</v>
      </c>
      <c r="AR277" s="2">
        <v>2</v>
      </c>
      <c r="AS277" s="2">
        <v>0</v>
      </c>
      <c r="AT277" s="2">
        <v>0</v>
      </c>
      <c r="AU277" s="2">
        <v>0</v>
      </c>
      <c r="AV277" s="2">
        <v>15</v>
      </c>
      <c r="AW277" s="2">
        <v>0</v>
      </c>
      <c r="AX277" s="2">
        <v>0</v>
      </c>
      <c r="AY277" s="2">
        <v>15.3</v>
      </c>
      <c r="AZ277" s="2">
        <v>9.8000000000000007</v>
      </c>
      <c r="BA277" s="2">
        <v>29.7</v>
      </c>
      <c r="BB277" s="2">
        <v>564</v>
      </c>
      <c r="BC277" s="2">
        <v>68</v>
      </c>
      <c r="BD277" s="2">
        <v>1.8</v>
      </c>
      <c r="BE277" s="2">
        <v>43</v>
      </c>
      <c r="BF277" s="2">
        <v>25.4</v>
      </c>
      <c r="BG277" s="2">
        <v>162</v>
      </c>
      <c r="BH277" s="2">
        <v>9.1</v>
      </c>
      <c r="BI277" s="2">
        <v>9.1999999999999993</v>
      </c>
      <c r="BJ277" s="2">
        <v>18.3</v>
      </c>
      <c r="BK277" s="2">
        <v>0.34</v>
      </c>
      <c r="BL277" s="2">
        <v>7.3</v>
      </c>
      <c r="BM277" s="2">
        <v>0.9</v>
      </c>
      <c r="BN277" s="2">
        <v>7.5</v>
      </c>
      <c r="BO277" s="2">
        <v>2.9</v>
      </c>
      <c r="BP277" s="2">
        <f t="shared" si="8"/>
        <v>8.7978000056489147</v>
      </c>
      <c r="BQ277" s="2">
        <f t="shared" si="9"/>
        <v>28.186446853632869</v>
      </c>
    </row>
    <row r="278" spans="1:69" x14ac:dyDescent="0.2">
      <c r="A278" s="2" t="s">
        <v>878</v>
      </c>
      <c r="B278" s="2" t="s">
        <v>47</v>
      </c>
      <c r="C278" s="2" t="s">
        <v>48</v>
      </c>
      <c r="D278" s="2" t="s">
        <v>49</v>
      </c>
      <c r="E278" s="2" t="s">
        <v>879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89</v>
      </c>
      <c r="L278" s="6" t="s">
        <v>90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880</v>
      </c>
      <c r="R278" s="2">
        <v>8888888.8890000004</v>
      </c>
      <c r="S278" s="2">
        <v>0</v>
      </c>
      <c r="T278" s="2" t="s">
        <v>96</v>
      </c>
      <c r="U278" s="2" t="s">
        <v>97</v>
      </c>
      <c r="V278" s="2" t="s">
        <v>56</v>
      </c>
      <c r="W278" s="2" t="s">
        <v>98</v>
      </c>
      <c r="X278" s="2" t="s">
        <v>99</v>
      </c>
      <c r="Y278" s="2">
        <v>0.84150930879493202</v>
      </c>
      <c r="Z278" s="2">
        <v>841.50930879493205</v>
      </c>
      <c r="AA278" s="2">
        <v>4.73719444444444</v>
      </c>
      <c r="AB278" s="2">
        <v>-74.069472222222203</v>
      </c>
      <c r="AC278" s="2">
        <v>2555</v>
      </c>
      <c r="AD278" s="2">
        <v>0</v>
      </c>
      <c r="AE278" s="2" t="s">
        <v>59</v>
      </c>
      <c r="AF278" s="2" t="s">
        <v>86</v>
      </c>
      <c r="AG278" s="2" t="s">
        <v>61</v>
      </c>
      <c r="AH278" s="2" t="s">
        <v>62</v>
      </c>
      <c r="AI278" s="2" t="s">
        <v>100</v>
      </c>
      <c r="AJ278" s="2">
        <v>1.4595805590267701</v>
      </c>
      <c r="AK278" s="2">
        <v>4.5056833247072898</v>
      </c>
      <c r="AL278" s="2">
        <v>2.12808982884175</v>
      </c>
      <c r="AM278" s="2">
        <v>0.43222036739261099</v>
      </c>
      <c r="AN278" s="2">
        <v>2.6477109742690099</v>
      </c>
      <c r="AO278" s="2">
        <v>0.26525448045657102</v>
      </c>
      <c r="AP278" s="2">
        <v>0.26525448045657102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22</v>
      </c>
      <c r="AW278" s="2">
        <v>0</v>
      </c>
      <c r="AX278" s="2">
        <v>0</v>
      </c>
      <c r="AY278" s="2">
        <v>15.3</v>
      </c>
      <c r="AZ278" s="2">
        <v>9.8000000000000007</v>
      </c>
      <c r="BA278" s="2">
        <v>29.7</v>
      </c>
      <c r="BB278" s="2">
        <v>564</v>
      </c>
      <c r="BC278" s="2">
        <v>68</v>
      </c>
      <c r="BD278" s="2">
        <v>1.8</v>
      </c>
      <c r="BE278" s="2">
        <v>43</v>
      </c>
      <c r="BF278" s="2">
        <v>25.4</v>
      </c>
      <c r="BG278" s="2">
        <v>162</v>
      </c>
      <c r="BH278" s="2">
        <v>9.1</v>
      </c>
      <c r="BI278" s="2">
        <v>9.1999999999999993</v>
      </c>
      <c r="BJ278" s="2">
        <v>18.3</v>
      </c>
      <c r="BK278" s="2">
        <v>0.34</v>
      </c>
      <c r="BL278" s="2">
        <v>7.3</v>
      </c>
      <c r="BM278" s="2">
        <v>0.9</v>
      </c>
      <c r="BN278" s="2">
        <v>7.5</v>
      </c>
      <c r="BO278" s="2">
        <v>2.9</v>
      </c>
      <c r="BP278" s="2">
        <f t="shared" si="8"/>
        <v>9.4001690663034356</v>
      </c>
      <c r="BQ278" s="2">
        <f t="shared" si="9"/>
        <v>29.106188721192698</v>
      </c>
    </row>
    <row r="279" spans="1:69" x14ac:dyDescent="0.2">
      <c r="A279" s="2" t="s">
        <v>744</v>
      </c>
      <c r="B279" s="2" t="s">
        <v>47</v>
      </c>
      <c r="C279" s="2" t="s">
        <v>48</v>
      </c>
      <c r="D279" s="2" t="s">
        <v>49</v>
      </c>
      <c r="E279" s="2" t="s">
        <v>640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89</v>
      </c>
      <c r="L279" s="6" t="s">
        <v>103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745</v>
      </c>
      <c r="R279" s="2">
        <v>6641791.0449999999</v>
      </c>
      <c r="S279" s="2">
        <v>0</v>
      </c>
      <c r="T279" s="2" t="s">
        <v>96</v>
      </c>
      <c r="U279" s="2" t="s">
        <v>97</v>
      </c>
      <c r="V279" s="2" t="s">
        <v>56</v>
      </c>
      <c r="W279" s="2" t="s">
        <v>98</v>
      </c>
      <c r="X279" s="2" t="s">
        <v>99</v>
      </c>
      <c r="Y279" s="2">
        <v>0.92534094154875701</v>
      </c>
      <c r="Z279" s="2">
        <v>925.34094154875697</v>
      </c>
      <c r="AA279" s="2">
        <v>4.73719444444444</v>
      </c>
      <c r="AB279" s="2">
        <v>-74.069472222222203</v>
      </c>
      <c r="AC279" s="2">
        <v>2555</v>
      </c>
      <c r="AD279" s="2">
        <v>0</v>
      </c>
      <c r="AE279" s="2" t="s">
        <v>59</v>
      </c>
      <c r="AF279" s="2" t="s">
        <v>86</v>
      </c>
      <c r="AG279" s="2" t="s">
        <v>61</v>
      </c>
      <c r="AH279" s="2" t="s">
        <v>62</v>
      </c>
      <c r="AI279" s="2" t="s">
        <v>100</v>
      </c>
      <c r="AJ279" s="2">
        <v>1.91114875974767</v>
      </c>
      <c r="AK279" s="2">
        <v>4.9451612229608202</v>
      </c>
      <c r="AL279" s="2">
        <v>1.63177746733011</v>
      </c>
      <c r="AM279" s="2">
        <v>0.35500310388501599</v>
      </c>
      <c r="AN279" s="2">
        <v>2.2651642884496801</v>
      </c>
      <c r="AO279" s="2">
        <v>3.2772866091432401E-2</v>
      </c>
      <c r="AP279" s="2">
        <v>3.2772866091432401E-2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14</v>
      </c>
      <c r="AW279" s="2">
        <v>0</v>
      </c>
      <c r="AX279" s="2">
        <v>0</v>
      </c>
      <c r="AY279" s="2">
        <v>15.3</v>
      </c>
      <c r="AZ279" s="2">
        <v>9.8000000000000007</v>
      </c>
      <c r="BA279" s="2">
        <v>29.7</v>
      </c>
      <c r="BB279" s="2">
        <v>564</v>
      </c>
      <c r="BC279" s="2">
        <v>68</v>
      </c>
      <c r="BD279" s="2">
        <v>1.8</v>
      </c>
      <c r="BE279" s="2">
        <v>43</v>
      </c>
      <c r="BF279" s="2">
        <v>25.4</v>
      </c>
      <c r="BG279" s="2">
        <v>162</v>
      </c>
      <c r="BH279" s="2">
        <v>9.1</v>
      </c>
      <c r="BI279" s="2">
        <v>9.1999999999999993</v>
      </c>
      <c r="BJ279" s="2">
        <v>18.3</v>
      </c>
      <c r="BK279" s="2">
        <v>0.34</v>
      </c>
      <c r="BL279" s="2">
        <v>7.3</v>
      </c>
      <c r="BM279" s="2">
        <v>0.9</v>
      </c>
      <c r="BN279" s="2">
        <v>7.5</v>
      </c>
      <c r="BO279" s="2">
        <v>2.9</v>
      </c>
      <c r="BP279" s="2">
        <f t="shared" si="8"/>
        <v>9.3612423283503929</v>
      </c>
      <c r="BQ279" s="2">
        <f t="shared" si="9"/>
        <v>29.047687128565752</v>
      </c>
    </row>
    <row r="280" spans="1:69" x14ac:dyDescent="0.2">
      <c r="A280" s="2" t="s">
        <v>1302</v>
      </c>
      <c r="B280" s="2" t="s">
        <v>47</v>
      </c>
      <c r="C280" s="2" t="s">
        <v>48</v>
      </c>
      <c r="D280" s="2" t="s">
        <v>49</v>
      </c>
      <c r="E280" s="2" t="s">
        <v>119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89</v>
      </c>
      <c r="L280" s="6" t="s">
        <v>103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1303</v>
      </c>
      <c r="R280" s="2">
        <v>6293233.0829999996</v>
      </c>
      <c r="S280" s="2">
        <v>0</v>
      </c>
      <c r="T280" s="2" t="s">
        <v>96</v>
      </c>
      <c r="U280" s="2" t="s">
        <v>97</v>
      </c>
      <c r="V280" s="2" t="s">
        <v>56</v>
      </c>
      <c r="W280" s="2" t="s">
        <v>98</v>
      </c>
      <c r="X280" s="2" t="s">
        <v>99</v>
      </c>
      <c r="Y280" s="2">
        <v>1.7473104486137501</v>
      </c>
      <c r="Z280" s="2">
        <v>1747.3104486137499</v>
      </c>
      <c r="AA280" s="2">
        <v>4.73719444444444</v>
      </c>
      <c r="AB280" s="2">
        <v>-74.069472222222203</v>
      </c>
      <c r="AC280" s="2">
        <v>2555</v>
      </c>
      <c r="AD280" s="2">
        <v>0</v>
      </c>
      <c r="AE280" s="2" t="s">
        <v>59</v>
      </c>
      <c r="AF280" s="2" t="s">
        <v>86</v>
      </c>
      <c r="AG280" s="2" t="s">
        <v>61</v>
      </c>
      <c r="AH280" s="2" t="s">
        <v>62</v>
      </c>
      <c r="AI280" s="2" t="s">
        <v>100</v>
      </c>
      <c r="AJ280" s="2">
        <v>0.784429592042858</v>
      </c>
      <c r="AK280" s="2">
        <v>3.8360065968572701</v>
      </c>
      <c r="AL280" s="2">
        <v>1.1291480455371199</v>
      </c>
      <c r="AM280" s="2">
        <v>0.50504661569446496</v>
      </c>
      <c r="AN280" s="2">
        <v>3.13399266385635</v>
      </c>
      <c r="AO280" s="2">
        <v>9.6201208154341994E-2</v>
      </c>
      <c r="AP280" s="2">
        <v>9.6201208154341994E-2</v>
      </c>
      <c r="AQ280" s="2">
        <v>0</v>
      </c>
      <c r="AR280" s="2">
        <v>2</v>
      </c>
      <c r="AS280" s="2">
        <v>0</v>
      </c>
      <c r="AT280" s="2">
        <v>0</v>
      </c>
      <c r="AU280" s="2">
        <v>0</v>
      </c>
      <c r="AV280" s="2">
        <v>11</v>
      </c>
      <c r="AW280" s="2">
        <v>0</v>
      </c>
      <c r="AX280" s="2">
        <v>0</v>
      </c>
      <c r="AY280" s="2">
        <v>15.3</v>
      </c>
      <c r="AZ280" s="2">
        <v>9.8000000000000007</v>
      </c>
      <c r="BA280" s="2">
        <v>29.7</v>
      </c>
      <c r="BB280" s="2">
        <v>564</v>
      </c>
      <c r="BC280" s="2">
        <v>68</v>
      </c>
      <c r="BD280" s="2">
        <v>1.8</v>
      </c>
      <c r="BE280" s="2">
        <v>43</v>
      </c>
      <c r="BF280" s="2">
        <v>25.4</v>
      </c>
      <c r="BG280" s="2">
        <v>162</v>
      </c>
      <c r="BH280" s="2">
        <v>9.1</v>
      </c>
      <c r="BI280" s="2">
        <v>9.1999999999999993</v>
      </c>
      <c r="BJ280" s="2">
        <v>18.3</v>
      </c>
      <c r="BK280" s="2">
        <v>0.34</v>
      </c>
      <c r="BL280" s="2">
        <v>7.3</v>
      </c>
      <c r="BM280" s="2">
        <v>0.9</v>
      </c>
      <c r="BN280" s="2">
        <v>7.5</v>
      </c>
      <c r="BO280" s="2">
        <v>2.9</v>
      </c>
      <c r="BP280" s="2">
        <f t="shared" si="8"/>
        <v>8.9880014753539221</v>
      </c>
      <c r="BQ280" s="2">
        <f t="shared" si="9"/>
        <v>28.480270803314745</v>
      </c>
    </row>
    <row r="281" spans="1:69" x14ac:dyDescent="0.2">
      <c r="A281" s="2" t="s">
        <v>2044</v>
      </c>
      <c r="B281" s="2" t="s">
        <v>47</v>
      </c>
      <c r="C281" s="2" t="s">
        <v>1935</v>
      </c>
      <c r="D281" s="2" t="s">
        <v>49</v>
      </c>
      <c r="E281" s="2" t="s">
        <v>1405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89</v>
      </c>
      <c r="L281" s="6" t="s">
        <v>103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2045</v>
      </c>
      <c r="R281" s="2">
        <v>4962406.0149999997</v>
      </c>
      <c r="S281" s="2">
        <v>0</v>
      </c>
      <c r="T281" s="2" t="s">
        <v>130</v>
      </c>
      <c r="U281" s="2" t="s">
        <v>131</v>
      </c>
      <c r="V281" s="2" t="s">
        <v>56</v>
      </c>
      <c r="W281" s="2" t="s">
        <v>98</v>
      </c>
      <c r="X281" s="2" t="s">
        <v>132</v>
      </c>
      <c r="Y281" s="2">
        <v>3.1368535729729499</v>
      </c>
      <c r="Z281" s="2">
        <v>3136.8535729729501</v>
      </c>
      <c r="AA281" s="2">
        <v>4.7837500000000004</v>
      </c>
      <c r="AB281" s="2">
        <v>-74.044138888888895</v>
      </c>
      <c r="AC281" s="2">
        <v>2580</v>
      </c>
      <c r="AD281" s="2">
        <v>0</v>
      </c>
      <c r="AE281" s="2" t="s">
        <v>133</v>
      </c>
      <c r="AF281" s="2" t="s">
        <v>86</v>
      </c>
      <c r="AG281" s="2" t="s">
        <v>61</v>
      </c>
      <c r="AH281" s="2" t="s">
        <v>62</v>
      </c>
      <c r="AI281" s="2" t="s">
        <v>87</v>
      </c>
      <c r="AJ281" s="2">
        <v>0.79813955637591805</v>
      </c>
      <c r="AK281" s="2">
        <v>1.88652517885741</v>
      </c>
      <c r="AL281" s="2">
        <v>1.0873696601035101</v>
      </c>
      <c r="AM281" s="2">
        <v>0.800029075783247</v>
      </c>
      <c r="AN281" s="2">
        <v>2.10131802366775</v>
      </c>
      <c r="AO281" s="2">
        <v>8.50193180752086E-2</v>
      </c>
      <c r="AP281" s="2">
        <v>8.50193180752086E-2</v>
      </c>
      <c r="AQ281" s="2">
        <v>0</v>
      </c>
      <c r="AR281" s="2">
        <v>1</v>
      </c>
      <c r="AS281" s="2">
        <v>0</v>
      </c>
      <c r="AT281" s="2">
        <v>0</v>
      </c>
      <c r="AU281" s="2">
        <v>0</v>
      </c>
      <c r="AV281" s="2">
        <v>8</v>
      </c>
      <c r="AW281" s="2">
        <v>0</v>
      </c>
      <c r="AX281" s="2">
        <v>0</v>
      </c>
      <c r="AY281" s="2">
        <v>15.3</v>
      </c>
      <c r="AZ281" s="2">
        <v>9.8000000000000007</v>
      </c>
      <c r="BA281" s="2">
        <v>29.7</v>
      </c>
      <c r="BB281" s="2">
        <v>564</v>
      </c>
      <c r="BC281" s="2">
        <v>68</v>
      </c>
      <c r="BD281" s="2">
        <v>1.8</v>
      </c>
      <c r="BE281" s="2">
        <v>43</v>
      </c>
      <c r="BF281" s="2">
        <v>25.4</v>
      </c>
      <c r="BG281" s="2">
        <v>162</v>
      </c>
      <c r="BH281" s="2">
        <v>9.1</v>
      </c>
      <c r="BI281" s="2">
        <v>9.1999999999999993</v>
      </c>
      <c r="BJ281" s="2">
        <v>18.3</v>
      </c>
      <c r="BK281" s="2">
        <v>0.34</v>
      </c>
      <c r="BL281" s="2">
        <v>7.3</v>
      </c>
      <c r="BM281" s="2">
        <v>0.9</v>
      </c>
      <c r="BN281" s="2">
        <v>7.5</v>
      </c>
      <c r="BO281" s="2">
        <v>2.9</v>
      </c>
      <c r="BP281" s="2">
        <f t="shared" si="8"/>
        <v>8.3905672950608903</v>
      </c>
      <c r="BQ281" s="2">
        <f t="shared" si="9"/>
        <v>27.546143943711439</v>
      </c>
    </row>
    <row r="282" spans="1:69" x14ac:dyDescent="0.2">
      <c r="A282" s="2" t="s">
        <v>3268</v>
      </c>
      <c r="B282" s="2" t="s">
        <v>47</v>
      </c>
      <c r="C282" s="2" t="s">
        <v>1935</v>
      </c>
      <c r="D282" s="2" t="s">
        <v>49</v>
      </c>
      <c r="E282" s="2" t="s">
        <v>153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89</v>
      </c>
      <c r="L282" s="6" t="s">
        <v>103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3269</v>
      </c>
      <c r="R282" s="2">
        <v>5681818.182</v>
      </c>
      <c r="S282" s="2">
        <v>0</v>
      </c>
      <c r="T282" s="2" t="s">
        <v>96</v>
      </c>
      <c r="U282" s="2" t="s">
        <v>97</v>
      </c>
      <c r="V282" s="2" t="s">
        <v>56</v>
      </c>
      <c r="W282" s="2" t="s">
        <v>98</v>
      </c>
      <c r="X282" s="2" t="s">
        <v>99</v>
      </c>
      <c r="Y282" s="2">
        <v>0.56105579093924096</v>
      </c>
      <c r="Z282" s="2">
        <v>561.05579093924098</v>
      </c>
      <c r="AA282" s="2">
        <v>4.73719444444444</v>
      </c>
      <c r="AB282" s="2">
        <v>-74.069472222222203</v>
      </c>
      <c r="AC282" s="2">
        <v>2555</v>
      </c>
      <c r="AD282" s="2">
        <v>0</v>
      </c>
      <c r="AE282" s="2" t="s">
        <v>59</v>
      </c>
      <c r="AF282" s="2" t="s">
        <v>86</v>
      </c>
      <c r="AG282" s="2" t="s">
        <v>61</v>
      </c>
      <c r="AH282" s="2" t="s">
        <v>62</v>
      </c>
      <c r="AI282" s="2" t="s">
        <v>100</v>
      </c>
      <c r="AJ282" s="2">
        <v>1.7169474685414501</v>
      </c>
      <c r="AK282" s="2">
        <v>4.8279831014377104</v>
      </c>
      <c r="AL282" s="2">
        <v>1.99023554336734</v>
      </c>
      <c r="AM282" s="2">
        <v>0.14625400497773</v>
      </c>
      <c r="AN282" s="2">
        <v>2.2613764303214801</v>
      </c>
      <c r="AO282" s="2">
        <v>0.10631316227066</v>
      </c>
      <c r="AP282" s="2">
        <v>0.10631316227066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9</v>
      </c>
      <c r="AW282" s="2">
        <v>0</v>
      </c>
      <c r="AX282" s="2">
        <v>0</v>
      </c>
      <c r="AY282" s="2">
        <v>15.3</v>
      </c>
      <c r="AZ282" s="2">
        <v>9.8000000000000007</v>
      </c>
      <c r="BA282" s="2">
        <v>29.7</v>
      </c>
      <c r="BB282" s="2">
        <v>564</v>
      </c>
      <c r="BC282" s="2">
        <v>68</v>
      </c>
      <c r="BD282" s="2">
        <v>1.8</v>
      </c>
      <c r="BE282" s="2">
        <v>43</v>
      </c>
      <c r="BF282" s="2">
        <v>25.4</v>
      </c>
      <c r="BG282" s="2">
        <v>162</v>
      </c>
      <c r="BH282" s="2">
        <v>9.1</v>
      </c>
      <c r="BI282" s="2">
        <v>9.1999999999999993</v>
      </c>
      <c r="BJ282" s="2">
        <v>18.3</v>
      </c>
      <c r="BK282" s="2">
        <v>0.34</v>
      </c>
      <c r="BL282" s="2">
        <v>7.3</v>
      </c>
      <c r="BM282" s="2">
        <v>0.9</v>
      </c>
      <c r="BN282" s="2">
        <v>7.5</v>
      </c>
      <c r="BO282" s="2">
        <v>2.9</v>
      </c>
      <c r="BP282" s="2">
        <f t="shared" si="8"/>
        <v>9.5315764529746172</v>
      </c>
      <c r="BQ282" s="2">
        <f t="shared" si="9"/>
        <v>29.302759920508073</v>
      </c>
    </row>
    <row r="283" spans="1:69" x14ac:dyDescent="0.2">
      <c r="A283" s="2" t="s">
        <v>1566</v>
      </c>
      <c r="B283" s="2" t="s">
        <v>47</v>
      </c>
      <c r="C283" s="2" t="s">
        <v>48</v>
      </c>
      <c r="D283" s="2" t="s">
        <v>49</v>
      </c>
      <c r="E283" s="2" t="s">
        <v>1567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89</v>
      </c>
      <c r="L283" s="6" t="s">
        <v>103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1568</v>
      </c>
      <c r="R283" s="2">
        <v>8381590.9780000001</v>
      </c>
      <c r="S283" s="2">
        <v>0</v>
      </c>
      <c r="T283" s="2" t="s">
        <v>130</v>
      </c>
      <c r="U283" s="2" t="s">
        <v>131</v>
      </c>
      <c r="V283" s="2" t="s">
        <v>56</v>
      </c>
      <c r="W283" s="2" t="s">
        <v>98</v>
      </c>
      <c r="X283" s="2" t="s">
        <v>132</v>
      </c>
      <c r="Y283" s="2">
        <v>3.7029442669270098</v>
      </c>
      <c r="Z283" s="2">
        <v>3702.9442669270102</v>
      </c>
      <c r="AA283" s="2">
        <v>4.7837500000000004</v>
      </c>
      <c r="AB283" s="2">
        <v>-74.044138888888895</v>
      </c>
      <c r="AC283" s="2">
        <v>2580</v>
      </c>
      <c r="AD283" s="2">
        <v>0</v>
      </c>
      <c r="AE283" s="2" t="s">
        <v>133</v>
      </c>
      <c r="AF283" s="2" t="s">
        <v>86</v>
      </c>
      <c r="AG283" s="2" t="s">
        <v>61</v>
      </c>
      <c r="AH283" s="2" t="s">
        <v>62</v>
      </c>
      <c r="AI283" s="2" t="s">
        <v>100</v>
      </c>
      <c r="AJ283" s="2">
        <v>4.7466555657863099</v>
      </c>
      <c r="AK283" s="2">
        <v>0.89440507422379301</v>
      </c>
      <c r="AL283" s="2">
        <v>2.9372673609623501</v>
      </c>
      <c r="AM283" s="2">
        <v>1.0173639813109201</v>
      </c>
      <c r="AN283" s="2">
        <v>6.5491407083400199</v>
      </c>
      <c r="AO283" s="2">
        <v>2.2569581198970901</v>
      </c>
      <c r="AP283" s="2">
        <v>2.2569581198970901</v>
      </c>
      <c r="AQ283" s="2">
        <v>0</v>
      </c>
      <c r="AR283" s="2">
        <v>0</v>
      </c>
      <c r="AS283" s="2">
        <v>0</v>
      </c>
      <c r="AT283" s="2">
        <v>1</v>
      </c>
      <c r="AU283" s="2">
        <v>0</v>
      </c>
      <c r="AV283" s="2">
        <v>0</v>
      </c>
      <c r="AW283" s="2">
        <v>0</v>
      </c>
      <c r="AX283" s="2">
        <v>0</v>
      </c>
      <c r="AY283" s="2">
        <v>15.3</v>
      </c>
      <c r="AZ283" s="2">
        <v>9.8000000000000007</v>
      </c>
      <c r="BA283" s="2">
        <v>29.7</v>
      </c>
      <c r="BB283" s="2">
        <v>564</v>
      </c>
      <c r="BC283" s="2">
        <v>68</v>
      </c>
      <c r="BD283" s="2">
        <v>1.8</v>
      </c>
      <c r="BE283" s="2">
        <v>43</v>
      </c>
      <c r="BF283" s="2">
        <v>25.4</v>
      </c>
      <c r="BG283" s="2">
        <v>162</v>
      </c>
      <c r="BH283" s="2">
        <v>9.1</v>
      </c>
      <c r="BI283" s="2">
        <v>9.1999999999999993</v>
      </c>
      <c r="BJ283" s="2">
        <v>18.3</v>
      </c>
      <c r="BK283" s="2">
        <v>0.34</v>
      </c>
      <c r="BL283" s="2">
        <v>7.3</v>
      </c>
      <c r="BM283" s="2">
        <v>0.9</v>
      </c>
      <c r="BN283" s="2">
        <v>7.5</v>
      </c>
      <c r="BO283" s="2">
        <v>2.9</v>
      </c>
      <c r="BP283" s="2">
        <f t="shared" si="8"/>
        <v>8.1587147012147003</v>
      </c>
      <c r="BQ283" s="2">
        <f t="shared" si="9"/>
        <v>27.174427983008115</v>
      </c>
    </row>
    <row r="284" spans="1:69" x14ac:dyDescent="0.2">
      <c r="A284" s="2" t="s">
        <v>2352</v>
      </c>
      <c r="B284" s="2" t="s">
        <v>47</v>
      </c>
      <c r="C284" s="2" t="s">
        <v>1935</v>
      </c>
      <c r="D284" s="2" t="s">
        <v>49</v>
      </c>
      <c r="E284" s="2" t="s">
        <v>688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89</v>
      </c>
      <c r="L284" s="6" t="s">
        <v>141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2353</v>
      </c>
      <c r="R284" s="2">
        <v>8392462.0429999996</v>
      </c>
      <c r="S284" s="2">
        <v>0</v>
      </c>
      <c r="T284" s="2" t="s">
        <v>96</v>
      </c>
      <c r="U284" s="2" t="s">
        <v>97</v>
      </c>
      <c r="V284" s="2" t="s">
        <v>56</v>
      </c>
      <c r="W284" s="2" t="s">
        <v>98</v>
      </c>
      <c r="X284" s="2" t="s">
        <v>99</v>
      </c>
      <c r="Y284" s="2">
        <v>2.8840494870062399</v>
      </c>
      <c r="Z284" s="2">
        <v>2884.0494870062398</v>
      </c>
      <c r="AA284" s="2">
        <v>4.73719444444444</v>
      </c>
      <c r="AB284" s="2">
        <v>-74.069472222222203</v>
      </c>
      <c r="AC284" s="2">
        <v>2555</v>
      </c>
      <c r="AD284" s="2">
        <v>0</v>
      </c>
      <c r="AE284" s="2" t="s">
        <v>59</v>
      </c>
      <c r="AF284" s="2" t="s">
        <v>86</v>
      </c>
      <c r="AG284" s="2" t="s">
        <v>61</v>
      </c>
      <c r="AH284" s="2" t="s">
        <v>62</v>
      </c>
      <c r="AI284" s="2" t="s">
        <v>100</v>
      </c>
      <c r="AJ284" s="2">
        <v>0.39573480855691201</v>
      </c>
      <c r="AK284" s="2">
        <v>3.0721470382851699</v>
      </c>
      <c r="AL284" s="2">
        <v>0.44400244657048499</v>
      </c>
      <c r="AM284" s="2">
        <v>0.29529307752442802</v>
      </c>
      <c r="AN284" s="2">
        <v>2.8669956202682401</v>
      </c>
      <c r="AO284" s="2">
        <v>8.0241027589089305E-3</v>
      </c>
      <c r="AP284" s="2">
        <v>8.0241027589089305E-3</v>
      </c>
      <c r="AQ284" s="2">
        <v>1</v>
      </c>
      <c r="AR284" s="2">
        <v>2</v>
      </c>
      <c r="AS284" s="2">
        <v>0</v>
      </c>
      <c r="AT284" s="2">
        <v>0</v>
      </c>
      <c r="AU284" s="2">
        <v>1</v>
      </c>
      <c r="AV284" s="2">
        <v>20</v>
      </c>
      <c r="AW284" s="2">
        <v>0</v>
      </c>
      <c r="AX284" s="2">
        <v>0</v>
      </c>
      <c r="AY284" s="2">
        <v>15.3</v>
      </c>
      <c r="AZ284" s="2">
        <v>9.8000000000000007</v>
      </c>
      <c r="BA284" s="2">
        <v>29.7</v>
      </c>
      <c r="BB284" s="2">
        <v>564</v>
      </c>
      <c r="BC284" s="2">
        <v>68</v>
      </c>
      <c r="BD284" s="2">
        <v>1.8</v>
      </c>
      <c r="BE284" s="2">
        <v>43</v>
      </c>
      <c r="BF284" s="2">
        <v>25.4</v>
      </c>
      <c r="BG284" s="2">
        <v>162</v>
      </c>
      <c r="BH284" s="2">
        <v>9.1</v>
      </c>
      <c r="BI284" s="2">
        <v>9.1999999999999993</v>
      </c>
      <c r="BJ284" s="2">
        <v>18.3</v>
      </c>
      <c r="BK284" s="2">
        <v>0.34</v>
      </c>
      <c r="BL284" s="2">
        <v>7.3</v>
      </c>
      <c r="BM284" s="2">
        <v>0.9</v>
      </c>
      <c r="BN284" s="2">
        <v>7.5</v>
      </c>
      <c r="BO284" s="2">
        <v>2.9</v>
      </c>
      <c r="BP284" s="2">
        <f t="shared" si="8"/>
        <v>8.4962249054366481</v>
      </c>
      <c r="BQ284" s="2">
        <f t="shared" si="9"/>
        <v>27.713782652254764</v>
      </c>
    </row>
    <row r="285" spans="1:69" x14ac:dyDescent="0.2">
      <c r="A285" s="2" t="s">
        <v>1790</v>
      </c>
      <c r="B285" s="2" t="s">
        <v>47</v>
      </c>
      <c r="C285" s="2" t="s">
        <v>48</v>
      </c>
      <c r="D285" s="2" t="s">
        <v>49</v>
      </c>
      <c r="E285" s="2" t="s">
        <v>907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89</v>
      </c>
      <c r="L285" s="6" t="s">
        <v>103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1791</v>
      </c>
      <c r="R285" s="2">
        <v>6615384.6150000002</v>
      </c>
      <c r="S285" s="2">
        <v>0</v>
      </c>
      <c r="T285" s="2" t="s">
        <v>96</v>
      </c>
      <c r="U285" s="2" t="s">
        <v>97</v>
      </c>
      <c r="V285" s="2" t="s">
        <v>56</v>
      </c>
      <c r="W285" s="2" t="s">
        <v>98</v>
      </c>
      <c r="X285" s="2" t="s">
        <v>99</v>
      </c>
      <c r="Y285" s="2">
        <v>1.3898818263044199</v>
      </c>
      <c r="Z285" s="2">
        <v>1389.88182630442</v>
      </c>
      <c r="AA285" s="2">
        <v>4.73719444444444</v>
      </c>
      <c r="AB285" s="2">
        <v>-74.069472222222203</v>
      </c>
      <c r="AC285" s="2">
        <v>2555</v>
      </c>
      <c r="AD285" s="2">
        <v>0</v>
      </c>
      <c r="AE285" s="2" t="s">
        <v>59</v>
      </c>
      <c r="AF285" s="2" t="s">
        <v>86</v>
      </c>
      <c r="AG285" s="2" t="s">
        <v>61</v>
      </c>
      <c r="AH285" s="2" t="s">
        <v>62</v>
      </c>
      <c r="AI285" s="2" t="s">
        <v>100</v>
      </c>
      <c r="AJ285" s="2">
        <v>0.90028839110510195</v>
      </c>
      <c r="AK285" s="2">
        <v>3.9424973051666501</v>
      </c>
      <c r="AL285" s="2">
        <v>1.9494205697136699</v>
      </c>
      <c r="AM285" s="2">
        <v>0.14418727689283001</v>
      </c>
      <c r="AN285" s="2">
        <v>3.2041393366671098</v>
      </c>
      <c r="AO285" s="2">
        <v>6.8155433922309203E-2</v>
      </c>
      <c r="AP285" s="2">
        <v>6.8155433922309203E-2</v>
      </c>
      <c r="AQ285" s="2">
        <v>0</v>
      </c>
      <c r="AR285" s="2">
        <v>2</v>
      </c>
      <c r="AS285" s="2">
        <v>0</v>
      </c>
      <c r="AT285" s="2">
        <v>0</v>
      </c>
      <c r="AU285" s="2">
        <v>0</v>
      </c>
      <c r="AV285" s="2">
        <v>11</v>
      </c>
      <c r="AW285" s="2">
        <v>0</v>
      </c>
      <c r="AX285" s="2">
        <v>0</v>
      </c>
      <c r="AY285" s="2">
        <v>15.3</v>
      </c>
      <c r="AZ285" s="2">
        <v>9.8000000000000007</v>
      </c>
      <c r="BA285" s="2">
        <v>29.7</v>
      </c>
      <c r="BB285" s="2">
        <v>564</v>
      </c>
      <c r="BC285" s="2">
        <v>68</v>
      </c>
      <c r="BD285" s="2">
        <v>1.8</v>
      </c>
      <c r="BE285" s="2">
        <v>43</v>
      </c>
      <c r="BF285" s="2">
        <v>25.4</v>
      </c>
      <c r="BG285" s="2">
        <v>162</v>
      </c>
      <c r="BH285" s="2">
        <v>9.1</v>
      </c>
      <c r="BI285" s="2">
        <v>9.1999999999999993</v>
      </c>
      <c r="BJ285" s="2">
        <v>18.3</v>
      </c>
      <c r="BK285" s="2">
        <v>0.34</v>
      </c>
      <c r="BL285" s="2">
        <v>7.3</v>
      </c>
      <c r="BM285" s="2">
        <v>0.9</v>
      </c>
      <c r="BN285" s="2">
        <v>7.5</v>
      </c>
      <c r="BO285" s="2">
        <v>2.9</v>
      </c>
      <c r="BP285" s="2">
        <f t="shared" si="8"/>
        <v>9.1484387404948855</v>
      </c>
      <c r="BQ285" s="2">
        <f t="shared" si="9"/>
        <v>28.725633630004985</v>
      </c>
    </row>
    <row r="286" spans="1:69" x14ac:dyDescent="0.2">
      <c r="A286" s="2" t="s">
        <v>1805</v>
      </c>
      <c r="B286" s="2" t="s">
        <v>47</v>
      </c>
      <c r="C286" s="2" t="s">
        <v>48</v>
      </c>
      <c r="D286" s="2" t="s">
        <v>49</v>
      </c>
      <c r="E286" s="2" t="s">
        <v>434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89</v>
      </c>
      <c r="L286" s="6" t="s">
        <v>112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1806</v>
      </c>
      <c r="R286" s="2">
        <v>8527131.7829999998</v>
      </c>
      <c r="S286" s="2">
        <v>0</v>
      </c>
      <c r="T286" s="2" t="s">
        <v>96</v>
      </c>
      <c r="U286" s="2" t="s">
        <v>97</v>
      </c>
      <c r="V286" s="2" t="s">
        <v>56</v>
      </c>
      <c r="W286" s="2" t="s">
        <v>98</v>
      </c>
      <c r="X286" s="2" t="s">
        <v>99</v>
      </c>
      <c r="Y286" s="2">
        <v>2.3839852290960599</v>
      </c>
      <c r="Z286" s="2">
        <v>2383.9852290960598</v>
      </c>
      <c r="AA286" s="2">
        <v>4.73719444444444</v>
      </c>
      <c r="AB286" s="2">
        <v>-74.069472222222203</v>
      </c>
      <c r="AC286" s="2">
        <v>2555</v>
      </c>
      <c r="AD286" s="2">
        <v>0</v>
      </c>
      <c r="AE286" s="2" t="s">
        <v>59</v>
      </c>
      <c r="AF286" s="2" t="s">
        <v>86</v>
      </c>
      <c r="AG286" s="2" t="s">
        <v>61</v>
      </c>
      <c r="AH286" s="2" t="s">
        <v>62</v>
      </c>
      <c r="AI286" s="2" t="s">
        <v>100</v>
      </c>
      <c r="AJ286" s="2">
        <v>2.4508982940199902</v>
      </c>
      <c r="AK286" s="2">
        <v>4.2259144479716904</v>
      </c>
      <c r="AL286" s="2">
        <v>1.68529180641223</v>
      </c>
      <c r="AM286" s="2">
        <v>0.51894568896390103</v>
      </c>
      <c r="AN286" s="2">
        <v>2.7115949257172498</v>
      </c>
      <c r="AO286" s="2">
        <v>0.28318885718171699</v>
      </c>
      <c r="AP286" s="2">
        <v>0.28318885718171699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14</v>
      </c>
      <c r="AW286" s="2">
        <v>0</v>
      </c>
      <c r="AX286" s="2">
        <v>1</v>
      </c>
      <c r="AY286" s="2">
        <v>15.3</v>
      </c>
      <c r="AZ286" s="2">
        <v>9.8000000000000007</v>
      </c>
      <c r="BA286" s="2">
        <v>29.7</v>
      </c>
      <c r="BB286" s="2">
        <v>564</v>
      </c>
      <c r="BC286" s="2">
        <v>68</v>
      </c>
      <c r="BD286" s="2">
        <v>1.8</v>
      </c>
      <c r="BE286" s="2">
        <v>43</v>
      </c>
      <c r="BF286" s="2">
        <v>25.4</v>
      </c>
      <c r="BG286" s="2">
        <v>162</v>
      </c>
      <c r="BH286" s="2">
        <v>9.1</v>
      </c>
      <c r="BI286" s="2">
        <v>9.1999999999999993</v>
      </c>
      <c r="BJ286" s="2">
        <v>18.3</v>
      </c>
      <c r="BK286" s="2">
        <v>0.34</v>
      </c>
      <c r="BL286" s="2">
        <v>7.3</v>
      </c>
      <c r="BM286" s="2">
        <v>0.9</v>
      </c>
      <c r="BN286" s="2">
        <v>7.5</v>
      </c>
      <c r="BO286" s="2">
        <v>2.9</v>
      </c>
      <c r="BP286" s="2">
        <f t="shared" si="8"/>
        <v>8.7091580099148409</v>
      </c>
      <c r="BQ286" s="2">
        <f t="shared" si="9"/>
        <v>28.048394697920578</v>
      </c>
    </row>
    <row r="287" spans="1:69" x14ac:dyDescent="0.2">
      <c r="A287" s="2" t="s">
        <v>1750</v>
      </c>
      <c r="B287" s="2" t="s">
        <v>47</v>
      </c>
      <c r="C287" s="2" t="s">
        <v>48</v>
      </c>
      <c r="D287" s="2" t="s">
        <v>49</v>
      </c>
      <c r="E287" s="2" t="s">
        <v>328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89</v>
      </c>
      <c r="L287" s="6" t="s">
        <v>90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1751</v>
      </c>
      <c r="R287" s="2">
        <v>14851562.5</v>
      </c>
      <c r="S287" s="2">
        <v>0</v>
      </c>
      <c r="T287" s="2" t="s">
        <v>96</v>
      </c>
      <c r="U287" s="2" t="s">
        <v>97</v>
      </c>
      <c r="V287" s="2" t="s">
        <v>56</v>
      </c>
      <c r="W287" s="2" t="s">
        <v>98</v>
      </c>
      <c r="X287" s="2" t="s">
        <v>99</v>
      </c>
      <c r="Y287" s="2">
        <v>1.9777651876747699</v>
      </c>
      <c r="Z287" s="2">
        <v>1977.76518767477</v>
      </c>
      <c r="AA287" s="2">
        <v>4.73719444444444</v>
      </c>
      <c r="AB287" s="2">
        <v>-74.069472222222203</v>
      </c>
      <c r="AC287" s="2">
        <v>2555</v>
      </c>
      <c r="AD287" s="2">
        <v>0</v>
      </c>
      <c r="AE287" s="2" t="s">
        <v>59</v>
      </c>
      <c r="AF287" s="2" t="s">
        <v>86</v>
      </c>
      <c r="AG287" s="2" t="s">
        <v>61</v>
      </c>
      <c r="AH287" s="2" t="s">
        <v>62</v>
      </c>
      <c r="AI287" s="2" t="s">
        <v>100</v>
      </c>
      <c r="AJ287" s="2">
        <v>0.94690781154231096</v>
      </c>
      <c r="AK287" s="2">
        <v>4.47838592977355</v>
      </c>
      <c r="AL287" s="2">
        <v>1.88834715713707</v>
      </c>
      <c r="AM287" s="2">
        <v>0.53370552681580896</v>
      </c>
      <c r="AN287" s="2">
        <v>1.5152375426895099</v>
      </c>
      <c r="AO287" s="2">
        <v>3.2425144061989798E-2</v>
      </c>
      <c r="AP287" s="2">
        <v>3.2425144061989798E-2</v>
      </c>
      <c r="AQ287" s="2">
        <v>0</v>
      </c>
      <c r="AR287" s="2">
        <v>1</v>
      </c>
      <c r="AS287" s="2">
        <v>0</v>
      </c>
      <c r="AT287" s="2">
        <v>0</v>
      </c>
      <c r="AU287" s="2">
        <v>0</v>
      </c>
      <c r="AV287" s="2">
        <v>5</v>
      </c>
      <c r="AW287" s="2">
        <v>0</v>
      </c>
      <c r="AX287" s="2">
        <v>0</v>
      </c>
      <c r="AY287" s="2">
        <v>15.3</v>
      </c>
      <c r="AZ287" s="2">
        <v>9.8000000000000007</v>
      </c>
      <c r="BA287" s="2">
        <v>29.7</v>
      </c>
      <c r="BB287" s="2">
        <v>564</v>
      </c>
      <c r="BC287" s="2">
        <v>68</v>
      </c>
      <c r="BD287" s="2">
        <v>1.8</v>
      </c>
      <c r="BE287" s="2">
        <v>43</v>
      </c>
      <c r="BF287" s="2">
        <v>25.4</v>
      </c>
      <c r="BG287" s="2">
        <v>162</v>
      </c>
      <c r="BH287" s="2">
        <v>9.1</v>
      </c>
      <c r="BI287" s="2">
        <v>9.1999999999999993</v>
      </c>
      <c r="BJ287" s="2">
        <v>18.3</v>
      </c>
      <c r="BK287" s="2">
        <v>0.34</v>
      </c>
      <c r="BL287" s="2">
        <v>7.3</v>
      </c>
      <c r="BM287" s="2">
        <v>0.9</v>
      </c>
      <c r="BN287" s="2">
        <v>7.5</v>
      </c>
      <c r="BO287" s="2">
        <v>2.9</v>
      </c>
      <c r="BP287" s="2">
        <f t="shared" si="8"/>
        <v>8.8860533550178467</v>
      </c>
      <c r="BQ287" s="2">
        <f t="shared" si="9"/>
        <v>28.323183700344064</v>
      </c>
    </row>
    <row r="288" spans="1:69" x14ac:dyDescent="0.2">
      <c r="A288" s="2" t="s">
        <v>940</v>
      </c>
      <c r="B288" s="2" t="s">
        <v>47</v>
      </c>
      <c r="C288" s="2" t="s">
        <v>48</v>
      </c>
      <c r="D288" s="2" t="s">
        <v>49</v>
      </c>
      <c r="E288" s="2" t="s">
        <v>160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89</v>
      </c>
      <c r="L288" s="6" t="s">
        <v>103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941</v>
      </c>
      <c r="R288" s="2">
        <v>6674519.0420000004</v>
      </c>
      <c r="S288" s="2">
        <v>0</v>
      </c>
      <c r="T288" s="2" t="s">
        <v>96</v>
      </c>
      <c r="U288" s="2" t="s">
        <v>97</v>
      </c>
      <c r="V288" s="2" t="s">
        <v>56</v>
      </c>
      <c r="W288" s="2" t="s">
        <v>98</v>
      </c>
      <c r="X288" s="2" t="s">
        <v>99</v>
      </c>
      <c r="Y288" s="2">
        <v>0.92452358922385203</v>
      </c>
      <c r="Z288" s="2">
        <v>924.52358922385201</v>
      </c>
      <c r="AA288" s="2">
        <v>4.73719444444444</v>
      </c>
      <c r="AB288" s="2">
        <v>-74.069472222222203</v>
      </c>
      <c r="AC288" s="2">
        <v>2555</v>
      </c>
      <c r="AD288" s="2">
        <v>0</v>
      </c>
      <c r="AE288" s="2" t="s">
        <v>59</v>
      </c>
      <c r="AF288" s="2" t="s">
        <v>86</v>
      </c>
      <c r="AG288" s="2" t="s">
        <v>61</v>
      </c>
      <c r="AH288" s="2" t="s">
        <v>62</v>
      </c>
      <c r="AI288" s="2" t="s">
        <v>100</v>
      </c>
      <c r="AJ288" s="2">
        <v>0.31687791187023501</v>
      </c>
      <c r="AK288" s="2">
        <v>5.6079887028299797</v>
      </c>
      <c r="AL288" s="2">
        <v>1.5069240924743701</v>
      </c>
      <c r="AM288" s="2">
        <v>0.65418283956752699</v>
      </c>
      <c r="AN288" s="2">
        <v>1.7588290046753099</v>
      </c>
      <c r="AO288" s="2">
        <v>0.175134836989566</v>
      </c>
      <c r="AP288" s="2">
        <v>0.175134836989566</v>
      </c>
      <c r="AQ288" s="2">
        <v>1</v>
      </c>
      <c r="AR288" s="2">
        <v>3</v>
      </c>
      <c r="AS288" s="2">
        <v>0</v>
      </c>
      <c r="AT288" s="2">
        <v>0</v>
      </c>
      <c r="AU288" s="2">
        <v>0</v>
      </c>
      <c r="AV288" s="2">
        <v>9</v>
      </c>
      <c r="AW288" s="2">
        <v>0</v>
      </c>
      <c r="AX288" s="2">
        <v>0</v>
      </c>
      <c r="AY288" s="2">
        <v>15.3</v>
      </c>
      <c r="AZ288" s="2">
        <v>9.8000000000000007</v>
      </c>
      <c r="BA288" s="2">
        <v>29.7</v>
      </c>
      <c r="BB288" s="2">
        <v>564</v>
      </c>
      <c r="BC288" s="2">
        <v>68</v>
      </c>
      <c r="BD288" s="2">
        <v>1.8</v>
      </c>
      <c r="BE288" s="2">
        <v>43</v>
      </c>
      <c r="BF288" s="2">
        <v>25.4</v>
      </c>
      <c r="BG288" s="2">
        <v>162</v>
      </c>
      <c r="BH288" s="2">
        <v>9.1</v>
      </c>
      <c r="BI288" s="2">
        <v>9.1999999999999993</v>
      </c>
      <c r="BJ288" s="2">
        <v>18.3</v>
      </c>
      <c r="BK288" s="2">
        <v>0.34</v>
      </c>
      <c r="BL288" s="2">
        <v>7.3</v>
      </c>
      <c r="BM288" s="2">
        <v>0.9</v>
      </c>
      <c r="BN288" s="2">
        <v>7.5</v>
      </c>
      <c r="BO288" s="2">
        <v>2.9</v>
      </c>
      <c r="BP288" s="2">
        <f t="shared" si="8"/>
        <v>9.3616210819547891</v>
      </c>
      <c r="BQ288" s="2">
        <f t="shared" si="9"/>
        <v>29.048256946825227</v>
      </c>
    </row>
    <row r="289" spans="1:69" x14ac:dyDescent="0.2">
      <c r="A289" s="2" t="s">
        <v>2871</v>
      </c>
      <c r="B289" s="2" t="s">
        <v>47</v>
      </c>
      <c r="C289" s="2" t="s">
        <v>1935</v>
      </c>
      <c r="D289" s="2" t="s">
        <v>49</v>
      </c>
      <c r="E289" s="2" t="s">
        <v>2872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89</v>
      </c>
      <c r="L289" s="6" t="s">
        <v>103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2873</v>
      </c>
      <c r="R289" s="2">
        <v>5873015.8729999997</v>
      </c>
      <c r="S289" s="2">
        <v>0</v>
      </c>
      <c r="T289" s="2" t="s">
        <v>130</v>
      </c>
      <c r="U289" s="2" t="s">
        <v>131</v>
      </c>
      <c r="V289" s="2" t="s">
        <v>56</v>
      </c>
      <c r="W289" s="2" t="s">
        <v>98</v>
      </c>
      <c r="X289" s="2" t="s">
        <v>132</v>
      </c>
      <c r="Y289" s="2">
        <v>3.20399968899443</v>
      </c>
      <c r="Z289" s="2">
        <v>3203.99968899443</v>
      </c>
      <c r="AA289" s="2">
        <v>4.7837500000000004</v>
      </c>
      <c r="AB289" s="2">
        <v>-74.044138888888895</v>
      </c>
      <c r="AC289" s="2">
        <v>2580</v>
      </c>
      <c r="AD289" s="2">
        <v>0</v>
      </c>
      <c r="AE289" s="2" t="s">
        <v>133</v>
      </c>
      <c r="AF289" s="2" t="s">
        <v>86</v>
      </c>
      <c r="AG289" s="2" t="s">
        <v>61</v>
      </c>
      <c r="AH289" s="2" t="s">
        <v>62</v>
      </c>
      <c r="AI289" s="2" t="s">
        <v>87</v>
      </c>
      <c r="AJ289" s="2">
        <v>0.75461765120985502</v>
      </c>
      <c r="AK289" s="2">
        <v>1.92476959218035</v>
      </c>
      <c r="AL289" s="2">
        <v>1.0802341572441301</v>
      </c>
      <c r="AM289" s="2">
        <v>0.72162514258433896</v>
      </c>
      <c r="AN289" s="2">
        <v>2.0676014003045</v>
      </c>
      <c r="AO289" s="2">
        <v>9.6967541510963803E-3</v>
      </c>
      <c r="AP289" s="2">
        <v>9.6967541510963803E-3</v>
      </c>
      <c r="AQ289" s="2">
        <v>0</v>
      </c>
      <c r="AR289" s="2">
        <v>1</v>
      </c>
      <c r="AS289" s="2">
        <v>0</v>
      </c>
      <c r="AT289" s="2">
        <v>0</v>
      </c>
      <c r="AU289" s="2">
        <v>0</v>
      </c>
      <c r="AV289" s="2">
        <v>9</v>
      </c>
      <c r="AW289" s="2">
        <v>0</v>
      </c>
      <c r="AX289" s="2">
        <v>0</v>
      </c>
      <c r="AY289" s="2">
        <v>15.3</v>
      </c>
      <c r="AZ289" s="2">
        <v>9.8000000000000007</v>
      </c>
      <c r="BA289" s="2">
        <v>29.7</v>
      </c>
      <c r="BB289" s="2">
        <v>564</v>
      </c>
      <c r="BC289" s="2">
        <v>68</v>
      </c>
      <c r="BD289" s="2">
        <v>1.8</v>
      </c>
      <c r="BE289" s="2">
        <v>43</v>
      </c>
      <c r="BF289" s="2">
        <v>25.4</v>
      </c>
      <c r="BG289" s="2">
        <v>162</v>
      </c>
      <c r="BH289" s="2">
        <v>9.1</v>
      </c>
      <c r="BI289" s="2">
        <v>9.1999999999999993</v>
      </c>
      <c r="BJ289" s="2">
        <v>18.3</v>
      </c>
      <c r="BK289" s="2">
        <v>0.34</v>
      </c>
      <c r="BL289" s="2">
        <v>7.3</v>
      </c>
      <c r="BM289" s="2">
        <v>0.9</v>
      </c>
      <c r="BN289" s="2">
        <v>7.5</v>
      </c>
      <c r="BO289" s="2">
        <v>2.9</v>
      </c>
      <c r="BP289" s="2">
        <f t="shared" si="8"/>
        <v>8.3627255866394439</v>
      </c>
      <c r="BQ289" s="2">
        <f t="shared" si="9"/>
        <v>27.50178889468912</v>
      </c>
    </row>
    <row r="290" spans="1:69" x14ac:dyDescent="0.2">
      <c r="A290" s="2" t="s">
        <v>291</v>
      </c>
      <c r="B290" s="2" t="s">
        <v>47</v>
      </c>
      <c r="C290" s="2" t="s">
        <v>48</v>
      </c>
      <c r="D290" s="2" t="s">
        <v>49</v>
      </c>
      <c r="E290" s="2" t="s">
        <v>292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89</v>
      </c>
      <c r="L290" s="6" t="s">
        <v>94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293</v>
      </c>
      <c r="R290" s="2">
        <v>7878641.5580000002</v>
      </c>
      <c r="S290" s="2">
        <v>0</v>
      </c>
      <c r="T290" s="2" t="s">
        <v>96</v>
      </c>
      <c r="U290" s="2" t="s">
        <v>97</v>
      </c>
      <c r="V290" s="2" t="s">
        <v>56</v>
      </c>
      <c r="W290" s="2" t="s">
        <v>98</v>
      </c>
      <c r="X290" s="2" t="s">
        <v>99</v>
      </c>
      <c r="Y290" s="2">
        <v>3.2847651070139801</v>
      </c>
      <c r="Z290" s="2">
        <v>3284.76510701398</v>
      </c>
      <c r="AA290" s="2">
        <v>4.73719444444444</v>
      </c>
      <c r="AB290" s="2">
        <v>-74.069472222222203</v>
      </c>
      <c r="AC290" s="2">
        <v>2555</v>
      </c>
      <c r="AD290" s="2">
        <v>0</v>
      </c>
      <c r="AE290" s="2" t="s">
        <v>59</v>
      </c>
      <c r="AF290" s="2" t="s">
        <v>86</v>
      </c>
      <c r="AG290" s="2" t="s">
        <v>61</v>
      </c>
      <c r="AH290" s="2" t="s">
        <v>62</v>
      </c>
      <c r="AI290" s="2" t="s">
        <v>100</v>
      </c>
      <c r="AJ290" s="2">
        <v>0.93370155079594497</v>
      </c>
      <c r="AK290" s="2">
        <v>4.0480285963913998</v>
      </c>
      <c r="AL290" s="2">
        <v>1.41076514250314</v>
      </c>
      <c r="AM290" s="2">
        <v>0.38594662798155899</v>
      </c>
      <c r="AN290" s="2">
        <v>4.4665450876381998</v>
      </c>
      <c r="AO290" s="2">
        <v>0.15188518175218799</v>
      </c>
      <c r="AP290" s="2">
        <v>0.15188518175218799</v>
      </c>
      <c r="AQ290" s="2">
        <v>0</v>
      </c>
      <c r="AR290" s="2">
        <v>1</v>
      </c>
      <c r="AS290" s="2">
        <v>0</v>
      </c>
      <c r="AT290" s="2">
        <v>0</v>
      </c>
      <c r="AU290" s="2">
        <v>0</v>
      </c>
      <c r="AV290" s="2">
        <v>20</v>
      </c>
      <c r="AW290" s="2">
        <v>0</v>
      </c>
      <c r="AX290" s="2">
        <v>0</v>
      </c>
      <c r="AY290" s="2">
        <v>15.3</v>
      </c>
      <c r="AZ290" s="2">
        <v>9.8000000000000007</v>
      </c>
      <c r="BA290" s="2">
        <v>29.7</v>
      </c>
      <c r="BB290" s="2">
        <v>564</v>
      </c>
      <c r="BC290" s="2">
        <v>68</v>
      </c>
      <c r="BD290" s="2">
        <v>1.8</v>
      </c>
      <c r="BE290" s="2">
        <v>43</v>
      </c>
      <c r="BF290" s="2">
        <v>25.4</v>
      </c>
      <c r="BG290" s="2">
        <v>162</v>
      </c>
      <c r="BH290" s="2">
        <v>9.1</v>
      </c>
      <c r="BI290" s="2">
        <v>9.1999999999999993</v>
      </c>
      <c r="BJ290" s="2">
        <v>18.3</v>
      </c>
      <c r="BK290" s="2">
        <v>0.34</v>
      </c>
      <c r="BL290" s="2">
        <v>7.3</v>
      </c>
      <c r="BM290" s="2">
        <v>0.9</v>
      </c>
      <c r="BN290" s="2">
        <v>7.5</v>
      </c>
      <c r="BO290" s="2">
        <v>2.9</v>
      </c>
      <c r="BP290" s="2">
        <f t="shared" si="8"/>
        <v>8.3293590869731542</v>
      </c>
      <c r="BQ290" s="2">
        <f t="shared" si="9"/>
        <v>27.448531883828416</v>
      </c>
    </row>
    <row r="291" spans="1:69" x14ac:dyDescent="0.2">
      <c r="A291" s="2" t="s">
        <v>705</v>
      </c>
      <c r="B291" s="2" t="s">
        <v>47</v>
      </c>
      <c r="C291" s="2" t="s">
        <v>48</v>
      </c>
      <c r="D291" s="2" t="s">
        <v>49</v>
      </c>
      <c r="E291" s="2" t="s">
        <v>153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89</v>
      </c>
      <c r="L291" s="6" t="s">
        <v>141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706</v>
      </c>
      <c r="R291" s="2">
        <v>5593495.9349999996</v>
      </c>
      <c r="S291" s="2">
        <v>0</v>
      </c>
      <c r="T291" s="2" t="s">
        <v>96</v>
      </c>
      <c r="U291" s="2" t="s">
        <v>97</v>
      </c>
      <c r="V291" s="2" t="s">
        <v>56</v>
      </c>
      <c r="W291" s="2" t="s">
        <v>98</v>
      </c>
      <c r="X291" s="2" t="s">
        <v>99</v>
      </c>
      <c r="Y291" s="2">
        <v>0.72666837724334199</v>
      </c>
      <c r="Z291" s="2">
        <v>726.66837724334198</v>
      </c>
      <c r="AA291" s="2">
        <v>4.73719444444444</v>
      </c>
      <c r="AB291" s="2">
        <v>-74.069472222222203</v>
      </c>
      <c r="AC291" s="2">
        <v>2555</v>
      </c>
      <c r="AD291" s="2">
        <v>0</v>
      </c>
      <c r="AE291" s="2" t="s">
        <v>59</v>
      </c>
      <c r="AF291" s="2" t="s">
        <v>86</v>
      </c>
      <c r="AG291" s="2" t="s">
        <v>61</v>
      </c>
      <c r="AH291" s="2" t="s">
        <v>62</v>
      </c>
      <c r="AI291" s="2" t="s">
        <v>100</v>
      </c>
      <c r="AJ291" s="2">
        <v>1.5378889518502901</v>
      </c>
      <c r="AK291" s="2">
        <v>4.5612277069475198</v>
      </c>
      <c r="AL291" s="2">
        <v>2.12582399737378</v>
      </c>
      <c r="AM291" s="2">
        <v>0.28578575698073699</v>
      </c>
      <c r="AN291" s="2">
        <v>2.53526376833008</v>
      </c>
      <c r="AO291" s="2">
        <v>0.119637064584981</v>
      </c>
      <c r="AP291" s="2">
        <v>0.119637064584981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14</v>
      </c>
      <c r="AW291" s="2">
        <v>0</v>
      </c>
      <c r="AX291" s="2">
        <v>0</v>
      </c>
      <c r="AY291" s="2">
        <v>15.3</v>
      </c>
      <c r="AZ291" s="2">
        <v>9.8000000000000007</v>
      </c>
      <c r="BA291" s="2">
        <v>29.7</v>
      </c>
      <c r="BB291" s="2">
        <v>564</v>
      </c>
      <c r="BC291" s="2">
        <v>68</v>
      </c>
      <c r="BD291" s="2">
        <v>1.8</v>
      </c>
      <c r="BE291" s="2">
        <v>43</v>
      </c>
      <c r="BF291" s="2">
        <v>25.4</v>
      </c>
      <c r="BG291" s="2">
        <v>162</v>
      </c>
      <c r="BH291" s="2">
        <v>9.1</v>
      </c>
      <c r="BI291" s="2">
        <v>9.1999999999999993</v>
      </c>
      <c r="BJ291" s="2">
        <v>18.3</v>
      </c>
      <c r="BK291" s="2">
        <v>0.34</v>
      </c>
      <c r="BL291" s="2">
        <v>7.3</v>
      </c>
      <c r="BM291" s="2">
        <v>0.9</v>
      </c>
      <c r="BN291" s="2">
        <v>7.5</v>
      </c>
      <c r="BO291" s="2">
        <v>2.9</v>
      </c>
      <c r="BP291" s="2">
        <f t="shared" si="8"/>
        <v>9.4537576841517819</v>
      </c>
      <c r="BQ291" s="2">
        <f t="shared" si="9"/>
        <v>29.18652133985146</v>
      </c>
    </row>
    <row r="292" spans="1:69" x14ac:dyDescent="0.2">
      <c r="A292" s="2" t="s">
        <v>461</v>
      </c>
      <c r="B292" s="2" t="s">
        <v>47</v>
      </c>
      <c r="C292" s="2" t="s">
        <v>48</v>
      </c>
      <c r="D292" s="2" t="s">
        <v>49</v>
      </c>
      <c r="E292" s="2" t="s">
        <v>462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89</v>
      </c>
      <c r="L292" s="6" t="s">
        <v>112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463</v>
      </c>
      <c r="R292" s="2">
        <v>6557377.0489999996</v>
      </c>
      <c r="S292" s="2">
        <v>0</v>
      </c>
      <c r="T292" s="2" t="s">
        <v>96</v>
      </c>
      <c r="U292" s="2" t="s">
        <v>97</v>
      </c>
      <c r="V292" s="2" t="s">
        <v>56</v>
      </c>
      <c r="W292" s="2" t="s">
        <v>98</v>
      </c>
      <c r="X292" s="2" t="s">
        <v>99</v>
      </c>
      <c r="Y292" s="2">
        <v>1.6557246241246499</v>
      </c>
      <c r="Z292" s="2">
        <v>1655.7246241246501</v>
      </c>
      <c r="AA292" s="2">
        <v>4.73719444444444</v>
      </c>
      <c r="AB292" s="2">
        <v>-74.069472222222203</v>
      </c>
      <c r="AC292" s="2">
        <v>2555</v>
      </c>
      <c r="AD292" s="2">
        <v>0</v>
      </c>
      <c r="AE292" s="2" t="s">
        <v>59</v>
      </c>
      <c r="AF292" s="2" t="s">
        <v>86</v>
      </c>
      <c r="AG292" s="2" t="s">
        <v>61</v>
      </c>
      <c r="AH292" s="2" t="s">
        <v>62</v>
      </c>
      <c r="AI292" s="2" t="s">
        <v>100</v>
      </c>
      <c r="AJ292" s="2">
        <v>0.26315370591797699</v>
      </c>
      <c r="AK292" s="2">
        <v>5.4517811118957997</v>
      </c>
      <c r="AL292" s="2">
        <v>0.66450466731536095</v>
      </c>
      <c r="AM292" s="2">
        <v>0.27059765690104298</v>
      </c>
      <c r="AN292" s="2">
        <v>2.4894483488677599</v>
      </c>
      <c r="AO292" s="2">
        <v>0.30026091906902003</v>
      </c>
      <c r="AP292" s="2">
        <v>0.30026091906902003</v>
      </c>
      <c r="AQ292" s="2">
        <v>1</v>
      </c>
      <c r="AR292" s="2">
        <v>2</v>
      </c>
      <c r="AS292" s="2">
        <v>0</v>
      </c>
      <c r="AT292" s="2">
        <v>0</v>
      </c>
      <c r="AU292" s="2">
        <v>1</v>
      </c>
      <c r="AV292" s="2">
        <v>29</v>
      </c>
      <c r="AW292" s="2">
        <v>0</v>
      </c>
      <c r="AX292" s="2">
        <v>0</v>
      </c>
      <c r="AY292" s="2">
        <v>15.3</v>
      </c>
      <c r="AZ292" s="2">
        <v>9.8000000000000007</v>
      </c>
      <c r="BA292" s="2">
        <v>29.7</v>
      </c>
      <c r="BB292" s="2">
        <v>564</v>
      </c>
      <c r="BC292" s="2">
        <v>68</v>
      </c>
      <c r="BD292" s="2">
        <v>1.8</v>
      </c>
      <c r="BE292" s="2">
        <v>43</v>
      </c>
      <c r="BF292" s="2">
        <v>25.4</v>
      </c>
      <c r="BG292" s="2">
        <v>162</v>
      </c>
      <c r="BH292" s="2">
        <v>9.1</v>
      </c>
      <c r="BI292" s="2">
        <v>9.1999999999999993</v>
      </c>
      <c r="BJ292" s="2">
        <v>18.3</v>
      </c>
      <c r="BK292" s="2">
        <v>0.34</v>
      </c>
      <c r="BL292" s="2">
        <v>7.3</v>
      </c>
      <c r="BM292" s="2">
        <v>0.9</v>
      </c>
      <c r="BN292" s="2">
        <v>7.5</v>
      </c>
      <c r="BO292" s="2">
        <v>2.9</v>
      </c>
      <c r="BP292" s="2">
        <f t="shared" si="8"/>
        <v>9.0288410680381865</v>
      </c>
      <c r="BQ292" s="2">
        <f t="shared" si="9"/>
        <v>28.542940992490362</v>
      </c>
    </row>
    <row r="293" spans="1:69" x14ac:dyDescent="0.2">
      <c r="A293" s="2" t="s">
        <v>92</v>
      </c>
      <c r="B293" s="2" t="s">
        <v>47</v>
      </c>
      <c r="C293" s="2" t="s">
        <v>48</v>
      </c>
      <c r="D293" s="2" t="s">
        <v>49</v>
      </c>
      <c r="E293" s="2" t="s">
        <v>93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89</v>
      </c>
      <c r="L293" s="6" t="s">
        <v>94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95</v>
      </c>
      <c r="R293" s="2">
        <v>5319672.1310000001</v>
      </c>
      <c r="S293" s="2">
        <v>0</v>
      </c>
      <c r="T293" s="2" t="s">
        <v>96</v>
      </c>
      <c r="U293" s="2" t="s">
        <v>97</v>
      </c>
      <c r="V293" s="2" t="s">
        <v>56</v>
      </c>
      <c r="W293" s="2" t="s">
        <v>98</v>
      </c>
      <c r="X293" s="2" t="s">
        <v>99</v>
      </c>
      <c r="Y293" s="2">
        <v>2.9878368503072101</v>
      </c>
      <c r="Z293" s="2">
        <v>2987.8368503072102</v>
      </c>
      <c r="AA293" s="2">
        <v>4.73719444444444</v>
      </c>
      <c r="AB293" s="2">
        <v>-74.069472222222203</v>
      </c>
      <c r="AC293" s="2">
        <v>2555</v>
      </c>
      <c r="AD293" s="2">
        <v>0</v>
      </c>
      <c r="AE293" s="2" t="s">
        <v>59</v>
      </c>
      <c r="AF293" s="2" t="s">
        <v>86</v>
      </c>
      <c r="AG293" s="2" t="s">
        <v>61</v>
      </c>
      <c r="AH293" s="2" t="s">
        <v>62</v>
      </c>
      <c r="AI293" s="2" t="s">
        <v>100</v>
      </c>
      <c r="AJ293" s="2">
        <v>0.65702919784239999</v>
      </c>
      <c r="AK293" s="2">
        <v>5.4755671435270701</v>
      </c>
      <c r="AL293" s="2">
        <v>0.93849137178653297</v>
      </c>
      <c r="AM293" s="2">
        <v>0.16089636884286901</v>
      </c>
      <c r="AN293" s="2">
        <v>3.3641794823045301</v>
      </c>
      <c r="AO293" s="2">
        <v>0.27973505305721202</v>
      </c>
      <c r="AP293" s="2">
        <v>0.27973505305721202</v>
      </c>
      <c r="AQ293" s="2">
        <v>0</v>
      </c>
      <c r="AR293" s="2">
        <v>2</v>
      </c>
      <c r="AS293" s="2">
        <v>0</v>
      </c>
      <c r="AT293" s="2">
        <v>0</v>
      </c>
      <c r="AU293" s="2">
        <v>1</v>
      </c>
      <c r="AV293" s="2">
        <v>28</v>
      </c>
      <c r="AW293" s="2">
        <v>0</v>
      </c>
      <c r="AX293" s="2">
        <v>0</v>
      </c>
      <c r="AY293" s="2">
        <v>15.3</v>
      </c>
      <c r="AZ293" s="2">
        <v>9.8000000000000007</v>
      </c>
      <c r="BA293" s="2">
        <v>29.7</v>
      </c>
      <c r="BB293" s="2">
        <v>564</v>
      </c>
      <c r="BC293" s="2">
        <v>68</v>
      </c>
      <c r="BD293" s="2">
        <v>1.8</v>
      </c>
      <c r="BE293" s="2">
        <v>43</v>
      </c>
      <c r="BF293" s="2">
        <v>25.4</v>
      </c>
      <c r="BG293" s="2">
        <v>162</v>
      </c>
      <c r="BH293" s="2">
        <v>9.1</v>
      </c>
      <c r="BI293" s="2">
        <v>9.1999999999999993</v>
      </c>
      <c r="BJ293" s="2">
        <v>18.3</v>
      </c>
      <c r="BK293" s="2">
        <v>0.34</v>
      </c>
      <c r="BL293" s="2">
        <v>7.3</v>
      </c>
      <c r="BM293" s="2">
        <v>0.9</v>
      </c>
      <c r="BN293" s="2">
        <v>7.5</v>
      </c>
      <c r="BO293" s="2">
        <v>2.9</v>
      </c>
      <c r="BP293" s="2">
        <f t="shared" si="8"/>
        <v>8.4526876981841799</v>
      </c>
      <c r="BQ293" s="2">
        <f t="shared" si="9"/>
        <v>27.644836386630889</v>
      </c>
    </row>
    <row r="294" spans="1:69" x14ac:dyDescent="0.2">
      <c r="A294" s="2" t="s">
        <v>1973</v>
      </c>
      <c r="B294" s="2" t="s">
        <v>47</v>
      </c>
      <c r="C294" s="2" t="s">
        <v>1935</v>
      </c>
      <c r="D294" s="2" t="s">
        <v>49</v>
      </c>
      <c r="E294" s="2" t="s">
        <v>1974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89</v>
      </c>
      <c r="L294" s="6" t="s">
        <v>141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1975</v>
      </c>
      <c r="R294" s="2">
        <v>5750000</v>
      </c>
      <c r="S294" s="2">
        <v>0</v>
      </c>
      <c r="T294" s="2" t="s">
        <v>130</v>
      </c>
      <c r="U294" s="2" t="s">
        <v>131</v>
      </c>
      <c r="V294" s="2" t="s">
        <v>56</v>
      </c>
      <c r="W294" s="2" t="s">
        <v>98</v>
      </c>
      <c r="X294" s="2" t="s">
        <v>132</v>
      </c>
      <c r="Y294" s="2">
        <v>2.01064687198624</v>
      </c>
      <c r="Z294" s="2">
        <v>2010.6468719862401</v>
      </c>
      <c r="AA294" s="2">
        <v>4.7837500000000004</v>
      </c>
      <c r="AB294" s="2">
        <v>-74.044138888888895</v>
      </c>
      <c r="AC294" s="2">
        <v>2580</v>
      </c>
      <c r="AD294" s="2">
        <v>0</v>
      </c>
      <c r="AE294" s="2" t="s">
        <v>133</v>
      </c>
      <c r="AF294" s="2" t="s">
        <v>86</v>
      </c>
      <c r="AG294" s="2" t="s">
        <v>61</v>
      </c>
      <c r="AH294" s="2" t="s">
        <v>62</v>
      </c>
      <c r="AI294" s="2" t="s">
        <v>87</v>
      </c>
      <c r="AJ294" s="2">
        <v>0.334309392108667</v>
      </c>
      <c r="AK294" s="2">
        <v>2.1893938538477902</v>
      </c>
      <c r="AL294" s="2">
        <v>1.82303595677373</v>
      </c>
      <c r="AM294" s="2">
        <v>0.329897278531816</v>
      </c>
      <c r="AN294" s="2">
        <v>3.2040416020644802</v>
      </c>
      <c r="AO294" s="2">
        <v>0.23191970996751901</v>
      </c>
      <c r="AP294" s="2">
        <v>0.23191970996751901</v>
      </c>
      <c r="AQ294" s="2">
        <v>2</v>
      </c>
      <c r="AR294" s="2">
        <v>2</v>
      </c>
      <c r="AS294" s="2">
        <v>0</v>
      </c>
      <c r="AT294" s="2">
        <v>0</v>
      </c>
      <c r="AU294" s="2">
        <v>0</v>
      </c>
      <c r="AV294" s="2">
        <v>14</v>
      </c>
      <c r="AW294" s="2">
        <v>0</v>
      </c>
      <c r="AX294" s="2">
        <v>0</v>
      </c>
      <c r="AY294" s="2">
        <v>15.3</v>
      </c>
      <c r="AZ294" s="2">
        <v>9.8000000000000007</v>
      </c>
      <c r="BA294" s="2">
        <v>29.7</v>
      </c>
      <c r="BB294" s="2">
        <v>564</v>
      </c>
      <c r="BC294" s="2">
        <v>68</v>
      </c>
      <c r="BD294" s="2">
        <v>1.8</v>
      </c>
      <c r="BE294" s="2">
        <v>43</v>
      </c>
      <c r="BF294" s="2">
        <v>25.4</v>
      </c>
      <c r="BG294" s="2">
        <v>162</v>
      </c>
      <c r="BH294" s="2">
        <v>9.1</v>
      </c>
      <c r="BI294" s="2">
        <v>9.1999999999999993</v>
      </c>
      <c r="BJ294" s="2">
        <v>18.3</v>
      </c>
      <c r="BK294" s="2">
        <v>0.34</v>
      </c>
      <c r="BL294" s="2">
        <v>7.3</v>
      </c>
      <c r="BM294" s="2">
        <v>0.9</v>
      </c>
      <c r="BN294" s="2">
        <v>7.5</v>
      </c>
      <c r="BO294" s="2">
        <v>2.9</v>
      </c>
      <c r="BP294" s="2">
        <f t="shared" si="8"/>
        <v>8.8716017933434621</v>
      </c>
      <c r="BQ294" s="2">
        <f t="shared" si="9"/>
        <v>28.300840981855064</v>
      </c>
    </row>
    <row r="295" spans="1:69" x14ac:dyDescent="0.2">
      <c r="A295" s="2" t="s">
        <v>2422</v>
      </c>
      <c r="B295" s="2" t="s">
        <v>47</v>
      </c>
      <c r="C295" s="2" t="s">
        <v>1935</v>
      </c>
      <c r="D295" s="2" t="s">
        <v>49</v>
      </c>
      <c r="E295" s="2" t="s">
        <v>1285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89</v>
      </c>
      <c r="L295" s="6" t="s">
        <v>90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2423</v>
      </c>
      <c r="R295" s="2">
        <v>5416666.6670000004</v>
      </c>
      <c r="S295" s="2">
        <v>0</v>
      </c>
      <c r="T295" s="2" t="s">
        <v>96</v>
      </c>
      <c r="U295" s="2" t="s">
        <v>97</v>
      </c>
      <c r="V295" s="2" t="s">
        <v>56</v>
      </c>
      <c r="W295" s="2" t="s">
        <v>98</v>
      </c>
      <c r="X295" s="2" t="s">
        <v>99</v>
      </c>
      <c r="Y295" s="2">
        <v>2.4450654837747701</v>
      </c>
      <c r="Z295" s="2">
        <v>2445.0654837747702</v>
      </c>
      <c r="AA295" s="2">
        <v>4.73719444444444</v>
      </c>
      <c r="AB295" s="2">
        <v>-74.069472222222203</v>
      </c>
      <c r="AC295" s="2">
        <v>2555</v>
      </c>
      <c r="AD295" s="2">
        <v>0</v>
      </c>
      <c r="AE295" s="2" t="s">
        <v>59</v>
      </c>
      <c r="AF295" s="2" t="s">
        <v>86</v>
      </c>
      <c r="AG295" s="2" t="s">
        <v>61</v>
      </c>
      <c r="AH295" s="2" t="s">
        <v>62</v>
      </c>
      <c r="AI295" s="2" t="s">
        <v>87</v>
      </c>
      <c r="AJ295" s="2">
        <v>0.38360081334685597</v>
      </c>
      <c r="AK295" s="2">
        <v>2.8963954522628401</v>
      </c>
      <c r="AL295" s="2">
        <v>1.03646481615564</v>
      </c>
      <c r="AM295" s="2">
        <v>0.13790681483997999</v>
      </c>
      <c r="AN295" s="2">
        <v>2.3239101287656201</v>
      </c>
      <c r="AO295" s="2">
        <v>0.38109782824758198</v>
      </c>
      <c r="AP295" s="2">
        <v>0.38109782824758198</v>
      </c>
      <c r="AQ295" s="2">
        <v>2</v>
      </c>
      <c r="AR295" s="2">
        <v>4</v>
      </c>
      <c r="AS295" s="2">
        <v>0</v>
      </c>
      <c r="AT295" s="2">
        <v>0</v>
      </c>
      <c r="AU295" s="2">
        <v>0</v>
      </c>
      <c r="AV295" s="2">
        <v>33</v>
      </c>
      <c r="AW295" s="2">
        <v>0</v>
      </c>
      <c r="AX295" s="2">
        <v>0</v>
      </c>
      <c r="AY295" s="2">
        <v>15.3</v>
      </c>
      <c r="AZ295" s="2">
        <v>9.8000000000000007</v>
      </c>
      <c r="BA295" s="2">
        <v>29.7</v>
      </c>
      <c r="BB295" s="2">
        <v>564</v>
      </c>
      <c r="BC295" s="2">
        <v>68</v>
      </c>
      <c r="BD295" s="2">
        <v>1.8</v>
      </c>
      <c r="BE295" s="2">
        <v>43</v>
      </c>
      <c r="BF295" s="2">
        <v>25.4</v>
      </c>
      <c r="BG295" s="2">
        <v>162</v>
      </c>
      <c r="BH295" s="2">
        <v>9.1</v>
      </c>
      <c r="BI295" s="2">
        <v>9.1999999999999993</v>
      </c>
      <c r="BJ295" s="2">
        <v>18.3</v>
      </c>
      <c r="BK295" s="2">
        <v>0.34</v>
      </c>
      <c r="BL295" s="2">
        <v>7.3</v>
      </c>
      <c r="BM295" s="2">
        <v>0.9</v>
      </c>
      <c r="BN295" s="2">
        <v>7.5</v>
      </c>
      <c r="BO295" s="2">
        <v>2.9</v>
      </c>
      <c r="BP295" s="2">
        <f t="shared" si="8"/>
        <v>8.6828658760474831</v>
      </c>
      <c r="BQ295" s="2">
        <f t="shared" si="9"/>
        <v>28.007307946153993</v>
      </c>
    </row>
    <row r="296" spans="1:69" x14ac:dyDescent="0.2">
      <c r="A296" s="2" t="s">
        <v>1965</v>
      </c>
      <c r="B296" s="2" t="s">
        <v>47</v>
      </c>
      <c r="C296" s="2" t="s">
        <v>1935</v>
      </c>
      <c r="D296" s="2" t="s">
        <v>49</v>
      </c>
      <c r="E296" s="2" t="s">
        <v>1966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89</v>
      </c>
      <c r="L296" s="6" t="s">
        <v>141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1967</v>
      </c>
      <c r="R296" s="2">
        <v>5416666.6670000004</v>
      </c>
      <c r="S296" s="2">
        <v>0</v>
      </c>
      <c r="T296" s="2" t="s">
        <v>130</v>
      </c>
      <c r="U296" s="2" t="s">
        <v>131</v>
      </c>
      <c r="V296" s="2" t="s">
        <v>56</v>
      </c>
      <c r="W296" s="2" t="s">
        <v>98</v>
      </c>
      <c r="X296" s="2" t="s">
        <v>132</v>
      </c>
      <c r="Y296" s="2">
        <v>2.2034407729792602</v>
      </c>
      <c r="Z296" s="2">
        <v>2203.4407729792601</v>
      </c>
      <c r="AA296" s="2">
        <v>4.7837500000000004</v>
      </c>
      <c r="AB296" s="2">
        <v>-74.044138888888895</v>
      </c>
      <c r="AC296" s="2">
        <v>2580</v>
      </c>
      <c r="AD296" s="2">
        <v>0</v>
      </c>
      <c r="AE296" s="2" t="s">
        <v>133</v>
      </c>
      <c r="AF296" s="2" t="s">
        <v>86</v>
      </c>
      <c r="AG296" s="2" t="s">
        <v>61</v>
      </c>
      <c r="AH296" s="2" t="s">
        <v>62</v>
      </c>
      <c r="AI296" s="2" t="s">
        <v>87</v>
      </c>
      <c r="AJ296" s="2">
        <v>0.16073400268237301</v>
      </c>
      <c r="AK296" s="2">
        <v>2.2695528138910799</v>
      </c>
      <c r="AL296" s="2">
        <v>1.6406807316577201</v>
      </c>
      <c r="AM296" s="2">
        <v>0.38971855869560701</v>
      </c>
      <c r="AN296" s="2">
        <v>3.0761381571880499</v>
      </c>
      <c r="AO296" s="2">
        <v>0.108083728180966</v>
      </c>
      <c r="AP296" s="2">
        <v>0.108083728180966</v>
      </c>
      <c r="AQ296" s="2">
        <v>1</v>
      </c>
      <c r="AR296" s="2">
        <v>2</v>
      </c>
      <c r="AS296" s="2">
        <v>0</v>
      </c>
      <c r="AT296" s="2">
        <v>0</v>
      </c>
      <c r="AU296" s="2">
        <v>0</v>
      </c>
      <c r="AV296" s="2">
        <v>15</v>
      </c>
      <c r="AW296" s="2">
        <v>0</v>
      </c>
      <c r="AX296" s="2">
        <v>0</v>
      </c>
      <c r="AY296" s="2">
        <v>15.3</v>
      </c>
      <c r="AZ296" s="2">
        <v>9.8000000000000007</v>
      </c>
      <c r="BA296" s="2">
        <v>29.7</v>
      </c>
      <c r="BB296" s="2">
        <v>564</v>
      </c>
      <c r="BC296" s="2">
        <v>68</v>
      </c>
      <c r="BD296" s="2">
        <v>1.8</v>
      </c>
      <c r="BE296" s="2">
        <v>43</v>
      </c>
      <c r="BF296" s="2">
        <v>25.4</v>
      </c>
      <c r="BG296" s="2">
        <v>162</v>
      </c>
      <c r="BH296" s="2">
        <v>9.1</v>
      </c>
      <c r="BI296" s="2">
        <v>9.1999999999999993</v>
      </c>
      <c r="BJ296" s="2">
        <v>18.3</v>
      </c>
      <c r="BK296" s="2">
        <v>0.34</v>
      </c>
      <c r="BL296" s="2">
        <v>7.3</v>
      </c>
      <c r="BM296" s="2">
        <v>0.9</v>
      </c>
      <c r="BN296" s="2">
        <v>7.5</v>
      </c>
      <c r="BO296" s="2">
        <v>2.9</v>
      </c>
      <c r="BP296" s="2">
        <f t="shared" si="8"/>
        <v>8.7873401592652396</v>
      </c>
      <c r="BQ296" s="2">
        <f t="shared" si="9"/>
        <v>28.170193961508826</v>
      </c>
    </row>
    <row r="297" spans="1:69" x14ac:dyDescent="0.2">
      <c r="A297" s="2" t="s">
        <v>3132</v>
      </c>
      <c r="B297" s="2" t="s">
        <v>47</v>
      </c>
      <c r="C297" s="2" t="s">
        <v>1935</v>
      </c>
      <c r="D297" s="2" t="s">
        <v>49</v>
      </c>
      <c r="E297" s="2" t="s">
        <v>2484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89</v>
      </c>
      <c r="L297" s="6" t="s">
        <v>141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3133</v>
      </c>
      <c r="R297" s="2">
        <v>4416666.6670000004</v>
      </c>
      <c r="S297" s="2">
        <v>0</v>
      </c>
      <c r="T297" s="2" t="s">
        <v>96</v>
      </c>
      <c r="U297" s="2" t="s">
        <v>97</v>
      </c>
      <c r="V297" s="2" t="s">
        <v>56</v>
      </c>
      <c r="W297" s="2" t="s">
        <v>98</v>
      </c>
      <c r="X297" s="2" t="s">
        <v>99</v>
      </c>
      <c r="Y297" s="2">
        <v>4.1760616183713903</v>
      </c>
      <c r="Z297" s="2">
        <v>4176.0616183713901</v>
      </c>
      <c r="AA297" s="2">
        <v>4.73719444444444</v>
      </c>
      <c r="AB297" s="2">
        <v>-74.069472222222203</v>
      </c>
      <c r="AC297" s="2">
        <v>2555</v>
      </c>
      <c r="AD297" s="2">
        <v>0</v>
      </c>
      <c r="AE297" s="2" t="s">
        <v>59</v>
      </c>
      <c r="AF297" s="2" t="s">
        <v>86</v>
      </c>
      <c r="AG297" s="2" t="s">
        <v>61</v>
      </c>
      <c r="AH297" s="2" t="s">
        <v>62</v>
      </c>
      <c r="AI297" s="2" t="s">
        <v>391</v>
      </c>
      <c r="AJ297" s="2">
        <v>0.99242686230108801</v>
      </c>
      <c r="AK297" s="2">
        <v>3.7696281824474398</v>
      </c>
      <c r="AL297" s="2">
        <v>1.13468498856231</v>
      </c>
      <c r="AM297" s="2">
        <v>0.27074738645984903</v>
      </c>
      <c r="AN297" s="2">
        <v>2.3528566611820998</v>
      </c>
      <c r="AO297" s="2">
        <v>0.23070869228789601</v>
      </c>
      <c r="AP297" s="2">
        <v>0.23070869228789601</v>
      </c>
      <c r="AQ297" s="2">
        <v>0</v>
      </c>
      <c r="AR297" s="2">
        <v>1</v>
      </c>
      <c r="AS297" s="2">
        <v>0</v>
      </c>
      <c r="AT297" s="2">
        <v>0</v>
      </c>
      <c r="AU297" s="2">
        <v>0</v>
      </c>
      <c r="AV297" s="2">
        <v>8</v>
      </c>
      <c r="AW297" s="2">
        <v>0</v>
      </c>
      <c r="AX297" s="2">
        <v>0</v>
      </c>
      <c r="AY297" s="2">
        <v>15.3</v>
      </c>
      <c r="AZ297" s="2">
        <v>9.8000000000000007</v>
      </c>
      <c r="BA297" s="2">
        <v>29.7</v>
      </c>
      <c r="BB297" s="2">
        <v>564</v>
      </c>
      <c r="BC297" s="2">
        <v>68</v>
      </c>
      <c r="BD297" s="2">
        <v>1.8</v>
      </c>
      <c r="BE297" s="2">
        <v>43</v>
      </c>
      <c r="BF297" s="2">
        <v>25.4</v>
      </c>
      <c r="BG297" s="2">
        <v>162</v>
      </c>
      <c r="BH297" s="2">
        <v>9.1</v>
      </c>
      <c r="BI297" s="2">
        <v>9.1999999999999993</v>
      </c>
      <c r="BJ297" s="2">
        <v>18.3</v>
      </c>
      <c r="BK297" s="2">
        <v>0.34</v>
      </c>
      <c r="BL297" s="2">
        <v>7.3</v>
      </c>
      <c r="BM297" s="2">
        <v>0.9</v>
      </c>
      <c r="BN297" s="2">
        <v>7.5</v>
      </c>
      <c r="BO297" s="2">
        <v>2.9</v>
      </c>
      <c r="BP297" s="2">
        <f t="shared" si="8"/>
        <v>7.9698632580102613</v>
      </c>
      <c r="BQ297" s="2">
        <f t="shared" si="9"/>
        <v>26.867612554495548</v>
      </c>
    </row>
    <row r="298" spans="1:69" x14ac:dyDescent="0.2">
      <c r="A298" s="2" t="s">
        <v>2292</v>
      </c>
      <c r="B298" s="2" t="s">
        <v>47</v>
      </c>
      <c r="C298" s="2" t="s">
        <v>1935</v>
      </c>
      <c r="D298" s="2" t="s">
        <v>49</v>
      </c>
      <c r="E298" s="2" t="s">
        <v>408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89</v>
      </c>
      <c r="L298" s="6" t="s">
        <v>141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2293</v>
      </c>
      <c r="R298" s="2">
        <v>6351694.915</v>
      </c>
      <c r="S298" s="2">
        <v>0</v>
      </c>
      <c r="T298" s="2" t="s">
        <v>96</v>
      </c>
      <c r="U298" s="2" t="s">
        <v>97</v>
      </c>
      <c r="V298" s="2" t="s">
        <v>56</v>
      </c>
      <c r="W298" s="2" t="s">
        <v>98</v>
      </c>
      <c r="X298" s="2" t="s">
        <v>99</v>
      </c>
      <c r="Y298" s="2">
        <v>2.6200431917917801</v>
      </c>
      <c r="Z298" s="2">
        <v>2620.0431917917799</v>
      </c>
      <c r="AA298" s="2">
        <v>4.73719444444444</v>
      </c>
      <c r="AB298" s="2">
        <v>-74.069472222222203</v>
      </c>
      <c r="AC298" s="2">
        <v>2555</v>
      </c>
      <c r="AD298" s="2">
        <v>0</v>
      </c>
      <c r="AE298" s="2" t="s">
        <v>59</v>
      </c>
      <c r="AF298" s="2" t="s">
        <v>86</v>
      </c>
      <c r="AG298" s="2" t="s">
        <v>61</v>
      </c>
      <c r="AH298" s="2" t="s">
        <v>62</v>
      </c>
      <c r="AI298" s="2" t="s">
        <v>87</v>
      </c>
      <c r="AJ298" s="2">
        <v>0.33883393514648402</v>
      </c>
      <c r="AK298" s="2">
        <v>2.8267945772575702</v>
      </c>
      <c r="AL298" s="2">
        <v>0.90399918024954795</v>
      </c>
      <c r="AM298" s="2">
        <v>0.15194905573491599</v>
      </c>
      <c r="AN298" s="2">
        <v>2.6522823867141501</v>
      </c>
      <c r="AO298" s="2">
        <v>0.25809969450908699</v>
      </c>
      <c r="AP298" s="2">
        <v>0.25809969450908699</v>
      </c>
      <c r="AQ298" s="2">
        <v>2</v>
      </c>
      <c r="AR298" s="2">
        <v>3</v>
      </c>
      <c r="AS298" s="2">
        <v>0</v>
      </c>
      <c r="AT298" s="2">
        <v>0</v>
      </c>
      <c r="AU298" s="2">
        <v>1</v>
      </c>
      <c r="AV298" s="2">
        <v>33</v>
      </c>
      <c r="AW298" s="2">
        <v>0</v>
      </c>
      <c r="AX298" s="2">
        <v>0</v>
      </c>
      <c r="AY298" s="2">
        <v>15.3</v>
      </c>
      <c r="AZ298" s="2">
        <v>9.8000000000000007</v>
      </c>
      <c r="BA298" s="2">
        <v>29.7</v>
      </c>
      <c r="BB298" s="2">
        <v>564</v>
      </c>
      <c r="BC298" s="2">
        <v>68</v>
      </c>
      <c r="BD298" s="2">
        <v>1.8</v>
      </c>
      <c r="BE298" s="2">
        <v>43</v>
      </c>
      <c r="BF298" s="2">
        <v>25.4</v>
      </c>
      <c r="BG298" s="2">
        <v>162</v>
      </c>
      <c r="BH298" s="2">
        <v>9.1</v>
      </c>
      <c r="BI298" s="2">
        <v>9.1999999999999993</v>
      </c>
      <c r="BJ298" s="2">
        <v>18.3</v>
      </c>
      <c r="BK298" s="2">
        <v>0.34</v>
      </c>
      <c r="BL298" s="2">
        <v>7.3</v>
      </c>
      <c r="BM298" s="2">
        <v>0.9</v>
      </c>
      <c r="BN298" s="2">
        <v>7.5</v>
      </c>
      <c r="BO298" s="2">
        <v>2.9</v>
      </c>
      <c r="BP298" s="2">
        <f t="shared" si="8"/>
        <v>8.6079848866326536</v>
      </c>
      <c r="BQ298" s="2">
        <f t="shared" si="9"/>
        <v>27.889938853089841</v>
      </c>
    </row>
    <row r="299" spans="1:69" x14ac:dyDescent="0.2">
      <c r="A299" s="2" t="s">
        <v>3161</v>
      </c>
      <c r="B299" s="2" t="s">
        <v>47</v>
      </c>
      <c r="C299" s="2" t="s">
        <v>1935</v>
      </c>
      <c r="D299" s="2" t="s">
        <v>49</v>
      </c>
      <c r="E299" s="2" t="s">
        <v>1966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89</v>
      </c>
      <c r="L299" s="6" t="s">
        <v>90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3162</v>
      </c>
      <c r="R299" s="2">
        <v>5508474.5760000004</v>
      </c>
      <c r="S299" s="2">
        <v>0</v>
      </c>
      <c r="T299" s="2" t="s">
        <v>130</v>
      </c>
      <c r="U299" s="2" t="s">
        <v>131</v>
      </c>
      <c r="V299" s="2" t="s">
        <v>56</v>
      </c>
      <c r="W299" s="2" t="s">
        <v>98</v>
      </c>
      <c r="X299" s="2" t="s">
        <v>132</v>
      </c>
      <c r="Y299" s="2">
        <v>2.0299848573793602</v>
      </c>
      <c r="Z299" s="2">
        <v>2029.9848573793599</v>
      </c>
      <c r="AA299" s="2">
        <v>4.7837500000000004</v>
      </c>
      <c r="AB299" s="2">
        <v>-74.044138888888895</v>
      </c>
      <c r="AC299" s="2">
        <v>2580</v>
      </c>
      <c r="AD299" s="2">
        <v>0</v>
      </c>
      <c r="AE299" s="2" t="s">
        <v>133</v>
      </c>
      <c r="AF299" s="2" t="s">
        <v>86</v>
      </c>
      <c r="AG299" s="2" t="s">
        <v>61</v>
      </c>
      <c r="AH299" s="2" t="s">
        <v>62</v>
      </c>
      <c r="AI299" s="2" t="s">
        <v>87</v>
      </c>
      <c r="AJ299" s="2">
        <v>0.29658875303409798</v>
      </c>
      <c r="AK299" s="2">
        <v>2.2253453084062098</v>
      </c>
      <c r="AL299" s="2">
        <v>1.7840375682427501</v>
      </c>
      <c r="AM299" s="2">
        <v>0.36667851710791899</v>
      </c>
      <c r="AN299" s="2">
        <v>3.2049601440558502</v>
      </c>
      <c r="AO299" s="2">
        <v>0.19271537116677001</v>
      </c>
      <c r="AP299" s="2">
        <v>0.19271537116677001</v>
      </c>
      <c r="AQ299" s="2">
        <v>2</v>
      </c>
      <c r="AR299" s="2">
        <v>2</v>
      </c>
      <c r="AS299" s="2">
        <v>0</v>
      </c>
      <c r="AT299" s="2">
        <v>0</v>
      </c>
      <c r="AU299" s="2">
        <v>0</v>
      </c>
      <c r="AV299" s="2">
        <v>14</v>
      </c>
      <c r="AW299" s="2">
        <v>0</v>
      </c>
      <c r="AX299" s="2">
        <v>0</v>
      </c>
      <c r="AY299" s="2">
        <v>15.3</v>
      </c>
      <c r="AZ299" s="2">
        <v>9.8000000000000007</v>
      </c>
      <c r="BA299" s="2">
        <v>29.7</v>
      </c>
      <c r="BB299" s="2">
        <v>564</v>
      </c>
      <c r="BC299" s="2">
        <v>68</v>
      </c>
      <c r="BD299" s="2">
        <v>1.8</v>
      </c>
      <c r="BE299" s="2">
        <v>43</v>
      </c>
      <c r="BF299" s="2">
        <v>25.4</v>
      </c>
      <c r="BG299" s="2">
        <v>162</v>
      </c>
      <c r="BH299" s="2">
        <v>9.1</v>
      </c>
      <c r="BI299" s="2">
        <v>9.1999999999999993</v>
      </c>
      <c r="BJ299" s="2">
        <v>18.3</v>
      </c>
      <c r="BK299" s="2">
        <v>0.34</v>
      </c>
      <c r="BL299" s="2">
        <v>7.3</v>
      </c>
      <c r="BM299" s="2">
        <v>0.9</v>
      </c>
      <c r="BN299" s="2">
        <v>7.5</v>
      </c>
      <c r="BO299" s="2">
        <v>2.9</v>
      </c>
      <c r="BP299" s="2">
        <f t="shared" si="8"/>
        <v>8.8631136906843064</v>
      </c>
      <c r="BQ299" s="2">
        <f t="shared" si="9"/>
        <v>28.287709279390338</v>
      </c>
    </row>
    <row r="300" spans="1:69" x14ac:dyDescent="0.2">
      <c r="A300" s="2" t="s">
        <v>3006</v>
      </c>
      <c r="B300" s="2" t="s">
        <v>47</v>
      </c>
      <c r="C300" s="2" t="s">
        <v>1935</v>
      </c>
      <c r="D300" s="2" t="s">
        <v>49</v>
      </c>
      <c r="E300" s="2" t="s">
        <v>3007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89</v>
      </c>
      <c r="L300" s="6" t="s">
        <v>141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3008</v>
      </c>
      <c r="R300" s="2">
        <v>5508474.5760000004</v>
      </c>
      <c r="S300" s="2">
        <v>0</v>
      </c>
      <c r="T300" s="2" t="s">
        <v>96</v>
      </c>
      <c r="U300" s="2" t="s">
        <v>97</v>
      </c>
      <c r="V300" s="2" t="s">
        <v>56</v>
      </c>
      <c r="W300" s="2" t="s">
        <v>98</v>
      </c>
      <c r="X300" s="2" t="s">
        <v>99</v>
      </c>
      <c r="Y300" s="2">
        <v>1.1447142229794101</v>
      </c>
      <c r="Z300" s="2">
        <v>1144.7142229794099</v>
      </c>
      <c r="AA300" s="2">
        <v>4.73719444444444</v>
      </c>
      <c r="AB300" s="2">
        <v>-74.069472222222203</v>
      </c>
      <c r="AC300" s="2">
        <v>2555</v>
      </c>
      <c r="AD300" s="2">
        <v>0</v>
      </c>
      <c r="AE300" s="2" t="s">
        <v>59</v>
      </c>
      <c r="AF300" s="2" t="s">
        <v>86</v>
      </c>
      <c r="AG300" s="2" t="s">
        <v>61</v>
      </c>
      <c r="AH300" s="2" t="s">
        <v>62</v>
      </c>
      <c r="AI300" s="2" t="s">
        <v>100</v>
      </c>
      <c r="AJ300" s="2">
        <v>1.9706346571744899</v>
      </c>
      <c r="AK300" s="2">
        <v>5.1767143169101004</v>
      </c>
      <c r="AL300" s="2">
        <v>1.70767111950171</v>
      </c>
      <c r="AM300" s="2">
        <v>0.396652139059054</v>
      </c>
      <c r="AN300" s="2">
        <v>2.0618317623596401</v>
      </c>
      <c r="AO300" s="2">
        <v>2.3037004725308698E-2</v>
      </c>
      <c r="AP300" s="2">
        <v>2.3037004725308698E-2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13</v>
      </c>
      <c r="AW300" s="2">
        <v>0</v>
      </c>
      <c r="AX300" s="2">
        <v>0</v>
      </c>
      <c r="AY300" s="2">
        <v>15.3</v>
      </c>
      <c r="AZ300" s="2">
        <v>9.8000000000000007</v>
      </c>
      <c r="BA300" s="2">
        <v>29.7</v>
      </c>
      <c r="BB300" s="2">
        <v>564</v>
      </c>
      <c r="BC300" s="2">
        <v>68</v>
      </c>
      <c r="BD300" s="2">
        <v>1.8</v>
      </c>
      <c r="BE300" s="2">
        <v>43</v>
      </c>
      <c r="BF300" s="2">
        <v>25.4</v>
      </c>
      <c r="BG300" s="2">
        <v>162</v>
      </c>
      <c r="BH300" s="2">
        <v>9.1</v>
      </c>
      <c r="BI300" s="2">
        <v>9.1999999999999993</v>
      </c>
      <c r="BJ300" s="2">
        <v>18.3</v>
      </c>
      <c r="BK300" s="2">
        <v>0.34</v>
      </c>
      <c r="BL300" s="2">
        <v>7.3</v>
      </c>
      <c r="BM300" s="2">
        <v>0.9</v>
      </c>
      <c r="BN300" s="2">
        <v>7.5</v>
      </c>
      <c r="BO300" s="2">
        <v>2.9</v>
      </c>
      <c r="BP300" s="2">
        <f t="shared" si="8"/>
        <v>9.2601387434430595</v>
      </c>
      <c r="BQ300" s="2">
        <f t="shared" si="9"/>
        <v>28.89515414620378</v>
      </c>
    </row>
    <row r="301" spans="1:69" x14ac:dyDescent="0.2">
      <c r="A301" s="2" t="s">
        <v>1533</v>
      </c>
      <c r="B301" s="2" t="s">
        <v>47</v>
      </c>
      <c r="C301" s="2" t="s">
        <v>48</v>
      </c>
      <c r="D301" s="2" t="s">
        <v>49</v>
      </c>
      <c r="E301" s="2" t="s">
        <v>1534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89</v>
      </c>
      <c r="L301" s="6" t="s">
        <v>141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1535</v>
      </c>
      <c r="R301" s="2">
        <v>4599482.7589999996</v>
      </c>
      <c r="S301" s="2">
        <v>0</v>
      </c>
      <c r="T301" s="2" t="s">
        <v>96</v>
      </c>
      <c r="U301" s="2" t="s">
        <v>97</v>
      </c>
      <c r="V301" s="2" t="s">
        <v>56</v>
      </c>
      <c r="W301" s="2" t="s">
        <v>98</v>
      </c>
      <c r="X301" s="2" t="s">
        <v>99</v>
      </c>
      <c r="Y301" s="2">
        <v>2.6215025194578501</v>
      </c>
      <c r="Z301" s="2">
        <v>2621.5025194578502</v>
      </c>
      <c r="AA301" s="2">
        <v>4.73719444444444</v>
      </c>
      <c r="AB301" s="2">
        <v>-74.069472222222203</v>
      </c>
      <c r="AC301" s="2">
        <v>2555</v>
      </c>
      <c r="AD301" s="2">
        <v>0</v>
      </c>
      <c r="AE301" s="2" t="s">
        <v>59</v>
      </c>
      <c r="AF301" s="2" t="s">
        <v>86</v>
      </c>
      <c r="AG301" s="2" t="s">
        <v>61</v>
      </c>
      <c r="AH301" s="2" t="s">
        <v>62</v>
      </c>
      <c r="AI301" s="2" t="s">
        <v>87</v>
      </c>
      <c r="AJ301" s="2">
        <v>0.36980783550565099</v>
      </c>
      <c r="AK301" s="2">
        <v>2.7528782488691901</v>
      </c>
      <c r="AL301" s="2">
        <v>0.96842515941479101</v>
      </c>
      <c r="AM301" s="2">
        <v>0.118392698893408</v>
      </c>
      <c r="AN301" s="2">
        <v>2.1435840397430499</v>
      </c>
      <c r="AO301" s="2">
        <v>0.237288210494605</v>
      </c>
      <c r="AP301" s="2">
        <v>0.237288210494605</v>
      </c>
      <c r="AQ301" s="2">
        <v>1</v>
      </c>
      <c r="AR301" s="2">
        <v>3</v>
      </c>
      <c r="AS301" s="2">
        <v>0</v>
      </c>
      <c r="AT301" s="2">
        <v>0</v>
      </c>
      <c r="AU301" s="2">
        <v>1</v>
      </c>
      <c r="AV301" s="2">
        <v>30</v>
      </c>
      <c r="AW301" s="2">
        <v>0</v>
      </c>
      <c r="AX301" s="2">
        <v>0</v>
      </c>
      <c r="AY301" s="2">
        <v>15.3</v>
      </c>
      <c r="AZ301" s="2">
        <v>9.8000000000000007</v>
      </c>
      <c r="BA301" s="2">
        <v>29.7</v>
      </c>
      <c r="BB301" s="2">
        <v>564</v>
      </c>
      <c r="BC301" s="2">
        <v>68</v>
      </c>
      <c r="BD301" s="2">
        <v>1.8</v>
      </c>
      <c r="BE301" s="2">
        <v>43</v>
      </c>
      <c r="BF301" s="2">
        <v>25.4</v>
      </c>
      <c r="BG301" s="2">
        <v>162</v>
      </c>
      <c r="BH301" s="2">
        <v>9.1</v>
      </c>
      <c r="BI301" s="2">
        <v>9.1999999999999993</v>
      </c>
      <c r="BJ301" s="2">
        <v>18.3</v>
      </c>
      <c r="BK301" s="2">
        <v>0.34</v>
      </c>
      <c r="BL301" s="2">
        <v>7.3</v>
      </c>
      <c r="BM301" s="2">
        <v>0.9</v>
      </c>
      <c r="BN301" s="2">
        <v>7.5</v>
      </c>
      <c r="BO301" s="2">
        <v>2.9</v>
      </c>
      <c r="BP301" s="2">
        <f t="shared" si="8"/>
        <v>8.6073630965015031</v>
      </c>
      <c r="BQ301" s="2">
        <f t="shared" si="9"/>
        <v>27.888962056770573</v>
      </c>
    </row>
    <row r="302" spans="1:69" x14ac:dyDescent="0.2">
      <c r="A302" s="2" t="s">
        <v>1284</v>
      </c>
      <c r="B302" s="2" t="s">
        <v>47</v>
      </c>
      <c r="C302" s="2" t="s">
        <v>48</v>
      </c>
      <c r="D302" s="2" t="s">
        <v>49</v>
      </c>
      <c r="E302" s="2" t="s">
        <v>1285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89</v>
      </c>
      <c r="L302" s="6" t="s">
        <v>141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1286</v>
      </c>
      <c r="R302" s="2">
        <v>4599482.7589999996</v>
      </c>
      <c r="S302" s="2">
        <v>0</v>
      </c>
      <c r="T302" s="2" t="s">
        <v>96</v>
      </c>
      <c r="U302" s="2" t="s">
        <v>97</v>
      </c>
      <c r="V302" s="2" t="s">
        <v>56</v>
      </c>
      <c r="W302" s="2" t="s">
        <v>98</v>
      </c>
      <c r="X302" s="2" t="s">
        <v>99</v>
      </c>
      <c r="Y302" s="2">
        <v>2.6156836584365499</v>
      </c>
      <c r="Z302" s="2">
        <v>2615.6836584365501</v>
      </c>
      <c r="AA302" s="2">
        <v>4.73719444444444</v>
      </c>
      <c r="AB302" s="2">
        <v>-74.069472222222203</v>
      </c>
      <c r="AC302" s="2">
        <v>2555</v>
      </c>
      <c r="AD302" s="2">
        <v>0</v>
      </c>
      <c r="AE302" s="2" t="s">
        <v>59</v>
      </c>
      <c r="AF302" s="2" t="s">
        <v>86</v>
      </c>
      <c r="AG302" s="2" t="s">
        <v>61</v>
      </c>
      <c r="AH302" s="2" t="s">
        <v>62</v>
      </c>
      <c r="AI302" s="2" t="s">
        <v>87</v>
      </c>
      <c r="AJ302" s="2">
        <v>0.35805475857730901</v>
      </c>
      <c r="AK302" s="2">
        <v>2.7619380093851502</v>
      </c>
      <c r="AL302" s="2">
        <v>0.98008029969992405</v>
      </c>
      <c r="AM302" s="2">
        <v>0.10923603980194201</v>
      </c>
      <c r="AN302" s="2">
        <v>2.1491690114145801</v>
      </c>
      <c r="AO302" s="2">
        <v>0.22870688360819699</v>
      </c>
      <c r="AP302" s="2">
        <v>0.22870688360819699</v>
      </c>
      <c r="AQ302" s="2">
        <v>1</v>
      </c>
      <c r="AR302" s="2">
        <v>3</v>
      </c>
      <c r="AS302" s="2">
        <v>0</v>
      </c>
      <c r="AT302" s="2">
        <v>0</v>
      </c>
      <c r="AU302" s="2">
        <v>1</v>
      </c>
      <c r="AV302" s="2">
        <v>29</v>
      </c>
      <c r="AW302" s="2">
        <v>0</v>
      </c>
      <c r="AX302" s="2">
        <v>0</v>
      </c>
      <c r="AY302" s="2">
        <v>15.3</v>
      </c>
      <c r="AZ302" s="2">
        <v>9.8000000000000007</v>
      </c>
      <c r="BA302" s="2">
        <v>29.7</v>
      </c>
      <c r="BB302" s="2">
        <v>564</v>
      </c>
      <c r="BC302" s="2">
        <v>68</v>
      </c>
      <c r="BD302" s="2">
        <v>1.8</v>
      </c>
      <c r="BE302" s="2">
        <v>43</v>
      </c>
      <c r="BF302" s="2">
        <v>25.4</v>
      </c>
      <c r="BG302" s="2">
        <v>162</v>
      </c>
      <c r="BH302" s="2">
        <v>9.1</v>
      </c>
      <c r="BI302" s="2">
        <v>9.1999999999999993</v>
      </c>
      <c r="BJ302" s="2">
        <v>18.3</v>
      </c>
      <c r="BK302" s="2">
        <v>0.34</v>
      </c>
      <c r="BL302" s="2">
        <v>7.3</v>
      </c>
      <c r="BM302" s="2">
        <v>0.9</v>
      </c>
      <c r="BN302" s="2">
        <v>7.5</v>
      </c>
      <c r="BO302" s="2">
        <v>2.9</v>
      </c>
      <c r="BP302" s="2">
        <f t="shared" si="8"/>
        <v>8.6098426635398067</v>
      </c>
      <c r="BQ302" s="2">
        <f t="shared" si="9"/>
        <v>27.892857096602267</v>
      </c>
    </row>
    <row r="303" spans="1:69" x14ac:dyDescent="0.2">
      <c r="A303" s="2" t="s">
        <v>325</v>
      </c>
      <c r="B303" s="2" t="s">
        <v>47</v>
      </c>
      <c r="C303" s="2" t="s">
        <v>48</v>
      </c>
      <c r="D303" s="2" t="s">
        <v>49</v>
      </c>
      <c r="E303" s="2" t="s">
        <v>256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89</v>
      </c>
      <c r="L303" s="6" t="s">
        <v>141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326</v>
      </c>
      <c r="R303" s="2">
        <v>8695652.1740000006</v>
      </c>
      <c r="S303" s="2">
        <v>0</v>
      </c>
      <c r="T303" s="2" t="s">
        <v>96</v>
      </c>
      <c r="U303" s="2" t="s">
        <v>97</v>
      </c>
      <c r="V303" s="2" t="s">
        <v>56</v>
      </c>
      <c r="W303" s="2" t="s">
        <v>98</v>
      </c>
      <c r="X303" s="2" t="s">
        <v>99</v>
      </c>
      <c r="Y303" s="2">
        <v>1.54361951533374</v>
      </c>
      <c r="Z303" s="2">
        <v>1543.6195153337401</v>
      </c>
      <c r="AA303" s="2">
        <v>4.73719444444444</v>
      </c>
      <c r="AB303" s="2">
        <v>-74.069472222222203</v>
      </c>
      <c r="AC303" s="2">
        <v>2555</v>
      </c>
      <c r="AD303" s="2">
        <v>0</v>
      </c>
      <c r="AE303" s="2" t="s">
        <v>59</v>
      </c>
      <c r="AF303" s="2" t="s">
        <v>86</v>
      </c>
      <c r="AG303" s="2" t="s">
        <v>61</v>
      </c>
      <c r="AH303" s="2" t="s">
        <v>62</v>
      </c>
      <c r="AI303" s="2" t="s">
        <v>100</v>
      </c>
      <c r="AJ303" s="2">
        <v>1.14051117039386</v>
      </c>
      <c r="AK303" s="2">
        <v>4.6018336875181598</v>
      </c>
      <c r="AL303" s="2">
        <v>1.0861031008080599</v>
      </c>
      <c r="AM303" s="2">
        <v>9.0071917249842801E-2</v>
      </c>
      <c r="AN303" s="2">
        <v>2.9680567650734102</v>
      </c>
      <c r="AO303" s="2">
        <v>0.469945526055288</v>
      </c>
      <c r="AP303" s="2">
        <v>0.469945526055288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30</v>
      </c>
      <c r="AW303" s="2">
        <v>0</v>
      </c>
      <c r="AX303" s="2">
        <v>0</v>
      </c>
      <c r="AY303" s="2">
        <v>15.3</v>
      </c>
      <c r="AZ303" s="2">
        <v>9.8000000000000007</v>
      </c>
      <c r="BA303" s="2">
        <v>29.7</v>
      </c>
      <c r="BB303" s="2">
        <v>564</v>
      </c>
      <c r="BC303" s="2">
        <v>68</v>
      </c>
      <c r="BD303" s="2">
        <v>1.8</v>
      </c>
      <c r="BE303" s="2">
        <v>43</v>
      </c>
      <c r="BF303" s="2">
        <v>25.4</v>
      </c>
      <c r="BG303" s="2">
        <v>162</v>
      </c>
      <c r="BH303" s="2">
        <v>9.1</v>
      </c>
      <c r="BI303" s="2">
        <v>9.1999999999999993</v>
      </c>
      <c r="BJ303" s="2">
        <v>18.3</v>
      </c>
      <c r="BK303" s="2">
        <v>0.34</v>
      </c>
      <c r="BL303" s="2">
        <v>7.3</v>
      </c>
      <c r="BM303" s="2">
        <v>0.9</v>
      </c>
      <c r="BN303" s="2">
        <v>7.5</v>
      </c>
      <c r="BO303" s="2">
        <v>2.9</v>
      </c>
      <c r="BP303" s="2">
        <f t="shared" si="8"/>
        <v>9.0790832119392562</v>
      </c>
      <c r="BQ303" s="2">
        <f t="shared" si="9"/>
        <v>28.619839823247382</v>
      </c>
    </row>
    <row r="304" spans="1:69" x14ac:dyDescent="0.2">
      <c r="A304" s="2" t="s">
        <v>796</v>
      </c>
      <c r="B304" s="2" t="s">
        <v>47</v>
      </c>
      <c r="C304" s="2" t="s">
        <v>48</v>
      </c>
      <c r="D304" s="2" t="s">
        <v>49</v>
      </c>
      <c r="E304" s="2" t="s">
        <v>797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89</v>
      </c>
      <c r="L304" s="6" t="s">
        <v>94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798</v>
      </c>
      <c r="R304" s="2">
        <v>6000000</v>
      </c>
      <c r="S304" s="2">
        <v>0</v>
      </c>
      <c r="T304" s="2" t="s">
        <v>96</v>
      </c>
      <c r="U304" s="2" t="s">
        <v>97</v>
      </c>
      <c r="V304" s="2" t="s">
        <v>56</v>
      </c>
      <c r="W304" s="2" t="s">
        <v>98</v>
      </c>
      <c r="X304" s="2" t="s">
        <v>99</v>
      </c>
      <c r="Y304" s="2">
        <v>1.2650174318977201</v>
      </c>
      <c r="Z304" s="2">
        <v>1265.0174318977199</v>
      </c>
      <c r="AA304" s="2">
        <v>4.73719444444444</v>
      </c>
      <c r="AB304" s="2">
        <v>-74.069472222222203</v>
      </c>
      <c r="AC304" s="2">
        <v>2555</v>
      </c>
      <c r="AD304" s="2">
        <v>0</v>
      </c>
      <c r="AE304" s="2" t="s">
        <v>59</v>
      </c>
      <c r="AF304" s="2" t="s">
        <v>86</v>
      </c>
      <c r="AG304" s="2" t="s">
        <v>61</v>
      </c>
      <c r="AH304" s="2" t="s">
        <v>62</v>
      </c>
      <c r="AI304" s="2" t="s">
        <v>100</v>
      </c>
      <c r="AJ304" s="2">
        <v>1.2813055566457301</v>
      </c>
      <c r="AK304" s="2">
        <v>4.4803360270147197</v>
      </c>
      <c r="AL304" s="2">
        <v>1.50985887116645</v>
      </c>
      <c r="AM304" s="2">
        <v>0.19279153344238001</v>
      </c>
      <c r="AN304" s="2">
        <v>2.88361846238924</v>
      </c>
      <c r="AO304" s="2">
        <v>0.31225498812343999</v>
      </c>
      <c r="AP304" s="2">
        <v>0.31225498812343999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18</v>
      </c>
      <c r="AW304" s="2">
        <v>0</v>
      </c>
      <c r="AX304" s="2">
        <v>0</v>
      </c>
      <c r="AY304" s="2">
        <v>15.3</v>
      </c>
      <c r="AZ304" s="2">
        <v>9.8000000000000007</v>
      </c>
      <c r="BA304" s="2">
        <v>29.7</v>
      </c>
      <c r="BB304" s="2">
        <v>564</v>
      </c>
      <c r="BC304" s="2">
        <v>68</v>
      </c>
      <c r="BD304" s="2">
        <v>1.8</v>
      </c>
      <c r="BE304" s="2">
        <v>43</v>
      </c>
      <c r="BF304" s="2">
        <v>25.4</v>
      </c>
      <c r="BG304" s="2">
        <v>162</v>
      </c>
      <c r="BH304" s="2">
        <v>9.1</v>
      </c>
      <c r="BI304" s="2">
        <v>9.1999999999999993</v>
      </c>
      <c r="BJ304" s="2">
        <v>18.3</v>
      </c>
      <c r="BK304" s="2">
        <v>0.34</v>
      </c>
      <c r="BL304" s="2">
        <v>7.3</v>
      </c>
      <c r="BM304" s="2">
        <v>0.9</v>
      </c>
      <c r="BN304" s="2">
        <v>7.5</v>
      </c>
      <c r="BO304" s="2">
        <v>2.9</v>
      </c>
      <c r="BP304" s="2">
        <f t="shared" si="8"/>
        <v>9.2051584020389008</v>
      </c>
      <c r="BQ304" s="2">
        <f t="shared" si="9"/>
        <v>28.811846156316296</v>
      </c>
    </row>
    <row r="305" spans="1:69" x14ac:dyDescent="0.2">
      <c r="A305" s="2" t="s">
        <v>470</v>
      </c>
      <c r="B305" s="2" t="s">
        <v>47</v>
      </c>
      <c r="C305" s="2" t="s">
        <v>48</v>
      </c>
      <c r="D305" s="2" t="s">
        <v>49</v>
      </c>
      <c r="E305" s="2" t="s">
        <v>471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89</v>
      </c>
      <c r="L305" s="6" t="s">
        <v>141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472</v>
      </c>
      <c r="R305" s="2">
        <v>5217391.3039999995</v>
      </c>
      <c r="S305" s="2">
        <v>0</v>
      </c>
      <c r="T305" s="2" t="s">
        <v>96</v>
      </c>
      <c r="U305" s="2" t="s">
        <v>97</v>
      </c>
      <c r="V305" s="2" t="s">
        <v>56</v>
      </c>
      <c r="W305" s="2" t="s">
        <v>98</v>
      </c>
      <c r="X305" s="2" t="s">
        <v>99</v>
      </c>
      <c r="Y305" s="2">
        <v>2.1030866061918498</v>
      </c>
      <c r="Z305" s="2">
        <v>2103.08660619185</v>
      </c>
      <c r="AA305" s="2">
        <v>4.73719444444444</v>
      </c>
      <c r="AB305" s="2">
        <v>-74.069472222222203</v>
      </c>
      <c r="AC305" s="2">
        <v>2555</v>
      </c>
      <c r="AD305" s="2">
        <v>0</v>
      </c>
      <c r="AE305" s="2" t="s">
        <v>59</v>
      </c>
      <c r="AF305" s="2" t="s">
        <v>86</v>
      </c>
      <c r="AG305" s="2" t="s">
        <v>61</v>
      </c>
      <c r="AH305" s="2" t="s">
        <v>62</v>
      </c>
      <c r="AI305" s="2" t="s">
        <v>100</v>
      </c>
      <c r="AJ305" s="2">
        <v>0.52050816749897399</v>
      </c>
      <c r="AK305" s="2">
        <v>5.1761518074012098</v>
      </c>
      <c r="AL305" s="2">
        <v>0.173048897326393</v>
      </c>
      <c r="AM305" s="2">
        <v>3.65518872618169E-2</v>
      </c>
      <c r="AN305" s="2">
        <v>3.0001772002194702</v>
      </c>
      <c r="AO305" s="2">
        <v>5.9970801025897399E-2</v>
      </c>
      <c r="AP305" s="2">
        <v>5.9970801025897399E-2</v>
      </c>
      <c r="AQ305" s="2">
        <v>0</v>
      </c>
      <c r="AR305" s="2">
        <v>2</v>
      </c>
      <c r="AS305" s="2">
        <v>0</v>
      </c>
      <c r="AT305" s="2">
        <v>0</v>
      </c>
      <c r="AU305" s="2">
        <v>1</v>
      </c>
      <c r="AV305" s="2">
        <v>37</v>
      </c>
      <c r="AW305" s="2">
        <v>0</v>
      </c>
      <c r="AX305" s="2">
        <v>0</v>
      </c>
      <c r="AY305" s="2">
        <v>15.3</v>
      </c>
      <c r="AZ305" s="2">
        <v>9.8000000000000007</v>
      </c>
      <c r="BA305" s="2">
        <v>29.7</v>
      </c>
      <c r="BB305" s="2">
        <v>564</v>
      </c>
      <c r="BC305" s="2">
        <v>68</v>
      </c>
      <c r="BD305" s="2">
        <v>1.8</v>
      </c>
      <c r="BE305" s="2">
        <v>43</v>
      </c>
      <c r="BF305" s="2">
        <v>25.4</v>
      </c>
      <c r="BG305" s="2">
        <v>162</v>
      </c>
      <c r="BH305" s="2">
        <v>9.1</v>
      </c>
      <c r="BI305" s="2">
        <v>9.1999999999999993</v>
      </c>
      <c r="BJ305" s="2">
        <v>18.3</v>
      </c>
      <c r="BK305" s="2">
        <v>0.34</v>
      </c>
      <c r="BL305" s="2">
        <v>7.3</v>
      </c>
      <c r="BM305" s="2">
        <v>0.9</v>
      </c>
      <c r="BN305" s="2">
        <v>7.5</v>
      </c>
      <c r="BO305" s="2">
        <v>2.9</v>
      </c>
      <c r="BP305" s="2">
        <f t="shared" si="8"/>
        <v>8.8311001457271274</v>
      </c>
      <c r="BQ305" s="2">
        <f t="shared" si="9"/>
        <v>28.238123645230861</v>
      </c>
    </row>
    <row r="306" spans="1:69" x14ac:dyDescent="0.2">
      <c r="A306" s="2" t="s">
        <v>2069</v>
      </c>
      <c r="B306" s="2" t="s">
        <v>47</v>
      </c>
      <c r="C306" s="2" t="s">
        <v>1935</v>
      </c>
      <c r="D306" s="2" t="s">
        <v>49</v>
      </c>
      <c r="E306" s="2" t="s">
        <v>524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89</v>
      </c>
      <c r="L306" s="6" t="s">
        <v>103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2070</v>
      </c>
      <c r="R306" s="2">
        <v>5526315.7889999999</v>
      </c>
      <c r="S306" s="2">
        <v>0</v>
      </c>
      <c r="T306" s="2" t="s">
        <v>96</v>
      </c>
      <c r="U306" s="2" t="s">
        <v>97</v>
      </c>
      <c r="V306" s="2" t="s">
        <v>56</v>
      </c>
      <c r="W306" s="2" t="s">
        <v>98</v>
      </c>
      <c r="X306" s="2" t="s">
        <v>99</v>
      </c>
      <c r="Y306" s="2">
        <v>1.0753492459899401</v>
      </c>
      <c r="Z306" s="2">
        <v>1075.3492459899401</v>
      </c>
      <c r="AA306" s="2">
        <v>4.73719444444444</v>
      </c>
      <c r="AB306" s="2">
        <v>-74.069472222222203</v>
      </c>
      <c r="AC306" s="2">
        <v>2555</v>
      </c>
      <c r="AD306" s="2">
        <v>0</v>
      </c>
      <c r="AE306" s="2" t="s">
        <v>59</v>
      </c>
      <c r="AF306" s="2" t="s">
        <v>86</v>
      </c>
      <c r="AG306" s="2" t="s">
        <v>61</v>
      </c>
      <c r="AH306" s="2" t="s">
        <v>62</v>
      </c>
      <c r="AI306" s="2" t="s">
        <v>100</v>
      </c>
      <c r="AJ306" s="2">
        <v>1.2334038097323099</v>
      </c>
      <c r="AK306" s="2">
        <v>4.2341997985238304</v>
      </c>
      <c r="AL306" s="2">
        <v>1.8364402929513</v>
      </c>
      <c r="AM306" s="2">
        <v>0.36600147581884701</v>
      </c>
      <c r="AN306" s="2">
        <v>2.85179949518063</v>
      </c>
      <c r="AO306" s="2">
        <v>0.207304118128393</v>
      </c>
      <c r="AP306" s="2">
        <v>0.207304118128393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12</v>
      </c>
      <c r="AW306" s="2">
        <v>0</v>
      </c>
      <c r="AX306" s="2">
        <v>0</v>
      </c>
      <c r="AY306" s="2">
        <v>15.3</v>
      </c>
      <c r="AZ306" s="2">
        <v>9.8000000000000007</v>
      </c>
      <c r="BA306" s="2">
        <v>29.7</v>
      </c>
      <c r="BB306" s="2">
        <v>564</v>
      </c>
      <c r="BC306" s="2">
        <v>68</v>
      </c>
      <c r="BD306" s="2">
        <v>1.8</v>
      </c>
      <c r="BE306" s="2">
        <v>43</v>
      </c>
      <c r="BF306" s="2">
        <v>25.4</v>
      </c>
      <c r="BG306" s="2">
        <v>162</v>
      </c>
      <c r="BH306" s="2">
        <v>9.1</v>
      </c>
      <c r="BI306" s="2">
        <v>9.1999999999999993</v>
      </c>
      <c r="BJ306" s="2">
        <v>18.3</v>
      </c>
      <c r="BK306" s="2">
        <v>0.34</v>
      </c>
      <c r="BL306" s="2">
        <v>7.3</v>
      </c>
      <c r="BM306" s="2">
        <v>0.9</v>
      </c>
      <c r="BN306" s="2">
        <v>7.5</v>
      </c>
      <c r="BO306" s="2">
        <v>2.9</v>
      </c>
      <c r="BP306" s="2">
        <f t="shared" si="8"/>
        <v>9.2919886924964583</v>
      </c>
      <c r="BQ306" s="2">
        <f t="shared" si="9"/>
        <v>28.943297689653342</v>
      </c>
    </row>
    <row r="307" spans="1:69" x14ac:dyDescent="0.2">
      <c r="A307" s="2" t="s">
        <v>2174</v>
      </c>
      <c r="B307" s="2" t="s">
        <v>47</v>
      </c>
      <c r="C307" s="2" t="s">
        <v>1935</v>
      </c>
      <c r="D307" s="2" t="s">
        <v>49</v>
      </c>
      <c r="E307" s="2" t="s">
        <v>1336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89</v>
      </c>
      <c r="L307" s="6" t="s">
        <v>103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2175</v>
      </c>
      <c r="R307" s="2">
        <v>6071428.5710000005</v>
      </c>
      <c r="S307" s="2">
        <v>0</v>
      </c>
      <c r="T307" s="2" t="s">
        <v>130</v>
      </c>
      <c r="U307" s="2" t="s">
        <v>131</v>
      </c>
      <c r="V307" s="2" t="s">
        <v>56</v>
      </c>
      <c r="W307" s="2" t="s">
        <v>98</v>
      </c>
      <c r="X307" s="2" t="s">
        <v>132</v>
      </c>
      <c r="Y307" s="2">
        <v>2.33812309624077</v>
      </c>
      <c r="Z307" s="2">
        <v>2338.1230962407699</v>
      </c>
      <c r="AA307" s="2">
        <v>4.7837500000000004</v>
      </c>
      <c r="AB307" s="2">
        <v>-74.044138888888895</v>
      </c>
      <c r="AC307" s="2">
        <v>2580</v>
      </c>
      <c r="AD307" s="2">
        <v>0</v>
      </c>
      <c r="AE307" s="2" t="s">
        <v>133</v>
      </c>
      <c r="AF307" s="2" t="s">
        <v>86</v>
      </c>
      <c r="AG307" s="2" t="s">
        <v>61</v>
      </c>
      <c r="AH307" s="2" t="s">
        <v>62</v>
      </c>
      <c r="AI307" s="2" t="s">
        <v>100</v>
      </c>
      <c r="AJ307" s="2">
        <v>0.49626211353866501</v>
      </c>
      <c r="AK307" s="2">
        <v>2.9139163674428401</v>
      </c>
      <c r="AL307" s="2">
        <v>1.2079071586039301</v>
      </c>
      <c r="AM307" s="2">
        <v>0.25527909122923997</v>
      </c>
      <c r="AN307" s="2">
        <v>3.4397675925767199</v>
      </c>
      <c r="AO307" s="2">
        <v>4.38584846815454E-2</v>
      </c>
      <c r="AP307" s="2">
        <v>4.38584846815454E-2</v>
      </c>
      <c r="AQ307" s="2">
        <v>1</v>
      </c>
      <c r="AR307" s="2">
        <v>2</v>
      </c>
      <c r="AS307" s="2">
        <v>0</v>
      </c>
      <c r="AT307" s="2">
        <v>0</v>
      </c>
      <c r="AU307" s="2">
        <v>0</v>
      </c>
      <c r="AV307" s="2">
        <v>16</v>
      </c>
      <c r="AW307" s="2">
        <v>0</v>
      </c>
      <c r="AX307" s="2">
        <v>0</v>
      </c>
      <c r="AY307" s="2">
        <v>15.3</v>
      </c>
      <c r="AZ307" s="2">
        <v>9.8000000000000007</v>
      </c>
      <c r="BA307" s="2">
        <v>29.7</v>
      </c>
      <c r="BB307" s="2">
        <v>564</v>
      </c>
      <c r="BC307" s="2">
        <v>68</v>
      </c>
      <c r="BD307" s="2">
        <v>1.8</v>
      </c>
      <c r="BE307" s="2">
        <v>43</v>
      </c>
      <c r="BF307" s="2">
        <v>25.4</v>
      </c>
      <c r="BG307" s="2">
        <v>162</v>
      </c>
      <c r="BH307" s="2">
        <v>9.1</v>
      </c>
      <c r="BI307" s="2">
        <v>9.1999999999999993</v>
      </c>
      <c r="BJ307" s="2">
        <v>18.3</v>
      </c>
      <c r="BK307" s="2">
        <v>0.34</v>
      </c>
      <c r="BL307" s="2">
        <v>7.3</v>
      </c>
      <c r="BM307" s="2">
        <v>0.9</v>
      </c>
      <c r="BN307" s="2">
        <v>7.5</v>
      </c>
      <c r="BO307" s="2">
        <v>2.9</v>
      </c>
      <c r="BP307" s="2">
        <f t="shared" si="8"/>
        <v>8.7289517868930115</v>
      </c>
      <c r="BQ307" s="2">
        <f t="shared" si="9"/>
        <v>28.079284315663323</v>
      </c>
    </row>
    <row r="308" spans="1:69" x14ac:dyDescent="0.2">
      <c r="A308" s="2" t="s">
        <v>3212</v>
      </c>
      <c r="B308" s="2" t="s">
        <v>47</v>
      </c>
      <c r="C308" s="2" t="s">
        <v>1935</v>
      </c>
      <c r="D308" s="2" t="s">
        <v>49</v>
      </c>
      <c r="E308" s="2" t="s">
        <v>1435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89</v>
      </c>
      <c r="L308" s="6" t="s">
        <v>141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3213</v>
      </c>
      <c r="R308" s="2">
        <v>4181818.182</v>
      </c>
      <c r="S308" s="2">
        <v>0</v>
      </c>
      <c r="T308" s="2" t="s">
        <v>130</v>
      </c>
      <c r="U308" s="2" t="s">
        <v>131</v>
      </c>
      <c r="V308" s="2" t="s">
        <v>56</v>
      </c>
      <c r="W308" s="2" t="s">
        <v>98</v>
      </c>
      <c r="X308" s="2" t="s">
        <v>132</v>
      </c>
      <c r="Y308" s="2">
        <v>2.16534909931468</v>
      </c>
      <c r="Z308" s="2">
        <v>2165.3490993146802</v>
      </c>
      <c r="AA308" s="2">
        <v>4.7837500000000004</v>
      </c>
      <c r="AB308" s="2">
        <v>-74.044138888888895</v>
      </c>
      <c r="AC308" s="2">
        <v>2580</v>
      </c>
      <c r="AD308" s="2">
        <v>0</v>
      </c>
      <c r="AE308" s="2" t="s">
        <v>133</v>
      </c>
      <c r="AF308" s="2" t="s">
        <v>86</v>
      </c>
      <c r="AG308" s="2" t="s">
        <v>61</v>
      </c>
      <c r="AH308" s="2" t="s">
        <v>62</v>
      </c>
      <c r="AI308" s="2" t="s">
        <v>100</v>
      </c>
      <c r="AJ308" s="2">
        <v>0.68260376475046103</v>
      </c>
      <c r="AK308" s="2">
        <v>3.0399085384631599</v>
      </c>
      <c r="AL308" s="2">
        <v>1.3637219423884701</v>
      </c>
      <c r="AM308" s="2">
        <v>0.451246149521281</v>
      </c>
      <c r="AN308" s="2">
        <v>3.7024441411750599</v>
      </c>
      <c r="AO308" s="2">
        <v>0.15149722617855199</v>
      </c>
      <c r="AP308" s="2">
        <v>0.15149722617855199</v>
      </c>
      <c r="AQ308" s="2">
        <v>0</v>
      </c>
      <c r="AR308" s="2">
        <v>2</v>
      </c>
      <c r="AS308" s="2">
        <v>0</v>
      </c>
      <c r="AT308" s="2">
        <v>0</v>
      </c>
      <c r="AU308" s="2">
        <v>0</v>
      </c>
      <c r="AV308" s="2">
        <v>14</v>
      </c>
      <c r="AW308" s="2">
        <v>0</v>
      </c>
      <c r="AX308" s="2">
        <v>0</v>
      </c>
      <c r="AY308" s="2">
        <v>15.3</v>
      </c>
      <c r="AZ308" s="2">
        <v>9.8000000000000007</v>
      </c>
      <c r="BA308" s="2">
        <v>29.7</v>
      </c>
      <c r="BB308" s="2">
        <v>564</v>
      </c>
      <c r="BC308" s="2">
        <v>68</v>
      </c>
      <c r="BD308" s="2">
        <v>1.8</v>
      </c>
      <c r="BE308" s="2">
        <v>43</v>
      </c>
      <c r="BF308" s="2">
        <v>25.4</v>
      </c>
      <c r="BG308" s="2">
        <v>162</v>
      </c>
      <c r="BH308" s="2">
        <v>9.1</v>
      </c>
      <c r="BI308" s="2">
        <v>9.1999999999999993</v>
      </c>
      <c r="BJ308" s="2">
        <v>18.3</v>
      </c>
      <c r="BK308" s="2">
        <v>0.34</v>
      </c>
      <c r="BL308" s="2">
        <v>7.3</v>
      </c>
      <c r="BM308" s="2">
        <v>0.9</v>
      </c>
      <c r="BN308" s="2">
        <v>7.5</v>
      </c>
      <c r="BO308" s="2">
        <v>2.9</v>
      </c>
      <c r="BP308" s="2">
        <f t="shared" si="8"/>
        <v>8.8039246521356773</v>
      </c>
      <c r="BQ308" s="2">
        <f t="shared" si="9"/>
        <v>28.195958932935778</v>
      </c>
    </row>
    <row r="309" spans="1:69" x14ac:dyDescent="0.2">
      <c r="A309" s="2" t="s">
        <v>2714</v>
      </c>
      <c r="B309" s="2" t="s">
        <v>47</v>
      </c>
      <c r="C309" s="2" t="s">
        <v>1935</v>
      </c>
      <c r="D309" s="2" t="s">
        <v>49</v>
      </c>
      <c r="E309" s="2" t="s">
        <v>1503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89</v>
      </c>
      <c r="L309" s="6" t="s">
        <v>141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2715</v>
      </c>
      <c r="R309" s="2">
        <v>4181818.182</v>
      </c>
      <c r="S309" s="2">
        <v>0</v>
      </c>
      <c r="T309" s="2" t="s">
        <v>96</v>
      </c>
      <c r="U309" s="2" t="s">
        <v>97</v>
      </c>
      <c r="V309" s="2" t="s">
        <v>56</v>
      </c>
      <c r="W309" s="2" t="s">
        <v>98</v>
      </c>
      <c r="X309" s="2" t="s">
        <v>99</v>
      </c>
      <c r="Y309" s="2">
        <v>1.47341901702119</v>
      </c>
      <c r="Z309" s="2">
        <v>1473.41901702119</v>
      </c>
      <c r="AA309" s="2">
        <v>4.73719444444444</v>
      </c>
      <c r="AB309" s="2">
        <v>-74.069472222222203</v>
      </c>
      <c r="AC309" s="2">
        <v>2555</v>
      </c>
      <c r="AD309" s="2">
        <v>0</v>
      </c>
      <c r="AE309" s="2" t="s">
        <v>59</v>
      </c>
      <c r="AF309" s="2" t="s">
        <v>86</v>
      </c>
      <c r="AG309" s="2" t="s">
        <v>61</v>
      </c>
      <c r="AH309" s="2" t="s">
        <v>62</v>
      </c>
      <c r="AI309" s="2" t="s">
        <v>100</v>
      </c>
      <c r="AJ309" s="2">
        <v>1.6220657170728401</v>
      </c>
      <c r="AK309" s="2">
        <v>4.5226068265126704</v>
      </c>
      <c r="AL309" s="2">
        <v>1.0941175760601001</v>
      </c>
      <c r="AM309" s="2">
        <v>0.269441543783773</v>
      </c>
      <c r="AN309" s="2">
        <v>2.70852146110097</v>
      </c>
      <c r="AO309" s="2">
        <v>4.98175666957772E-2</v>
      </c>
      <c r="AP309" s="2">
        <v>4.98175666957772E-2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14</v>
      </c>
      <c r="AW309" s="2">
        <v>0</v>
      </c>
      <c r="AX309" s="2">
        <v>0</v>
      </c>
      <c r="AY309" s="2">
        <v>15.3</v>
      </c>
      <c r="AZ309" s="2">
        <v>9.8000000000000007</v>
      </c>
      <c r="BA309" s="2">
        <v>29.7</v>
      </c>
      <c r="BB309" s="2">
        <v>564</v>
      </c>
      <c r="BC309" s="2">
        <v>68</v>
      </c>
      <c r="BD309" s="2">
        <v>1.8</v>
      </c>
      <c r="BE309" s="2">
        <v>43</v>
      </c>
      <c r="BF309" s="2">
        <v>25.4</v>
      </c>
      <c r="BG309" s="2">
        <v>162</v>
      </c>
      <c r="BH309" s="2">
        <v>9.1</v>
      </c>
      <c r="BI309" s="2">
        <v>9.1999999999999993</v>
      </c>
      <c r="BJ309" s="2">
        <v>18.3</v>
      </c>
      <c r="BK309" s="2">
        <v>0.34</v>
      </c>
      <c r="BL309" s="2">
        <v>7.3</v>
      </c>
      <c r="BM309" s="2">
        <v>0.9</v>
      </c>
      <c r="BN309" s="2">
        <v>7.5</v>
      </c>
      <c r="BO309" s="2">
        <v>2.9</v>
      </c>
      <c r="BP309" s="2">
        <f t="shared" si="8"/>
        <v>9.1106872211150964</v>
      </c>
      <c r="BQ309" s="2">
        <f t="shared" si="9"/>
        <v>28.668099514497293</v>
      </c>
    </row>
    <row r="310" spans="1:69" x14ac:dyDescent="0.2">
      <c r="A310" s="2" t="s">
        <v>2874</v>
      </c>
      <c r="B310" s="2" t="s">
        <v>47</v>
      </c>
      <c r="C310" s="2" t="s">
        <v>1935</v>
      </c>
      <c r="D310" s="2" t="s">
        <v>49</v>
      </c>
      <c r="E310" s="2" t="s">
        <v>1411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89</v>
      </c>
      <c r="L310" s="6" t="s">
        <v>141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2875</v>
      </c>
      <c r="R310" s="2">
        <v>3972727.273</v>
      </c>
      <c r="S310" s="2">
        <v>0</v>
      </c>
      <c r="T310" s="2" t="s">
        <v>130</v>
      </c>
      <c r="U310" s="2" t="s">
        <v>131</v>
      </c>
      <c r="V310" s="2" t="s">
        <v>56</v>
      </c>
      <c r="W310" s="2" t="s">
        <v>98</v>
      </c>
      <c r="X310" s="2" t="s">
        <v>132</v>
      </c>
      <c r="Y310" s="2">
        <v>2.5003795081062101</v>
      </c>
      <c r="Z310" s="2">
        <v>2500.3795081062099</v>
      </c>
      <c r="AA310" s="2">
        <v>4.7837500000000004</v>
      </c>
      <c r="AB310" s="2">
        <v>-74.044138888888895</v>
      </c>
      <c r="AC310" s="2">
        <v>2580</v>
      </c>
      <c r="AD310" s="2">
        <v>0</v>
      </c>
      <c r="AE310" s="2" t="s">
        <v>133</v>
      </c>
      <c r="AF310" s="2" t="s">
        <v>86</v>
      </c>
      <c r="AG310" s="2" t="s">
        <v>61</v>
      </c>
      <c r="AH310" s="2" t="s">
        <v>62</v>
      </c>
      <c r="AI310" s="2" t="s">
        <v>87</v>
      </c>
      <c r="AJ310" s="2">
        <v>0.317577514327469</v>
      </c>
      <c r="AK310" s="2">
        <v>2.2212550861223299</v>
      </c>
      <c r="AL310" s="2">
        <v>1.5172590436075399</v>
      </c>
      <c r="AM310" s="2">
        <v>0.45891722218367598</v>
      </c>
      <c r="AN310" s="2">
        <v>2.7932819542272602</v>
      </c>
      <c r="AO310" s="2">
        <v>0.190584394840215</v>
      </c>
      <c r="AP310" s="2">
        <v>0.190584394840215</v>
      </c>
      <c r="AQ310" s="2">
        <v>1</v>
      </c>
      <c r="AR310" s="2">
        <v>3</v>
      </c>
      <c r="AS310" s="2">
        <v>0</v>
      </c>
      <c r="AT310" s="2">
        <v>0</v>
      </c>
      <c r="AU310" s="2">
        <v>0</v>
      </c>
      <c r="AV310" s="2">
        <v>16</v>
      </c>
      <c r="AW310" s="2">
        <v>0</v>
      </c>
      <c r="AX310" s="2">
        <v>0</v>
      </c>
      <c r="AY310" s="2">
        <v>15.3</v>
      </c>
      <c r="AZ310" s="2">
        <v>9.8000000000000007</v>
      </c>
      <c r="BA310" s="2">
        <v>29.7</v>
      </c>
      <c r="BB310" s="2">
        <v>564</v>
      </c>
      <c r="BC310" s="2">
        <v>68</v>
      </c>
      <c r="BD310" s="2">
        <v>1.8</v>
      </c>
      <c r="BE310" s="2">
        <v>43</v>
      </c>
      <c r="BF310" s="2">
        <v>25.4</v>
      </c>
      <c r="BG310" s="2">
        <v>162</v>
      </c>
      <c r="BH310" s="2">
        <v>9.1</v>
      </c>
      <c r="BI310" s="2">
        <v>9.1999999999999993</v>
      </c>
      <c r="BJ310" s="2">
        <v>18.3</v>
      </c>
      <c r="BK310" s="2">
        <v>0.34</v>
      </c>
      <c r="BL310" s="2">
        <v>7.3</v>
      </c>
      <c r="BM310" s="2">
        <v>0.9</v>
      </c>
      <c r="BN310" s="2">
        <v>7.5</v>
      </c>
      <c r="BO310" s="2">
        <v>2.9</v>
      </c>
      <c r="BP310" s="2">
        <f t="shared" si="8"/>
        <v>8.6591243230011035</v>
      </c>
      <c r="BQ310" s="2">
        <f t="shared" si="9"/>
        <v>27.970151888707022</v>
      </c>
    </row>
    <row r="311" spans="1:69" x14ac:dyDescent="0.2">
      <c r="A311" s="2" t="s">
        <v>429</v>
      </c>
      <c r="B311" s="2" t="s">
        <v>47</v>
      </c>
      <c r="C311" s="2" t="s">
        <v>48</v>
      </c>
      <c r="D311" s="2" t="s">
        <v>49</v>
      </c>
      <c r="E311" s="2" t="s">
        <v>144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89</v>
      </c>
      <c r="L311" s="6" t="s">
        <v>90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430</v>
      </c>
      <c r="R311" s="2">
        <v>8296460.1770000001</v>
      </c>
      <c r="S311" s="2">
        <v>0</v>
      </c>
      <c r="T311" s="2" t="s">
        <v>96</v>
      </c>
      <c r="U311" s="2" t="s">
        <v>97</v>
      </c>
      <c r="V311" s="2" t="s">
        <v>56</v>
      </c>
      <c r="W311" s="2" t="s">
        <v>98</v>
      </c>
      <c r="X311" s="2" t="s">
        <v>99</v>
      </c>
      <c r="Y311" s="2">
        <v>3.0440746547633699</v>
      </c>
      <c r="Z311" s="2">
        <v>3044.0746547633698</v>
      </c>
      <c r="AA311" s="2">
        <v>4.73719444444444</v>
      </c>
      <c r="AB311" s="2">
        <v>-74.069472222222203</v>
      </c>
      <c r="AC311" s="2">
        <v>2555</v>
      </c>
      <c r="AD311" s="2">
        <v>0</v>
      </c>
      <c r="AE311" s="2" t="s">
        <v>59</v>
      </c>
      <c r="AF311" s="2" t="s">
        <v>86</v>
      </c>
      <c r="AG311" s="2" t="s">
        <v>61</v>
      </c>
      <c r="AH311" s="2" t="s">
        <v>62</v>
      </c>
      <c r="AI311" s="2" t="s">
        <v>100</v>
      </c>
      <c r="AJ311" s="2">
        <v>0.41107564142481401</v>
      </c>
      <c r="AK311" s="2">
        <v>3.0520486571182999</v>
      </c>
      <c r="AL311" s="2">
        <v>0.52645258317389698</v>
      </c>
      <c r="AM311" s="2">
        <v>0.31286672646119001</v>
      </c>
      <c r="AN311" s="2">
        <v>2.9856315418114399</v>
      </c>
      <c r="AO311" s="2">
        <v>6.06627760668869E-2</v>
      </c>
      <c r="AP311" s="2">
        <v>6.06627760668869E-2</v>
      </c>
      <c r="AQ311" s="2">
        <v>1</v>
      </c>
      <c r="AR311" s="2">
        <v>2</v>
      </c>
      <c r="AS311" s="2">
        <v>0</v>
      </c>
      <c r="AT311" s="2">
        <v>0</v>
      </c>
      <c r="AU311" s="2">
        <v>1</v>
      </c>
      <c r="AV311" s="2">
        <v>24</v>
      </c>
      <c r="AW311" s="2">
        <v>0</v>
      </c>
      <c r="AX311" s="2">
        <v>0</v>
      </c>
      <c r="AY311" s="2">
        <v>15.3</v>
      </c>
      <c r="AZ311" s="2">
        <v>9.8000000000000007</v>
      </c>
      <c r="BA311" s="2">
        <v>29.7</v>
      </c>
      <c r="BB311" s="2">
        <v>564</v>
      </c>
      <c r="BC311" s="2">
        <v>68</v>
      </c>
      <c r="BD311" s="2">
        <v>1.8</v>
      </c>
      <c r="BE311" s="2">
        <v>43</v>
      </c>
      <c r="BF311" s="2">
        <v>25.4</v>
      </c>
      <c r="BG311" s="2">
        <v>162</v>
      </c>
      <c r="BH311" s="2">
        <v>9.1</v>
      </c>
      <c r="BI311" s="2">
        <v>9.1999999999999993</v>
      </c>
      <c r="BJ311" s="2">
        <v>18.3</v>
      </c>
      <c r="BK311" s="2">
        <v>0.34</v>
      </c>
      <c r="BL311" s="2">
        <v>7.3</v>
      </c>
      <c r="BM311" s="2">
        <v>0.9</v>
      </c>
      <c r="BN311" s="2">
        <v>7.5</v>
      </c>
      <c r="BO311" s="2">
        <v>2.9</v>
      </c>
      <c r="BP311" s="2">
        <f t="shared" si="8"/>
        <v>8.4291900697745312</v>
      </c>
      <c r="BQ311" s="2">
        <f t="shared" si="9"/>
        <v>27.607549118070441</v>
      </c>
    </row>
    <row r="312" spans="1:69" x14ac:dyDescent="0.2">
      <c r="A312" s="2" t="s">
        <v>2166</v>
      </c>
      <c r="B312" s="2" t="s">
        <v>47</v>
      </c>
      <c r="C312" s="2" t="s">
        <v>1935</v>
      </c>
      <c r="D312" s="2" t="s">
        <v>49</v>
      </c>
      <c r="E312" s="2" t="s">
        <v>1405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89</v>
      </c>
      <c r="L312" s="6" t="s">
        <v>103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2167</v>
      </c>
      <c r="R312" s="2">
        <v>4936649.898</v>
      </c>
      <c r="S312" s="2">
        <v>0</v>
      </c>
      <c r="T312" s="2" t="s">
        <v>130</v>
      </c>
      <c r="U312" s="2" t="s">
        <v>131</v>
      </c>
      <c r="V312" s="2" t="s">
        <v>56</v>
      </c>
      <c r="W312" s="2" t="s">
        <v>98</v>
      </c>
      <c r="X312" s="2" t="s">
        <v>132</v>
      </c>
      <c r="Y312" s="2">
        <v>3.23962085816436</v>
      </c>
      <c r="Z312" s="2">
        <v>3239.62085816436</v>
      </c>
      <c r="AA312" s="2">
        <v>4.7837500000000004</v>
      </c>
      <c r="AB312" s="2">
        <v>-74.044138888888895</v>
      </c>
      <c r="AC312" s="2">
        <v>2580</v>
      </c>
      <c r="AD312" s="2">
        <v>0</v>
      </c>
      <c r="AE312" s="2" t="s">
        <v>133</v>
      </c>
      <c r="AF312" s="2" t="s">
        <v>86</v>
      </c>
      <c r="AG312" s="2" t="s">
        <v>61</v>
      </c>
      <c r="AH312" s="2" t="s">
        <v>62</v>
      </c>
      <c r="AI312" s="2" t="s">
        <v>87</v>
      </c>
      <c r="AJ312" s="2">
        <v>0.77924381426200495</v>
      </c>
      <c r="AK312" s="2">
        <v>1.9007190019493501</v>
      </c>
      <c r="AL312" s="2">
        <v>1.04174058207683</v>
      </c>
      <c r="AM312" s="2">
        <v>0.71465381776108095</v>
      </c>
      <c r="AN312" s="2">
        <v>2.0260643787527002</v>
      </c>
      <c r="AO312" s="2">
        <v>1.96965548072663E-2</v>
      </c>
      <c r="AP312" s="2">
        <v>1.96965548072663E-2</v>
      </c>
      <c r="AQ312" s="2">
        <v>0</v>
      </c>
      <c r="AR312" s="2">
        <v>1</v>
      </c>
      <c r="AS312" s="2">
        <v>0</v>
      </c>
      <c r="AT312" s="2">
        <v>0</v>
      </c>
      <c r="AU312" s="2">
        <v>0</v>
      </c>
      <c r="AV312" s="2">
        <v>9</v>
      </c>
      <c r="AW312" s="2">
        <v>0</v>
      </c>
      <c r="AX312" s="2">
        <v>0</v>
      </c>
      <c r="AY312" s="2">
        <v>15.3</v>
      </c>
      <c r="AZ312" s="2">
        <v>9.8000000000000007</v>
      </c>
      <c r="BA312" s="2">
        <v>29.7</v>
      </c>
      <c r="BB312" s="2">
        <v>564</v>
      </c>
      <c r="BC312" s="2">
        <v>68</v>
      </c>
      <c r="BD312" s="2">
        <v>1.8</v>
      </c>
      <c r="BE312" s="2">
        <v>43</v>
      </c>
      <c r="BF312" s="2">
        <v>25.4</v>
      </c>
      <c r="BG312" s="2">
        <v>162</v>
      </c>
      <c r="BH312" s="2">
        <v>9.1</v>
      </c>
      <c r="BI312" s="2">
        <v>9.1999999999999993</v>
      </c>
      <c r="BJ312" s="2">
        <v>18.3</v>
      </c>
      <c r="BK312" s="2">
        <v>0.34</v>
      </c>
      <c r="BL312" s="2">
        <v>7.3</v>
      </c>
      <c r="BM312" s="2">
        <v>0.9</v>
      </c>
      <c r="BN312" s="2">
        <v>7.5</v>
      </c>
      <c r="BO312" s="2">
        <v>2.9</v>
      </c>
      <c r="BP312" s="2">
        <f t="shared" si="8"/>
        <v>8.3479930209282944</v>
      </c>
      <c r="BQ312" s="2">
        <f t="shared" si="9"/>
        <v>27.478287440918976</v>
      </c>
    </row>
    <row r="313" spans="1:69" x14ac:dyDescent="0.2">
      <c r="A313" s="2" t="s">
        <v>1888</v>
      </c>
      <c r="B313" s="2" t="s">
        <v>47</v>
      </c>
      <c r="C313" s="2" t="s">
        <v>48</v>
      </c>
      <c r="D313" s="2" t="s">
        <v>49</v>
      </c>
      <c r="E313" s="2" t="s">
        <v>93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89</v>
      </c>
      <c r="L313" s="6" t="s">
        <v>112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1889</v>
      </c>
      <c r="R313" s="2">
        <v>14485981.310000001</v>
      </c>
      <c r="S313" s="2">
        <v>0</v>
      </c>
      <c r="T313" s="2" t="s">
        <v>96</v>
      </c>
      <c r="U313" s="2" t="s">
        <v>97</v>
      </c>
      <c r="V313" s="2" t="s">
        <v>56</v>
      </c>
      <c r="W313" s="2" t="s">
        <v>98</v>
      </c>
      <c r="X313" s="2" t="s">
        <v>99</v>
      </c>
      <c r="Y313" s="2">
        <v>2.1232412078563501</v>
      </c>
      <c r="Z313" s="2">
        <v>2123.2412078563498</v>
      </c>
      <c r="AA313" s="2">
        <v>4.73719444444444</v>
      </c>
      <c r="AB313" s="2">
        <v>-74.069472222222203</v>
      </c>
      <c r="AC313" s="2">
        <v>2555</v>
      </c>
      <c r="AD313" s="2">
        <v>0</v>
      </c>
      <c r="AE313" s="2" t="s">
        <v>59</v>
      </c>
      <c r="AF313" s="2" t="s">
        <v>86</v>
      </c>
      <c r="AG313" s="2" t="s">
        <v>61</v>
      </c>
      <c r="AH313" s="2" t="s">
        <v>62</v>
      </c>
      <c r="AI313" s="2" t="s">
        <v>100</v>
      </c>
      <c r="AJ313" s="2">
        <v>0.27707952765533</v>
      </c>
      <c r="AK313" s="2">
        <v>5.5586572872671098</v>
      </c>
      <c r="AL313" s="2">
        <v>0.39690929453211798</v>
      </c>
      <c r="AM313" s="2">
        <v>0.19880316982666901</v>
      </c>
      <c r="AN313" s="2">
        <v>2.7771198312844398</v>
      </c>
      <c r="AO313" s="2">
        <v>5.0099900373378102E-2</v>
      </c>
      <c r="AP313" s="2">
        <v>5.0099900373378102E-2</v>
      </c>
      <c r="AQ313" s="2">
        <v>1</v>
      </c>
      <c r="AR313" s="2">
        <v>3</v>
      </c>
      <c r="AS313" s="2">
        <v>0</v>
      </c>
      <c r="AT313" s="2">
        <v>0</v>
      </c>
      <c r="AU313" s="2">
        <v>1</v>
      </c>
      <c r="AV313" s="2">
        <v>35</v>
      </c>
      <c r="AW313" s="2">
        <v>0</v>
      </c>
      <c r="AX313" s="2">
        <v>0</v>
      </c>
      <c r="AY313" s="2">
        <v>15.3</v>
      </c>
      <c r="AZ313" s="2">
        <v>9.8000000000000007</v>
      </c>
      <c r="BA313" s="2">
        <v>29.7</v>
      </c>
      <c r="BB313" s="2">
        <v>564</v>
      </c>
      <c r="BC313" s="2">
        <v>68</v>
      </c>
      <c r="BD313" s="2">
        <v>1.8</v>
      </c>
      <c r="BE313" s="2">
        <v>43</v>
      </c>
      <c r="BF313" s="2">
        <v>25.4</v>
      </c>
      <c r="BG313" s="2">
        <v>162</v>
      </c>
      <c r="BH313" s="2">
        <v>9.1</v>
      </c>
      <c r="BI313" s="2">
        <v>9.1999999999999993</v>
      </c>
      <c r="BJ313" s="2">
        <v>18.3</v>
      </c>
      <c r="BK313" s="2">
        <v>0.34</v>
      </c>
      <c r="BL313" s="2">
        <v>7.3</v>
      </c>
      <c r="BM313" s="2">
        <v>0.9</v>
      </c>
      <c r="BN313" s="2">
        <v>7.5</v>
      </c>
      <c r="BO313" s="2">
        <v>2.9</v>
      </c>
      <c r="BP313" s="2">
        <f t="shared" si="8"/>
        <v>8.8222941674798943</v>
      </c>
      <c r="BQ313" s="2">
        <f t="shared" si="9"/>
        <v>28.224467873005178</v>
      </c>
    </row>
    <row r="314" spans="1:69" x14ac:dyDescent="0.2">
      <c r="A314" s="2" t="s">
        <v>1333</v>
      </c>
      <c r="B314" s="2" t="s">
        <v>47</v>
      </c>
      <c r="C314" s="2" t="s">
        <v>48</v>
      </c>
      <c r="D314" s="2" t="s">
        <v>49</v>
      </c>
      <c r="E314" s="2" t="s">
        <v>160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89</v>
      </c>
      <c r="L314" s="6" t="s">
        <v>103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1334</v>
      </c>
      <c r="R314" s="2">
        <v>6990654.2060000002</v>
      </c>
      <c r="S314" s="2">
        <v>0</v>
      </c>
      <c r="T314" s="2" t="s">
        <v>96</v>
      </c>
      <c r="U314" s="2" t="s">
        <v>97</v>
      </c>
      <c r="V314" s="2" t="s">
        <v>56</v>
      </c>
      <c r="W314" s="2" t="s">
        <v>98</v>
      </c>
      <c r="X314" s="2" t="s">
        <v>99</v>
      </c>
      <c r="Y314" s="2">
        <v>0.80837416400533302</v>
      </c>
      <c r="Z314" s="2">
        <v>808.374164005333</v>
      </c>
      <c r="AA314" s="2">
        <v>4.73719444444444</v>
      </c>
      <c r="AB314" s="2">
        <v>-74.069472222222203</v>
      </c>
      <c r="AC314" s="2">
        <v>2555</v>
      </c>
      <c r="AD314" s="2">
        <v>0</v>
      </c>
      <c r="AE314" s="2" t="s">
        <v>59</v>
      </c>
      <c r="AF314" s="2" t="s">
        <v>86</v>
      </c>
      <c r="AG314" s="2" t="s">
        <v>61</v>
      </c>
      <c r="AH314" s="2" t="s">
        <v>62</v>
      </c>
      <c r="AI314" s="2" t="s">
        <v>100</v>
      </c>
      <c r="AJ314" s="2">
        <v>0.52326269007961901</v>
      </c>
      <c r="AK314" s="2">
        <v>5.4113560429707697</v>
      </c>
      <c r="AL314" s="2">
        <v>1.7350291586281901</v>
      </c>
      <c r="AM314" s="2">
        <v>0.75308191556230897</v>
      </c>
      <c r="AN314" s="2">
        <v>1.55221203497099</v>
      </c>
      <c r="AO314" s="2">
        <v>2.3229289250645799E-2</v>
      </c>
      <c r="AP314" s="2">
        <v>2.3229289250645799E-2</v>
      </c>
      <c r="AQ314" s="2">
        <v>0</v>
      </c>
      <c r="AR314" s="2">
        <v>2</v>
      </c>
      <c r="AS314" s="2">
        <v>0</v>
      </c>
      <c r="AT314" s="2">
        <v>0</v>
      </c>
      <c r="AU314" s="2">
        <v>0</v>
      </c>
      <c r="AV314" s="2">
        <v>11</v>
      </c>
      <c r="AW314" s="2">
        <v>0</v>
      </c>
      <c r="AX314" s="2">
        <v>0</v>
      </c>
      <c r="AY314" s="2">
        <v>15.3</v>
      </c>
      <c r="AZ314" s="2">
        <v>9.8000000000000007</v>
      </c>
      <c r="BA314" s="2">
        <v>29.7</v>
      </c>
      <c r="BB314" s="2">
        <v>564</v>
      </c>
      <c r="BC314" s="2">
        <v>68</v>
      </c>
      <c r="BD314" s="2">
        <v>1.8</v>
      </c>
      <c r="BE314" s="2">
        <v>43</v>
      </c>
      <c r="BF314" s="2">
        <v>25.4</v>
      </c>
      <c r="BG314" s="2">
        <v>162</v>
      </c>
      <c r="BH314" s="2">
        <v>9.1</v>
      </c>
      <c r="BI314" s="2">
        <v>9.1999999999999993</v>
      </c>
      <c r="BJ314" s="2">
        <v>18.3</v>
      </c>
      <c r="BK314" s="2">
        <v>0.34</v>
      </c>
      <c r="BL314" s="2">
        <v>7.3</v>
      </c>
      <c r="BM314" s="2">
        <v>0.9</v>
      </c>
      <c r="BN314" s="2">
        <v>7.5</v>
      </c>
      <c r="BO314" s="2">
        <v>2.9</v>
      </c>
      <c r="BP314" s="2">
        <f t="shared" si="8"/>
        <v>9.415599777662166</v>
      </c>
      <c r="BQ314" s="2">
        <f t="shared" si="9"/>
        <v>29.129344433848267</v>
      </c>
    </row>
    <row r="315" spans="1:69" x14ac:dyDescent="0.2">
      <c r="A315" s="2" t="s">
        <v>1932</v>
      </c>
      <c r="B315" s="2" t="s">
        <v>47</v>
      </c>
      <c r="C315" s="2" t="s">
        <v>48</v>
      </c>
      <c r="D315" s="2" t="s">
        <v>49</v>
      </c>
      <c r="E315" s="2" t="s">
        <v>292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89</v>
      </c>
      <c r="L315" s="6" t="s">
        <v>103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1933</v>
      </c>
      <c r="R315" s="2">
        <v>7075471.6979999999</v>
      </c>
      <c r="S315" s="2">
        <v>0</v>
      </c>
      <c r="T315" s="2" t="s">
        <v>96</v>
      </c>
      <c r="U315" s="2" t="s">
        <v>97</v>
      </c>
      <c r="V315" s="2" t="s">
        <v>56</v>
      </c>
      <c r="W315" s="2" t="s">
        <v>98</v>
      </c>
      <c r="X315" s="2" t="s">
        <v>99</v>
      </c>
      <c r="Y315" s="2">
        <v>3.2851575568879698</v>
      </c>
      <c r="Z315" s="2">
        <v>3285.1575568879698</v>
      </c>
      <c r="AA315" s="2">
        <v>4.73719444444444</v>
      </c>
      <c r="AB315" s="2">
        <v>-74.069472222222203</v>
      </c>
      <c r="AC315" s="2">
        <v>2555</v>
      </c>
      <c r="AD315" s="2">
        <v>0</v>
      </c>
      <c r="AE315" s="2" t="s">
        <v>59</v>
      </c>
      <c r="AF315" s="2" t="s">
        <v>86</v>
      </c>
      <c r="AG315" s="2" t="s">
        <v>61</v>
      </c>
      <c r="AH315" s="2" t="s">
        <v>62</v>
      </c>
      <c r="AI315" s="2" t="s">
        <v>100</v>
      </c>
      <c r="AJ315" s="2">
        <v>0.93268483919914702</v>
      </c>
      <c r="AK315" s="2">
        <v>4.0469211981998798</v>
      </c>
      <c r="AL315" s="2">
        <v>1.41168553828918</v>
      </c>
      <c r="AM315" s="2">
        <v>0.38492264345472299</v>
      </c>
      <c r="AN315" s="2">
        <v>4.46727868002103</v>
      </c>
      <c r="AO315" s="2">
        <v>0.152785326629402</v>
      </c>
      <c r="AP315" s="2">
        <v>0.152785326629402</v>
      </c>
      <c r="AQ315" s="2">
        <v>0</v>
      </c>
      <c r="AR315" s="2">
        <v>1</v>
      </c>
      <c r="AS315" s="2">
        <v>0</v>
      </c>
      <c r="AT315" s="2">
        <v>0</v>
      </c>
      <c r="AU315" s="2">
        <v>0</v>
      </c>
      <c r="AV315" s="2">
        <v>20</v>
      </c>
      <c r="AW315" s="2">
        <v>0</v>
      </c>
      <c r="AX315" s="2">
        <v>0</v>
      </c>
      <c r="AY315" s="2">
        <v>15.3</v>
      </c>
      <c r="AZ315" s="2">
        <v>9.8000000000000007</v>
      </c>
      <c r="BA315" s="2">
        <v>29.7</v>
      </c>
      <c r="BB315" s="2">
        <v>564</v>
      </c>
      <c r="BC315" s="2">
        <v>68</v>
      </c>
      <c r="BD315" s="2">
        <v>1.8</v>
      </c>
      <c r="BE315" s="2">
        <v>43</v>
      </c>
      <c r="BF315" s="2">
        <v>25.4</v>
      </c>
      <c r="BG315" s="2">
        <v>162</v>
      </c>
      <c r="BH315" s="2">
        <v>9.1</v>
      </c>
      <c r="BI315" s="2">
        <v>9.1999999999999993</v>
      </c>
      <c r="BJ315" s="2">
        <v>18.3</v>
      </c>
      <c r="BK315" s="2">
        <v>0.34</v>
      </c>
      <c r="BL315" s="2">
        <v>7.3</v>
      </c>
      <c r="BM315" s="2">
        <v>0.9</v>
      </c>
      <c r="BN315" s="2">
        <v>7.5</v>
      </c>
      <c r="BO315" s="2">
        <v>2.9</v>
      </c>
      <c r="BP315" s="2">
        <f t="shared" si="8"/>
        <v>8.329197280176567</v>
      </c>
      <c r="BQ315" s="2">
        <f t="shared" si="9"/>
        <v>27.448273352896845</v>
      </c>
    </row>
    <row r="316" spans="1:69" x14ac:dyDescent="0.2">
      <c r="A316" s="2" t="s">
        <v>2649</v>
      </c>
      <c r="B316" s="2" t="s">
        <v>47</v>
      </c>
      <c r="C316" s="2" t="s">
        <v>1935</v>
      </c>
      <c r="D316" s="2" t="s">
        <v>49</v>
      </c>
      <c r="E316" s="2" t="s">
        <v>1484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89</v>
      </c>
      <c r="L316" s="6" t="s">
        <v>103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2650</v>
      </c>
      <c r="R316" s="2">
        <v>5849056.6040000003</v>
      </c>
      <c r="S316" s="2">
        <v>0</v>
      </c>
      <c r="T316" s="2" t="s">
        <v>130</v>
      </c>
      <c r="U316" s="2" t="s">
        <v>131</v>
      </c>
      <c r="V316" s="2" t="s">
        <v>56</v>
      </c>
      <c r="W316" s="2" t="s">
        <v>98</v>
      </c>
      <c r="X316" s="2" t="s">
        <v>132</v>
      </c>
      <c r="Y316" s="2">
        <v>3.28030464206712</v>
      </c>
      <c r="Z316" s="2">
        <v>3280.3046420671199</v>
      </c>
      <c r="AA316" s="2">
        <v>4.7837500000000004</v>
      </c>
      <c r="AB316" s="2">
        <v>-74.044138888888895</v>
      </c>
      <c r="AC316" s="2">
        <v>2580</v>
      </c>
      <c r="AD316" s="2">
        <v>0</v>
      </c>
      <c r="AE316" s="2" t="s">
        <v>133</v>
      </c>
      <c r="AF316" s="2" t="s">
        <v>86</v>
      </c>
      <c r="AG316" s="2" t="s">
        <v>61</v>
      </c>
      <c r="AH316" s="2" t="s">
        <v>62</v>
      </c>
      <c r="AI316" s="2" t="s">
        <v>87</v>
      </c>
      <c r="AJ316" s="2">
        <v>0.83698917302409603</v>
      </c>
      <c r="AK316" s="2">
        <v>1.8457175661870699</v>
      </c>
      <c r="AL316" s="2">
        <v>0.97530899132618998</v>
      </c>
      <c r="AM316" s="2">
        <v>0.73307251249812899</v>
      </c>
      <c r="AN316" s="2">
        <v>1.9640594890727301</v>
      </c>
      <c r="AO316" s="2">
        <v>4.6606952310060901E-2</v>
      </c>
      <c r="AP316" s="2">
        <v>4.6606952310060901E-2</v>
      </c>
      <c r="AQ316" s="2">
        <v>0</v>
      </c>
      <c r="AR316" s="2">
        <v>1</v>
      </c>
      <c r="AS316" s="2">
        <v>0</v>
      </c>
      <c r="AT316" s="2">
        <v>0</v>
      </c>
      <c r="AU316" s="2">
        <v>1</v>
      </c>
      <c r="AV316" s="2">
        <v>9</v>
      </c>
      <c r="AW316" s="2">
        <v>0</v>
      </c>
      <c r="AX316" s="2">
        <v>0</v>
      </c>
      <c r="AY316" s="2">
        <v>15.3</v>
      </c>
      <c r="AZ316" s="2">
        <v>9.8000000000000007</v>
      </c>
      <c r="BA316" s="2">
        <v>29.7</v>
      </c>
      <c r="BB316" s="2">
        <v>564</v>
      </c>
      <c r="BC316" s="2">
        <v>68</v>
      </c>
      <c r="BD316" s="2">
        <v>1.8</v>
      </c>
      <c r="BE316" s="2">
        <v>43</v>
      </c>
      <c r="BF316" s="2">
        <v>25.4</v>
      </c>
      <c r="BG316" s="2">
        <v>162</v>
      </c>
      <c r="BH316" s="2">
        <v>9.1</v>
      </c>
      <c r="BI316" s="2">
        <v>9.1999999999999993</v>
      </c>
      <c r="BJ316" s="2">
        <v>18.3</v>
      </c>
      <c r="BK316" s="2">
        <v>0.34</v>
      </c>
      <c r="BL316" s="2">
        <v>7.3</v>
      </c>
      <c r="BM316" s="2">
        <v>0.9</v>
      </c>
      <c r="BN316" s="2">
        <v>7.5</v>
      </c>
      <c r="BO316" s="2">
        <v>2.9</v>
      </c>
      <c r="BP316" s="2">
        <f t="shared" si="8"/>
        <v>8.3311983543191168</v>
      </c>
      <c r="BQ316" s="2">
        <f t="shared" si="9"/>
        <v>27.451470438256891</v>
      </c>
    </row>
    <row r="317" spans="1:69" x14ac:dyDescent="0.2">
      <c r="A317" s="2" t="s">
        <v>3307</v>
      </c>
      <c r="B317" s="2" t="s">
        <v>47</v>
      </c>
      <c r="C317" s="2" t="s">
        <v>3273</v>
      </c>
      <c r="D317" s="2" t="s">
        <v>49</v>
      </c>
      <c r="E317" s="2" t="s">
        <v>524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89</v>
      </c>
      <c r="L317" s="6" t="s">
        <v>141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3308</v>
      </c>
      <c r="R317" s="2">
        <v>6095238.0949999997</v>
      </c>
      <c r="S317" s="2">
        <v>0</v>
      </c>
      <c r="T317" s="2" t="s">
        <v>96</v>
      </c>
      <c r="U317" s="2" t="s">
        <v>97</v>
      </c>
      <c r="V317" s="2" t="s">
        <v>56</v>
      </c>
      <c r="W317" s="2" t="s">
        <v>98</v>
      </c>
      <c r="X317" s="2" t="s">
        <v>99</v>
      </c>
      <c r="Y317" s="2">
        <v>0.96183855228517401</v>
      </c>
      <c r="Z317" s="2">
        <v>961.83855228517405</v>
      </c>
      <c r="AA317" s="2">
        <v>4.73719444444444</v>
      </c>
      <c r="AB317" s="2">
        <v>-74.069472222222203</v>
      </c>
      <c r="AC317" s="2">
        <v>2555</v>
      </c>
      <c r="AD317" s="2">
        <v>0</v>
      </c>
      <c r="AE317" s="2" t="s">
        <v>59</v>
      </c>
      <c r="AF317" s="2" t="s">
        <v>86</v>
      </c>
      <c r="AG317" s="2" t="s">
        <v>61</v>
      </c>
      <c r="AH317" s="2" t="s">
        <v>62</v>
      </c>
      <c r="AI317" s="2" t="s">
        <v>100</v>
      </c>
      <c r="AJ317" s="2">
        <v>1.36474323925121</v>
      </c>
      <c r="AK317" s="2">
        <v>4.3612579236580196</v>
      </c>
      <c r="AL317" s="2">
        <v>1.83748818457161</v>
      </c>
      <c r="AM317" s="2">
        <v>0.4593323575289</v>
      </c>
      <c r="AN317" s="2">
        <v>2.72542687435371</v>
      </c>
      <c r="AO317" s="2">
        <v>0.24806278200435999</v>
      </c>
      <c r="AP317" s="2">
        <v>0.24806278200435999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12</v>
      </c>
      <c r="AW317" s="2">
        <v>0</v>
      </c>
      <c r="AX317" s="2">
        <v>0</v>
      </c>
      <c r="AY317" s="2">
        <v>15.3</v>
      </c>
      <c r="AZ317" s="2">
        <v>9.8000000000000007</v>
      </c>
      <c r="BA317" s="2">
        <v>29.7</v>
      </c>
      <c r="BB317" s="2">
        <v>564</v>
      </c>
      <c r="BC317" s="2">
        <v>68</v>
      </c>
      <c r="BD317" s="2">
        <v>1.8</v>
      </c>
      <c r="BE317" s="2">
        <v>43</v>
      </c>
      <c r="BF317" s="2">
        <v>25.4</v>
      </c>
      <c r="BG317" s="2">
        <v>162</v>
      </c>
      <c r="BH317" s="2">
        <v>9.1</v>
      </c>
      <c r="BI317" s="2">
        <v>9.1999999999999993</v>
      </c>
      <c r="BJ317" s="2">
        <v>18.3</v>
      </c>
      <c r="BK317" s="2">
        <v>0.34</v>
      </c>
      <c r="BL317" s="2">
        <v>7.3</v>
      </c>
      <c r="BM317" s="2">
        <v>0.9</v>
      </c>
      <c r="BN317" s="2">
        <v>7.5</v>
      </c>
      <c r="BO317" s="2">
        <v>2.9</v>
      </c>
      <c r="BP317" s="2">
        <f t="shared" si="8"/>
        <v>9.344345278882928</v>
      </c>
      <c r="BQ317" s="2">
        <f t="shared" si="9"/>
        <v>29.022254160839918</v>
      </c>
    </row>
    <row r="318" spans="1:69" x14ac:dyDescent="0.2">
      <c r="A318" s="2" t="s">
        <v>1008</v>
      </c>
      <c r="B318" s="2" t="s">
        <v>47</v>
      </c>
      <c r="C318" s="2" t="s">
        <v>48</v>
      </c>
      <c r="D318" s="2" t="s">
        <v>49</v>
      </c>
      <c r="E318" s="2" t="s">
        <v>408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89</v>
      </c>
      <c r="L318" s="6" t="s">
        <v>141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1009</v>
      </c>
      <c r="R318" s="2">
        <v>5653846.1540000001</v>
      </c>
      <c r="S318" s="2">
        <v>0</v>
      </c>
      <c r="T318" s="2" t="s">
        <v>96</v>
      </c>
      <c r="U318" s="2" t="s">
        <v>97</v>
      </c>
      <c r="V318" s="2" t="s">
        <v>56</v>
      </c>
      <c r="W318" s="2" t="s">
        <v>98</v>
      </c>
      <c r="X318" s="2" t="s">
        <v>99</v>
      </c>
      <c r="Y318" s="2">
        <v>2.4659508127681198</v>
      </c>
      <c r="Z318" s="2">
        <v>2465.9508127681202</v>
      </c>
      <c r="AA318" s="2">
        <v>4.73719444444444</v>
      </c>
      <c r="AB318" s="2">
        <v>-74.069472222222203</v>
      </c>
      <c r="AC318" s="2">
        <v>2555</v>
      </c>
      <c r="AD318" s="2">
        <v>0</v>
      </c>
      <c r="AE318" s="2" t="s">
        <v>59</v>
      </c>
      <c r="AF318" s="2" t="s">
        <v>86</v>
      </c>
      <c r="AG318" s="2" t="s">
        <v>61</v>
      </c>
      <c r="AH318" s="2" t="s">
        <v>62</v>
      </c>
      <c r="AI318" s="2" t="s">
        <v>87</v>
      </c>
      <c r="AJ318" s="2">
        <v>0.18807499347913501</v>
      </c>
      <c r="AK318" s="2">
        <v>2.9588751513284901</v>
      </c>
      <c r="AL318" s="2">
        <v>1.0085605453508599</v>
      </c>
      <c r="AM318" s="2">
        <v>0.26255799251779</v>
      </c>
      <c r="AN318" s="2">
        <v>2.7435875296280998</v>
      </c>
      <c r="AO318" s="2">
        <v>0.30128810792896898</v>
      </c>
      <c r="AP318" s="2">
        <v>0.30128810792896898</v>
      </c>
      <c r="AQ318" s="2">
        <v>2</v>
      </c>
      <c r="AR318" s="2">
        <v>3</v>
      </c>
      <c r="AS318" s="2">
        <v>0</v>
      </c>
      <c r="AT318" s="2">
        <v>0</v>
      </c>
      <c r="AU318" s="2">
        <v>0</v>
      </c>
      <c r="AV318" s="2">
        <v>33</v>
      </c>
      <c r="AW318" s="2">
        <v>0</v>
      </c>
      <c r="AX318" s="2">
        <v>0</v>
      </c>
      <c r="AY318" s="2">
        <v>15.3</v>
      </c>
      <c r="AZ318" s="2">
        <v>9.8000000000000007</v>
      </c>
      <c r="BA318" s="2">
        <v>29.7</v>
      </c>
      <c r="BB318" s="2">
        <v>564</v>
      </c>
      <c r="BC318" s="2">
        <v>68</v>
      </c>
      <c r="BD318" s="2">
        <v>1.8</v>
      </c>
      <c r="BE318" s="2">
        <v>43</v>
      </c>
      <c r="BF318" s="2">
        <v>25.4</v>
      </c>
      <c r="BG318" s="2">
        <v>162</v>
      </c>
      <c r="BH318" s="2">
        <v>9.1</v>
      </c>
      <c r="BI318" s="2">
        <v>9.1999999999999993</v>
      </c>
      <c r="BJ318" s="2">
        <v>18.3</v>
      </c>
      <c r="BK318" s="2">
        <v>0.34</v>
      </c>
      <c r="BL318" s="2">
        <v>7.3</v>
      </c>
      <c r="BM318" s="2">
        <v>0.9</v>
      </c>
      <c r="BN318" s="2">
        <v>7.5</v>
      </c>
      <c r="BO318" s="2">
        <v>2.9</v>
      </c>
      <c r="BP318" s="2">
        <f t="shared" si="8"/>
        <v>8.6738939612699166</v>
      </c>
      <c r="BQ318" s="2">
        <f t="shared" si="9"/>
        <v>27.993272859800442</v>
      </c>
    </row>
    <row r="319" spans="1:69" x14ac:dyDescent="0.2">
      <c r="A319" s="2" t="s">
        <v>1201</v>
      </c>
      <c r="B319" s="2" t="s">
        <v>47</v>
      </c>
      <c r="C319" s="2" t="s">
        <v>48</v>
      </c>
      <c r="D319" s="2" t="s">
        <v>49</v>
      </c>
      <c r="E319" s="2" t="s">
        <v>408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89</v>
      </c>
      <c r="L319" s="6" t="s">
        <v>141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1202</v>
      </c>
      <c r="R319" s="2">
        <v>5653846.1540000001</v>
      </c>
      <c r="S319" s="2">
        <v>0</v>
      </c>
      <c r="T319" s="2" t="s">
        <v>96</v>
      </c>
      <c r="U319" s="2" t="s">
        <v>97</v>
      </c>
      <c r="V319" s="2" t="s">
        <v>56</v>
      </c>
      <c r="W319" s="2" t="s">
        <v>98</v>
      </c>
      <c r="X319" s="2" t="s">
        <v>99</v>
      </c>
      <c r="Y319" s="2">
        <v>2.3978261243447601</v>
      </c>
      <c r="Z319" s="2">
        <v>2397.82612434476</v>
      </c>
      <c r="AA319" s="2">
        <v>4.73719444444444</v>
      </c>
      <c r="AB319" s="2">
        <v>-74.069472222222203</v>
      </c>
      <c r="AC319" s="2">
        <v>2555</v>
      </c>
      <c r="AD319" s="2">
        <v>0</v>
      </c>
      <c r="AE319" s="2" t="s">
        <v>59</v>
      </c>
      <c r="AF319" s="2" t="s">
        <v>86</v>
      </c>
      <c r="AG319" s="2" t="s">
        <v>61</v>
      </c>
      <c r="AH319" s="2" t="s">
        <v>62</v>
      </c>
      <c r="AI319" s="2" t="s">
        <v>87</v>
      </c>
      <c r="AJ319" s="2">
        <v>0.144507005146809</v>
      </c>
      <c r="AK319" s="2">
        <v>3.03296535312341</v>
      </c>
      <c r="AL319" s="2">
        <v>1.0799105114195899</v>
      </c>
      <c r="AM319" s="2">
        <v>0.23607141035832699</v>
      </c>
      <c r="AN319" s="2">
        <v>2.8110883434846001</v>
      </c>
      <c r="AO319" s="2">
        <v>0.26910297159113999</v>
      </c>
      <c r="AP319" s="2">
        <v>0.26910297159113999</v>
      </c>
      <c r="AQ319" s="2">
        <v>2</v>
      </c>
      <c r="AR319" s="2">
        <v>4</v>
      </c>
      <c r="AS319" s="2">
        <v>0</v>
      </c>
      <c r="AT319" s="2">
        <v>0</v>
      </c>
      <c r="AU319" s="2">
        <v>0</v>
      </c>
      <c r="AV319" s="2">
        <v>32</v>
      </c>
      <c r="AW319" s="2">
        <v>0</v>
      </c>
      <c r="AX319" s="2">
        <v>0</v>
      </c>
      <c r="AY319" s="2">
        <v>15.3</v>
      </c>
      <c r="AZ319" s="2">
        <v>9.8000000000000007</v>
      </c>
      <c r="BA319" s="2">
        <v>29.7</v>
      </c>
      <c r="BB319" s="2">
        <v>564</v>
      </c>
      <c r="BC319" s="2">
        <v>68</v>
      </c>
      <c r="BD319" s="2">
        <v>1.8</v>
      </c>
      <c r="BE319" s="2">
        <v>43</v>
      </c>
      <c r="BF319" s="2">
        <v>25.4</v>
      </c>
      <c r="BG319" s="2">
        <v>162</v>
      </c>
      <c r="BH319" s="2">
        <v>9.1</v>
      </c>
      <c r="BI319" s="2">
        <v>9.1999999999999993</v>
      </c>
      <c r="BJ319" s="2">
        <v>18.3</v>
      </c>
      <c r="BK319" s="2">
        <v>0.34</v>
      </c>
      <c r="BL319" s="2">
        <v>7.3</v>
      </c>
      <c r="BM319" s="2">
        <v>0.9</v>
      </c>
      <c r="BN319" s="2">
        <v>7.5</v>
      </c>
      <c r="BO319" s="2">
        <v>2.9</v>
      </c>
      <c r="BP319" s="2">
        <f t="shared" si="8"/>
        <v>8.7031931975530341</v>
      </c>
      <c r="BQ319" s="2">
        <f t="shared" si="9"/>
        <v>28.03907908781305</v>
      </c>
    </row>
    <row r="320" spans="1:69" x14ac:dyDescent="0.2">
      <c r="A320" s="2" t="s">
        <v>1584</v>
      </c>
      <c r="B320" s="2" t="s">
        <v>47</v>
      </c>
      <c r="C320" s="2" t="s">
        <v>48</v>
      </c>
      <c r="D320" s="2" t="s">
        <v>49</v>
      </c>
      <c r="E320" s="2" t="s">
        <v>658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89</v>
      </c>
      <c r="L320" s="6" t="s">
        <v>103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1585</v>
      </c>
      <c r="R320" s="2">
        <v>7475728.1550000003</v>
      </c>
      <c r="S320" s="2">
        <v>0</v>
      </c>
      <c r="T320" s="2" t="s">
        <v>96</v>
      </c>
      <c r="U320" s="2" t="s">
        <v>97</v>
      </c>
      <c r="V320" s="2" t="s">
        <v>56</v>
      </c>
      <c r="W320" s="2" t="s">
        <v>98</v>
      </c>
      <c r="X320" s="2" t="s">
        <v>99</v>
      </c>
      <c r="Y320" s="2">
        <v>3.43700470907716</v>
      </c>
      <c r="Z320" s="2">
        <v>3437.00470907716</v>
      </c>
      <c r="AA320" s="2">
        <v>4.73719444444444</v>
      </c>
      <c r="AB320" s="2">
        <v>-74.069472222222203</v>
      </c>
      <c r="AC320" s="2">
        <v>2555</v>
      </c>
      <c r="AD320" s="2">
        <v>0</v>
      </c>
      <c r="AE320" s="2" t="s">
        <v>59</v>
      </c>
      <c r="AF320" s="2" t="s">
        <v>86</v>
      </c>
      <c r="AG320" s="2" t="s">
        <v>61</v>
      </c>
      <c r="AH320" s="2" t="s">
        <v>62</v>
      </c>
      <c r="AI320" s="2" t="s">
        <v>100</v>
      </c>
      <c r="AJ320" s="2">
        <v>1.08638036071217</v>
      </c>
      <c r="AK320" s="2">
        <v>5.2320899559690499</v>
      </c>
      <c r="AL320" s="2">
        <v>1.2122295429129799</v>
      </c>
      <c r="AM320" s="2">
        <v>0.351959772761409</v>
      </c>
      <c r="AN320" s="2">
        <v>3.1270028325267001</v>
      </c>
      <c r="AO320" s="2">
        <v>0.29904552060095202</v>
      </c>
      <c r="AP320" s="2">
        <v>0.29904552060095202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12</v>
      </c>
      <c r="AW320" s="2">
        <v>0</v>
      </c>
      <c r="AX320" s="2">
        <v>0</v>
      </c>
      <c r="AY320" s="2">
        <v>15.3</v>
      </c>
      <c r="AZ320" s="2">
        <v>9.8000000000000007</v>
      </c>
      <c r="BA320" s="2">
        <v>29.7</v>
      </c>
      <c r="BB320" s="2">
        <v>564</v>
      </c>
      <c r="BC320" s="2">
        <v>68</v>
      </c>
      <c r="BD320" s="2">
        <v>1.8</v>
      </c>
      <c r="BE320" s="2">
        <v>43</v>
      </c>
      <c r="BF320" s="2">
        <v>25.4</v>
      </c>
      <c r="BG320" s="2">
        <v>162</v>
      </c>
      <c r="BH320" s="2">
        <v>9.1</v>
      </c>
      <c r="BI320" s="2">
        <v>9.1999999999999993</v>
      </c>
      <c r="BJ320" s="2">
        <v>18.3</v>
      </c>
      <c r="BK320" s="2">
        <v>0.34</v>
      </c>
      <c r="BL320" s="2">
        <v>7.3</v>
      </c>
      <c r="BM320" s="2">
        <v>0.9</v>
      </c>
      <c r="BN320" s="2">
        <v>7.5</v>
      </c>
      <c r="BO320" s="2">
        <v>2.9</v>
      </c>
      <c r="BP320" s="2">
        <f t="shared" si="8"/>
        <v>8.2668261162859427</v>
      </c>
      <c r="BQ320" s="2">
        <f t="shared" si="9"/>
        <v>27.348424792652221</v>
      </c>
    </row>
    <row r="321" spans="1:69" x14ac:dyDescent="0.2">
      <c r="A321" s="2" t="s">
        <v>1920</v>
      </c>
      <c r="B321" s="2" t="s">
        <v>47</v>
      </c>
      <c r="C321" s="2" t="s">
        <v>48</v>
      </c>
      <c r="D321" s="2" t="s">
        <v>49</v>
      </c>
      <c r="E321" s="2" t="s">
        <v>688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89</v>
      </c>
      <c r="L321" s="6" t="s">
        <v>141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1921</v>
      </c>
      <c r="R321" s="2">
        <v>6310679.6119999997</v>
      </c>
      <c r="S321" s="2">
        <v>0</v>
      </c>
      <c r="T321" s="2" t="s">
        <v>96</v>
      </c>
      <c r="U321" s="2" t="s">
        <v>97</v>
      </c>
      <c r="V321" s="2" t="s">
        <v>56</v>
      </c>
      <c r="W321" s="2" t="s">
        <v>98</v>
      </c>
      <c r="X321" s="2" t="s">
        <v>99</v>
      </c>
      <c r="Y321" s="2">
        <v>1.78430212036861</v>
      </c>
      <c r="Z321" s="2">
        <v>1784.3021203686101</v>
      </c>
      <c r="AA321" s="2">
        <v>4.73719444444444</v>
      </c>
      <c r="AB321" s="2">
        <v>-74.069472222222203</v>
      </c>
      <c r="AC321" s="2">
        <v>2555</v>
      </c>
      <c r="AD321" s="2">
        <v>0</v>
      </c>
      <c r="AE321" s="2" t="s">
        <v>59</v>
      </c>
      <c r="AF321" s="2" t="s">
        <v>86</v>
      </c>
      <c r="AG321" s="2" t="s">
        <v>61</v>
      </c>
      <c r="AH321" s="2" t="s">
        <v>62</v>
      </c>
      <c r="AI321" s="2" t="s">
        <v>100</v>
      </c>
      <c r="AJ321" s="2">
        <v>1.0124335097455901</v>
      </c>
      <c r="AK321" s="2">
        <v>4.0794139097203796</v>
      </c>
      <c r="AL321" s="2">
        <v>1.4956866204281301</v>
      </c>
      <c r="AM321" s="2">
        <v>0.34102360973118701</v>
      </c>
      <c r="AN321" s="2">
        <v>3.3841766792673198</v>
      </c>
      <c r="AO321" s="2">
        <v>0.21933440711323801</v>
      </c>
      <c r="AP321" s="2">
        <v>0.21933440711323801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14</v>
      </c>
      <c r="AW321" s="2">
        <v>0</v>
      </c>
      <c r="AX321" s="2">
        <v>0</v>
      </c>
      <c r="AY321" s="2">
        <v>15.3</v>
      </c>
      <c r="AZ321" s="2">
        <v>9.8000000000000007</v>
      </c>
      <c r="BA321" s="2">
        <v>29.7</v>
      </c>
      <c r="BB321" s="2">
        <v>564</v>
      </c>
      <c r="BC321" s="2">
        <v>68</v>
      </c>
      <c r="BD321" s="2">
        <v>1.8</v>
      </c>
      <c r="BE321" s="2">
        <v>43</v>
      </c>
      <c r="BF321" s="2">
        <v>25.4</v>
      </c>
      <c r="BG321" s="2">
        <v>162</v>
      </c>
      <c r="BH321" s="2">
        <v>9.1</v>
      </c>
      <c r="BI321" s="2">
        <v>9.1999999999999993</v>
      </c>
      <c r="BJ321" s="2">
        <v>18.3</v>
      </c>
      <c r="BK321" s="2">
        <v>0.34</v>
      </c>
      <c r="BL321" s="2">
        <v>7.3</v>
      </c>
      <c r="BM321" s="2">
        <v>0.9</v>
      </c>
      <c r="BN321" s="2">
        <v>7.5</v>
      </c>
      <c r="BO321" s="2">
        <v>2.9</v>
      </c>
      <c r="BP321" s="2">
        <f t="shared" si="8"/>
        <v>8.9715587146017821</v>
      </c>
      <c r="BQ321" s="2">
        <f t="shared" si="9"/>
        <v>28.454997236015743</v>
      </c>
    </row>
    <row r="322" spans="1:69" x14ac:dyDescent="0.2">
      <c r="A322" s="2" t="s">
        <v>304</v>
      </c>
      <c r="B322" s="2" t="s">
        <v>47</v>
      </c>
      <c r="C322" s="2" t="s">
        <v>48</v>
      </c>
      <c r="D322" s="2" t="s">
        <v>49</v>
      </c>
      <c r="E322" s="2" t="s">
        <v>305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89</v>
      </c>
      <c r="L322" s="6" t="s">
        <v>90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306</v>
      </c>
      <c r="R322" s="2">
        <v>7450980.392</v>
      </c>
      <c r="S322" s="2">
        <v>0</v>
      </c>
      <c r="T322" s="2" t="s">
        <v>130</v>
      </c>
      <c r="U322" s="2" t="s">
        <v>131</v>
      </c>
      <c r="V322" s="2" t="s">
        <v>56</v>
      </c>
      <c r="W322" s="2" t="s">
        <v>98</v>
      </c>
      <c r="X322" s="2" t="s">
        <v>132</v>
      </c>
      <c r="Y322" s="2">
        <v>3.8142137046103999</v>
      </c>
      <c r="Z322" s="2">
        <v>3814.2137046103999</v>
      </c>
      <c r="AA322" s="2">
        <v>4.7837500000000004</v>
      </c>
      <c r="AB322" s="2">
        <v>-74.044138888888895</v>
      </c>
      <c r="AC322" s="2">
        <v>2580</v>
      </c>
      <c r="AD322" s="2">
        <v>0</v>
      </c>
      <c r="AE322" s="2" t="s">
        <v>133</v>
      </c>
      <c r="AF322" s="2" t="s">
        <v>86</v>
      </c>
      <c r="AG322" s="2" t="s">
        <v>61</v>
      </c>
      <c r="AH322" s="2" t="s">
        <v>62</v>
      </c>
      <c r="AI322" s="2" t="s">
        <v>87</v>
      </c>
      <c r="AJ322" s="2">
        <v>1.81628897500666</v>
      </c>
      <c r="AK322" s="2">
        <v>0.99107306977367304</v>
      </c>
      <c r="AL322" s="2">
        <v>0.20372021284289901</v>
      </c>
      <c r="AM322" s="2">
        <v>0.83156492988143804</v>
      </c>
      <c r="AN322" s="2">
        <v>1.27013457713819</v>
      </c>
      <c r="AO322" s="2">
        <v>1.7274594364650699E-2</v>
      </c>
      <c r="AP322" s="2">
        <v>1.7274594364650699E-2</v>
      </c>
      <c r="AQ322" s="2">
        <v>0</v>
      </c>
      <c r="AR322" s="2">
        <v>0</v>
      </c>
      <c r="AS322" s="2">
        <v>0</v>
      </c>
      <c r="AT322" s="2">
        <v>4</v>
      </c>
      <c r="AU322" s="2">
        <v>3</v>
      </c>
      <c r="AV322" s="2">
        <v>1</v>
      </c>
      <c r="AW322" s="2">
        <v>0</v>
      </c>
      <c r="AX322" s="2">
        <v>0</v>
      </c>
      <c r="AY322" s="2">
        <v>15.3</v>
      </c>
      <c r="AZ322" s="2">
        <v>9.8000000000000007</v>
      </c>
      <c r="BA322" s="2">
        <v>29.7</v>
      </c>
      <c r="BB322" s="2">
        <v>564</v>
      </c>
      <c r="BC322" s="2">
        <v>68</v>
      </c>
      <c r="BD322" s="2">
        <v>1.8</v>
      </c>
      <c r="BE322" s="2">
        <v>43</v>
      </c>
      <c r="BF322" s="2">
        <v>25.4</v>
      </c>
      <c r="BG322" s="2">
        <v>162</v>
      </c>
      <c r="BH322" s="2">
        <v>9.1</v>
      </c>
      <c r="BI322" s="2">
        <v>9.1999999999999993</v>
      </c>
      <c r="BJ322" s="2">
        <v>18.3</v>
      </c>
      <c r="BK322" s="2">
        <v>0.34</v>
      </c>
      <c r="BL322" s="2">
        <v>7.3</v>
      </c>
      <c r="BM322" s="2">
        <v>0.9</v>
      </c>
      <c r="BN322" s="2">
        <v>7.5</v>
      </c>
      <c r="BO322" s="2">
        <v>2.9</v>
      </c>
      <c r="BP322" s="2">
        <f t="shared" ref="BP322:BP385" si="10">+AZ322*EXP(-0.0495*Y322)</f>
        <v>8.113901354758692</v>
      </c>
      <c r="BQ322" s="2">
        <f t="shared" ref="BQ322:BQ385" si="11">+BA322*EXP(-0.024*Y322)</f>
        <v>27.101956392848845</v>
      </c>
    </row>
    <row r="323" spans="1:69" x14ac:dyDescent="0.2">
      <c r="A323" s="2" t="s">
        <v>846</v>
      </c>
      <c r="B323" s="2" t="s">
        <v>47</v>
      </c>
      <c r="C323" s="2" t="s">
        <v>48</v>
      </c>
      <c r="D323" s="2" t="s">
        <v>49</v>
      </c>
      <c r="E323" s="2" t="s">
        <v>847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89</v>
      </c>
      <c r="L323" s="6" t="s">
        <v>90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848</v>
      </c>
      <c r="R323" s="2">
        <v>4800000</v>
      </c>
      <c r="S323" s="2">
        <v>0</v>
      </c>
      <c r="T323" s="2" t="s">
        <v>96</v>
      </c>
      <c r="U323" s="2" t="s">
        <v>97</v>
      </c>
      <c r="V323" s="2" t="s">
        <v>56</v>
      </c>
      <c r="W323" s="2" t="s">
        <v>98</v>
      </c>
      <c r="X323" s="2" t="s">
        <v>99</v>
      </c>
      <c r="Y323" s="2">
        <v>3.55777728742112</v>
      </c>
      <c r="Z323" s="2">
        <v>3557.77728742112</v>
      </c>
      <c r="AA323" s="2">
        <v>4.73719444444444</v>
      </c>
      <c r="AB323" s="2">
        <v>-74.069472222222203</v>
      </c>
      <c r="AC323" s="2">
        <v>2555</v>
      </c>
      <c r="AD323" s="2">
        <v>0</v>
      </c>
      <c r="AE323" s="2" t="s">
        <v>59</v>
      </c>
      <c r="AF323" s="2" t="s">
        <v>86</v>
      </c>
      <c r="AG323" s="2" t="s">
        <v>61</v>
      </c>
      <c r="AH323" s="2" t="s">
        <v>62</v>
      </c>
      <c r="AI323" s="2" t="s">
        <v>87</v>
      </c>
      <c r="AJ323" s="2">
        <v>0.90003962746494703</v>
      </c>
      <c r="AK323" s="2">
        <v>2.1046765236403799</v>
      </c>
      <c r="AL323" s="2">
        <v>1.02142762868014</v>
      </c>
      <c r="AM323" s="2">
        <v>0.31121621411485101</v>
      </c>
      <c r="AN323" s="2">
        <v>1.60453588335286</v>
      </c>
      <c r="AO323" s="2">
        <v>0.31303635652271899</v>
      </c>
      <c r="AP323" s="2">
        <v>0.31303635652271899</v>
      </c>
      <c r="AQ323" s="2">
        <v>0</v>
      </c>
      <c r="AR323" s="2">
        <v>2</v>
      </c>
      <c r="AS323" s="2">
        <v>0</v>
      </c>
      <c r="AT323" s="2">
        <v>0</v>
      </c>
      <c r="AU323" s="2">
        <v>0</v>
      </c>
      <c r="AV323" s="2">
        <v>33</v>
      </c>
      <c r="AW323" s="2">
        <v>0</v>
      </c>
      <c r="AX323" s="2">
        <v>0</v>
      </c>
      <c r="AY323" s="2">
        <v>15.3</v>
      </c>
      <c r="AZ323" s="2">
        <v>9.8000000000000007</v>
      </c>
      <c r="BA323" s="2">
        <v>29.7</v>
      </c>
      <c r="BB323" s="2">
        <v>564</v>
      </c>
      <c r="BC323" s="2">
        <v>68</v>
      </c>
      <c r="BD323" s="2">
        <v>1.8</v>
      </c>
      <c r="BE323" s="2">
        <v>43</v>
      </c>
      <c r="BF323" s="2">
        <v>25.4</v>
      </c>
      <c r="BG323" s="2">
        <v>162</v>
      </c>
      <c r="BH323" s="2">
        <v>9.1</v>
      </c>
      <c r="BI323" s="2">
        <v>9.1999999999999993</v>
      </c>
      <c r="BJ323" s="2">
        <v>18.3</v>
      </c>
      <c r="BK323" s="2">
        <v>0.34</v>
      </c>
      <c r="BL323" s="2">
        <v>7.3</v>
      </c>
      <c r="BM323" s="2">
        <v>0.9</v>
      </c>
      <c r="BN323" s="2">
        <v>7.5</v>
      </c>
      <c r="BO323" s="2">
        <v>2.9</v>
      </c>
      <c r="BP323" s="2">
        <f t="shared" si="10"/>
        <v>8.2175524556989359</v>
      </c>
      <c r="BQ323" s="2">
        <f t="shared" si="11"/>
        <v>27.269269011624132</v>
      </c>
    </row>
    <row r="324" spans="1:69" x14ac:dyDescent="0.2">
      <c r="A324" s="2" t="s">
        <v>1781</v>
      </c>
      <c r="B324" s="2" t="s">
        <v>47</v>
      </c>
      <c r="C324" s="2" t="s">
        <v>48</v>
      </c>
      <c r="D324" s="2" t="s">
        <v>49</v>
      </c>
      <c r="E324" s="2" t="s">
        <v>462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89</v>
      </c>
      <c r="L324" s="6" t="s">
        <v>112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1782</v>
      </c>
      <c r="R324" s="2">
        <v>7142857.1430000002</v>
      </c>
      <c r="S324" s="2">
        <v>0</v>
      </c>
      <c r="T324" s="2" t="s">
        <v>96</v>
      </c>
      <c r="U324" s="2" t="s">
        <v>97</v>
      </c>
      <c r="V324" s="2" t="s">
        <v>56</v>
      </c>
      <c r="W324" s="2" t="s">
        <v>98</v>
      </c>
      <c r="X324" s="2" t="s">
        <v>99</v>
      </c>
      <c r="Y324" s="2">
        <v>1.64135049516465</v>
      </c>
      <c r="Z324" s="2">
        <v>1641.3504951646501</v>
      </c>
      <c r="AA324" s="2">
        <v>4.73719444444444</v>
      </c>
      <c r="AB324" s="2">
        <v>-74.069472222222203</v>
      </c>
      <c r="AC324" s="2">
        <v>2555</v>
      </c>
      <c r="AD324" s="2">
        <v>0</v>
      </c>
      <c r="AE324" s="2" t="s">
        <v>59</v>
      </c>
      <c r="AF324" s="2" t="s">
        <v>86</v>
      </c>
      <c r="AG324" s="2" t="s">
        <v>61</v>
      </c>
      <c r="AH324" s="2" t="s">
        <v>62</v>
      </c>
      <c r="AI324" s="2" t="s">
        <v>100</v>
      </c>
      <c r="AJ324" s="2">
        <v>0.25279630574219902</v>
      </c>
      <c r="AK324" s="2">
        <v>5.4895833337738003</v>
      </c>
      <c r="AL324" s="2">
        <v>0.69513174629010999</v>
      </c>
      <c r="AM324" s="2">
        <v>0.30151610644834198</v>
      </c>
      <c r="AN324" s="2">
        <v>2.4517126377388898</v>
      </c>
      <c r="AO324" s="2">
        <v>0.26443495571400399</v>
      </c>
      <c r="AP324" s="2">
        <v>0.26443495571400399</v>
      </c>
      <c r="AQ324" s="2">
        <v>1</v>
      </c>
      <c r="AR324" s="2">
        <v>2</v>
      </c>
      <c r="AS324" s="2">
        <v>0</v>
      </c>
      <c r="AT324" s="2">
        <v>0</v>
      </c>
      <c r="AU324" s="2">
        <v>1</v>
      </c>
      <c r="AV324" s="2">
        <v>27</v>
      </c>
      <c r="AW324" s="2">
        <v>0</v>
      </c>
      <c r="AX324" s="2">
        <v>0</v>
      </c>
      <c r="AY324" s="2">
        <v>15.3</v>
      </c>
      <c r="AZ324" s="2">
        <v>9.8000000000000007</v>
      </c>
      <c r="BA324" s="2">
        <v>29.7</v>
      </c>
      <c r="BB324" s="2">
        <v>564</v>
      </c>
      <c r="BC324" s="2">
        <v>68</v>
      </c>
      <c r="BD324" s="2">
        <v>1.8</v>
      </c>
      <c r="BE324" s="2">
        <v>43</v>
      </c>
      <c r="BF324" s="2">
        <v>25.4</v>
      </c>
      <c r="BG324" s="2">
        <v>162</v>
      </c>
      <c r="BH324" s="2">
        <v>9.1</v>
      </c>
      <c r="BI324" s="2">
        <v>9.1999999999999993</v>
      </c>
      <c r="BJ324" s="2">
        <v>18.3</v>
      </c>
      <c r="BK324" s="2">
        <v>0.34</v>
      </c>
      <c r="BL324" s="2">
        <v>7.3</v>
      </c>
      <c r="BM324" s="2">
        <v>0.9</v>
      </c>
      <c r="BN324" s="2">
        <v>7.5</v>
      </c>
      <c r="BO324" s="2">
        <v>2.9</v>
      </c>
      <c r="BP324" s="2">
        <f t="shared" si="10"/>
        <v>9.0352675494807517</v>
      </c>
      <c r="BQ324" s="2">
        <f t="shared" si="11"/>
        <v>28.552789409094981</v>
      </c>
    </row>
    <row r="325" spans="1:69" x14ac:dyDescent="0.2">
      <c r="A325" s="2" t="s">
        <v>2034</v>
      </c>
      <c r="B325" s="2" t="s">
        <v>47</v>
      </c>
      <c r="C325" s="2" t="s">
        <v>1935</v>
      </c>
      <c r="D325" s="2" t="s">
        <v>49</v>
      </c>
      <c r="E325" s="2" t="s">
        <v>1966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89</v>
      </c>
      <c r="L325" s="6" t="s">
        <v>141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2035</v>
      </c>
      <c r="R325" s="2">
        <v>6458333.3329999996</v>
      </c>
      <c r="S325" s="2">
        <v>0</v>
      </c>
      <c r="T325" s="2" t="s">
        <v>130</v>
      </c>
      <c r="U325" s="2" t="s">
        <v>131</v>
      </c>
      <c r="V325" s="2" t="s">
        <v>56</v>
      </c>
      <c r="W325" s="2" t="s">
        <v>98</v>
      </c>
      <c r="X325" s="2" t="s">
        <v>132</v>
      </c>
      <c r="Y325" s="2">
        <v>2.02884638069622</v>
      </c>
      <c r="Z325" s="2">
        <v>2028.84638069622</v>
      </c>
      <c r="AA325" s="2">
        <v>4.7837500000000004</v>
      </c>
      <c r="AB325" s="2">
        <v>-74.044138888888895</v>
      </c>
      <c r="AC325" s="2">
        <v>2580</v>
      </c>
      <c r="AD325" s="2">
        <v>0</v>
      </c>
      <c r="AE325" s="2" t="s">
        <v>133</v>
      </c>
      <c r="AF325" s="2" t="s">
        <v>86</v>
      </c>
      <c r="AG325" s="2" t="s">
        <v>61</v>
      </c>
      <c r="AH325" s="2" t="s">
        <v>62</v>
      </c>
      <c r="AI325" s="2" t="s">
        <v>87</v>
      </c>
      <c r="AJ325" s="2">
        <v>0.29896849143564702</v>
      </c>
      <c r="AK325" s="2">
        <v>2.2229118081243402</v>
      </c>
      <c r="AL325" s="2">
        <v>1.7865398278976401</v>
      </c>
      <c r="AM325" s="2">
        <v>0.36418003685891298</v>
      </c>
      <c r="AN325" s="2">
        <v>3.20471916306784</v>
      </c>
      <c r="AO325" s="2">
        <v>0.19530948667756101</v>
      </c>
      <c r="AP325" s="2">
        <v>0.19530948667756101</v>
      </c>
      <c r="AQ325" s="2">
        <v>2</v>
      </c>
      <c r="AR325" s="2">
        <v>2</v>
      </c>
      <c r="AS325" s="2">
        <v>0</v>
      </c>
      <c r="AT325" s="2">
        <v>0</v>
      </c>
      <c r="AU325" s="2">
        <v>0</v>
      </c>
      <c r="AV325" s="2">
        <v>14</v>
      </c>
      <c r="AW325" s="2">
        <v>0</v>
      </c>
      <c r="AX325" s="2">
        <v>0</v>
      </c>
      <c r="AY325" s="2">
        <v>15.3</v>
      </c>
      <c r="AZ325" s="2">
        <v>9.8000000000000007</v>
      </c>
      <c r="BA325" s="2">
        <v>29.7</v>
      </c>
      <c r="BB325" s="2">
        <v>564</v>
      </c>
      <c r="BC325" s="2">
        <v>68</v>
      </c>
      <c r="BD325" s="2">
        <v>1.8</v>
      </c>
      <c r="BE325" s="2">
        <v>43</v>
      </c>
      <c r="BF325" s="2">
        <v>25.4</v>
      </c>
      <c r="BG325" s="2">
        <v>162</v>
      </c>
      <c r="BH325" s="2">
        <v>9.1</v>
      </c>
      <c r="BI325" s="2">
        <v>9.1999999999999993</v>
      </c>
      <c r="BJ325" s="2">
        <v>18.3</v>
      </c>
      <c r="BK325" s="2">
        <v>0.34</v>
      </c>
      <c r="BL325" s="2">
        <v>7.3</v>
      </c>
      <c r="BM325" s="2">
        <v>0.9</v>
      </c>
      <c r="BN325" s="2">
        <v>7.5</v>
      </c>
      <c r="BO325" s="2">
        <v>2.9</v>
      </c>
      <c r="BP325" s="2">
        <f t="shared" si="10"/>
        <v>8.8636131819481943</v>
      </c>
      <c r="BQ325" s="2">
        <f t="shared" si="11"/>
        <v>28.288482207488236</v>
      </c>
    </row>
    <row r="326" spans="1:69" x14ac:dyDescent="0.2">
      <c r="A326" s="2" t="s">
        <v>1483</v>
      </c>
      <c r="B326" s="2" t="s">
        <v>47</v>
      </c>
      <c r="C326" s="2" t="s">
        <v>48</v>
      </c>
      <c r="D326" s="2" t="s">
        <v>49</v>
      </c>
      <c r="E326" s="2" t="s">
        <v>1484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89</v>
      </c>
      <c r="L326" s="6" t="s">
        <v>90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1485</v>
      </c>
      <c r="R326" s="2">
        <v>6421052.6320000002</v>
      </c>
      <c r="S326" s="2">
        <v>0</v>
      </c>
      <c r="T326" s="2" t="s">
        <v>130</v>
      </c>
      <c r="U326" s="2" t="s">
        <v>131</v>
      </c>
      <c r="V326" s="2" t="s">
        <v>56</v>
      </c>
      <c r="W326" s="2" t="s">
        <v>98</v>
      </c>
      <c r="X326" s="2" t="s">
        <v>132</v>
      </c>
      <c r="Y326" s="2">
        <v>3.5393849161012101</v>
      </c>
      <c r="Z326" s="2">
        <v>3539.3849161012099</v>
      </c>
      <c r="AA326" s="2">
        <v>4.7837500000000004</v>
      </c>
      <c r="AB326" s="2">
        <v>-74.044138888888895</v>
      </c>
      <c r="AC326" s="2">
        <v>2580</v>
      </c>
      <c r="AD326" s="2">
        <v>0</v>
      </c>
      <c r="AE326" s="2" t="s">
        <v>133</v>
      </c>
      <c r="AF326" s="2" t="s">
        <v>86</v>
      </c>
      <c r="AG326" s="2" t="s">
        <v>61</v>
      </c>
      <c r="AH326" s="2" t="s">
        <v>62</v>
      </c>
      <c r="AI326" s="2" t="s">
        <v>87</v>
      </c>
      <c r="AJ326" s="2">
        <v>0.97027296579100297</v>
      </c>
      <c r="AK326" s="2">
        <v>1.7882857509094501</v>
      </c>
      <c r="AL326" s="2">
        <v>0.790433154587174</v>
      </c>
      <c r="AM326" s="2">
        <v>0.66657607473890401</v>
      </c>
      <c r="AN326" s="2">
        <v>1.71386765530177</v>
      </c>
      <c r="AO326" s="2">
        <v>0.258967967373393</v>
      </c>
      <c r="AP326" s="2">
        <v>0.258967967373393</v>
      </c>
      <c r="AQ326" s="2">
        <v>0</v>
      </c>
      <c r="AR326" s="2">
        <v>1</v>
      </c>
      <c r="AS326" s="2">
        <v>0</v>
      </c>
      <c r="AT326" s="2">
        <v>0</v>
      </c>
      <c r="AU326" s="2">
        <v>1</v>
      </c>
      <c r="AV326" s="2">
        <v>11</v>
      </c>
      <c r="AW326" s="2">
        <v>0</v>
      </c>
      <c r="AX326" s="2">
        <v>0</v>
      </c>
      <c r="AY326" s="2">
        <v>15.3</v>
      </c>
      <c r="AZ326" s="2">
        <v>9.8000000000000007</v>
      </c>
      <c r="BA326" s="2">
        <v>29.7</v>
      </c>
      <c r="BB326" s="2">
        <v>564</v>
      </c>
      <c r="BC326" s="2">
        <v>68</v>
      </c>
      <c r="BD326" s="2">
        <v>1.8</v>
      </c>
      <c r="BE326" s="2">
        <v>43</v>
      </c>
      <c r="BF326" s="2">
        <v>25.4</v>
      </c>
      <c r="BG326" s="2">
        <v>162</v>
      </c>
      <c r="BH326" s="2">
        <v>9.1</v>
      </c>
      <c r="BI326" s="2">
        <v>9.1999999999999993</v>
      </c>
      <c r="BJ326" s="2">
        <v>18.3</v>
      </c>
      <c r="BK326" s="2">
        <v>0.34</v>
      </c>
      <c r="BL326" s="2">
        <v>7.3</v>
      </c>
      <c r="BM326" s="2">
        <v>0.9</v>
      </c>
      <c r="BN326" s="2">
        <v>7.5</v>
      </c>
      <c r="BO326" s="2">
        <v>2.9</v>
      </c>
      <c r="BP326" s="2">
        <f t="shared" si="10"/>
        <v>8.2250373060368194</v>
      </c>
      <c r="BQ326" s="2">
        <f t="shared" si="11"/>
        <v>27.281308785219299</v>
      </c>
    </row>
    <row r="327" spans="1:69" x14ac:dyDescent="0.2">
      <c r="A327" s="2" t="s">
        <v>1447</v>
      </c>
      <c r="B327" s="2" t="s">
        <v>47</v>
      </c>
      <c r="C327" s="2" t="s">
        <v>48</v>
      </c>
      <c r="D327" s="2" t="s">
        <v>49</v>
      </c>
      <c r="E327" s="2" t="s">
        <v>640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89</v>
      </c>
      <c r="L327" s="6" t="s">
        <v>90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1448</v>
      </c>
      <c r="R327" s="2">
        <v>10495876.619999999</v>
      </c>
      <c r="S327" s="2">
        <v>0</v>
      </c>
      <c r="T327" s="2" t="s">
        <v>96</v>
      </c>
      <c r="U327" s="2" t="s">
        <v>97</v>
      </c>
      <c r="V327" s="2" t="s">
        <v>56</v>
      </c>
      <c r="W327" s="2" t="s">
        <v>98</v>
      </c>
      <c r="X327" s="2" t="s">
        <v>99</v>
      </c>
      <c r="Y327" s="2">
        <v>0.74184686161980395</v>
      </c>
      <c r="Z327" s="2">
        <v>741.84686161980403</v>
      </c>
      <c r="AA327" s="2">
        <v>4.73719444444444</v>
      </c>
      <c r="AB327" s="2">
        <v>-74.069472222222203</v>
      </c>
      <c r="AC327" s="2">
        <v>2555</v>
      </c>
      <c r="AD327" s="2">
        <v>0</v>
      </c>
      <c r="AE327" s="2" t="s">
        <v>59</v>
      </c>
      <c r="AF327" s="2" t="s">
        <v>86</v>
      </c>
      <c r="AG327" s="2" t="s">
        <v>61</v>
      </c>
      <c r="AH327" s="2" t="s">
        <v>62</v>
      </c>
      <c r="AI327" s="2" t="s">
        <v>100</v>
      </c>
      <c r="AJ327" s="2">
        <v>1.7452318150444599</v>
      </c>
      <c r="AK327" s="2">
        <v>5.1789010678522498</v>
      </c>
      <c r="AL327" s="2">
        <v>1.8888546401011901</v>
      </c>
      <c r="AM327" s="2">
        <v>0.45611198685311699</v>
      </c>
      <c r="AN327" s="2">
        <v>1.9959321638993801</v>
      </c>
      <c r="AO327" s="2">
        <v>0.22463336151207899</v>
      </c>
      <c r="AP327" s="2">
        <v>0.22463336151207899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13</v>
      </c>
      <c r="AW327" s="2">
        <v>0</v>
      </c>
      <c r="AX327" s="2">
        <v>0</v>
      </c>
      <c r="AY327" s="2">
        <v>15.3</v>
      </c>
      <c r="AZ327" s="2">
        <v>9.8000000000000007</v>
      </c>
      <c r="BA327" s="2">
        <v>29.7</v>
      </c>
      <c r="BB327" s="2">
        <v>564</v>
      </c>
      <c r="BC327" s="2">
        <v>68</v>
      </c>
      <c r="BD327" s="2">
        <v>1.8</v>
      </c>
      <c r="BE327" s="2">
        <v>43</v>
      </c>
      <c r="BF327" s="2">
        <v>25.4</v>
      </c>
      <c r="BG327" s="2">
        <v>162</v>
      </c>
      <c r="BH327" s="2">
        <v>9.1</v>
      </c>
      <c r="BI327" s="2">
        <v>9.1999999999999993</v>
      </c>
      <c r="BJ327" s="2">
        <v>18.3</v>
      </c>
      <c r="BK327" s="2">
        <v>0.34</v>
      </c>
      <c r="BL327" s="2">
        <v>7.3</v>
      </c>
      <c r="BM327" s="2">
        <v>0.9</v>
      </c>
      <c r="BN327" s="2">
        <v>7.5</v>
      </c>
      <c r="BO327" s="2">
        <v>2.9</v>
      </c>
      <c r="BP327" s="2">
        <f t="shared" si="10"/>
        <v>9.446657413018082</v>
      </c>
      <c r="BQ327" s="2">
        <f t="shared" si="11"/>
        <v>29.175891104383524</v>
      </c>
    </row>
    <row r="328" spans="1:69" x14ac:dyDescent="0.2">
      <c r="A328" s="2" t="s">
        <v>1502</v>
      </c>
      <c r="B328" s="2" t="s">
        <v>47</v>
      </c>
      <c r="C328" s="2" t="s">
        <v>48</v>
      </c>
      <c r="D328" s="2" t="s">
        <v>49</v>
      </c>
      <c r="E328" s="2" t="s">
        <v>1503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89</v>
      </c>
      <c r="L328" s="6" t="s">
        <v>141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1504</v>
      </c>
      <c r="R328" s="2">
        <v>6557729.5209999997</v>
      </c>
      <c r="S328" s="2">
        <v>0</v>
      </c>
      <c r="T328" s="2" t="s">
        <v>96</v>
      </c>
      <c r="U328" s="2" t="s">
        <v>97</v>
      </c>
      <c r="V328" s="2" t="s">
        <v>56</v>
      </c>
      <c r="W328" s="2" t="s">
        <v>98</v>
      </c>
      <c r="X328" s="2" t="s">
        <v>99</v>
      </c>
      <c r="Y328" s="2">
        <v>1.9498844359537</v>
      </c>
      <c r="Z328" s="2">
        <v>1949.8844359536999</v>
      </c>
      <c r="AA328" s="2">
        <v>4.73719444444444</v>
      </c>
      <c r="AB328" s="2">
        <v>-74.069472222222203</v>
      </c>
      <c r="AC328" s="2">
        <v>2555</v>
      </c>
      <c r="AD328" s="2">
        <v>0</v>
      </c>
      <c r="AE328" s="2" t="s">
        <v>59</v>
      </c>
      <c r="AF328" s="2" t="s">
        <v>86</v>
      </c>
      <c r="AG328" s="2" t="s">
        <v>61</v>
      </c>
      <c r="AH328" s="2" t="s">
        <v>62</v>
      </c>
      <c r="AI328" s="2" t="s">
        <v>100</v>
      </c>
      <c r="AJ328" s="2">
        <v>2.2651708450952199</v>
      </c>
      <c r="AK328" s="2">
        <v>4.6789391417905302</v>
      </c>
      <c r="AL328" s="2">
        <v>1.4433019874122499</v>
      </c>
      <c r="AM328" s="2">
        <v>0.35173291642773302</v>
      </c>
      <c r="AN328" s="2">
        <v>2.5373563477343999</v>
      </c>
      <c r="AO328" s="2">
        <v>3.9441837697499198E-2</v>
      </c>
      <c r="AP328" s="2">
        <v>3.9441837697499198E-2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14</v>
      </c>
      <c r="AW328" s="2">
        <v>0</v>
      </c>
      <c r="AX328" s="2">
        <v>1</v>
      </c>
      <c r="AY328" s="2">
        <v>15.3</v>
      </c>
      <c r="AZ328" s="2">
        <v>9.8000000000000007</v>
      </c>
      <c r="BA328" s="2">
        <v>29.7</v>
      </c>
      <c r="BB328" s="2">
        <v>564</v>
      </c>
      <c r="BC328" s="2">
        <v>68</v>
      </c>
      <c r="BD328" s="2">
        <v>1.8</v>
      </c>
      <c r="BE328" s="2">
        <v>43</v>
      </c>
      <c r="BF328" s="2">
        <v>25.4</v>
      </c>
      <c r="BG328" s="2">
        <v>162</v>
      </c>
      <c r="BH328" s="2">
        <v>9.1</v>
      </c>
      <c r="BI328" s="2">
        <v>9.1999999999999993</v>
      </c>
      <c r="BJ328" s="2">
        <v>18.3</v>
      </c>
      <c r="BK328" s="2">
        <v>0.34</v>
      </c>
      <c r="BL328" s="2">
        <v>7.3</v>
      </c>
      <c r="BM328" s="2">
        <v>0.9</v>
      </c>
      <c r="BN328" s="2">
        <v>7.5</v>
      </c>
      <c r="BO328" s="2">
        <v>2.9</v>
      </c>
      <c r="BP328" s="2">
        <f t="shared" si="10"/>
        <v>8.8983254388492075</v>
      </c>
      <c r="BQ328" s="2">
        <f t="shared" si="11"/>
        <v>28.342142162215495</v>
      </c>
    </row>
    <row r="329" spans="1:69" x14ac:dyDescent="0.2">
      <c r="A329" s="2" t="s">
        <v>255</v>
      </c>
      <c r="B329" s="2" t="s">
        <v>47</v>
      </c>
      <c r="C329" s="2" t="s">
        <v>48</v>
      </c>
      <c r="D329" s="2" t="s">
        <v>49</v>
      </c>
      <c r="E329" s="2" t="s">
        <v>256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89</v>
      </c>
      <c r="L329" s="6" t="s">
        <v>112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257</v>
      </c>
      <c r="R329" s="2">
        <v>7956989.2470000004</v>
      </c>
      <c r="S329" s="2">
        <v>0</v>
      </c>
      <c r="T329" s="2" t="s">
        <v>96</v>
      </c>
      <c r="U329" s="2" t="s">
        <v>97</v>
      </c>
      <c r="V329" s="2" t="s">
        <v>56</v>
      </c>
      <c r="W329" s="2" t="s">
        <v>98</v>
      </c>
      <c r="X329" s="2" t="s">
        <v>99</v>
      </c>
      <c r="Y329" s="2">
        <v>1.8376476171826199</v>
      </c>
      <c r="Z329" s="2">
        <v>1837.64761718262</v>
      </c>
      <c r="AA329" s="2">
        <v>4.73719444444444</v>
      </c>
      <c r="AB329" s="2">
        <v>-74.069472222222203</v>
      </c>
      <c r="AC329" s="2">
        <v>2555</v>
      </c>
      <c r="AD329" s="2">
        <v>0</v>
      </c>
      <c r="AE329" s="2" t="s">
        <v>59</v>
      </c>
      <c r="AF329" s="2" t="s">
        <v>86</v>
      </c>
      <c r="AG329" s="2" t="s">
        <v>61</v>
      </c>
      <c r="AH329" s="2" t="s">
        <v>62</v>
      </c>
      <c r="AI329" s="2" t="s">
        <v>100</v>
      </c>
      <c r="AJ329" s="2">
        <v>1.03823306523088</v>
      </c>
      <c r="AK329" s="2">
        <v>4.1243620380340902</v>
      </c>
      <c r="AL329" s="2">
        <v>1.3944219435571299</v>
      </c>
      <c r="AM329" s="2">
        <v>0.25358104999807302</v>
      </c>
      <c r="AN329" s="2">
        <v>3.3969132926840202</v>
      </c>
      <c r="AO329" s="2">
        <v>0.18538648466875299</v>
      </c>
      <c r="AP329" s="2">
        <v>0.18538648466875299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16</v>
      </c>
      <c r="AW329" s="2">
        <v>0</v>
      </c>
      <c r="AX329" s="2">
        <v>0</v>
      </c>
      <c r="AY329" s="2">
        <v>15.3</v>
      </c>
      <c r="AZ329" s="2">
        <v>9.8000000000000007</v>
      </c>
      <c r="BA329" s="2">
        <v>29.7</v>
      </c>
      <c r="BB329" s="2">
        <v>564</v>
      </c>
      <c r="BC329" s="2">
        <v>68</v>
      </c>
      <c r="BD329" s="2">
        <v>1.8</v>
      </c>
      <c r="BE329" s="2">
        <v>43</v>
      </c>
      <c r="BF329" s="2">
        <v>25.4</v>
      </c>
      <c r="BG329" s="2">
        <v>162</v>
      </c>
      <c r="BH329" s="2">
        <v>9.1</v>
      </c>
      <c r="BI329" s="2">
        <v>9.1999999999999993</v>
      </c>
      <c r="BJ329" s="2">
        <v>18.3</v>
      </c>
      <c r="BK329" s="2">
        <v>0.34</v>
      </c>
      <c r="BL329" s="2">
        <v>7.3</v>
      </c>
      <c r="BM329" s="2">
        <v>0.9</v>
      </c>
      <c r="BN329" s="2">
        <v>7.5</v>
      </c>
      <c r="BO329" s="2">
        <v>2.9</v>
      </c>
      <c r="BP329" s="2">
        <f t="shared" si="10"/>
        <v>8.9478996487257501</v>
      </c>
      <c r="BQ329" s="2">
        <f t="shared" si="11"/>
        <v>28.418589843888366</v>
      </c>
    </row>
    <row r="330" spans="1:69" x14ac:dyDescent="0.2">
      <c r="A330" s="2" t="s">
        <v>550</v>
      </c>
      <c r="B330" s="2" t="s">
        <v>47</v>
      </c>
      <c r="C330" s="2" t="s">
        <v>48</v>
      </c>
      <c r="D330" s="2" t="s">
        <v>49</v>
      </c>
      <c r="E330" s="2" t="s">
        <v>119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89</v>
      </c>
      <c r="L330" s="6" t="s">
        <v>103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551</v>
      </c>
      <c r="R330" s="2">
        <v>7290322.5810000002</v>
      </c>
      <c r="S330" s="2">
        <v>0</v>
      </c>
      <c r="T330" s="2" t="s">
        <v>96</v>
      </c>
      <c r="U330" s="2" t="s">
        <v>97</v>
      </c>
      <c r="V330" s="2" t="s">
        <v>56</v>
      </c>
      <c r="W330" s="2" t="s">
        <v>98</v>
      </c>
      <c r="X330" s="2" t="s">
        <v>99</v>
      </c>
      <c r="Y330" s="2">
        <v>1.1390934243661299</v>
      </c>
      <c r="Z330" s="2">
        <v>1139.09342436613</v>
      </c>
      <c r="AA330" s="2">
        <v>4.73719444444444</v>
      </c>
      <c r="AB330" s="2">
        <v>-74.069472222222203</v>
      </c>
      <c r="AC330" s="2">
        <v>2555</v>
      </c>
      <c r="AD330" s="2">
        <v>0</v>
      </c>
      <c r="AE330" s="2" t="s">
        <v>59</v>
      </c>
      <c r="AF330" s="2" t="s">
        <v>86</v>
      </c>
      <c r="AG330" s="2" t="s">
        <v>61</v>
      </c>
      <c r="AH330" s="2" t="s">
        <v>62</v>
      </c>
      <c r="AI330" s="2" t="s">
        <v>100</v>
      </c>
      <c r="AJ330" s="2">
        <v>1.3314941729002301</v>
      </c>
      <c r="AK330" s="2">
        <v>4.3132400984562</v>
      </c>
      <c r="AL330" s="2">
        <v>1.53517191524781</v>
      </c>
      <c r="AM330" s="2">
        <v>0.44893372921057401</v>
      </c>
      <c r="AN330" s="2">
        <v>2.8084822105091498</v>
      </c>
      <c r="AO330" s="2">
        <v>0.22968712835309399</v>
      </c>
      <c r="AP330" s="2">
        <v>0.22968712835309399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11</v>
      </c>
      <c r="AW330" s="2">
        <v>0</v>
      </c>
      <c r="AX330" s="2">
        <v>0</v>
      </c>
      <c r="AY330" s="2">
        <v>15.3</v>
      </c>
      <c r="AZ330" s="2">
        <v>9.8000000000000007</v>
      </c>
      <c r="BA330" s="2">
        <v>29.7</v>
      </c>
      <c r="BB330" s="2">
        <v>564</v>
      </c>
      <c r="BC330" s="2">
        <v>68</v>
      </c>
      <c r="BD330" s="2">
        <v>1.8</v>
      </c>
      <c r="BE330" s="2">
        <v>43</v>
      </c>
      <c r="BF330" s="2">
        <v>25.4</v>
      </c>
      <c r="BG330" s="2">
        <v>162</v>
      </c>
      <c r="BH330" s="2">
        <v>9.1</v>
      </c>
      <c r="BI330" s="2">
        <v>9.1999999999999993</v>
      </c>
      <c r="BJ330" s="2">
        <v>18.3</v>
      </c>
      <c r="BK330" s="2">
        <v>0.34</v>
      </c>
      <c r="BL330" s="2">
        <v>7.3</v>
      </c>
      <c r="BM330" s="2">
        <v>0.9</v>
      </c>
      <c r="BN330" s="2">
        <v>7.5</v>
      </c>
      <c r="BO330" s="2">
        <v>2.9</v>
      </c>
      <c r="BP330" s="2">
        <f t="shared" si="10"/>
        <v>9.2627155459606065</v>
      </c>
      <c r="BQ330" s="2">
        <f t="shared" si="11"/>
        <v>28.899052341346039</v>
      </c>
    </row>
    <row r="331" spans="1:69" x14ac:dyDescent="0.2">
      <c r="A331" s="2" t="s">
        <v>897</v>
      </c>
      <c r="B331" s="2" t="s">
        <v>47</v>
      </c>
      <c r="C331" s="2" t="s">
        <v>48</v>
      </c>
      <c r="D331" s="2" t="s">
        <v>49</v>
      </c>
      <c r="E331" s="2" t="s">
        <v>119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89</v>
      </c>
      <c r="L331" s="6" t="s">
        <v>103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898</v>
      </c>
      <c r="R331" s="2">
        <v>5806451.6129999999</v>
      </c>
      <c r="S331" s="2">
        <v>0</v>
      </c>
      <c r="T331" s="2" t="s">
        <v>96</v>
      </c>
      <c r="U331" s="2" t="s">
        <v>97</v>
      </c>
      <c r="V331" s="2" t="s">
        <v>56</v>
      </c>
      <c r="W331" s="2" t="s">
        <v>98</v>
      </c>
      <c r="X331" s="2" t="s">
        <v>99</v>
      </c>
      <c r="Y331" s="2">
        <v>1.15243061756008</v>
      </c>
      <c r="Z331" s="2">
        <v>1152.43061756008</v>
      </c>
      <c r="AA331" s="2">
        <v>4.73719444444444</v>
      </c>
      <c r="AB331" s="2">
        <v>-74.069472222222203</v>
      </c>
      <c r="AC331" s="2">
        <v>2555</v>
      </c>
      <c r="AD331" s="2">
        <v>0</v>
      </c>
      <c r="AE331" s="2" t="s">
        <v>59</v>
      </c>
      <c r="AF331" s="2" t="s">
        <v>86</v>
      </c>
      <c r="AG331" s="2" t="s">
        <v>61</v>
      </c>
      <c r="AH331" s="2" t="s">
        <v>62</v>
      </c>
      <c r="AI331" s="2" t="s">
        <v>100</v>
      </c>
      <c r="AJ331" s="2">
        <v>1.29675260722162</v>
      </c>
      <c r="AK331" s="2">
        <v>4.25614784770256</v>
      </c>
      <c r="AL331" s="2">
        <v>1.5837300664390099</v>
      </c>
      <c r="AM331" s="2">
        <v>0.38002234569195797</v>
      </c>
      <c r="AN331" s="2">
        <v>2.8526870486796598</v>
      </c>
      <c r="AO331" s="2">
        <v>0.23839999922136501</v>
      </c>
      <c r="AP331" s="2">
        <v>0.23839999922136501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11</v>
      </c>
      <c r="AW331" s="2">
        <v>0</v>
      </c>
      <c r="AX331" s="2">
        <v>0</v>
      </c>
      <c r="AY331" s="2">
        <v>15.3</v>
      </c>
      <c r="AZ331" s="2">
        <v>9.8000000000000007</v>
      </c>
      <c r="BA331" s="2">
        <v>29.7</v>
      </c>
      <c r="BB331" s="2">
        <v>564</v>
      </c>
      <c r="BC331" s="2">
        <v>68</v>
      </c>
      <c r="BD331" s="2">
        <v>1.8</v>
      </c>
      <c r="BE331" s="2">
        <v>43</v>
      </c>
      <c r="BF331" s="2">
        <v>25.4</v>
      </c>
      <c r="BG331" s="2">
        <v>162</v>
      </c>
      <c r="BH331" s="2">
        <v>9.1</v>
      </c>
      <c r="BI331" s="2">
        <v>9.1999999999999993</v>
      </c>
      <c r="BJ331" s="2">
        <v>18.3</v>
      </c>
      <c r="BK331" s="2">
        <v>0.34</v>
      </c>
      <c r="BL331" s="2">
        <v>7.3</v>
      </c>
      <c r="BM331" s="2">
        <v>0.9</v>
      </c>
      <c r="BN331" s="2">
        <v>7.5</v>
      </c>
      <c r="BO331" s="2">
        <v>2.9</v>
      </c>
      <c r="BP331" s="2">
        <f t="shared" si="10"/>
        <v>9.2566024020806363</v>
      </c>
      <c r="BQ331" s="2">
        <f t="shared" si="11"/>
        <v>28.889803447815599</v>
      </c>
    </row>
    <row r="332" spans="1:69" x14ac:dyDescent="0.2">
      <c r="A332" s="2" t="s">
        <v>3200</v>
      </c>
      <c r="B332" s="2" t="s">
        <v>47</v>
      </c>
      <c r="C332" s="2" t="s">
        <v>1935</v>
      </c>
      <c r="D332" s="2" t="s">
        <v>49</v>
      </c>
      <c r="E332" s="2" t="s">
        <v>3201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89</v>
      </c>
      <c r="L332" s="6" t="s">
        <v>141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3202</v>
      </c>
      <c r="R332" s="2">
        <v>4935483.8710000003</v>
      </c>
      <c r="S332" s="2">
        <v>0</v>
      </c>
      <c r="T332" s="2" t="s">
        <v>96</v>
      </c>
      <c r="U332" s="2" t="s">
        <v>97</v>
      </c>
      <c r="V332" s="2" t="s">
        <v>56</v>
      </c>
      <c r="W332" s="2" t="s">
        <v>98</v>
      </c>
      <c r="X332" s="2" t="s">
        <v>99</v>
      </c>
      <c r="Y332" s="2">
        <v>2.7373872923471998</v>
      </c>
      <c r="Z332" s="2">
        <v>2737.3872923471999</v>
      </c>
      <c r="AA332" s="2">
        <v>4.73719444444444</v>
      </c>
      <c r="AB332" s="2">
        <v>-74.069472222222203</v>
      </c>
      <c r="AC332" s="2">
        <v>2555</v>
      </c>
      <c r="AD332" s="2">
        <v>0</v>
      </c>
      <c r="AE332" s="2" t="s">
        <v>59</v>
      </c>
      <c r="AF332" s="2" t="s">
        <v>86</v>
      </c>
      <c r="AG332" s="2" t="s">
        <v>61</v>
      </c>
      <c r="AH332" s="2" t="s">
        <v>62</v>
      </c>
      <c r="AI332" s="2" t="s">
        <v>100</v>
      </c>
      <c r="AJ332" s="2">
        <v>0.37391326252391699</v>
      </c>
      <c r="AK332" s="2">
        <v>3.0118322988622399</v>
      </c>
      <c r="AL332" s="2">
        <v>0.73975656354335795</v>
      </c>
      <c r="AM332" s="2">
        <v>0.109060329174533</v>
      </c>
      <c r="AN332" s="2">
        <v>2.5245712201469699</v>
      </c>
      <c r="AO332" s="2">
        <v>0.14599190829870801</v>
      </c>
      <c r="AP332" s="2">
        <v>0.14599190829870801</v>
      </c>
      <c r="AQ332" s="2">
        <v>1</v>
      </c>
      <c r="AR332" s="2">
        <v>3</v>
      </c>
      <c r="AS332" s="2">
        <v>0</v>
      </c>
      <c r="AT332" s="2">
        <v>0</v>
      </c>
      <c r="AU332" s="2">
        <v>1</v>
      </c>
      <c r="AV332" s="2">
        <v>26</v>
      </c>
      <c r="AW332" s="2">
        <v>0</v>
      </c>
      <c r="AX332" s="2">
        <v>0</v>
      </c>
      <c r="AY332" s="2">
        <v>15.3</v>
      </c>
      <c r="AZ332" s="2">
        <v>9.8000000000000007</v>
      </c>
      <c r="BA332" s="2">
        <v>29.7</v>
      </c>
      <c r="BB332" s="2">
        <v>564</v>
      </c>
      <c r="BC332" s="2">
        <v>68</v>
      </c>
      <c r="BD332" s="2">
        <v>1.8</v>
      </c>
      <c r="BE332" s="2">
        <v>43</v>
      </c>
      <c r="BF332" s="2">
        <v>25.4</v>
      </c>
      <c r="BG332" s="2">
        <v>162</v>
      </c>
      <c r="BH332" s="2">
        <v>9.1</v>
      </c>
      <c r="BI332" s="2">
        <v>9.1999999999999993</v>
      </c>
      <c r="BJ332" s="2">
        <v>18.3</v>
      </c>
      <c r="BK332" s="2">
        <v>0.34</v>
      </c>
      <c r="BL332" s="2">
        <v>7.3</v>
      </c>
      <c r="BM332" s="2">
        <v>0.9</v>
      </c>
      <c r="BN332" s="2">
        <v>7.5</v>
      </c>
      <c r="BO332" s="2">
        <v>2.9</v>
      </c>
      <c r="BP332" s="2">
        <f t="shared" si="10"/>
        <v>8.5581300544384948</v>
      </c>
      <c r="BQ332" s="2">
        <f t="shared" si="11"/>
        <v>27.811504076288479</v>
      </c>
    </row>
    <row r="333" spans="1:69" x14ac:dyDescent="0.2">
      <c r="A333" s="2" t="s">
        <v>159</v>
      </c>
      <c r="B333" s="2" t="s">
        <v>47</v>
      </c>
      <c r="C333" s="2" t="s">
        <v>48</v>
      </c>
      <c r="D333" s="2" t="s">
        <v>49</v>
      </c>
      <c r="E333" s="2" t="s">
        <v>160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89</v>
      </c>
      <c r="L333" s="6" t="s">
        <v>141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161</v>
      </c>
      <c r="R333" s="2">
        <v>5543478.2609999999</v>
      </c>
      <c r="S333" s="2">
        <v>0</v>
      </c>
      <c r="T333" s="2" t="s">
        <v>96</v>
      </c>
      <c r="U333" s="2" t="s">
        <v>97</v>
      </c>
      <c r="V333" s="2" t="s">
        <v>56</v>
      </c>
      <c r="W333" s="2" t="s">
        <v>98</v>
      </c>
      <c r="X333" s="2" t="s">
        <v>99</v>
      </c>
      <c r="Y333" s="2">
        <v>1.3409404290454801</v>
      </c>
      <c r="Z333" s="2">
        <v>1340.94042904548</v>
      </c>
      <c r="AA333" s="2">
        <v>4.73719444444444</v>
      </c>
      <c r="AB333" s="2">
        <v>-74.069472222222203</v>
      </c>
      <c r="AC333" s="2">
        <v>2555</v>
      </c>
      <c r="AD333" s="2">
        <v>0</v>
      </c>
      <c r="AE333" s="2" t="s">
        <v>59</v>
      </c>
      <c r="AF333" s="2" t="s">
        <v>86</v>
      </c>
      <c r="AG333" s="2" t="s">
        <v>61</v>
      </c>
      <c r="AH333" s="2" t="s">
        <v>62</v>
      </c>
      <c r="AI333" s="2" t="s">
        <v>100</v>
      </c>
      <c r="AJ333" s="2">
        <v>0.90117782960147896</v>
      </c>
      <c r="AK333" s="2">
        <v>4.8415320611428703</v>
      </c>
      <c r="AL333" s="2">
        <v>1.0753706050933101</v>
      </c>
      <c r="AM333" s="2">
        <v>0.28741064935822602</v>
      </c>
      <c r="AN333" s="2">
        <v>2.7033700390932598</v>
      </c>
      <c r="AO333" s="2">
        <v>0.23664644123130801</v>
      </c>
      <c r="AP333" s="2">
        <v>0.23664644123130801</v>
      </c>
      <c r="AQ333" s="2">
        <v>0</v>
      </c>
      <c r="AR333" s="2">
        <v>2</v>
      </c>
      <c r="AS333" s="2">
        <v>0</v>
      </c>
      <c r="AT333" s="2">
        <v>0</v>
      </c>
      <c r="AU333" s="2">
        <v>0</v>
      </c>
      <c r="AV333" s="2">
        <v>27</v>
      </c>
      <c r="AW333" s="2">
        <v>0</v>
      </c>
      <c r="AX333" s="2">
        <v>0</v>
      </c>
      <c r="AY333" s="2">
        <v>15.3</v>
      </c>
      <c r="AZ333" s="2">
        <v>9.8000000000000007</v>
      </c>
      <c r="BA333" s="2">
        <v>29.7</v>
      </c>
      <c r="BB333" s="2">
        <v>564</v>
      </c>
      <c r="BC333" s="2">
        <v>68</v>
      </c>
      <c r="BD333" s="2">
        <v>1.8</v>
      </c>
      <c r="BE333" s="2">
        <v>43</v>
      </c>
      <c r="BF333" s="2">
        <v>25.4</v>
      </c>
      <c r="BG333" s="2">
        <v>162</v>
      </c>
      <c r="BH333" s="2">
        <v>9.1</v>
      </c>
      <c r="BI333" s="2">
        <v>9.1999999999999993</v>
      </c>
      <c r="BJ333" s="2">
        <v>18.3</v>
      </c>
      <c r="BK333" s="2">
        <v>0.34</v>
      </c>
      <c r="BL333" s="2">
        <v>7.3</v>
      </c>
      <c r="BM333" s="2">
        <v>0.9</v>
      </c>
      <c r="BN333" s="2">
        <v>7.5</v>
      </c>
      <c r="BO333" s="2">
        <v>2.9</v>
      </c>
      <c r="BP333" s="2">
        <f t="shared" si="10"/>
        <v>9.1706286082673092</v>
      </c>
      <c r="BQ333" s="2">
        <f t="shared" si="11"/>
        <v>28.7593943972409</v>
      </c>
    </row>
    <row r="334" spans="1:69" x14ac:dyDescent="0.2">
      <c r="A334" s="2" t="s">
        <v>4146</v>
      </c>
      <c r="B334" s="2" t="s">
        <v>47</v>
      </c>
      <c r="C334" s="2" t="s">
        <v>3273</v>
      </c>
      <c r="D334" s="2" t="s">
        <v>49</v>
      </c>
      <c r="E334" s="2" t="s">
        <v>524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89</v>
      </c>
      <c r="L334" s="6" t="s">
        <v>90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4147</v>
      </c>
      <c r="R334" s="2">
        <v>5329891.3039999995</v>
      </c>
      <c r="S334" s="2">
        <v>0</v>
      </c>
      <c r="T334" s="2" t="s">
        <v>96</v>
      </c>
      <c r="U334" s="2" t="s">
        <v>97</v>
      </c>
      <c r="V334" s="2" t="s">
        <v>56</v>
      </c>
      <c r="W334" s="2" t="s">
        <v>98</v>
      </c>
      <c r="X334" s="2" t="s">
        <v>99</v>
      </c>
      <c r="Y334" s="2">
        <v>1.91804207748638</v>
      </c>
      <c r="Z334" s="2">
        <v>1918.0420774863801</v>
      </c>
      <c r="AA334" s="2">
        <v>4.73719444444444</v>
      </c>
      <c r="AB334" s="2">
        <v>-74.069472222222203</v>
      </c>
      <c r="AC334" s="2">
        <v>2555</v>
      </c>
      <c r="AD334" s="2">
        <v>0</v>
      </c>
      <c r="AE334" s="2" t="s">
        <v>59</v>
      </c>
      <c r="AF334" s="2" t="s">
        <v>86</v>
      </c>
      <c r="AG334" s="2" t="s">
        <v>61</v>
      </c>
      <c r="AH334" s="2" t="s">
        <v>62</v>
      </c>
      <c r="AI334" s="2" t="s">
        <v>100</v>
      </c>
      <c r="AJ334" s="2">
        <v>5.2815802702927503E-2</v>
      </c>
      <c r="AK334" s="2">
        <v>5.6262528370061196</v>
      </c>
      <c r="AL334" s="2">
        <v>0.57249370046869297</v>
      </c>
      <c r="AM334" s="2">
        <v>0.28036028106592198</v>
      </c>
      <c r="AN334" s="2">
        <v>2.5612404988485502</v>
      </c>
      <c r="AO334" s="2">
        <v>0.120358298935377</v>
      </c>
      <c r="AP334" s="2">
        <v>0.120358298935377</v>
      </c>
      <c r="AQ334" s="2">
        <v>1</v>
      </c>
      <c r="AR334" s="2">
        <v>2</v>
      </c>
      <c r="AS334" s="2">
        <v>0</v>
      </c>
      <c r="AT334" s="2">
        <v>0</v>
      </c>
      <c r="AU334" s="2">
        <v>1</v>
      </c>
      <c r="AV334" s="2">
        <v>31</v>
      </c>
      <c r="AW334" s="2">
        <v>0</v>
      </c>
      <c r="AX334" s="2">
        <v>0</v>
      </c>
      <c r="AY334" s="2">
        <v>15.3</v>
      </c>
      <c r="AZ334" s="2">
        <v>9.8000000000000007</v>
      </c>
      <c r="BA334" s="2">
        <v>29.7</v>
      </c>
      <c r="BB334" s="2">
        <v>564</v>
      </c>
      <c r="BC334" s="2">
        <v>68</v>
      </c>
      <c r="BD334" s="2">
        <v>1.8</v>
      </c>
      <c r="BE334" s="2">
        <v>43</v>
      </c>
      <c r="BF334" s="2">
        <v>25.4</v>
      </c>
      <c r="BG334" s="2">
        <v>162</v>
      </c>
      <c r="BH334" s="2">
        <v>9.1</v>
      </c>
      <c r="BI334" s="2">
        <v>9.1999999999999993</v>
      </c>
      <c r="BJ334" s="2">
        <v>18.3</v>
      </c>
      <c r="BK334" s="2">
        <v>0.34</v>
      </c>
      <c r="BL334" s="2">
        <v>7.3</v>
      </c>
      <c r="BM334" s="2">
        <v>0.9</v>
      </c>
      <c r="BN334" s="2">
        <v>7.5</v>
      </c>
      <c r="BO334" s="2">
        <v>2.9</v>
      </c>
      <c r="BP334" s="2">
        <f t="shared" si="10"/>
        <v>8.9123620097267757</v>
      </c>
      <c r="BQ334" s="2">
        <f t="shared" si="11"/>
        <v>28.363809976223617</v>
      </c>
    </row>
    <row r="335" spans="1:69" x14ac:dyDescent="0.2">
      <c r="A335" s="2" t="s">
        <v>1837</v>
      </c>
      <c r="B335" s="2" t="s">
        <v>47</v>
      </c>
      <c r="C335" s="2" t="s">
        <v>48</v>
      </c>
      <c r="D335" s="2" t="s">
        <v>49</v>
      </c>
      <c r="E335" s="2" t="s">
        <v>688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51</v>
      </c>
      <c r="L335" s="6" t="s">
        <v>52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1838</v>
      </c>
      <c r="R335" s="2">
        <v>10803752.810000001</v>
      </c>
      <c r="S335" s="2">
        <v>0</v>
      </c>
      <c r="T335" s="2" t="s">
        <v>96</v>
      </c>
      <c r="U335" s="2" t="s">
        <v>97</v>
      </c>
      <c r="V335" s="2" t="s">
        <v>56</v>
      </c>
      <c r="W335" s="2" t="s">
        <v>98</v>
      </c>
      <c r="X335" s="2" t="s">
        <v>99</v>
      </c>
      <c r="Y335" s="2">
        <v>0.63861239961929905</v>
      </c>
      <c r="Z335" s="2">
        <v>638.61239961929903</v>
      </c>
      <c r="AA335" s="2">
        <v>4.73719444444444</v>
      </c>
      <c r="AB335" s="2">
        <v>-74.069472222222203</v>
      </c>
      <c r="AC335" s="2">
        <v>2555</v>
      </c>
      <c r="AD335" s="2">
        <v>0</v>
      </c>
      <c r="AE335" s="2" t="s">
        <v>59</v>
      </c>
      <c r="AF335" s="2" t="s">
        <v>86</v>
      </c>
      <c r="AG335" s="2" t="s">
        <v>61</v>
      </c>
      <c r="AH335" s="2" t="s">
        <v>62</v>
      </c>
      <c r="AI335" s="2" t="s">
        <v>100</v>
      </c>
      <c r="AJ335" s="2">
        <v>1.41440551929003</v>
      </c>
      <c r="AK335" s="2">
        <v>4.6910347939887096</v>
      </c>
      <c r="AL335" s="2">
        <v>2.1334931094723402</v>
      </c>
      <c r="AM335" s="2">
        <v>0.32470775729854101</v>
      </c>
      <c r="AN335" s="2">
        <v>2.44728749950314</v>
      </c>
      <c r="AO335" s="2">
        <v>0.306373537902556</v>
      </c>
      <c r="AP335" s="2">
        <v>0.306373537902556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19</v>
      </c>
      <c r="AW335" s="2">
        <v>0</v>
      </c>
      <c r="AX335" s="2">
        <v>0</v>
      </c>
      <c r="AY335" s="2">
        <v>15.3</v>
      </c>
      <c r="AZ335" s="2">
        <v>9.8000000000000007</v>
      </c>
      <c r="BA335" s="2">
        <v>29.7</v>
      </c>
      <c r="BB335" s="2">
        <v>564</v>
      </c>
      <c r="BC335" s="2">
        <v>68</v>
      </c>
      <c r="BD335" s="2">
        <v>1.8</v>
      </c>
      <c r="BE335" s="2">
        <v>43</v>
      </c>
      <c r="BF335" s="2">
        <v>25.4</v>
      </c>
      <c r="BG335" s="2">
        <v>162</v>
      </c>
      <c r="BH335" s="2">
        <v>9.1</v>
      </c>
      <c r="BI335" s="2">
        <v>9.1999999999999993</v>
      </c>
      <c r="BJ335" s="2">
        <v>18.3</v>
      </c>
      <c r="BK335" s="2">
        <v>0.34</v>
      </c>
      <c r="BL335" s="2">
        <v>7.3</v>
      </c>
      <c r="BM335" s="2">
        <v>0.9</v>
      </c>
      <c r="BN335" s="2">
        <v>7.5</v>
      </c>
      <c r="BO335" s="2">
        <v>2.9</v>
      </c>
      <c r="BP335" s="2">
        <f t="shared" si="10"/>
        <v>9.4950543840132475</v>
      </c>
      <c r="BQ335" s="2">
        <f t="shared" si="11"/>
        <v>29.248267706591257</v>
      </c>
    </row>
    <row r="336" spans="1:69" x14ac:dyDescent="0.2">
      <c r="A336" s="2" t="s">
        <v>1338</v>
      </c>
      <c r="B336" s="2" t="s">
        <v>47</v>
      </c>
      <c r="C336" s="2" t="s">
        <v>48</v>
      </c>
      <c r="D336" s="2" t="s">
        <v>49</v>
      </c>
      <c r="E336" s="2" t="s">
        <v>1339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89</v>
      </c>
      <c r="L336" s="6" t="s">
        <v>103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1340</v>
      </c>
      <c r="R336" s="2">
        <v>8139534.8839999996</v>
      </c>
      <c r="S336" s="2">
        <v>0</v>
      </c>
      <c r="T336" s="2" t="s">
        <v>96</v>
      </c>
      <c r="U336" s="2" t="s">
        <v>97</v>
      </c>
      <c r="V336" s="2" t="s">
        <v>56</v>
      </c>
      <c r="W336" s="2" t="s">
        <v>98</v>
      </c>
      <c r="X336" s="2" t="s">
        <v>99</v>
      </c>
      <c r="Y336" s="2">
        <v>1.6381151486454999</v>
      </c>
      <c r="Z336" s="2">
        <v>1638.1151486455001</v>
      </c>
      <c r="AA336" s="2">
        <v>4.73719444444444</v>
      </c>
      <c r="AB336" s="2">
        <v>-74.069472222222203</v>
      </c>
      <c r="AC336" s="2">
        <v>2555</v>
      </c>
      <c r="AD336" s="2">
        <v>0</v>
      </c>
      <c r="AE336" s="2" t="s">
        <v>59</v>
      </c>
      <c r="AF336" s="2" t="s">
        <v>86</v>
      </c>
      <c r="AG336" s="2" t="s">
        <v>61</v>
      </c>
      <c r="AH336" s="2" t="s">
        <v>62</v>
      </c>
      <c r="AI336" s="2" t="s">
        <v>100</v>
      </c>
      <c r="AJ336" s="2">
        <v>2.3126425038752298</v>
      </c>
      <c r="AK336" s="2">
        <v>4.8256085423620103</v>
      </c>
      <c r="AL336" s="2">
        <v>1.6090546353923501</v>
      </c>
      <c r="AM336" s="2">
        <v>0.333661130773451</v>
      </c>
      <c r="AN336" s="2">
        <v>2.2444854745251201</v>
      </c>
      <c r="AO336" s="2">
        <v>5.3022455185054301E-3</v>
      </c>
      <c r="AP336" s="2">
        <v>5.3022455185054301E-3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12</v>
      </c>
      <c r="AW336" s="2">
        <v>0</v>
      </c>
      <c r="AX336" s="2">
        <v>1</v>
      </c>
      <c r="AY336" s="2">
        <v>15.3</v>
      </c>
      <c r="AZ336" s="2">
        <v>9.8000000000000007</v>
      </c>
      <c r="BA336" s="2">
        <v>29.7</v>
      </c>
      <c r="BB336" s="2">
        <v>564</v>
      </c>
      <c r="BC336" s="2">
        <v>68</v>
      </c>
      <c r="BD336" s="2">
        <v>1.8</v>
      </c>
      <c r="BE336" s="2">
        <v>43</v>
      </c>
      <c r="BF336" s="2">
        <v>25.4</v>
      </c>
      <c r="BG336" s="2">
        <v>162</v>
      </c>
      <c r="BH336" s="2">
        <v>9.1</v>
      </c>
      <c r="BI336" s="2">
        <v>9.1999999999999993</v>
      </c>
      <c r="BJ336" s="2">
        <v>18.3</v>
      </c>
      <c r="BK336" s="2">
        <v>0.34</v>
      </c>
      <c r="BL336" s="2">
        <v>7.3</v>
      </c>
      <c r="BM336" s="2">
        <v>0.9</v>
      </c>
      <c r="BN336" s="2">
        <v>7.5</v>
      </c>
      <c r="BO336" s="2">
        <v>2.9</v>
      </c>
      <c r="BP336" s="2">
        <f t="shared" si="10"/>
        <v>9.0367146603148907</v>
      </c>
      <c r="BQ336" s="2">
        <f t="shared" si="11"/>
        <v>28.555006571201162</v>
      </c>
    </row>
    <row r="337" spans="1:69" x14ac:dyDescent="0.2">
      <c r="A337" s="2" t="s">
        <v>809</v>
      </c>
      <c r="B337" s="2" t="s">
        <v>47</v>
      </c>
      <c r="C337" s="2" t="s">
        <v>48</v>
      </c>
      <c r="D337" s="2" t="s">
        <v>49</v>
      </c>
      <c r="E337" s="2" t="s">
        <v>524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89</v>
      </c>
      <c r="L337" s="6" t="s">
        <v>103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810</v>
      </c>
      <c r="R337" s="2">
        <v>6627906.977</v>
      </c>
      <c r="S337" s="2">
        <v>0</v>
      </c>
      <c r="T337" s="2" t="s">
        <v>96</v>
      </c>
      <c r="U337" s="2" t="s">
        <v>97</v>
      </c>
      <c r="V337" s="2" t="s">
        <v>56</v>
      </c>
      <c r="W337" s="2" t="s">
        <v>98</v>
      </c>
      <c r="X337" s="2" t="s">
        <v>99</v>
      </c>
      <c r="Y337" s="2">
        <v>1.69103633527833</v>
      </c>
      <c r="Z337" s="2">
        <v>1691.0363352783299</v>
      </c>
      <c r="AA337" s="2">
        <v>4.73719444444444</v>
      </c>
      <c r="AB337" s="2">
        <v>-74.069472222222203</v>
      </c>
      <c r="AC337" s="2">
        <v>2555</v>
      </c>
      <c r="AD337" s="2">
        <v>0</v>
      </c>
      <c r="AE337" s="2" t="s">
        <v>59</v>
      </c>
      <c r="AF337" s="2" t="s">
        <v>86</v>
      </c>
      <c r="AG337" s="2" t="s">
        <v>61</v>
      </c>
      <c r="AH337" s="2" t="s">
        <v>62</v>
      </c>
      <c r="AI337" s="2" t="s">
        <v>100</v>
      </c>
      <c r="AJ337" s="2">
        <v>0.59277178622231996</v>
      </c>
      <c r="AK337" s="2">
        <v>3.61271211012992</v>
      </c>
      <c r="AL337" s="2">
        <v>1.6217794626648001</v>
      </c>
      <c r="AM337" s="2">
        <v>0.10582302991516999</v>
      </c>
      <c r="AN337" s="2">
        <v>3.1919918410639001</v>
      </c>
      <c r="AO337" s="2">
        <v>0.104422808106396</v>
      </c>
      <c r="AP337" s="2">
        <v>0.104422808106396</v>
      </c>
      <c r="AQ337" s="2">
        <v>0</v>
      </c>
      <c r="AR337" s="2">
        <v>3</v>
      </c>
      <c r="AS337" s="2">
        <v>0</v>
      </c>
      <c r="AT337" s="2">
        <v>0</v>
      </c>
      <c r="AU337" s="2">
        <v>0</v>
      </c>
      <c r="AV337" s="2">
        <v>13</v>
      </c>
      <c r="AW337" s="2">
        <v>0</v>
      </c>
      <c r="AX337" s="2">
        <v>0</v>
      </c>
      <c r="AY337" s="2">
        <v>15.3</v>
      </c>
      <c r="AZ337" s="2">
        <v>9.8000000000000007</v>
      </c>
      <c r="BA337" s="2">
        <v>29.7</v>
      </c>
      <c r="BB337" s="2">
        <v>564</v>
      </c>
      <c r="BC337" s="2">
        <v>68</v>
      </c>
      <c r="BD337" s="2">
        <v>1.8</v>
      </c>
      <c r="BE337" s="2">
        <v>43</v>
      </c>
      <c r="BF337" s="2">
        <v>25.4</v>
      </c>
      <c r="BG337" s="2">
        <v>162</v>
      </c>
      <c r="BH337" s="2">
        <v>9.1</v>
      </c>
      <c r="BI337" s="2">
        <v>9.1999999999999993</v>
      </c>
      <c r="BJ337" s="2">
        <v>18.3</v>
      </c>
      <c r="BK337" s="2">
        <v>0.34</v>
      </c>
      <c r="BL337" s="2">
        <v>7.3</v>
      </c>
      <c r="BM337" s="2">
        <v>0.9</v>
      </c>
      <c r="BN337" s="2">
        <v>7.5</v>
      </c>
      <c r="BO337" s="2">
        <v>2.9</v>
      </c>
      <c r="BP337" s="2">
        <f t="shared" si="10"/>
        <v>9.0130730732475843</v>
      </c>
      <c r="BQ337" s="2">
        <f t="shared" si="11"/>
        <v>28.51876163760301</v>
      </c>
    </row>
    <row r="338" spans="1:69" x14ac:dyDescent="0.2">
      <c r="A338" s="2" t="s">
        <v>1116</v>
      </c>
      <c r="B338" s="2" t="s">
        <v>47</v>
      </c>
      <c r="C338" s="2" t="s">
        <v>48</v>
      </c>
      <c r="D338" s="2" t="s">
        <v>49</v>
      </c>
      <c r="E338" s="2" t="s">
        <v>357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89</v>
      </c>
      <c r="L338" s="6" t="s">
        <v>141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1117</v>
      </c>
      <c r="R338" s="2">
        <v>5686046.5120000001</v>
      </c>
      <c r="S338" s="2">
        <v>0</v>
      </c>
      <c r="T338" s="2" t="s">
        <v>96</v>
      </c>
      <c r="U338" s="2" t="s">
        <v>97</v>
      </c>
      <c r="V338" s="2" t="s">
        <v>56</v>
      </c>
      <c r="W338" s="2" t="s">
        <v>98</v>
      </c>
      <c r="X338" s="2" t="s">
        <v>99</v>
      </c>
      <c r="Y338" s="2">
        <v>1.9556980190409301</v>
      </c>
      <c r="Z338" s="2">
        <v>1955.6980190409299</v>
      </c>
      <c r="AA338" s="2">
        <v>4.73719444444444</v>
      </c>
      <c r="AB338" s="2">
        <v>-74.069472222222203</v>
      </c>
      <c r="AC338" s="2">
        <v>2555</v>
      </c>
      <c r="AD338" s="2">
        <v>0</v>
      </c>
      <c r="AE338" s="2" t="s">
        <v>59</v>
      </c>
      <c r="AF338" s="2" t="s">
        <v>86</v>
      </c>
      <c r="AG338" s="2" t="s">
        <v>61</v>
      </c>
      <c r="AH338" s="2" t="s">
        <v>62</v>
      </c>
      <c r="AI338" s="2" t="s">
        <v>100</v>
      </c>
      <c r="AJ338" s="2">
        <v>1.0585986544160899</v>
      </c>
      <c r="AK338" s="2">
        <v>4.5719957433163296</v>
      </c>
      <c r="AL338" s="2">
        <v>0.77638091112755003</v>
      </c>
      <c r="AM338" s="2">
        <v>0.26357306401214398</v>
      </c>
      <c r="AN338" s="2">
        <v>3.2377978516197601</v>
      </c>
      <c r="AO338" s="2">
        <v>0.355992572125994</v>
      </c>
      <c r="AP338" s="2">
        <v>0.355992572125994</v>
      </c>
      <c r="AQ338" s="2">
        <v>0</v>
      </c>
      <c r="AR338" s="2">
        <v>0</v>
      </c>
      <c r="AS338" s="2">
        <v>0</v>
      </c>
      <c r="AT338" s="2">
        <v>0</v>
      </c>
      <c r="AU338" s="2">
        <v>1</v>
      </c>
      <c r="AV338" s="2">
        <v>38</v>
      </c>
      <c r="AW338" s="2">
        <v>0</v>
      </c>
      <c r="AX338" s="2">
        <v>0</v>
      </c>
      <c r="AY338" s="2">
        <v>15.3</v>
      </c>
      <c r="AZ338" s="2">
        <v>9.8000000000000007</v>
      </c>
      <c r="BA338" s="2">
        <v>29.7</v>
      </c>
      <c r="BB338" s="2">
        <v>564</v>
      </c>
      <c r="BC338" s="2">
        <v>68</v>
      </c>
      <c r="BD338" s="2">
        <v>1.8</v>
      </c>
      <c r="BE338" s="2">
        <v>43</v>
      </c>
      <c r="BF338" s="2">
        <v>25.4</v>
      </c>
      <c r="BG338" s="2">
        <v>162</v>
      </c>
      <c r="BH338" s="2">
        <v>9.1</v>
      </c>
      <c r="BI338" s="2">
        <v>9.1999999999999993</v>
      </c>
      <c r="BJ338" s="2">
        <v>18.3</v>
      </c>
      <c r="BK338" s="2">
        <v>0.34</v>
      </c>
      <c r="BL338" s="2">
        <v>7.3</v>
      </c>
      <c r="BM338" s="2">
        <v>0.9</v>
      </c>
      <c r="BN338" s="2">
        <v>7.5</v>
      </c>
      <c r="BO338" s="2">
        <v>2.9</v>
      </c>
      <c r="BP338" s="2">
        <f t="shared" si="10"/>
        <v>8.8957651151254193</v>
      </c>
      <c r="BQ338" s="2">
        <f t="shared" si="11"/>
        <v>28.33818797251811</v>
      </c>
    </row>
    <row r="339" spans="1:69" x14ac:dyDescent="0.2">
      <c r="A339" s="2" t="s">
        <v>268</v>
      </c>
      <c r="B339" s="2" t="s">
        <v>47</v>
      </c>
      <c r="C339" s="2" t="s">
        <v>48</v>
      </c>
      <c r="D339" s="2" t="s">
        <v>49</v>
      </c>
      <c r="E339" s="2" t="s">
        <v>269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89</v>
      </c>
      <c r="L339" s="6" t="s">
        <v>103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270</v>
      </c>
      <c r="R339" s="2">
        <v>5465116.2790000001</v>
      </c>
      <c r="S339" s="2">
        <v>0</v>
      </c>
      <c r="T339" s="2" t="s">
        <v>130</v>
      </c>
      <c r="U339" s="2" t="s">
        <v>131</v>
      </c>
      <c r="V339" s="2" t="s">
        <v>56</v>
      </c>
      <c r="W339" s="2" t="s">
        <v>98</v>
      </c>
      <c r="X339" s="2" t="s">
        <v>132</v>
      </c>
      <c r="Y339" s="2">
        <v>2.0753864477958199</v>
      </c>
      <c r="Z339" s="2">
        <v>2075.38644779582</v>
      </c>
      <c r="AA339" s="2">
        <v>4.7837500000000004</v>
      </c>
      <c r="AB339" s="2">
        <v>-74.044138888888895</v>
      </c>
      <c r="AC339" s="2">
        <v>2580</v>
      </c>
      <c r="AD339" s="2">
        <v>0</v>
      </c>
      <c r="AE339" s="2" t="s">
        <v>133</v>
      </c>
      <c r="AF339" s="2" t="s">
        <v>86</v>
      </c>
      <c r="AG339" s="2" t="s">
        <v>61</v>
      </c>
      <c r="AH339" s="2" t="s">
        <v>62</v>
      </c>
      <c r="AI339" s="2" t="s">
        <v>87</v>
      </c>
      <c r="AJ339" s="2">
        <v>1.1699407171460099</v>
      </c>
      <c r="AK339" s="2">
        <v>1.12988624185324</v>
      </c>
      <c r="AL339" s="2">
        <v>1.9853146006398099</v>
      </c>
      <c r="AM339" s="2">
        <v>0.39731093006847301</v>
      </c>
      <c r="AN339" s="2">
        <v>3.08773795251193</v>
      </c>
      <c r="AO339" s="2">
        <v>0.132319589453985</v>
      </c>
      <c r="AP339" s="2">
        <v>0.132319589453985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6</v>
      </c>
      <c r="AW339" s="2">
        <v>0</v>
      </c>
      <c r="AX339" s="2">
        <v>0</v>
      </c>
      <c r="AY339" s="2">
        <v>15.3</v>
      </c>
      <c r="AZ339" s="2">
        <v>9.8000000000000007</v>
      </c>
      <c r="BA339" s="2">
        <v>29.7</v>
      </c>
      <c r="BB339" s="2">
        <v>564</v>
      </c>
      <c r="BC339" s="2">
        <v>68</v>
      </c>
      <c r="BD339" s="2">
        <v>1.8</v>
      </c>
      <c r="BE339" s="2">
        <v>43</v>
      </c>
      <c r="BF339" s="2">
        <v>25.4</v>
      </c>
      <c r="BG339" s="2">
        <v>162</v>
      </c>
      <c r="BH339" s="2">
        <v>9.1</v>
      </c>
      <c r="BI339" s="2">
        <v>9.1999999999999993</v>
      </c>
      <c r="BJ339" s="2">
        <v>18.3</v>
      </c>
      <c r="BK339" s="2">
        <v>0.34</v>
      </c>
      <c r="BL339" s="2">
        <v>7.3</v>
      </c>
      <c r="BM339" s="2">
        <v>0.9</v>
      </c>
      <c r="BN339" s="2">
        <v>7.5</v>
      </c>
      <c r="BO339" s="2">
        <v>2.9</v>
      </c>
      <c r="BP339" s="2">
        <f t="shared" si="10"/>
        <v>8.8432172832887552</v>
      </c>
      <c r="BQ339" s="2">
        <f t="shared" si="11"/>
        <v>28.256902698678992</v>
      </c>
    </row>
    <row r="340" spans="1:69" x14ac:dyDescent="0.2">
      <c r="A340" s="2" t="s">
        <v>718</v>
      </c>
      <c r="B340" s="2" t="s">
        <v>47</v>
      </c>
      <c r="C340" s="2" t="s">
        <v>48</v>
      </c>
      <c r="D340" s="2" t="s">
        <v>49</v>
      </c>
      <c r="E340" s="2" t="s">
        <v>527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89</v>
      </c>
      <c r="L340" s="6" t="s">
        <v>141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719</v>
      </c>
      <c r="R340" s="2">
        <v>6736792.341</v>
      </c>
      <c r="S340" s="2">
        <v>0</v>
      </c>
      <c r="T340" s="2" t="s">
        <v>96</v>
      </c>
      <c r="U340" s="2" t="s">
        <v>97</v>
      </c>
      <c r="V340" s="2" t="s">
        <v>56</v>
      </c>
      <c r="W340" s="2" t="s">
        <v>98</v>
      </c>
      <c r="X340" s="2" t="s">
        <v>99</v>
      </c>
      <c r="Y340" s="2">
        <v>2.1407967558098999</v>
      </c>
      <c r="Z340" s="2">
        <v>2140.7967558098999</v>
      </c>
      <c r="AA340" s="2">
        <v>4.73719444444444</v>
      </c>
      <c r="AB340" s="2">
        <v>-74.069472222222203</v>
      </c>
      <c r="AC340" s="2">
        <v>2555</v>
      </c>
      <c r="AD340" s="2">
        <v>0</v>
      </c>
      <c r="AE340" s="2" t="s">
        <v>59</v>
      </c>
      <c r="AF340" s="2" t="s">
        <v>86</v>
      </c>
      <c r="AG340" s="2" t="s">
        <v>61</v>
      </c>
      <c r="AH340" s="2" t="s">
        <v>62</v>
      </c>
      <c r="AI340" s="2" t="s">
        <v>100</v>
      </c>
      <c r="AJ340" s="2">
        <v>0.27363773748540499</v>
      </c>
      <c r="AK340" s="2">
        <v>5.6168123485384998</v>
      </c>
      <c r="AL340" s="2">
        <v>0.48646348103966802</v>
      </c>
      <c r="AM340" s="2">
        <v>0.28920308795751498</v>
      </c>
      <c r="AN340" s="2">
        <v>2.7270065653672102</v>
      </c>
      <c r="AO340" s="2">
        <v>2.8349804099503099E-2</v>
      </c>
      <c r="AP340" s="2">
        <v>2.8349804099503099E-2</v>
      </c>
      <c r="AQ340" s="2">
        <v>1</v>
      </c>
      <c r="AR340" s="2">
        <v>3</v>
      </c>
      <c r="AS340" s="2">
        <v>0</v>
      </c>
      <c r="AT340" s="2">
        <v>0</v>
      </c>
      <c r="AU340" s="2">
        <v>1</v>
      </c>
      <c r="AV340" s="2">
        <v>36</v>
      </c>
      <c r="AW340" s="2">
        <v>0</v>
      </c>
      <c r="AX340" s="2">
        <v>0</v>
      </c>
      <c r="AY340" s="2">
        <v>15.3</v>
      </c>
      <c r="AZ340" s="2">
        <v>9.8000000000000007</v>
      </c>
      <c r="BA340" s="2">
        <v>29.7</v>
      </c>
      <c r="BB340" s="2">
        <v>564</v>
      </c>
      <c r="BC340" s="2">
        <v>68</v>
      </c>
      <c r="BD340" s="2">
        <v>1.8</v>
      </c>
      <c r="BE340" s="2">
        <v>43</v>
      </c>
      <c r="BF340" s="2">
        <v>25.4</v>
      </c>
      <c r="BG340" s="2">
        <v>162</v>
      </c>
      <c r="BH340" s="2">
        <v>9.1</v>
      </c>
      <c r="BI340" s="2">
        <v>9.1999999999999993</v>
      </c>
      <c r="BJ340" s="2">
        <v>18.3</v>
      </c>
      <c r="BK340" s="2">
        <v>0.34</v>
      </c>
      <c r="BL340" s="2">
        <v>7.3</v>
      </c>
      <c r="BM340" s="2">
        <v>0.9</v>
      </c>
      <c r="BN340" s="2">
        <v>7.5</v>
      </c>
      <c r="BO340" s="2">
        <v>2.9</v>
      </c>
      <c r="BP340" s="2">
        <f t="shared" si="10"/>
        <v>8.8146309273268297</v>
      </c>
      <c r="BQ340" s="2">
        <f t="shared" si="11"/>
        <v>28.212578473899061</v>
      </c>
    </row>
    <row r="341" spans="1:69" x14ac:dyDescent="0.2">
      <c r="A341" s="2" t="s">
        <v>1353</v>
      </c>
      <c r="B341" s="2" t="s">
        <v>47</v>
      </c>
      <c r="C341" s="2" t="s">
        <v>48</v>
      </c>
      <c r="D341" s="2" t="s">
        <v>49</v>
      </c>
      <c r="E341" s="2" t="s">
        <v>1354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89</v>
      </c>
      <c r="L341" s="6" t="s">
        <v>103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1355</v>
      </c>
      <c r="R341" s="2">
        <v>9178686.375</v>
      </c>
      <c r="S341" s="2">
        <v>0</v>
      </c>
      <c r="T341" s="2" t="s">
        <v>96</v>
      </c>
      <c r="U341" s="2" t="s">
        <v>97</v>
      </c>
      <c r="V341" s="2" t="s">
        <v>56</v>
      </c>
      <c r="W341" s="2" t="s">
        <v>98</v>
      </c>
      <c r="X341" s="2" t="s">
        <v>99</v>
      </c>
      <c r="Y341" s="2">
        <v>2.2544874032997599</v>
      </c>
      <c r="Z341" s="2">
        <v>2254.48740329976</v>
      </c>
      <c r="AA341" s="2">
        <v>4.73719444444444</v>
      </c>
      <c r="AB341" s="2">
        <v>-74.069472222222203</v>
      </c>
      <c r="AC341" s="2">
        <v>2555</v>
      </c>
      <c r="AD341" s="2">
        <v>0</v>
      </c>
      <c r="AE341" s="2" t="s">
        <v>59</v>
      </c>
      <c r="AF341" s="2" t="s">
        <v>86</v>
      </c>
      <c r="AG341" s="2" t="s">
        <v>61</v>
      </c>
      <c r="AH341" s="2" t="s">
        <v>62</v>
      </c>
      <c r="AI341" s="2" t="s">
        <v>100</v>
      </c>
      <c r="AJ341" s="2">
        <v>2.49858291886604</v>
      </c>
      <c r="AK341" s="2">
        <v>4.2881046930375</v>
      </c>
      <c r="AL341" s="2">
        <v>1.7119967810477701</v>
      </c>
      <c r="AM341" s="2">
        <v>0.61459798653327902</v>
      </c>
      <c r="AN341" s="2">
        <v>2.5769670685614701</v>
      </c>
      <c r="AO341" s="2">
        <v>0.144921638990923</v>
      </c>
      <c r="AP341" s="2">
        <v>0.144921638990923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14</v>
      </c>
      <c r="AW341" s="2">
        <v>0</v>
      </c>
      <c r="AX341" s="2">
        <v>1</v>
      </c>
      <c r="AY341" s="2">
        <v>15.3</v>
      </c>
      <c r="AZ341" s="2">
        <v>9.8000000000000007</v>
      </c>
      <c r="BA341" s="2">
        <v>29.7</v>
      </c>
      <c r="BB341" s="2">
        <v>564</v>
      </c>
      <c r="BC341" s="2">
        <v>68</v>
      </c>
      <c r="BD341" s="2">
        <v>1.8</v>
      </c>
      <c r="BE341" s="2">
        <v>43</v>
      </c>
      <c r="BF341" s="2">
        <v>25.4</v>
      </c>
      <c r="BG341" s="2">
        <v>162</v>
      </c>
      <c r="BH341" s="2">
        <v>9.1</v>
      </c>
      <c r="BI341" s="2">
        <v>9.1999999999999993</v>
      </c>
      <c r="BJ341" s="2">
        <v>18.3</v>
      </c>
      <c r="BK341" s="2">
        <v>0.34</v>
      </c>
      <c r="BL341" s="2">
        <v>7.3</v>
      </c>
      <c r="BM341" s="2">
        <v>0.9</v>
      </c>
      <c r="BN341" s="2">
        <v>7.5</v>
      </c>
      <c r="BO341" s="2">
        <v>2.9</v>
      </c>
      <c r="BP341" s="2">
        <f t="shared" si="10"/>
        <v>8.7651642650017436</v>
      </c>
      <c r="BQ341" s="2">
        <f t="shared" si="11"/>
        <v>28.135703249984971</v>
      </c>
    </row>
    <row r="342" spans="1:69" x14ac:dyDescent="0.2">
      <c r="A342" s="2" t="s">
        <v>245</v>
      </c>
      <c r="B342" s="2" t="s">
        <v>47</v>
      </c>
      <c r="C342" s="2" t="s">
        <v>48</v>
      </c>
      <c r="D342" s="2" t="s">
        <v>49</v>
      </c>
      <c r="E342" s="2" t="s">
        <v>246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89</v>
      </c>
      <c r="L342" s="6" t="s">
        <v>90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247</v>
      </c>
      <c r="R342" s="2">
        <v>8313253.0120000001</v>
      </c>
      <c r="S342" s="2">
        <v>0</v>
      </c>
      <c r="T342" s="2" t="s">
        <v>130</v>
      </c>
      <c r="U342" s="2" t="s">
        <v>131</v>
      </c>
      <c r="V342" s="2" t="s">
        <v>56</v>
      </c>
      <c r="W342" s="2" t="s">
        <v>98</v>
      </c>
      <c r="X342" s="2" t="s">
        <v>132</v>
      </c>
      <c r="Y342" s="2">
        <v>1.42579911825315</v>
      </c>
      <c r="Z342" s="2">
        <v>1425.79911825315</v>
      </c>
      <c r="AA342" s="2">
        <v>4.7837500000000004</v>
      </c>
      <c r="AB342" s="2">
        <v>-74.044138888888895</v>
      </c>
      <c r="AC342" s="2">
        <v>2580</v>
      </c>
      <c r="AD342" s="2">
        <v>0</v>
      </c>
      <c r="AE342" s="2" t="s">
        <v>133</v>
      </c>
      <c r="AF342" s="2" t="s">
        <v>86</v>
      </c>
      <c r="AG342" s="2" t="s">
        <v>61</v>
      </c>
      <c r="AH342" s="2" t="s">
        <v>62</v>
      </c>
      <c r="AI342" s="2" t="s">
        <v>100</v>
      </c>
      <c r="AJ342" s="2">
        <v>1.1608392913786301</v>
      </c>
      <c r="AK342" s="2">
        <v>3.3667568810628201</v>
      </c>
      <c r="AL342" s="2">
        <v>2.2943939312337802</v>
      </c>
      <c r="AM342" s="2">
        <v>1.02768826395857</v>
      </c>
      <c r="AN342" s="2">
        <v>4.6041090363361796</v>
      </c>
      <c r="AO342" s="2">
        <v>5.5542191408408298E-2</v>
      </c>
      <c r="AP342" s="2">
        <v>5.5542191408408298E-2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>
        <v>15.3</v>
      </c>
      <c r="AZ342" s="2">
        <v>9.8000000000000007</v>
      </c>
      <c r="BA342" s="2">
        <v>29.7</v>
      </c>
      <c r="BB342" s="2">
        <v>564</v>
      </c>
      <c r="BC342" s="2">
        <v>68</v>
      </c>
      <c r="BD342" s="2">
        <v>1.8</v>
      </c>
      <c r="BE342" s="2">
        <v>43</v>
      </c>
      <c r="BF342" s="2">
        <v>25.4</v>
      </c>
      <c r="BG342" s="2">
        <v>162</v>
      </c>
      <c r="BH342" s="2">
        <v>9.1</v>
      </c>
      <c r="BI342" s="2">
        <v>9.1999999999999993</v>
      </c>
      <c r="BJ342" s="2">
        <v>18.3</v>
      </c>
      <c r="BK342" s="2">
        <v>0.34</v>
      </c>
      <c r="BL342" s="2">
        <v>7.3</v>
      </c>
      <c r="BM342" s="2">
        <v>0.9</v>
      </c>
      <c r="BN342" s="2">
        <v>7.5</v>
      </c>
      <c r="BO342" s="2">
        <v>2.9</v>
      </c>
      <c r="BP342" s="2">
        <f t="shared" si="10"/>
        <v>9.1321881271232996</v>
      </c>
      <c r="BQ342" s="2">
        <f t="shared" si="11"/>
        <v>28.700882372247428</v>
      </c>
    </row>
    <row r="343" spans="1:69" x14ac:dyDescent="0.2">
      <c r="A343" s="2" t="s">
        <v>388</v>
      </c>
      <c r="B343" s="2" t="s">
        <v>47</v>
      </c>
      <c r="C343" s="2" t="s">
        <v>48</v>
      </c>
      <c r="D343" s="2" t="s">
        <v>49</v>
      </c>
      <c r="E343" s="2" t="s">
        <v>389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89</v>
      </c>
      <c r="L343" s="6" t="s">
        <v>141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390</v>
      </c>
      <c r="R343" s="2">
        <v>4268292.6830000002</v>
      </c>
      <c r="S343" s="2">
        <v>0</v>
      </c>
      <c r="T343" s="2" t="s">
        <v>96</v>
      </c>
      <c r="U343" s="2" t="s">
        <v>97</v>
      </c>
      <c r="V343" s="2" t="s">
        <v>56</v>
      </c>
      <c r="W343" s="2" t="s">
        <v>98</v>
      </c>
      <c r="X343" s="2" t="s">
        <v>99</v>
      </c>
      <c r="Y343" s="2">
        <v>4.2978948051177497</v>
      </c>
      <c r="Z343" s="2">
        <v>4297.8948051177504</v>
      </c>
      <c r="AA343" s="2">
        <v>4.73719444444444</v>
      </c>
      <c r="AB343" s="2">
        <v>-74.069472222222203</v>
      </c>
      <c r="AC343" s="2">
        <v>2555</v>
      </c>
      <c r="AD343" s="2">
        <v>0</v>
      </c>
      <c r="AE343" s="2" t="s">
        <v>59</v>
      </c>
      <c r="AF343" s="2" t="s">
        <v>86</v>
      </c>
      <c r="AG343" s="2" t="s">
        <v>61</v>
      </c>
      <c r="AH343" s="2" t="s">
        <v>62</v>
      </c>
      <c r="AI343" s="2" t="s">
        <v>391</v>
      </c>
      <c r="AJ343" s="2">
        <v>0.86380514751675797</v>
      </c>
      <c r="AK343" s="2">
        <v>4.5927726888801104</v>
      </c>
      <c r="AL343" s="2">
        <v>0.33959124170357302</v>
      </c>
      <c r="AM343" s="2">
        <v>0.77352920237592804</v>
      </c>
      <c r="AN343" s="2">
        <v>2.12645960765777</v>
      </c>
      <c r="AO343" s="2">
        <v>0.26651593173249299</v>
      </c>
      <c r="AP343" s="2">
        <v>0.26651593173249299</v>
      </c>
      <c r="AQ343" s="2">
        <v>0</v>
      </c>
      <c r="AR343" s="2">
        <v>2</v>
      </c>
      <c r="AS343" s="2">
        <v>0</v>
      </c>
      <c r="AT343" s="2">
        <v>0</v>
      </c>
      <c r="AU343" s="2">
        <v>2</v>
      </c>
      <c r="AV343" s="2">
        <v>2</v>
      </c>
      <c r="AW343" s="2">
        <v>0</v>
      </c>
      <c r="AX343" s="2">
        <v>0</v>
      </c>
      <c r="AY343" s="2">
        <v>15.3</v>
      </c>
      <c r="AZ343" s="2">
        <v>9.8000000000000007</v>
      </c>
      <c r="BA343" s="2">
        <v>29.7</v>
      </c>
      <c r="BB343" s="2">
        <v>564</v>
      </c>
      <c r="BC343" s="2">
        <v>68</v>
      </c>
      <c r="BD343" s="2">
        <v>1.8</v>
      </c>
      <c r="BE343" s="2">
        <v>43</v>
      </c>
      <c r="BF343" s="2">
        <v>25.4</v>
      </c>
      <c r="BG343" s="2">
        <v>162</v>
      </c>
      <c r="BH343" s="2">
        <v>9.1</v>
      </c>
      <c r="BI343" s="2">
        <v>9.1999999999999993</v>
      </c>
      <c r="BJ343" s="2">
        <v>18.3</v>
      </c>
      <c r="BK343" s="2">
        <v>0.34</v>
      </c>
      <c r="BL343" s="2">
        <v>7.3</v>
      </c>
      <c r="BM343" s="2">
        <v>0.9</v>
      </c>
      <c r="BN343" s="2">
        <v>7.5</v>
      </c>
      <c r="BO343" s="2">
        <v>2.9</v>
      </c>
      <c r="BP343" s="2">
        <f t="shared" si="10"/>
        <v>7.9219437034851836</v>
      </c>
      <c r="BQ343" s="2">
        <f t="shared" si="11"/>
        <v>26.789166493802767</v>
      </c>
    </row>
    <row r="344" spans="1:69" x14ac:dyDescent="0.2">
      <c r="A344" s="2" t="s">
        <v>758</v>
      </c>
      <c r="B344" s="2" t="s">
        <v>47</v>
      </c>
      <c r="C344" s="2" t="s">
        <v>48</v>
      </c>
      <c r="D344" s="2" t="s">
        <v>49</v>
      </c>
      <c r="E344" s="2" t="s">
        <v>759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89</v>
      </c>
      <c r="L344" s="6" t="s">
        <v>141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760</v>
      </c>
      <c r="R344" s="2">
        <v>4912500</v>
      </c>
      <c r="S344" s="2">
        <v>0</v>
      </c>
      <c r="T344" s="2" t="s">
        <v>130</v>
      </c>
      <c r="U344" s="2" t="s">
        <v>131</v>
      </c>
      <c r="V344" s="2" t="s">
        <v>56</v>
      </c>
      <c r="W344" s="2" t="s">
        <v>98</v>
      </c>
      <c r="X344" s="2" t="s">
        <v>132</v>
      </c>
      <c r="Y344" s="2">
        <v>1.8352991731669701</v>
      </c>
      <c r="Z344" s="2">
        <v>1835.2991731669699</v>
      </c>
      <c r="AA344" s="2">
        <v>4.7837500000000004</v>
      </c>
      <c r="AB344" s="2">
        <v>-74.044138888888895</v>
      </c>
      <c r="AC344" s="2">
        <v>2580</v>
      </c>
      <c r="AD344" s="2">
        <v>0</v>
      </c>
      <c r="AE344" s="2" t="s">
        <v>133</v>
      </c>
      <c r="AF344" s="2" t="s">
        <v>86</v>
      </c>
      <c r="AG344" s="2" t="s">
        <v>61</v>
      </c>
      <c r="AH344" s="2" t="s">
        <v>62</v>
      </c>
      <c r="AI344" s="2" t="s">
        <v>100</v>
      </c>
      <c r="AJ344" s="2">
        <v>0.217454010019793</v>
      </c>
      <c r="AK344" s="2">
        <v>2.4227614029436602</v>
      </c>
      <c r="AL344" s="2">
        <v>1.81440414433377</v>
      </c>
      <c r="AM344" s="2">
        <v>0.46434284684836102</v>
      </c>
      <c r="AN344" s="2">
        <v>3.4783518077476798</v>
      </c>
      <c r="AO344" s="2">
        <v>0.234702832766845</v>
      </c>
      <c r="AP344" s="2">
        <v>0.234702832766845</v>
      </c>
      <c r="AQ344" s="2">
        <v>2</v>
      </c>
      <c r="AR344" s="2">
        <v>2</v>
      </c>
      <c r="AS344" s="2">
        <v>0</v>
      </c>
      <c r="AT344" s="2">
        <v>0</v>
      </c>
      <c r="AU344" s="2">
        <v>0</v>
      </c>
      <c r="AV344" s="2">
        <v>14</v>
      </c>
      <c r="AW344" s="2">
        <v>0</v>
      </c>
      <c r="AX344" s="2">
        <v>0</v>
      </c>
      <c r="AY344" s="2">
        <v>15.3</v>
      </c>
      <c r="AZ344" s="2">
        <v>9.8000000000000007</v>
      </c>
      <c r="BA344" s="2">
        <v>29.7</v>
      </c>
      <c r="BB344" s="2">
        <v>564</v>
      </c>
      <c r="BC344" s="2">
        <v>68</v>
      </c>
      <c r="BD344" s="2">
        <v>1.8</v>
      </c>
      <c r="BE344" s="2">
        <v>43</v>
      </c>
      <c r="BF344" s="2">
        <v>25.4</v>
      </c>
      <c r="BG344" s="2">
        <v>162</v>
      </c>
      <c r="BH344" s="2">
        <v>9.1</v>
      </c>
      <c r="BI344" s="2">
        <v>9.1999999999999993</v>
      </c>
      <c r="BJ344" s="2">
        <v>18.3</v>
      </c>
      <c r="BK344" s="2">
        <v>0.34</v>
      </c>
      <c r="BL344" s="2">
        <v>7.3</v>
      </c>
      <c r="BM344" s="2">
        <v>0.9</v>
      </c>
      <c r="BN344" s="2">
        <v>7.5</v>
      </c>
      <c r="BO344" s="2">
        <v>2.9</v>
      </c>
      <c r="BP344" s="2">
        <f t="shared" si="10"/>
        <v>8.9489398844356725</v>
      </c>
      <c r="BQ344" s="2">
        <f t="shared" si="11"/>
        <v>28.420191636242627</v>
      </c>
    </row>
    <row r="345" spans="1:69" x14ac:dyDescent="0.2">
      <c r="A345" s="2" t="s">
        <v>4291</v>
      </c>
      <c r="B345" s="2" t="s">
        <v>47</v>
      </c>
      <c r="C345" s="2" t="s">
        <v>3273</v>
      </c>
      <c r="D345" s="2" t="s">
        <v>49</v>
      </c>
      <c r="E345" s="2" t="s">
        <v>93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89</v>
      </c>
      <c r="L345" s="6" t="s">
        <v>90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4292</v>
      </c>
      <c r="R345" s="2">
        <v>9878704.5140000004</v>
      </c>
      <c r="S345" s="2">
        <v>0</v>
      </c>
      <c r="T345" s="2" t="s">
        <v>96</v>
      </c>
      <c r="U345" s="2" t="s">
        <v>97</v>
      </c>
      <c r="V345" s="2" t="s">
        <v>56</v>
      </c>
      <c r="W345" s="2" t="s">
        <v>98</v>
      </c>
      <c r="X345" s="2" t="s">
        <v>99</v>
      </c>
      <c r="Y345" s="2">
        <v>2.77375119005305</v>
      </c>
      <c r="Z345" s="2">
        <v>2773.7511900530499</v>
      </c>
      <c r="AA345" s="2">
        <v>4.73719444444444</v>
      </c>
      <c r="AB345" s="2">
        <v>-74.069472222222203</v>
      </c>
      <c r="AC345" s="2">
        <v>2555</v>
      </c>
      <c r="AD345" s="2">
        <v>0</v>
      </c>
      <c r="AE345" s="2" t="s">
        <v>59</v>
      </c>
      <c r="AF345" s="2" t="s">
        <v>86</v>
      </c>
      <c r="AG345" s="2" t="s">
        <v>61</v>
      </c>
      <c r="AH345" s="2" t="s">
        <v>62</v>
      </c>
      <c r="AI345" s="2" t="s">
        <v>100</v>
      </c>
      <c r="AJ345" s="2">
        <v>0.439978160612362</v>
      </c>
      <c r="AK345" s="2">
        <v>5.6644801952619703</v>
      </c>
      <c r="AL345" s="2">
        <v>0.65982774756661899</v>
      </c>
      <c r="AM345" s="2">
        <v>0.218514245158453</v>
      </c>
      <c r="AN345" s="2">
        <v>3.2842173706209898</v>
      </c>
      <c r="AO345" s="2">
        <v>0.20222503056909999</v>
      </c>
      <c r="AP345" s="2">
        <v>0.20222503056909999</v>
      </c>
      <c r="AQ345" s="2">
        <v>1</v>
      </c>
      <c r="AR345" s="2">
        <v>3</v>
      </c>
      <c r="AS345" s="2">
        <v>0</v>
      </c>
      <c r="AT345" s="2">
        <v>0</v>
      </c>
      <c r="AU345" s="2">
        <v>1</v>
      </c>
      <c r="AV345" s="2">
        <v>39</v>
      </c>
      <c r="AW345" s="2">
        <v>0</v>
      </c>
      <c r="AX345" s="2">
        <v>0</v>
      </c>
      <c r="AY345" s="2">
        <v>15.3</v>
      </c>
      <c r="AZ345" s="2">
        <v>9.8000000000000007</v>
      </c>
      <c r="BA345" s="2">
        <v>29.7</v>
      </c>
      <c r="BB345" s="2">
        <v>564</v>
      </c>
      <c r="BC345" s="2">
        <v>68</v>
      </c>
      <c r="BD345" s="2">
        <v>1.8</v>
      </c>
      <c r="BE345" s="2">
        <v>43</v>
      </c>
      <c r="BF345" s="2">
        <v>25.4</v>
      </c>
      <c r="BG345" s="2">
        <v>162</v>
      </c>
      <c r="BH345" s="2">
        <v>9.1</v>
      </c>
      <c r="BI345" s="2">
        <v>9.1999999999999993</v>
      </c>
      <c r="BJ345" s="2">
        <v>18.3</v>
      </c>
      <c r="BK345" s="2">
        <v>0.34</v>
      </c>
      <c r="BL345" s="2">
        <v>7.3</v>
      </c>
      <c r="BM345" s="2">
        <v>0.9</v>
      </c>
      <c r="BN345" s="2">
        <v>7.5</v>
      </c>
      <c r="BO345" s="2">
        <v>2.9</v>
      </c>
      <c r="BP345" s="2">
        <f t="shared" si="10"/>
        <v>8.5427391656838036</v>
      </c>
      <c r="BQ345" s="2">
        <f t="shared" si="11"/>
        <v>27.787242632173843</v>
      </c>
    </row>
    <row r="346" spans="1:69" x14ac:dyDescent="0.2">
      <c r="A346" s="2" t="s">
        <v>1813</v>
      </c>
      <c r="B346" s="2" t="s">
        <v>47</v>
      </c>
      <c r="C346" s="2" t="s">
        <v>48</v>
      </c>
      <c r="D346" s="2" t="s">
        <v>49</v>
      </c>
      <c r="E346" s="2" t="s">
        <v>524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89</v>
      </c>
      <c r="L346" s="6" t="s">
        <v>90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1814</v>
      </c>
      <c r="R346" s="2">
        <v>5752157.0590000004</v>
      </c>
      <c r="S346" s="2">
        <v>0</v>
      </c>
      <c r="T346" s="2" t="s">
        <v>96</v>
      </c>
      <c r="U346" s="2" t="s">
        <v>97</v>
      </c>
      <c r="V346" s="2" t="s">
        <v>56</v>
      </c>
      <c r="W346" s="2" t="s">
        <v>98</v>
      </c>
      <c r="X346" s="2" t="s">
        <v>99</v>
      </c>
      <c r="Y346" s="2">
        <v>1.3894434426983</v>
      </c>
      <c r="Z346" s="2">
        <v>1389.4434426983</v>
      </c>
      <c r="AA346" s="2">
        <v>4.73719444444444</v>
      </c>
      <c r="AB346" s="2">
        <v>-74.069472222222203</v>
      </c>
      <c r="AC346" s="2">
        <v>2555</v>
      </c>
      <c r="AD346" s="2">
        <v>0</v>
      </c>
      <c r="AE346" s="2" t="s">
        <v>59</v>
      </c>
      <c r="AF346" s="2" t="s">
        <v>86</v>
      </c>
      <c r="AG346" s="2" t="s">
        <v>61</v>
      </c>
      <c r="AH346" s="2" t="s">
        <v>62</v>
      </c>
      <c r="AI346" s="2" t="s">
        <v>100</v>
      </c>
      <c r="AJ346" s="2">
        <v>0.91006855700332201</v>
      </c>
      <c r="AK346" s="2">
        <v>3.9758086624105702</v>
      </c>
      <c r="AL346" s="2">
        <v>1.98309181128807</v>
      </c>
      <c r="AM346" s="2">
        <v>0.19737343491513501</v>
      </c>
      <c r="AN346" s="2">
        <v>3.19851622420004</v>
      </c>
      <c r="AO346" s="2">
        <v>2.6859111579953202E-2</v>
      </c>
      <c r="AP346" s="2">
        <v>2.6859111579953202E-2</v>
      </c>
      <c r="AQ346" s="2">
        <v>0</v>
      </c>
      <c r="AR346" s="2">
        <v>2</v>
      </c>
      <c r="AS346" s="2">
        <v>0</v>
      </c>
      <c r="AT346" s="2">
        <v>0</v>
      </c>
      <c r="AU346" s="2">
        <v>0</v>
      </c>
      <c r="AV346" s="2">
        <v>14</v>
      </c>
      <c r="AW346" s="2">
        <v>0</v>
      </c>
      <c r="AX346" s="2">
        <v>0</v>
      </c>
      <c r="AY346" s="2">
        <v>15.3</v>
      </c>
      <c r="AZ346" s="2">
        <v>9.8000000000000007</v>
      </c>
      <c r="BA346" s="2">
        <v>29.7</v>
      </c>
      <c r="BB346" s="2">
        <v>564</v>
      </c>
      <c r="BC346" s="2">
        <v>68</v>
      </c>
      <c r="BD346" s="2">
        <v>1.8</v>
      </c>
      <c r="BE346" s="2">
        <v>43</v>
      </c>
      <c r="BF346" s="2">
        <v>25.4</v>
      </c>
      <c r="BG346" s="2">
        <v>162</v>
      </c>
      <c r="BH346" s="2">
        <v>9.1</v>
      </c>
      <c r="BI346" s="2">
        <v>9.1999999999999993</v>
      </c>
      <c r="BJ346" s="2">
        <v>18.3</v>
      </c>
      <c r="BK346" s="2">
        <v>0.34</v>
      </c>
      <c r="BL346" s="2">
        <v>7.3</v>
      </c>
      <c r="BM346" s="2">
        <v>0.9</v>
      </c>
      <c r="BN346" s="2">
        <v>7.5</v>
      </c>
      <c r="BO346" s="2">
        <v>2.9</v>
      </c>
      <c r="BP346" s="2">
        <f t="shared" si="10"/>
        <v>9.1486372636643409</v>
      </c>
      <c r="BQ346" s="2">
        <f t="shared" si="11"/>
        <v>28.725935859919506</v>
      </c>
    </row>
    <row r="347" spans="1:69" x14ac:dyDescent="0.2">
      <c r="A347" s="2" t="s">
        <v>603</v>
      </c>
      <c r="B347" s="2" t="s">
        <v>47</v>
      </c>
      <c r="C347" s="2" t="s">
        <v>48</v>
      </c>
      <c r="D347" s="2" t="s">
        <v>49</v>
      </c>
      <c r="E347" s="2" t="s">
        <v>153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89</v>
      </c>
      <c r="L347" s="6" t="s">
        <v>103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604</v>
      </c>
      <c r="R347" s="2">
        <v>6898734.1770000001</v>
      </c>
      <c r="S347" s="2">
        <v>0</v>
      </c>
      <c r="T347" s="2" t="s">
        <v>96</v>
      </c>
      <c r="U347" s="2" t="s">
        <v>97</v>
      </c>
      <c r="V347" s="2" t="s">
        <v>56</v>
      </c>
      <c r="W347" s="2" t="s">
        <v>98</v>
      </c>
      <c r="X347" s="2" t="s">
        <v>99</v>
      </c>
      <c r="Y347" s="2">
        <v>0.70382231932262596</v>
      </c>
      <c r="Z347" s="2">
        <v>703.82231932262596</v>
      </c>
      <c r="AA347" s="2">
        <v>4.73719444444444</v>
      </c>
      <c r="AB347" s="2">
        <v>-74.069472222222203</v>
      </c>
      <c r="AC347" s="2">
        <v>2555</v>
      </c>
      <c r="AD347" s="2">
        <v>0</v>
      </c>
      <c r="AE347" s="2" t="s">
        <v>59</v>
      </c>
      <c r="AF347" s="2" t="s">
        <v>86</v>
      </c>
      <c r="AG347" s="2" t="s">
        <v>61</v>
      </c>
      <c r="AH347" s="2" t="s">
        <v>62</v>
      </c>
      <c r="AI347" s="2" t="s">
        <v>100</v>
      </c>
      <c r="AJ347" s="2">
        <v>1.8740547920295301</v>
      </c>
      <c r="AK347" s="2">
        <v>4.8574376881613404</v>
      </c>
      <c r="AL347" s="2">
        <v>1.8159073024210599</v>
      </c>
      <c r="AM347" s="2">
        <v>0.104064439076741</v>
      </c>
      <c r="AN347" s="2">
        <v>2.26310900480969</v>
      </c>
      <c r="AO347" s="2">
        <v>0.21507429513164</v>
      </c>
      <c r="AP347" s="2">
        <v>0.21507429513164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13</v>
      </c>
      <c r="AW347" s="2">
        <v>0</v>
      </c>
      <c r="AX347" s="2">
        <v>0</v>
      </c>
      <c r="AY347" s="2">
        <v>15.3</v>
      </c>
      <c r="AZ347" s="2">
        <v>9.8000000000000007</v>
      </c>
      <c r="BA347" s="2">
        <v>29.7</v>
      </c>
      <c r="BB347" s="2">
        <v>564</v>
      </c>
      <c r="BC347" s="2">
        <v>68</v>
      </c>
      <c r="BD347" s="2">
        <v>1.8</v>
      </c>
      <c r="BE347" s="2">
        <v>43</v>
      </c>
      <c r="BF347" s="2">
        <v>25.4</v>
      </c>
      <c r="BG347" s="2">
        <v>162</v>
      </c>
      <c r="BH347" s="2">
        <v>9.1</v>
      </c>
      <c r="BI347" s="2">
        <v>9.1999999999999993</v>
      </c>
      <c r="BJ347" s="2">
        <v>18.3</v>
      </c>
      <c r="BK347" s="2">
        <v>0.34</v>
      </c>
      <c r="BL347" s="2">
        <v>7.3</v>
      </c>
      <c r="BM347" s="2">
        <v>0.9</v>
      </c>
      <c r="BN347" s="2">
        <v>7.5</v>
      </c>
      <c r="BO347" s="2">
        <v>2.9</v>
      </c>
      <c r="BP347" s="2">
        <f t="shared" si="10"/>
        <v>9.4644547958190746</v>
      </c>
      <c r="BQ347" s="2">
        <f t="shared" si="11"/>
        <v>29.202528854922644</v>
      </c>
    </row>
    <row r="348" spans="1:69" x14ac:dyDescent="0.2">
      <c r="A348" s="2" t="s">
        <v>2333</v>
      </c>
      <c r="B348" s="2" t="s">
        <v>47</v>
      </c>
      <c r="C348" s="2" t="s">
        <v>1935</v>
      </c>
      <c r="D348" s="2" t="s">
        <v>49</v>
      </c>
      <c r="E348" s="2" t="s">
        <v>163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89</v>
      </c>
      <c r="L348" s="6" t="s">
        <v>141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2334</v>
      </c>
      <c r="R348" s="2">
        <v>5064102.5640000002</v>
      </c>
      <c r="S348" s="2">
        <v>0</v>
      </c>
      <c r="T348" s="2" t="s">
        <v>96</v>
      </c>
      <c r="U348" s="2" t="s">
        <v>97</v>
      </c>
      <c r="V348" s="2" t="s">
        <v>56</v>
      </c>
      <c r="W348" s="2" t="s">
        <v>98</v>
      </c>
      <c r="X348" s="2" t="s">
        <v>99</v>
      </c>
      <c r="Y348" s="2">
        <v>1.74165930792833</v>
      </c>
      <c r="Z348" s="2">
        <v>1741.65930792833</v>
      </c>
      <c r="AA348" s="2">
        <v>4.73719444444444</v>
      </c>
      <c r="AB348" s="2">
        <v>-74.069472222222203</v>
      </c>
      <c r="AC348" s="2">
        <v>2555</v>
      </c>
      <c r="AD348" s="2">
        <v>0</v>
      </c>
      <c r="AE348" s="2" t="s">
        <v>59</v>
      </c>
      <c r="AF348" s="2" t="s">
        <v>86</v>
      </c>
      <c r="AG348" s="2" t="s">
        <v>61</v>
      </c>
      <c r="AH348" s="2" t="s">
        <v>62</v>
      </c>
      <c r="AI348" s="2" t="s">
        <v>100</v>
      </c>
      <c r="AJ348" s="2">
        <v>1.16023899933802</v>
      </c>
      <c r="AK348" s="2">
        <v>4.0909214159076601</v>
      </c>
      <c r="AL348" s="2">
        <v>0.79726126311425105</v>
      </c>
      <c r="AM348" s="2">
        <v>0.177468771310168</v>
      </c>
      <c r="AN348" s="2">
        <v>3.14027278813258</v>
      </c>
      <c r="AO348" s="2">
        <v>9.0495263927204E-2</v>
      </c>
      <c r="AP348" s="2">
        <v>9.0495263927204E-2</v>
      </c>
      <c r="AQ348" s="2">
        <v>0</v>
      </c>
      <c r="AR348" s="2">
        <v>0</v>
      </c>
      <c r="AS348" s="2">
        <v>0</v>
      </c>
      <c r="AT348" s="2">
        <v>0</v>
      </c>
      <c r="AU348" s="2">
        <v>1</v>
      </c>
      <c r="AV348" s="2">
        <v>15</v>
      </c>
      <c r="AW348" s="2">
        <v>0</v>
      </c>
      <c r="AX348" s="2">
        <v>0</v>
      </c>
      <c r="AY348" s="2">
        <v>15.3</v>
      </c>
      <c r="AZ348" s="2">
        <v>9.8000000000000007</v>
      </c>
      <c r="BA348" s="2">
        <v>29.7</v>
      </c>
      <c r="BB348" s="2">
        <v>564</v>
      </c>
      <c r="BC348" s="2">
        <v>68</v>
      </c>
      <c r="BD348" s="2">
        <v>1.8</v>
      </c>
      <c r="BE348" s="2">
        <v>43</v>
      </c>
      <c r="BF348" s="2">
        <v>25.4</v>
      </c>
      <c r="BG348" s="2">
        <v>162</v>
      </c>
      <c r="BH348" s="2">
        <v>9.1</v>
      </c>
      <c r="BI348" s="2">
        <v>9.1999999999999993</v>
      </c>
      <c r="BJ348" s="2">
        <v>18.3</v>
      </c>
      <c r="BK348" s="2">
        <v>0.34</v>
      </c>
      <c r="BL348" s="2">
        <v>7.3</v>
      </c>
      <c r="BM348" s="2">
        <v>0.9</v>
      </c>
      <c r="BN348" s="2">
        <v>7.5</v>
      </c>
      <c r="BO348" s="2">
        <v>2.9</v>
      </c>
      <c r="BP348" s="2">
        <f t="shared" si="10"/>
        <v>8.990516053851378</v>
      </c>
      <c r="BQ348" s="2">
        <f t="shared" si="11"/>
        <v>28.484133769680462</v>
      </c>
    </row>
    <row r="349" spans="1:69" x14ac:dyDescent="0.2">
      <c r="A349" s="2" t="s">
        <v>3053</v>
      </c>
      <c r="B349" s="2" t="s">
        <v>47</v>
      </c>
      <c r="C349" s="2" t="s">
        <v>1935</v>
      </c>
      <c r="D349" s="2" t="s">
        <v>49</v>
      </c>
      <c r="E349" s="2" t="s">
        <v>1703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89</v>
      </c>
      <c r="L349" s="6" t="s">
        <v>141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3054</v>
      </c>
      <c r="R349" s="2">
        <v>4487179.4869999997</v>
      </c>
      <c r="S349" s="2">
        <v>0</v>
      </c>
      <c r="T349" s="2" t="s">
        <v>96</v>
      </c>
      <c r="U349" s="2" t="s">
        <v>97</v>
      </c>
      <c r="V349" s="2" t="s">
        <v>56</v>
      </c>
      <c r="W349" s="2" t="s">
        <v>98</v>
      </c>
      <c r="X349" s="2" t="s">
        <v>99</v>
      </c>
      <c r="Y349" s="2">
        <v>2.63020233369891</v>
      </c>
      <c r="Z349" s="2">
        <v>2630.20233369891</v>
      </c>
      <c r="AA349" s="2">
        <v>4.73719444444444</v>
      </c>
      <c r="AB349" s="2">
        <v>-74.069472222222203</v>
      </c>
      <c r="AC349" s="2">
        <v>2555</v>
      </c>
      <c r="AD349" s="2">
        <v>0</v>
      </c>
      <c r="AE349" s="2" t="s">
        <v>59</v>
      </c>
      <c r="AF349" s="2" t="s">
        <v>86</v>
      </c>
      <c r="AG349" s="2" t="s">
        <v>61</v>
      </c>
      <c r="AH349" s="2" t="s">
        <v>62</v>
      </c>
      <c r="AI349" s="2" t="s">
        <v>100</v>
      </c>
      <c r="AJ349" s="2">
        <v>1.5526376176060499</v>
      </c>
      <c r="AK349" s="2">
        <v>4.1416007105113897</v>
      </c>
      <c r="AL349" s="2">
        <v>0.87942640889551205</v>
      </c>
      <c r="AM349" s="2">
        <v>0.103239632697894</v>
      </c>
      <c r="AN349" s="2">
        <v>3.43832897969651</v>
      </c>
      <c r="AO349" s="2">
        <v>0.27077361127541599</v>
      </c>
      <c r="AP349" s="2">
        <v>0.27077361127541599</v>
      </c>
      <c r="AQ349" s="2">
        <v>0</v>
      </c>
      <c r="AR349" s="2">
        <v>0</v>
      </c>
      <c r="AS349" s="2">
        <v>0</v>
      </c>
      <c r="AT349" s="2">
        <v>0</v>
      </c>
      <c r="AU349" s="2">
        <v>1</v>
      </c>
      <c r="AV349" s="2">
        <v>10</v>
      </c>
      <c r="AW349" s="2">
        <v>0</v>
      </c>
      <c r="AX349" s="2">
        <v>1</v>
      </c>
      <c r="AY349" s="2">
        <v>15.3</v>
      </c>
      <c r="AZ349" s="2">
        <v>9.8000000000000007</v>
      </c>
      <c r="BA349" s="2">
        <v>29.7</v>
      </c>
      <c r="BB349" s="2">
        <v>564</v>
      </c>
      <c r="BC349" s="2">
        <v>68</v>
      </c>
      <c r="BD349" s="2">
        <v>1.8</v>
      </c>
      <c r="BE349" s="2">
        <v>43</v>
      </c>
      <c r="BF349" s="2">
        <v>25.4</v>
      </c>
      <c r="BG349" s="2">
        <v>162</v>
      </c>
      <c r="BH349" s="2">
        <v>9.1</v>
      </c>
      <c r="BI349" s="2">
        <v>9.1999999999999993</v>
      </c>
      <c r="BJ349" s="2">
        <v>18.3</v>
      </c>
      <c r="BK349" s="2">
        <v>0.34</v>
      </c>
      <c r="BL349" s="2">
        <v>7.3</v>
      </c>
      <c r="BM349" s="2">
        <v>0.9</v>
      </c>
      <c r="BN349" s="2">
        <v>7.5</v>
      </c>
      <c r="BO349" s="2">
        <v>2.9</v>
      </c>
      <c r="BP349" s="2">
        <f t="shared" si="10"/>
        <v>8.6036572127389341</v>
      </c>
      <c r="BQ349" s="2">
        <f t="shared" si="11"/>
        <v>27.883139573703502</v>
      </c>
    </row>
    <row r="350" spans="1:69" x14ac:dyDescent="0.2">
      <c r="A350" s="2" t="s">
        <v>497</v>
      </c>
      <c r="B350" s="2" t="s">
        <v>47</v>
      </c>
      <c r="C350" s="2" t="s">
        <v>48</v>
      </c>
      <c r="D350" s="2" t="s">
        <v>49</v>
      </c>
      <c r="E350" s="2" t="s">
        <v>462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89</v>
      </c>
      <c r="L350" s="6" t="s">
        <v>112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498</v>
      </c>
      <c r="R350" s="2">
        <v>4934210.5259999996</v>
      </c>
      <c r="S350" s="2">
        <v>0</v>
      </c>
      <c r="T350" s="2" t="s">
        <v>96</v>
      </c>
      <c r="U350" s="2" t="s">
        <v>97</v>
      </c>
      <c r="V350" s="2" t="s">
        <v>56</v>
      </c>
      <c r="W350" s="2" t="s">
        <v>98</v>
      </c>
      <c r="X350" s="2" t="s">
        <v>99</v>
      </c>
      <c r="Y350" s="2">
        <v>1.8854438203402999</v>
      </c>
      <c r="Z350" s="2">
        <v>1885.4438203402999</v>
      </c>
      <c r="AA350" s="2">
        <v>4.73719444444444</v>
      </c>
      <c r="AB350" s="2">
        <v>-74.069472222222203</v>
      </c>
      <c r="AC350" s="2">
        <v>2555</v>
      </c>
      <c r="AD350" s="2">
        <v>0</v>
      </c>
      <c r="AE350" s="2" t="s">
        <v>59</v>
      </c>
      <c r="AF350" s="2" t="s">
        <v>86</v>
      </c>
      <c r="AG350" s="2" t="s">
        <v>61</v>
      </c>
      <c r="AH350" s="2" t="s">
        <v>62</v>
      </c>
      <c r="AI350" s="2" t="s">
        <v>100</v>
      </c>
      <c r="AJ350" s="2">
        <v>0.60637914714857299</v>
      </c>
      <c r="AK350" s="2">
        <v>5.0224487310539701</v>
      </c>
      <c r="AL350" s="2">
        <v>0.44147985671869699</v>
      </c>
      <c r="AM350" s="2">
        <v>6.4250184287038006E-2</v>
      </c>
      <c r="AN350" s="2">
        <v>2.9331970247956201</v>
      </c>
      <c r="AO350" s="2">
        <v>0.15839569096116901</v>
      </c>
      <c r="AP350" s="2">
        <v>0.15839569096116901</v>
      </c>
      <c r="AQ350" s="2">
        <v>0</v>
      </c>
      <c r="AR350" s="2">
        <v>3</v>
      </c>
      <c r="AS350" s="2">
        <v>0</v>
      </c>
      <c r="AT350" s="2">
        <v>0</v>
      </c>
      <c r="AU350" s="2">
        <v>1</v>
      </c>
      <c r="AV350" s="2">
        <v>43</v>
      </c>
      <c r="AW350" s="2">
        <v>0</v>
      </c>
      <c r="AX350" s="2">
        <v>0</v>
      </c>
      <c r="AY350" s="2">
        <v>15.3</v>
      </c>
      <c r="AZ350" s="2">
        <v>9.8000000000000007</v>
      </c>
      <c r="BA350" s="2">
        <v>29.7</v>
      </c>
      <c r="BB350" s="2">
        <v>564</v>
      </c>
      <c r="BC350" s="2">
        <v>68</v>
      </c>
      <c r="BD350" s="2">
        <v>1.8</v>
      </c>
      <c r="BE350" s="2">
        <v>43</v>
      </c>
      <c r="BF350" s="2">
        <v>25.4</v>
      </c>
      <c r="BG350" s="2">
        <v>162</v>
      </c>
      <c r="BH350" s="2">
        <v>9.1</v>
      </c>
      <c r="BI350" s="2">
        <v>9.1999999999999993</v>
      </c>
      <c r="BJ350" s="2">
        <v>18.3</v>
      </c>
      <c r="BK350" s="2">
        <v>0.34</v>
      </c>
      <c r="BL350" s="2">
        <v>7.3</v>
      </c>
      <c r="BM350" s="2">
        <v>0.9</v>
      </c>
      <c r="BN350" s="2">
        <v>7.5</v>
      </c>
      <c r="BO350" s="2">
        <v>2.9</v>
      </c>
      <c r="BP350" s="2">
        <f t="shared" si="10"/>
        <v>8.9267547284424289</v>
      </c>
      <c r="BQ350" s="2">
        <f t="shared" si="11"/>
        <v>28.386009317519267</v>
      </c>
    </row>
    <row r="351" spans="1:69" x14ac:dyDescent="0.2">
      <c r="A351" s="2" t="s">
        <v>1410</v>
      </c>
      <c r="B351" s="2" t="s">
        <v>47</v>
      </c>
      <c r="C351" s="2" t="s">
        <v>48</v>
      </c>
      <c r="D351" s="2" t="s">
        <v>49</v>
      </c>
      <c r="E351" s="2" t="s">
        <v>1411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89</v>
      </c>
      <c r="L351" s="6" t="s">
        <v>141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1412</v>
      </c>
      <c r="R351" s="2">
        <v>4973333.3329999996</v>
      </c>
      <c r="S351" s="2">
        <v>0</v>
      </c>
      <c r="T351" s="2" t="s">
        <v>130</v>
      </c>
      <c r="U351" s="2" t="s">
        <v>131</v>
      </c>
      <c r="V351" s="2" t="s">
        <v>56</v>
      </c>
      <c r="W351" s="2" t="s">
        <v>98</v>
      </c>
      <c r="X351" s="2" t="s">
        <v>132</v>
      </c>
      <c r="Y351" s="2">
        <v>2.66496773381107</v>
      </c>
      <c r="Z351" s="2">
        <v>2664.96773381107</v>
      </c>
      <c r="AA351" s="2">
        <v>4.7837500000000004</v>
      </c>
      <c r="AB351" s="2">
        <v>-74.044138888888895</v>
      </c>
      <c r="AC351" s="2">
        <v>2580</v>
      </c>
      <c r="AD351" s="2">
        <v>0</v>
      </c>
      <c r="AE351" s="2" t="s">
        <v>133</v>
      </c>
      <c r="AF351" s="2" t="s">
        <v>86</v>
      </c>
      <c r="AG351" s="2" t="s">
        <v>61</v>
      </c>
      <c r="AH351" s="2" t="s">
        <v>62</v>
      </c>
      <c r="AI351" s="2" t="s">
        <v>87</v>
      </c>
      <c r="AJ351" s="2">
        <v>0.44427453522517601</v>
      </c>
      <c r="AK351" s="2">
        <v>2.2601623338924699</v>
      </c>
      <c r="AL351" s="2">
        <v>1.42378082296862</v>
      </c>
      <c r="AM351" s="2">
        <v>0.51688866663461797</v>
      </c>
      <c r="AN351" s="2">
        <v>2.6696644922692898</v>
      </c>
      <c r="AO351" s="2">
        <v>0.33555883227741001</v>
      </c>
      <c r="AP351" s="2">
        <v>0.33555883227741001</v>
      </c>
      <c r="AQ351" s="2">
        <v>1</v>
      </c>
      <c r="AR351" s="2">
        <v>3</v>
      </c>
      <c r="AS351" s="2">
        <v>0</v>
      </c>
      <c r="AT351" s="2">
        <v>0</v>
      </c>
      <c r="AU351" s="2">
        <v>0</v>
      </c>
      <c r="AV351" s="2">
        <v>16</v>
      </c>
      <c r="AW351" s="2">
        <v>0</v>
      </c>
      <c r="AX351" s="2">
        <v>0</v>
      </c>
      <c r="AY351" s="2">
        <v>15.3</v>
      </c>
      <c r="AZ351" s="2">
        <v>9.8000000000000007</v>
      </c>
      <c r="BA351" s="2">
        <v>29.7</v>
      </c>
      <c r="BB351" s="2">
        <v>564</v>
      </c>
      <c r="BC351" s="2">
        <v>68</v>
      </c>
      <c r="BD351" s="2">
        <v>1.8</v>
      </c>
      <c r="BE351" s="2">
        <v>43</v>
      </c>
      <c r="BF351" s="2">
        <v>25.4</v>
      </c>
      <c r="BG351" s="2">
        <v>162</v>
      </c>
      <c r="BH351" s="2">
        <v>9.1</v>
      </c>
      <c r="BI351" s="2">
        <v>9.1999999999999993</v>
      </c>
      <c r="BJ351" s="2">
        <v>18.3</v>
      </c>
      <c r="BK351" s="2">
        <v>0.34</v>
      </c>
      <c r="BL351" s="2">
        <v>7.3</v>
      </c>
      <c r="BM351" s="2">
        <v>0.9</v>
      </c>
      <c r="BN351" s="2">
        <v>7.5</v>
      </c>
      <c r="BO351" s="2">
        <v>2.9</v>
      </c>
      <c r="BP351" s="2">
        <f t="shared" si="10"/>
        <v>8.588864020619253</v>
      </c>
      <c r="BQ351" s="2">
        <f t="shared" si="11"/>
        <v>27.859884432656123</v>
      </c>
    </row>
    <row r="352" spans="1:69" x14ac:dyDescent="0.2">
      <c r="A352" s="2" t="s">
        <v>2449</v>
      </c>
      <c r="B352" s="2" t="s">
        <v>47</v>
      </c>
      <c r="C352" s="2" t="s">
        <v>1935</v>
      </c>
      <c r="D352" s="2" t="s">
        <v>49</v>
      </c>
      <c r="E352" s="2" t="s">
        <v>2394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89</v>
      </c>
      <c r="L352" s="6" t="s">
        <v>112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2450</v>
      </c>
      <c r="R352" s="2">
        <v>5513513.5140000004</v>
      </c>
      <c r="S352" s="2">
        <v>0</v>
      </c>
      <c r="T352" s="2" t="s">
        <v>96</v>
      </c>
      <c r="U352" s="2" t="s">
        <v>97</v>
      </c>
      <c r="V352" s="2" t="s">
        <v>56</v>
      </c>
      <c r="W352" s="2" t="s">
        <v>98</v>
      </c>
      <c r="X352" s="2" t="s">
        <v>99</v>
      </c>
      <c r="Y352" s="2">
        <v>1.4332706790924501</v>
      </c>
      <c r="Z352" s="2">
        <v>1433.2706790924501</v>
      </c>
      <c r="AA352" s="2">
        <v>4.73719444444444</v>
      </c>
      <c r="AB352" s="2">
        <v>-74.069472222222203</v>
      </c>
      <c r="AC352" s="2">
        <v>2555</v>
      </c>
      <c r="AD352" s="2">
        <v>0</v>
      </c>
      <c r="AE352" s="2" t="s">
        <v>59</v>
      </c>
      <c r="AF352" s="2" t="s">
        <v>86</v>
      </c>
      <c r="AG352" s="2" t="s">
        <v>61</v>
      </c>
      <c r="AH352" s="2" t="s">
        <v>62</v>
      </c>
      <c r="AI352" s="2" t="s">
        <v>100</v>
      </c>
      <c r="AJ352" s="2">
        <v>2.1909756995401799</v>
      </c>
      <c r="AK352" s="2">
        <v>5.0370178897841598</v>
      </c>
      <c r="AL352" s="2">
        <v>1.58785378922437</v>
      </c>
      <c r="AM352" s="2">
        <v>0.217976028195107</v>
      </c>
      <c r="AN352" s="2">
        <v>2.1964798650053901</v>
      </c>
      <c r="AO352" s="2">
        <v>5.3965661064273203E-2</v>
      </c>
      <c r="AP352" s="2">
        <v>5.3965661064273203E-2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10</v>
      </c>
      <c r="AW352" s="2">
        <v>0</v>
      </c>
      <c r="AX352" s="2">
        <v>0</v>
      </c>
      <c r="AY352" s="2">
        <v>15.3</v>
      </c>
      <c r="AZ352" s="2">
        <v>9.8000000000000007</v>
      </c>
      <c r="BA352" s="2">
        <v>29.7</v>
      </c>
      <c r="BB352" s="2">
        <v>564</v>
      </c>
      <c r="BC352" s="2">
        <v>68</v>
      </c>
      <c r="BD352" s="2">
        <v>1.8</v>
      </c>
      <c r="BE352" s="2">
        <v>43</v>
      </c>
      <c r="BF352" s="2">
        <v>25.4</v>
      </c>
      <c r="BG352" s="2">
        <v>162</v>
      </c>
      <c r="BH352" s="2">
        <v>9.1</v>
      </c>
      <c r="BI352" s="2">
        <v>9.1999999999999993</v>
      </c>
      <c r="BJ352" s="2">
        <v>18.3</v>
      </c>
      <c r="BK352" s="2">
        <v>0.34</v>
      </c>
      <c r="BL352" s="2">
        <v>7.3</v>
      </c>
      <c r="BM352" s="2">
        <v>0.9</v>
      </c>
      <c r="BN352" s="2">
        <v>7.5</v>
      </c>
      <c r="BO352" s="2">
        <v>2.9</v>
      </c>
      <c r="BP352" s="2">
        <f t="shared" si="10"/>
        <v>9.128811282501923</v>
      </c>
      <c r="BQ352" s="2">
        <f t="shared" si="11"/>
        <v>28.695736264323859</v>
      </c>
    </row>
    <row r="353" spans="1:69" x14ac:dyDescent="0.2">
      <c r="A353" s="2" t="s">
        <v>1434</v>
      </c>
      <c r="B353" s="2" t="s">
        <v>47</v>
      </c>
      <c r="C353" s="2" t="s">
        <v>48</v>
      </c>
      <c r="D353" s="2" t="s">
        <v>49</v>
      </c>
      <c r="E353" s="2" t="s">
        <v>1435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89</v>
      </c>
      <c r="L353" s="6" t="s">
        <v>141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1436</v>
      </c>
      <c r="R353" s="2">
        <v>4823338.5949999997</v>
      </c>
      <c r="S353" s="2">
        <v>0</v>
      </c>
      <c r="T353" s="2" t="s">
        <v>130</v>
      </c>
      <c r="U353" s="2" t="s">
        <v>131</v>
      </c>
      <c r="V353" s="2" t="s">
        <v>56</v>
      </c>
      <c r="W353" s="2" t="s">
        <v>98</v>
      </c>
      <c r="X353" s="2" t="s">
        <v>132</v>
      </c>
      <c r="Y353" s="2">
        <v>2.0978638435038701</v>
      </c>
      <c r="Z353" s="2">
        <v>2097.8638435038702</v>
      </c>
      <c r="AA353" s="2">
        <v>4.7837500000000004</v>
      </c>
      <c r="AB353" s="2">
        <v>-74.044138888888895</v>
      </c>
      <c r="AC353" s="2">
        <v>2580</v>
      </c>
      <c r="AD353" s="2">
        <v>0</v>
      </c>
      <c r="AE353" s="2" t="s">
        <v>133</v>
      </c>
      <c r="AF353" s="2" t="s">
        <v>86</v>
      </c>
      <c r="AG353" s="2" t="s">
        <v>61</v>
      </c>
      <c r="AH353" s="2" t="s">
        <v>62</v>
      </c>
      <c r="AI353" s="2" t="s">
        <v>100</v>
      </c>
      <c r="AJ353" s="2">
        <v>0.688071661217318</v>
      </c>
      <c r="AK353" s="2">
        <v>3.0168848716499199</v>
      </c>
      <c r="AL353" s="2">
        <v>1.43077379959399</v>
      </c>
      <c r="AM353" s="2">
        <v>0.46694921057950001</v>
      </c>
      <c r="AN353" s="2">
        <v>3.73501922460418</v>
      </c>
      <c r="AO353" s="2">
        <v>8.5135980020651994E-2</v>
      </c>
      <c r="AP353" s="2">
        <v>8.5135980020651994E-2</v>
      </c>
      <c r="AQ353" s="2">
        <v>0</v>
      </c>
      <c r="AR353" s="2">
        <v>2</v>
      </c>
      <c r="AS353" s="2">
        <v>0</v>
      </c>
      <c r="AT353" s="2">
        <v>0</v>
      </c>
      <c r="AU353" s="2">
        <v>0</v>
      </c>
      <c r="AV353" s="2">
        <v>13</v>
      </c>
      <c r="AW353" s="2">
        <v>0</v>
      </c>
      <c r="AX353" s="2">
        <v>0</v>
      </c>
      <c r="AY353" s="2">
        <v>15.3</v>
      </c>
      <c r="AZ353" s="2">
        <v>9.8000000000000007</v>
      </c>
      <c r="BA353" s="2">
        <v>29.7</v>
      </c>
      <c r="BB353" s="2">
        <v>564</v>
      </c>
      <c r="BC353" s="2">
        <v>68</v>
      </c>
      <c r="BD353" s="2">
        <v>1.8</v>
      </c>
      <c r="BE353" s="2">
        <v>43</v>
      </c>
      <c r="BF353" s="2">
        <v>25.4</v>
      </c>
      <c r="BG353" s="2">
        <v>162</v>
      </c>
      <c r="BH353" s="2">
        <v>9.1</v>
      </c>
      <c r="BI353" s="2">
        <v>9.1999999999999993</v>
      </c>
      <c r="BJ353" s="2">
        <v>18.3</v>
      </c>
      <c r="BK353" s="2">
        <v>0.34</v>
      </c>
      <c r="BL353" s="2">
        <v>7.3</v>
      </c>
      <c r="BM353" s="2">
        <v>0.9</v>
      </c>
      <c r="BN353" s="2">
        <v>7.5</v>
      </c>
      <c r="BO353" s="2">
        <v>2.9</v>
      </c>
      <c r="BP353" s="2">
        <f t="shared" si="10"/>
        <v>8.8333835165172054</v>
      </c>
      <c r="BQ353" s="2">
        <f t="shared" si="11"/>
        <v>28.241663411519806</v>
      </c>
    </row>
    <row r="354" spans="1:69" x14ac:dyDescent="0.2">
      <c r="A354" s="2" t="s">
        <v>1839</v>
      </c>
      <c r="B354" s="2" t="s">
        <v>47</v>
      </c>
      <c r="C354" s="2" t="s">
        <v>48</v>
      </c>
      <c r="D354" s="2" t="s">
        <v>49</v>
      </c>
      <c r="E354" s="2" t="s">
        <v>688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51</v>
      </c>
      <c r="L354" s="6" t="s">
        <v>52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1840</v>
      </c>
      <c r="R354" s="2">
        <v>12291506.85</v>
      </c>
      <c r="S354" s="2">
        <v>0</v>
      </c>
      <c r="T354" s="2" t="s">
        <v>96</v>
      </c>
      <c r="U354" s="2" t="s">
        <v>97</v>
      </c>
      <c r="V354" s="2" t="s">
        <v>56</v>
      </c>
      <c r="W354" s="2" t="s">
        <v>98</v>
      </c>
      <c r="X354" s="2" t="s">
        <v>99</v>
      </c>
      <c r="Y354" s="2">
        <v>0.63861239961929905</v>
      </c>
      <c r="Z354" s="2">
        <v>638.61239961929903</v>
      </c>
      <c r="AA354" s="2">
        <v>4.73719444444444</v>
      </c>
      <c r="AB354" s="2">
        <v>-74.069472222222203</v>
      </c>
      <c r="AC354" s="2">
        <v>2555</v>
      </c>
      <c r="AD354" s="2">
        <v>0</v>
      </c>
      <c r="AE354" s="2" t="s">
        <v>59</v>
      </c>
      <c r="AF354" s="2" t="s">
        <v>86</v>
      </c>
      <c r="AG354" s="2" t="s">
        <v>61</v>
      </c>
      <c r="AH354" s="2" t="s">
        <v>62</v>
      </c>
      <c r="AI354" s="2" t="s">
        <v>100</v>
      </c>
      <c r="AJ354" s="2">
        <v>1.41440551929003</v>
      </c>
      <c r="AK354" s="2">
        <v>4.6910347939887096</v>
      </c>
      <c r="AL354" s="2">
        <v>2.1334931094723402</v>
      </c>
      <c r="AM354" s="2">
        <v>0.32470775729854101</v>
      </c>
      <c r="AN354" s="2">
        <v>2.44728749950314</v>
      </c>
      <c r="AO354" s="2">
        <v>0.306373537902556</v>
      </c>
      <c r="AP354" s="2">
        <v>0.306373537902556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19</v>
      </c>
      <c r="AW354" s="2">
        <v>0</v>
      </c>
      <c r="AX354" s="2">
        <v>0</v>
      </c>
      <c r="AY354" s="2">
        <v>15.3</v>
      </c>
      <c r="AZ354" s="2">
        <v>9.8000000000000007</v>
      </c>
      <c r="BA354" s="2">
        <v>29.7</v>
      </c>
      <c r="BB354" s="2">
        <v>564</v>
      </c>
      <c r="BC354" s="2">
        <v>68</v>
      </c>
      <c r="BD354" s="2">
        <v>1.8</v>
      </c>
      <c r="BE354" s="2">
        <v>43</v>
      </c>
      <c r="BF354" s="2">
        <v>25.4</v>
      </c>
      <c r="BG354" s="2">
        <v>162</v>
      </c>
      <c r="BH354" s="2">
        <v>9.1</v>
      </c>
      <c r="BI354" s="2">
        <v>9.1999999999999993</v>
      </c>
      <c r="BJ354" s="2">
        <v>18.3</v>
      </c>
      <c r="BK354" s="2">
        <v>0.34</v>
      </c>
      <c r="BL354" s="2">
        <v>7.3</v>
      </c>
      <c r="BM354" s="2">
        <v>0.9</v>
      </c>
      <c r="BN354" s="2">
        <v>7.5</v>
      </c>
      <c r="BO354" s="2">
        <v>2.9</v>
      </c>
      <c r="BP354" s="2">
        <f t="shared" si="10"/>
        <v>9.4950543840132475</v>
      </c>
      <c r="BQ354" s="2">
        <f t="shared" si="11"/>
        <v>29.248267706591257</v>
      </c>
    </row>
    <row r="355" spans="1:69" x14ac:dyDescent="0.2">
      <c r="A355" s="2" t="s">
        <v>517</v>
      </c>
      <c r="B355" s="2" t="s">
        <v>47</v>
      </c>
      <c r="C355" s="2" t="s">
        <v>48</v>
      </c>
      <c r="D355" s="2" t="s">
        <v>49</v>
      </c>
      <c r="E355" s="2" t="s">
        <v>518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89</v>
      </c>
      <c r="L355" s="6" t="s">
        <v>103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519</v>
      </c>
      <c r="R355" s="2">
        <v>7123287.6710000001</v>
      </c>
      <c r="S355" s="2">
        <v>0</v>
      </c>
      <c r="T355" s="2" t="s">
        <v>96</v>
      </c>
      <c r="U355" s="2" t="s">
        <v>97</v>
      </c>
      <c r="V355" s="2" t="s">
        <v>56</v>
      </c>
      <c r="W355" s="2" t="s">
        <v>98</v>
      </c>
      <c r="X355" s="2" t="s">
        <v>99</v>
      </c>
      <c r="Y355" s="2">
        <v>0.499386903747289</v>
      </c>
      <c r="Z355" s="2">
        <v>499.38690374728901</v>
      </c>
      <c r="AA355" s="2">
        <v>4.73719444444444</v>
      </c>
      <c r="AB355" s="2">
        <v>-74.069472222222203</v>
      </c>
      <c r="AC355" s="2">
        <v>2555</v>
      </c>
      <c r="AD355" s="2">
        <v>0</v>
      </c>
      <c r="AE355" s="2" t="s">
        <v>59</v>
      </c>
      <c r="AF355" s="2" t="s">
        <v>86</v>
      </c>
      <c r="AG355" s="2" t="s">
        <v>61</v>
      </c>
      <c r="AH355" s="2" t="s">
        <v>62</v>
      </c>
      <c r="AI355" s="2" t="s">
        <v>100</v>
      </c>
      <c r="AJ355" s="2">
        <v>1.62570795317617</v>
      </c>
      <c r="AK355" s="2">
        <v>4.8371895126274698</v>
      </c>
      <c r="AL355" s="2">
        <v>2.0818122121976801</v>
      </c>
      <c r="AM355" s="2">
        <v>4.4755563898315601E-2</v>
      </c>
      <c r="AN355" s="2">
        <v>2.2487621708420602</v>
      </c>
      <c r="AO355" s="2">
        <v>0.157008400094277</v>
      </c>
      <c r="AP355" s="2">
        <v>0.157008400094277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9</v>
      </c>
      <c r="AW355" s="2">
        <v>0</v>
      </c>
      <c r="AX355" s="2">
        <v>0</v>
      </c>
      <c r="AY355" s="2">
        <v>15.3</v>
      </c>
      <c r="AZ355" s="2">
        <v>9.8000000000000007</v>
      </c>
      <c r="BA355" s="2">
        <v>29.7</v>
      </c>
      <c r="BB355" s="2">
        <v>564</v>
      </c>
      <c r="BC355" s="2">
        <v>68</v>
      </c>
      <c r="BD355" s="2">
        <v>1.8</v>
      </c>
      <c r="BE355" s="2">
        <v>43</v>
      </c>
      <c r="BF355" s="2">
        <v>25.4</v>
      </c>
      <c r="BG355" s="2">
        <v>162</v>
      </c>
      <c r="BH355" s="2">
        <v>9.1</v>
      </c>
      <c r="BI355" s="2">
        <v>9.1999999999999993</v>
      </c>
      <c r="BJ355" s="2">
        <v>18.3</v>
      </c>
      <c r="BK355" s="2">
        <v>0.34</v>
      </c>
      <c r="BL355" s="2">
        <v>7.3</v>
      </c>
      <c r="BM355" s="2">
        <v>0.9</v>
      </c>
      <c r="BN355" s="2">
        <v>7.5</v>
      </c>
      <c r="BO355" s="2">
        <v>2.9</v>
      </c>
      <c r="BP355" s="2">
        <f t="shared" si="10"/>
        <v>9.5607170926441611</v>
      </c>
      <c r="BQ355" s="2">
        <f t="shared" si="11"/>
        <v>29.346161677344611</v>
      </c>
    </row>
    <row r="356" spans="1:69" x14ac:dyDescent="0.2">
      <c r="A356" s="2" t="s">
        <v>423</v>
      </c>
      <c r="B356" s="2" t="s">
        <v>47</v>
      </c>
      <c r="C356" s="2" t="s">
        <v>48</v>
      </c>
      <c r="D356" s="2" t="s">
        <v>49</v>
      </c>
      <c r="E356" s="2" t="s">
        <v>163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89</v>
      </c>
      <c r="L356" s="6" t="s">
        <v>103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424</v>
      </c>
      <c r="R356" s="2">
        <v>6191780.8219999997</v>
      </c>
      <c r="S356" s="2">
        <v>0</v>
      </c>
      <c r="T356" s="2" t="s">
        <v>96</v>
      </c>
      <c r="U356" s="2" t="s">
        <v>97</v>
      </c>
      <c r="V356" s="2" t="s">
        <v>56</v>
      </c>
      <c r="W356" s="2" t="s">
        <v>98</v>
      </c>
      <c r="X356" s="2" t="s">
        <v>99</v>
      </c>
      <c r="Y356" s="2">
        <v>1.61268721172636</v>
      </c>
      <c r="Z356" s="2">
        <v>1612.6872117263599</v>
      </c>
      <c r="AA356" s="2">
        <v>4.73719444444444</v>
      </c>
      <c r="AB356" s="2">
        <v>-74.069472222222203</v>
      </c>
      <c r="AC356" s="2">
        <v>2555</v>
      </c>
      <c r="AD356" s="2">
        <v>0</v>
      </c>
      <c r="AE356" s="2" t="s">
        <v>59</v>
      </c>
      <c r="AF356" s="2" t="s">
        <v>86</v>
      </c>
      <c r="AG356" s="2" t="s">
        <v>61</v>
      </c>
      <c r="AH356" s="2" t="s">
        <v>62</v>
      </c>
      <c r="AI356" s="2" t="s">
        <v>100</v>
      </c>
      <c r="AJ356" s="2">
        <v>1.0809387802686801</v>
      </c>
      <c r="AK356" s="2">
        <v>4.1003102057446403</v>
      </c>
      <c r="AL356" s="2">
        <v>1.0117538295899999</v>
      </c>
      <c r="AM356" s="2">
        <v>0.44934267737196198</v>
      </c>
      <c r="AN356" s="2">
        <v>3.1374457428496001</v>
      </c>
      <c r="AO356" s="2">
        <v>5.1204637543455098E-2</v>
      </c>
      <c r="AP356" s="2">
        <v>5.1204637543455098E-2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9</v>
      </c>
      <c r="AW356" s="2">
        <v>0</v>
      </c>
      <c r="AX356" s="2">
        <v>0</v>
      </c>
      <c r="AY356" s="2">
        <v>15.3</v>
      </c>
      <c r="AZ356" s="2">
        <v>9.8000000000000007</v>
      </c>
      <c r="BA356" s="2">
        <v>29.7</v>
      </c>
      <c r="BB356" s="2">
        <v>564</v>
      </c>
      <c r="BC356" s="2">
        <v>68</v>
      </c>
      <c r="BD356" s="2">
        <v>1.8</v>
      </c>
      <c r="BE356" s="2">
        <v>43</v>
      </c>
      <c r="BF356" s="2">
        <v>25.4</v>
      </c>
      <c r="BG356" s="2">
        <v>162</v>
      </c>
      <c r="BH356" s="2">
        <v>9.1</v>
      </c>
      <c r="BI356" s="2">
        <v>9.1999999999999993</v>
      </c>
      <c r="BJ356" s="2">
        <v>18.3</v>
      </c>
      <c r="BK356" s="2">
        <v>0.34</v>
      </c>
      <c r="BL356" s="2">
        <v>7.3</v>
      </c>
      <c r="BM356" s="2">
        <v>0.9</v>
      </c>
      <c r="BN356" s="2">
        <v>7.5</v>
      </c>
      <c r="BO356" s="2">
        <v>2.9</v>
      </c>
      <c r="BP356" s="2">
        <f t="shared" si="10"/>
        <v>9.0480961796858068</v>
      </c>
      <c r="BQ356" s="2">
        <f t="shared" si="11"/>
        <v>28.572438167394132</v>
      </c>
    </row>
    <row r="357" spans="1:69" x14ac:dyDescent="0.2">
      <c r="A357" s="2" t="s">
        <v>2495</v>
      </c>
      <c r="B357" s="2" t="s">
        <v>47</v>
      </c>
      <c r="C357" s="2" t="s">
        <v>1935</v>
      </c>
      <c r="D357" s="2" t="s">
        <v>49</v>
      </c>
      <c r="E357" s="2" t="s">
        <v>1529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89</v>
      </c>
      <c r="L357" s="6" t="s">
        <v>141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2496</v>
      </c>
      <c r="R357" s="2">
        <v>11111111.109999999</v>
      </c>
      <c r="S357" s="2">
        <v>0</v>
      </c>
      <c r="T357" s="2" t="s">
        <v>98</v>
      </c>
      <c r="U357" s="2" t="s">
        <v>766</v>
      </c>
      <c r="V357" s="2" t="s">
        <v>56</v>
      </c>
      <c r="W357" s="2" t="s">
        <v>98</v>
      </c>
      <c r="X357" s="2" t="s">
        <v>767</v>
      </c>
      <c r="Y357" s="2">
        <v>2.4131985863596501</v>
      </c>
      <c r="Z357" s="2">
        <v>2413.1985863596501</v>
      </c>
      <c r="AA357" s="2">
        <v>4.7612472222222202</v>
      </c>
      <c r="AB357" s="2">
        <v>-74.093461111111097</v>
      </c>
      <c r="AC357" s="2">
        <v>2571</v>
      </c>
      <c r="AD357" s="2">
        <v>6</v>
      </c>
      <c r="AE357" s="2" t="s">
        <v>133</v>
      </c>
      <c r="AF357" s="2" t="s">
        <v>86</v>
      </c>
      <c r="AG357" s="2" t="s">
        <v>61</v>
      </c>
      <c r="AH357" s="2" t="s">
        <v>62</v>
      </c>
      <c r="AI357" s="2" t="s">
        <v>100</v>
      </c>
      <c r="AJ357" s="2">
        <v>0.66327040840002705</v>
      </c>
      <c r="AK357" s="2">
        <v>2.9546538515073602</v>
      </c>
      <c r="AL357" s="2">
        <v>3.7578271221514998</v>
      </c>
      <c r="AM357" s="2">
        <v>0.47894673291358197</v>
      </c>
      <c r="AN357" s="2">
        <v>1.2481923515997499</v>
      </c>
      <c r="AO357" s="2">
        <v>0.123360936746563</v>
      </c>
      <c r="AP357" s="2">
        <v>0.123360936746563</v>
      </c>
      <c r="AQ357" s="2">
        <v>0</v>
      </c>
      <c r="AR357" s="2">
        <v>2</v>
      </c>
      <c r="AS357" s="2">
        <v>0</v>
      </c>
      <c r="AT357" s="2">
        <v>0</v>
      </c>
      <c r="AU357" s="2">
        <v>0</v>
      </c>
      <c r="AV357" s="2">
        <v>33</v>
      </c>
      <c r="AW357" s="2">
        <v>0</v>
      </c>
      <c r="AX357" s="2">
        <v>0</v>
      </c>
      <c r="AY357" s="2">
        <v>15.3</v>
      </c>
      <c r="AZ357" s="2">
        <v>9.8000000000000007</v>
      </c>
      <c r="BA357" s="2">
        <v>29.7</v>
      </c>
      <c r="BB357" s="2">
        <v>564</v>
      </c>
      <c r="BC357" s="2">
        <v>68</v>
      </c>
      <c r="BD357" s="2">
        <v>1.8</v>
      </c>
      <c r="BE357" s="2">
        <v>43</v>
      </c>
      <c r="BF357" s="2">
        <v>25.4</v>
      </c>
      <c r="BG357" s="2">
        <v>162</v>
      </c>
      <c r="BH357" s="2">
        <v>9.1</v>
      </c>
      <c r="BI357" s="2">
        <v>9.1999999999999993</v>
      </c>
      <c r="BJ357" s="2">
        <v>18.3</v>
      </c>
      <c r="BK357" s="2">
        <v>0.34</v>
      </c>
      <c r="BL357" s="2">
        <v>7.3</v>
      </c>
      <c r="BM357" s="2">
        <v>0.9</v>
      </c>
      <c r="BN357" s="2">
        <v>7.5</v>
      </c>
      <c r="BO357" s="2">
        <v>2.9</v>
      </c>
      <c r="BP357" s="2">
        <f t="shared" si="10"/>
        <v>8.6965731360084568</v>
      </c>
      <c r="BQ357" s="2">
        <f t="shared" si="11"/>
        <v>28.028736283585708</v>
      </c>
    </row>
    <row r="358" spans="1:69" x14ac:dyDescent="0.2">
      <c r="A358" s="2" t="s">
        <v>162</v>
      </c>
      <c r="B358" s="2" t="s">
        <v>47</v>
      </c>
      <c r="C358" s="2" t="s">
        <v>48</v>
      </c>
      <c r="D358" s="2" t="s">
        <v>49</v>
      </c>
      <c r="E358" s="2" t="s">
        <v>163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89</v>
      </c>
      <c r="L358" s="6" t="s">
        <v>103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164</v>
      </c>
      <c r="R358" s="2">
        <v>6277777.7779999999</v>
      </c>
      <c r="S358" s="2">
        <v>0</v>
      </c>
      <c r="T358" s="2" t="s">
        <v>96</v>
      </c>
      <c r="U358" s="2" t="s">
        <v>97</v>
      </c>
      <c r="V358" s="2" t="s">
        <v>56</v>
      </c>
      <c r="W358" s="2" t="s">
        <v>98</v>
      </c>
      <c r="X358" s="2" t="s">
        <v>99</v>
      </c>
      <c r="Y358" s="2">
        <v>1.61268721172636</v>
      </c>
      <c r="Z358" s="2">
        <v>1612.6872117263599</v>
      </c>
      <c r="AA358" s="2">
        <v>4.73719444444444</v>
      </c>
      <c r="AB358" s="2">
        <v>-74.069472222222203</v>
      </c>
      <c r="AC358" s="2">
        <v>2555</v>
      </c>
      <c r="AD358" s="2">
        <v>0</v>
      </c>
      <c r="AE358" s="2" t="s">
        <v>59</v>
      </c>
      <c r="AF358" s="2" t="s">
        <v>86</v>
      </c>
      <c r="AG358" s="2" t="s">
        <v>61</v>
      </c>
      <c r="AH358" s="2" t="s">
        <v>62</v>
      </c>
      <c r="AI358" s="2" t="s">
        <v>100</v>
      </c>
      <c r="AJ358" s="2">
        <v>1.0809387802686801</v>
      </c>
      <c r="AK358" s="2">
        <v>4.1003102057446403</v>
      </c>
      <c r="AL358" s="2">
        <v>1.0117538295899999</v>
      </c>
      <c r="AM358" s="2">
        <v>0.44934267737196198</v>
      </c>
      <c r="AN358" s="2">
        <v>3.1374457428496001</v>
      </c>
      <c r="AO358" s="2">
        <v>5.1204637543455098E-2</v>
      </c>
      <c r="AP358" s="2">
        <v>5.1204637543455098E-2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9</v>
      </c>
      <c r="AW358" s="2">
        <v>0</v>
      </c>
      <c r="AX358" s="2">
        <v>0</v>
      </c>
      <c r="AY358" s="2">
        <v>15.3</v>
      </c>
      <c r="AZ358" s="2">
        <v>9.8000000000000007</v>
      </c>
      <c r="BA358" s="2">
        <v>29.7</v>
      </c>
      <c r="BB358" s="2">
        <v>564</v>
      </c>
      <c r="BC358" s="2">
        <v>68</v>
      </c>
      <c r="BD358" s="2">
        <v>1.8</v>
      </c>
      <c r="BE358" s="2">
        <v>43</v>
      </c>
      <c r="BF358" s="2">
        <v>25.4</v>
      </c>
      <c r="BG358" s="2">
        <v>162</v>
      </c>
      <c r="BH358" s="2">
        <v>9.1</v>
      </c>
      <c r="BI358" s="2">
        <v>9.1999999999999993</v>
      </c>
      <c r="BJ358" s="2">
        <v>18.3</v>
      </c>
      <c r="BK358" s="2">
        <v>0.34</v>
      </c>
      <c r="BL358" s="2">
        <v>7.3</v>
      </c>
      <c r="BM358" s="2">
        <v>0.9</v>
      </c>
      <c r="BN358" s="2">
        <v>7.5</v>
      </c>
      <c r="BO358" s="2">
        <v>2.9</v>
      </c>
      <c r="BP358" s="2">
        <f t="shared" si="10"/>
        <v>9.0480961796858068</v>
      </c>
      <c r="BQ358" s="2">
        <f t="shared" si="11"/>
        <v>28.572438167394132</v>
      </c>
    </row>
    <row r="359" spans="1:69" x14ac:dyDescent="0.2">
      <c r="A359" s="2" t="s">
        <v>2393</v>
      </c>
      <c r="B359" s="2" t="s">
        <v>47</v>
      </c>
      <c r="C359" s="2" t="s">
        <v>1935</v>
      </c>
      <c r="D359" s="2" t="s">
        <v>49</v>
      </c>
      <c r="E359" s="2" t="s">
        <v>2394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89</v>
      </c>
      <c r="L359" s="6" t="s">
        <v>103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2395</v>
      </c>
      <c r="R359" s="2">
        <v>5666666.6670000004</v>
      </c>
      <c r="S359" s="2">
        <v>0</v>
      </c>
      <c r="T359" s="2" t="s">
        <v>96</v>
      </c>
      <c r="U359" s="2" t="s">
        <v>97</v>
      </c>
      <c r="V359" s="2" t="s">
        <v>56</v>
      </c>
      <c r="W359" s="2" t="s">
        <v>98</v>
      </c>
      <c r="X359" s="2" t="s">
        <v>99</v>
      </c>
      <c r="Y359" s="2">
        <v>1.5022829458896001</v>
      </c>
      <c r="Z359" s="2">
        <v>1502.2829458895999</v>
      </c>
      <c r="AA359" s="2">
        <v>4.73719444444444</v>
      </c>
      <c r="AB359" s="2">
        <v>-74.069472222222203</v>
      </c>
      <c r="AC359" s="2">
        <v>2555</v>
      </c>
      <c r="AD359" s="2">
        <v>0</v>
      </c>
      <c r="AE359" s="2" t="s">
        <v>59</v>
      </c>
      <c r="AF359" s="2" t="s">
        <v>86</v>
      </c>
      <c r="AG359" s="2" t="s">
        <v>61</v>
      </c>
      <c r="AH359" s="2" t="s">
        <v>62</v>
      </c>
      <c r="AI359" s="2" t="s">
        <v>100</v>
      </c>
      <c r="AJ359" s="2">
        <v>2.2540763208290602</v>
      </c>
      <c r="AK359" s="2">
        <v>4.9932658972409101</v>
      </c>
      <c r="AL359" s="2">
        <v>1.55170313635561</v>
      </c>
      <c r="AM359" s="2">
        <v>0.19875850553159499</v>
      </c>
      <c r="AN359" s="2">
        <v>2.2450354909592698</v>
      </c>
      <c r="AO359" s="2">
        <v>4.9551682434526199E-2</v>
      </c>
      <c r="AP359" s="2">
        <v>4.9551682434526199E-2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10</v>
      </c>
      <c r="AW359" s="2">
        <v>0</v>
      </c>
      <c r="AX359" s="2">
        <v>1</v>
      </c>
      <c r="AY359" s="2">
        <v>15.3</v>
      </c>
      <c r="AZ359" s="2">
        <v>9.8000000000000007</v>
      </c>
      <c r="BA359" s="2">
        <v>29.7</v>
      </c>
      <c r="BB359" s="2">
        <v>564</v>
      </c>
      <c r="BC359" s="2">
        <v>68</v>
      </c>
      <c r="BD359" s="2">
        <v>1.8</v>
      </c>
      <c r="BE359" s="2">
        <v>43</v>
      </c>
      <c r="BF359" s="2">
        <v>25.4</v>
      </c>
      <c r="BG359" s="2">
        <v>162</v>
      </c>
      <c r="BH359" s="2">
        <v>9.1</v>
      </c>
      <c r="BI359" s="2">
        <v>9.1999999999999993</v>
      </c>
      <c r="BJ359" s="2">
        <v>18.3</v>
      </c>
      <c r="BK359" s="2">
        <v>0.34</v>
      </c>
      <c r="BL359" s="2">
        <v>7.3</v>
      </c>
      <c r="BM359" s="2">
        <v>0.9</v>
      </c>
      <c r="BN359" s="2">
        <v>7.5</v>
      </c>
      <c r="BO359" s="2">
        <v>2.9</v>
      </c>
      <c r="BP359" s="2">
        <f t="shared" si="10"/>
        <v>9.0976794895396242</v>
      </c>
      <c r="BQ359" s="2">
        <f t="shared" si="11"/>
        <v>28.648247015900189</v>
      </c>
    </row>
    <row r="360" spans="1:69" x14ac:dyDescent="0.2">
      <c r="A360" s="2" t="s">
        <v>2077</v>
      </c>
      <c r="B360" s="2" t="s">
        <v>47</v>
      </c>
      <c r="C360" s="2" t="s">
        <v>1935</v>
      </c>
      <c r="D360" s="2" t="s">
        <v>49</v>
      </c>
      <c r="E360" s="2" t="s">
        <v>153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89</v>
      </c>
      <c r="L360" s="6" t="s">
        <v>103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2078</v>
      </c>
      <c r="R360" s="2">
        <v>5845070.4230000004</v>
      </c>
      <c r="S360" s="2">
        <v>0</v>
      </c>
      <c r="T360" s="2" t="s">
        <v>96</v>
      </c>
      <c r="U360" s="2" t="s">
        <v>97</v>
      </c>
      <c r="V360" s="2" t="s">
        <v>56</v>
      </c>
      <c r="W360" s="2" t="s">
        <v>98</v>
      </c>
      <c r="X360" s="2" t="s">
        <v>99</v>
      </c>
      <c r="Y360" s="2">
        <v>0.81169555961023299</v>
      </c>
      <c r="Z360" s="2">
        <v>811.69555961023298</v>
      </c>
      <c r="AA360" s="2">
        <v>4.73719444444444</v>
      </c>
      <c r="AB360" s="2">
        <v>-74.069472222222203</v>
      </c>
      <c r="AC360" s="2">
        <v>2555</v>
      </c>
      <c r="AD360" s="2">
        <v>0</v>
      </c>
      <c r="AE360" s="2" t="s">
        <v>59</v>
      </c>
      <c r="AF360" s="2" t="s">
        <v>86</v>
      </c>
      <c r="AG360" s="2" t="s">
        <v>61</v>
      </c>
      <c r="AH360" s="2" t="s">
        <v>62</v>
      </c>
      <c r="AI360" s="2" t="s">
        <v>100</v>
      </c>
      <c r="AJ360" s="2">
        <v>1.52733165465864</v>
      </c>
      <c r="AK360" s="2">
        <v>4.5242254577988597</v>
      </c>
      <c r="AL360" s="2">
        <v>1.88360812614609</v>
      </c>
      <c r="AM360" s="2">
        <v>0.31301233423845598</v>
      </c>
      <c r="AN360" s="2">
        <v>2.56294092735798</v>
      </c>
      <c r="AO360" s="2">
        <v>0.277403928422498</v>
      </c>
      <c r="AP360" s="2">
        <v>0.277403928422498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12</v>
      </c>
      <c r="AW360" s="2">
        <v>0</v>
      </c>
      <c r="AX360" s="2">
        <v>0</v>
      </c>
      <c r="AY360" s="2">
        <v>15.3</v>
      </c>
      <c r="AZ360" s="2">
        <v>9.8000000000000007</v>
      </c>
      <c r="BA360" s="2">
        <v>29.7</v>
      </c>
      <c r="BB360" s="2">
        <v>564</v>
      </c>
      <c r="BC360" s="2">
        <v>68</v>
      </c>
      <c r="BD360" s="2">
        <v>1.8</v>
      </c>
      <c r="BE360" s="2">
        <v>43</v>
      </c>
      <c r="BF360" s="2">
        <v>25.4</v>
      </c>
      <c r="BG360" s="2">
        <v>162</v>
      </c>
      <c r="BH360" s="2">
        <v>9.1</v>
      </c>
      <c r="BI360" s="2">
        <v>9.1999999999999993</v>
      </c>
      <c r="BJ360" s="2">
        <v>18.3</v>
      </c>
      <c r="BK360" s="2">
        <v>0.34</v>
      </c>
      <c r="BL360" s="2">
        <v>7.3</v>
      </c>
      <c r="BM360" s="2">
        <v>0.9</v>
      </c>
      <c r="BN360" s="2">
        <v>7.5</v>
      </c>
      <c r="BO360" s="2">
        <v>2.9</v>
      </c>
      <c r="BP360" s="2">
        <f t="shared" si="10"/>
        <v>9.4140518947885621</v>
      </c>
      <c r="BQ360" s="2">
        <f t="shared" si="11"/>
        <v>29.127022524555422</v>
      </c>
    </row>
    <row r="361" spans="1:69" x14ac:dyDescent="0.2">
      <c r="A361" s="2" t="s">
        <v>1602</v>
      </c>
      <c r="B361" s="2" t="s">
        <v>47</v>
      </c>
      <c r="C361" s="2" t="s">
        <v>48</v>
      </c>
      <c r="D361" s="2" t="s">
        <v>49</v>
      </c>
      <c r="E361" s="2" t="s">
        <v>1496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89</v>
      </c>
      <c r="L361" s="6" t="s">
        <v>141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1603</v>
      </c>
      <c r="R361" s="2">
        <v>5211267.6059999997</v>
      </c>
      <c r="S361" s="2">
        <v>0</v>
      </c>
      <c r="T361" s="2" t="s">
        <v>96</v>
      </c>
      <c r="U361" s="2" t="s">
        <v>97</v>
      </c>
      <c r="V361" s="2" t="s">
        <v>56</v>
      </c>
      <c r="W361" s="2" t="s">
        <v>98</v>
      </c>
      <c r="X361" s="2" t="s">
        <v>99</v>
      </c>
      <c r="Y361" s="2">
        <v>3.0763485558842998</v>
      </c>
      <c r="Z361" s="2">
        <v>3076.3485558842999</v>
      </c>
      <c r="AA361" s="2">
        <v>4.73719444444444</v>
      </c>
      <c r="AB361" s="2">
        <v>-74.069472222222203</v>
      </c>
      <c r="AC361" s="2">
        <v>2555</v>
      </c>
      <c r="AD361" s="2">
        <v>0</v>
      </c>
      <c r="AE361" s="2" t="s">
        <v>59</v>
      </c>
      <c r="AF361" s="2" t="s">
        <v>86</v>
      </c>
      <c r="AG361" s="2" t="s">
        <v>61</v>
      </c>
      <c r="AH361" s="2" t="s">
        <v>62</v>
      </c>
      <c r="AI361" s="2" t="s">
        <v>100</v>
      </c>
      <c r="AJ361" s="2">
        <v>0.79668295360177899</v>
      </c>
      <c r="AK361" s="2">
        <v>3.78113379925672</v>
      </c>
      <c r="AL361" s="2">
        <v>1.4856920187606699</v>
      </c>
      <c r="AM361" s="2">
        <v>0.19303423695706901</v>
      </c>
      <c r="AN361" s="2">
        <v>4.3963969490697998</v>
      </c>
      <c r="AO361" s="2">
        <v>3.5970192282048598E-2</v>
      </c>
      <c r="AP361" s="2">
        <v>3.5970192282048598E-2</v>
      </c>
      <c r="AQ361" s="2">
        <v>0</v>
      </c>
      <c r="AR361" s="2">
        <v>2</v>
      </c>
      <c r="AS361" s="2">
        <v>0</v>
      </c>
      <c r="AT361" s="2">
        <v>0</v>
      </c>
      <c r="AU361" s="2">
        <v>0</v>
      </c>
      <c r="AV361" s="2">
        <v>26</v>
      </c>
      <c r="AW361" s="2">
        <v>0</v>
      </c>
      <c r="AX361" s="2">
        <v>0</v>
      </c>
      <c r="AY361" s="2">
        <v>15.3</v>
      </c>
      <c r="AZ361" s="2">
        <v>9.8000000000000007</v>
      </c>
      <c r="BA361" s="2">
        <v>29.7</v>
      </c>
      <c r="BB361" s="2">
        <v>564</v>
      </c>
      <c r="BC361" s="2">
        <v>68</v>
      </c>
      <c r="BD361" s="2">
        <v>1.8</v>
      </c>
      <c r="BE361" s="2">
        <v>43</v>
      </c>
      <c r="BF361" s="2">
        <v>25.4</v>
      </c>
      <c r="BG361" s="2">
        <v>162</v>
      </c>
      <c r="BH361" s="2">
        <v>9.1</v>
      </c>
      <c r="BI361" s="2">
        <v>9.1999999999999993</v>
      </c>
      <c r="BJ361" s="2">
        <v>18.3</v>
      </c>
      <c r="BK361" s="2">
        <v>0.34</v>
      </c>
      <c r="BL361" s="2">
        <v>7.3</v>
      </c>
      <c r="BM361" s="2">
        <v>0.9</v>
      </c>
      <c r="BN361" s="2">
        <v>7.5</v>
      </c>
      <c r="BO361" s="2">
        <v>2.9</v>
      </c>
      <c r="BP361" s="2">
        <f t="shared" si="10"/>
        <v>8.4157346995854585</v>
      </c>
      <c r="BQ361" s="2">
        <f t="shared" si="11"/>
        <v>27.586173318254296</v>
      </c>
    </row>
    <row r="362" spans="1:69" x14ac:dyDescent="0.2">
      <c r="A362" s="2" t="s">
        <v>1495</v>
      </c>
      <c r="B362" s="2" t="s">
        <v>47</v>
      </c>
      <c r="C362" s="2" t="s">
        <v>48</v>
      </c>
      <c r="D362" s="2" t="s">
        <v>49</v>
      </c>
      <c r="E362" s="2" t="s">
        <v>1496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89</v>
      </c>
      <c r="L362" s="6" t="s">
        <v>141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1497</v>
      </c>
      <c r="R362" s="2">
        <v>4647887.324</v>
      </c>
      <c r="S362" s="2">
        <v>0</v>
      </c>
      <c r="T362" s="2" t="s">
        <v>96</v>
      </c>
      <c r="U362" s="2" t="s">
        <v>97</v>
      </c>
      <c r="V362" s="2" t="s">
        <v>56</v>
      </c>
      <c r="W362" s="2" t="s">
        <v>98</v>
      </c>
      <c r="X362" s="2" t="s">
        <v>99</v>
      </c>
      <c r="Y362" s="2">
        <v>3.0763485558842998</v>
      </c>
      <c r="Z362" s="2">
        <v>3076.3485558842999</v>
      </c>
      <c r="AA362" s="2">
        <v>4.73719444444444</v>
      </c>
      <c r="AB362" s="2">
        <v>-74.069472222222203</v>
      </c>
      <c r="AC362" s="2">
        <v>2555</v>
      </c>
      <c r="AD362" s="2">
        <v>0</v>
      </c>
      <c r="AE362" s="2" t="s">
        <v>59</v>
      </c>
      <c r="AF362" s="2" t="s">
        <v>86</v>
      </c>
      <c r="AG362" s="2" t="s">
        <v>61</v>
      </c>
      <c r="AH362" s="2" t="s">
        <v>62</v>
      </c>
      <c r="AI362" s="2" t="s">
        <v>100</v>
      </c>
      <c r="AJ362" s="2">
        <v>0.79668295360177899</v>
      </c>
      <c r="AK362" s="2">
        <v>3.78113379925672</v>
      </c>
      <c r="AL362" s="2">
        <v>1.4856920187606699</v>
      </c>
      <c r="AM362" s="2">
        <v>0.19303423695706901</v>
      </c>
      <c r="AN362" s="2">
        <v>4.3963969490697998</v>
      </c>
      <c r="AO362" s="2">
        <v>3.5970192282048598E-2</v>
      </c>
      <c r="AP362" s="2">
        <v>3.5970192282048598E-2</v>
      </c>
      <c r="AQ362" s="2">
        <v>0</v>
      </c>
      <c r="AR362" s="2">
        <v>2</v>
      </c>
      <c r="AS362" s="2">
        <v>0</v>
      </c>
      <c r="AT362" s="2">
        <v>0</v>
      </c>
      <c r="AU362" s="2">
        <v>0</v>
      </c>
      <c r="AV362" s="2">
        <v>26</v>
      </c>
      <c r="AW362" s="2">
        <v>0</v>
      </c>
      <c r="AX362" s="2">
        <v>0</v>
      </c>
      <c r="AY362" s="2">
        <v>15.3</v>
      </c>
      <c r="AZ362" s="2">
        <v>9.8000000000000007</v>
      </c>
      <c r="BA362" s="2">
        <v>29.7</v>
      </c>
      <c r="BB362" s="2">
        <v>564</v>
      </c>
      <c r="BC362" s="2">
        <v>68</v>
      </c>
      <c r="BD362" s="2">
        <v>1.8</v>
      </c>
      <c r="BE362" s="2">
        <v>43</v>
      </c>
      <c r="BF362" s="2">
        <v>25.4</v>
      </c>
      <c r="BG362" s="2">
        <v>162</v>
      </c>
      <c r="BH362" s="2">
        <v>9.1</v>
      </c>
      <c r="BI362" s="2">
        <v>9.1999999999999993</v>
      </c>
      <c r="BJ362" s="2">
        <v>18.3</v>
      </c>
      <c r="BK362" s="2">
        <v>0.34</v>
      </c>
      <c r="BL362" s="2">
        <v>7.3</v>
      </c>
      <c r="BM362" s="2">
        <v>0.9</v>
      </c>
      <c r="BN362" s="2">
        <v>7.5</v>
      </c>
      <c r="BO362" s="2">
        <v>2.9</v>
      </c>
      <c r="BP362" s="2">
        <f t="shared" si="10"/>
        <v>8.4157346995854585</v>
      </c>
      <c r="BQ362" s="2">
        <f t="shared" si="11"/>
        <v>27.586173318254296</v>
      </c>
    </row>
    <row r="363" spans="1:69" x14ac:dyDescent="0.2">
      <c r="A363" s="2" t="s">
        <v>1388</v>
      </c>
      <c r="B363" s="2" t="s">
        <v>47</v>
      </c>
      <c r="C363" s="2" t="s">
        <v>48</v>
      </c>
      <c r="D363" s="2" t="s">
        <v>49</v>
      </c>
      <c r="E363" s="2" t="s">
        <v>1389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89</v>
      </c>
      <c r="L363" s="6" t="s">
        <v>103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1390</v>
      </c>
      <c r="R363" s="2">
        <v>4528571.4289999995</v>
      </c>
      <c r="S363" s="2">
        <v>0</v>
      </c>
      <c r="T363" s="2" t="s">
        <v>98</v>
      </c>
      <c r="U363" s="2" t="s">
        <v>766</v>
      </c>
      <c r="V363" s="2" t="s">
        <v>56</v>
      </c>
      <c r="W363" s="2" t="s">
        <v>98</v>
      </c>
      <c r="X363" s="2" t="s">
        <v>767</v>
      </c>
      <c r="Y363" s="2">
        <v>1.7048082314725099</v>
      </c>
      <c r="Z363" s="2">
        <v>1704.80823147251</v>
      </c>
      <c r="AA363" s="2">
        <v>4.7612472222222202</v>
      </c>
      <c r="AB363" s="2">
        <v>-74.093461111111097</v>
      </c>
      <c r="AC363" s="2">
        <v>2571</v>
      </c>
      <c r="AD363" s="2">
        <v>6</v>
      </c>
      <c r="AE363" s="2" t="s">
        <v>133</v>
      </c>
      <c r="AF363" s="2" t="s">
        <v>86</v>
      </c>
      <c r="AG363" s="2" t="s">
        <v>61</v>
      </c>
      <c r="AH363" s="2" t="s">
        <v>62</v>
      </c>
      <c r="AI363" s="2" t="s">
        <v>100</v>
      </c>
      <c r="AJ363" s="2">
        <v>0.69603767867049604</v>
      </c>
      <c r="AK363" s="2">
        <v>3.35601559319469</v>
      </c>
      <c r="AL363" s="2">
        <v>3.77478844544583</v>
      </c>
      <c r="AM363" s="2">
        <v>0.47390726826839202</v>
      </c>
      <c r="AN363" s="2">
        <v>0.682190439413775</v>
      </c>
      <c r="AO363" s="2">
        <v>3.8201005184814701E-2</v>
      </c>
      <c r="AP363" s="2">
        <v>3.8201005184814701E-2</v>
      </c>
      <c r="AQ363" s="2">
        <v>0</v>
      </c>
      <c r="AR363" s="2">
        <v>3</v>
      </c>
      <c r="AS363" s="2">
        <v>0</v>
      </c>
      <c r="AT363" s="2">
        <v>0</v>
      </c>
      <c r="AU363" s="2">
        <v>0</v>
      </c>
      <c r="AV363" s="2">
        <v>40</v>
      </c>
      <c r="AW363" s="2">
        <v>1</v>
      </c>
      <c r="AX363" s="2">
        <v>0</v>
      </c>
      <c r="AY363" s="2">
        <v>15.3</v>
      </c>
      <c r="AZ363" s="2">
        <v>9.8000000000000007</v>
      </c>
      <c r="BA363" s="2">
        <v>29.7</v>
      </c>
      <c r="BB363" s="2">
        <v>564</v>
      </c>
      <c r="BC363" s="2">
        <v>68</v>
      </c>
      <c r="BD363" s="2">
        <v>1.8</v>
      </c>
      <c r="BE363" s="2">
        <v>43</v>
      </c>
      <c r="BF363" s="2">
        <v>25.4</v>
      </c>
      <c r="BG363" s="2">
        <v>162</v>
      </c>
      <c r="BH363" s="2">
        <v>9.1</v>
      </c>
      <c r="BI363" s="2">
        <v>9.1999999999999993</v>
      </c>
      <c r="BJ363" s="2">
        <v>18.3</v>
      </c>
      <c r="BK363" s="2">
        <v>0.34</v>
      </c>
      <c r="BL363" s="2">
        <v>7.3</v>
      </c>
      <c r="BM363" s="2">
        <v>0.9</v>
      </c>
      <c r="BN363" s="2">
        <v>7.5</v>
      </c>
      <c r="BO363" s="2">
        <v>2.9</v>
      </c>
      <c r="BP363" s="2">
        <f t="shared" si="10"/>
        <v>9.0069308752964528</v>
      </c>
      <c r="BQ363" s="2">
        <f t="shared" si="11"/>
        <v>28.509337017030933</v>
      </c>
    </row>
    <row r="364" spans="1:69" x14ac:dyDescent="0.2">
      <c r="A364" s="2" t="s">
        <v>1730</v>
      </c>
      <c r="B364" s="2" t="s">
        <v>47</v>
      </c>
      <c r="C364" s="2" t="s">
        <v>48</v>
      </c>
      <c r="D364" s="2" t="s">
        <v>49</v>
      </c>
      <c r="E364" s="2" t="s">
        <v>1731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51</v>
      </c>
      <c r="L364" s="6" t="s">
        <v>52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1732</v>
      </c>
      <c r="R364" s="2">
        <v>12826931.380000001</v>
      </c>
      <c r="S364" s="2">
        <v>0</v>
      </c>
      <c r="T364" s="2" t="s">
        <v>96</v>
      </c>
      <c r="U364" s="2" t="s">
        <v>97</v>
      </c>
      <c r="V364" s="2" t="s">
        <v>56</v>
      </c>
      <c r="W364" s="2" t="s">
        <v>98</v>
      </c>
      <c r="X364" s="2" t="s">
        <v>99</v>
      </c>
      <c r="Y364" s="2">
        <v>2.48923283715119</v>
      </c>
      <c r="Z364" s="2">
        <v>2489.2328371511899</v>
      </c>
      <c r="AA364" s="2">
        <v>4.73719444444444</v>
      </c>
      <c r="AB364" s="2">
        <v>-74.069472222222203</v>
      </c>
      <c r="AC364" s="2">
        <v>2555</v>
      </c>
      <c r="AD364" s="2">
        <v>0</v>
      </c>
      <c r="AE364" s="2" t="s">
        <v>59</v>
      </c>
      <c r="AF364" s="2" t="s">
        <v>86</v>
      </c>
      <c r="AG364" s="2" t="s">
        <v>61</v>
      </c>
      <c r="AH364" s="2" t="s">
        <v>62</v>
      </c>
      <c r="AI364" s="2" t="s">
        <v>87</v>
      </c>
      <c r="AJ364" s="2">
        <v>0.104507746198367</v>
      </c>
      <c r="AK364" s="2">
        <v>3.0169697291412199</v>
      </c>
      <c r="AL364" s="2">
        <v>1.34789688577975</v>
      </c>
      <c r="AM364" s="2">
        <v>0.110540604597802</v>
      </c>
      <c r="AN364" s="2">
        <v>3.0997383633652502</v>
      </c>
      <c r="AO364" s="2">
        <v>0.11602629409213699</v>
      </c>
      <c r="AP364" s="2">
        <v>0.11602629409213699</v>
      </c>
      <c r="AQ364" s="2">
        <v>1</v>
      </c>
      <c r="AR364" s="2">
        <v>4</v>
      </c>
      <c r="AS364" s="2">
        <v>0</v>
      </c>
      <c r="AT364" s="2">
        <v>0</v>
      </c>
      <c r="AU364" s="2">
        <v>0</v>
      </c>
      <c r="AV364" s="2">
        <v>42</v>
      </c>
      <c r="AW364" s="2">
        <v>0</v>
      </c>
      <c r="AX364" s="2">
        <v>0</v>
      </c>
      <c r="AY364" s="2">
        <v>15.3</v>
      </c>
      <c r="AZ364" s="2">
        <v>9.8000000000000007</v>
      </c>
      <c r="BA364" s="2">
        <v>29.7</v>
      </c>
      <c r="BB364" s="2">
        <v>564</v>
      </c>
      <c r="BC364" s="2">
        <v>68</v>
      </c>
      <c r="BD364" s="2">
        <v>1.8</v>
      </c>
      <c r="BE364" s="2">
        <v>43</v>
      </c>
      <c r="BF364" s="2">
        <v>25.4</v>
      </c>
      <c r="BG364" s="2">
        <v>162</v>
      </c>
      <c r="BH364" s="2">
        <v>9.1</v>
      </c>
      <c r="BI364" s="2">
        <v>9.1999999999999993</v>
      </c>
      <c r="BJ364" s="2">
        <v>18.3</v>
      </c>
      <c r="BK364" s="2">
        <v>0.34</v>
      </c>
      <c r="BL364" s="2">
        <v>7.3</v>
      </c>
      <c r="BM364" s="2">
        <v>0.9</v>
      </c>
      <c r="BN364" s="2">
        <v>7.5</v>
      </c>
      <c r="BO364" s="2">
        <v>2.9</v>
      </c>
      <c r="BP364" s="2">
        <f t="shared" si="10"/>
        <v>8.6639034016071328</v>
      </c>
      <c r="BQ364" s="2">
        <f t="shared" si="11"/>
        <v>27.977635467578256</v>
      </c>
    </row>
    <row r="365" spans="1:69" x14ac:dyDescent="0.2">
      <c r="A365" s="2" t="s">
        <v>1831</v>
      </c>
      <c r="B365" s="2" t="s">
        <v>47</v>
      </c>
      <c r="C365" s="2" t="s">
        <v>48</v>
      </c>
      <c r="D365" s="2" t="s">
        <v>49</v>
      </c>
      <c r="E365" s="2" t="s">
        <v>269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89</v>
      </c>
      <c r="L365" s="6" t="s">
        <v>103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1832</v>
      </c>
      <c r="R365" s="2">
        <v>5722149.79</v>
      </c>
      <c r="S365" s="2">
        <v>0</v>
      </c>
      <c r="T365" s="2" t="s">
        <v>130</v>
      </c>
      <c r="U365" s="2" t="s">
        <v>131</v>
      </c>
      <c r="V365" s="2" t="s">
        <v>56</v>
      </c>
      <c r="W365" s="2" t="s">
        <v>98</v>
      </c>
      <c r="X365" s="2" t="s">
        <v>132</v>
      </c>
      <c r="Y365" s="2">
        <v>2.2860333694714701</v>
      </c>
      <c r="Z365" s="2">
        <v>2286.03336947147</v>
      </c>
      <c r="AA365" s="2">
        <v>4.7837500000000004</v>
      </c>
      <c r="AB365" s="2">
        <v>-74.044138888888895</v>
      </c>
      <c r="AC365" s="2">
        <v>2580</v>
      </c>
      <c r="AD365" s="2">
        <v>0</v>
      </c>
      <c r="AE365" s="2" t="s">
        <v>133</v>
      </c>
      <c r="AF365" s="2" t="s">
        <v>86</v>
      </c>
      <c r="AG365" s="2" t="s">
        <v>61</v>
      </c>
      <c r="AH365" s="2" t="s">
        <v>62</v>
      </c>
      <c r="AI365" s="2" t="s">
        <v>87</v>
      </c>
      <c r="AJ365" s="2">
        <v>1.2437961440309999</v>
      </c>
      <c r="AK365" s="2">
        <v>1.0660400820682301</v>
      </c>
      <c r="AL365" s="2">
        <v>1.7614109475876101</v>
      </c>
      <c r="AM365" s="2">
        <v>0.17587637779585</v>
      </c>
      <c r="AN365" s="2">
        <v>2.8625183409040198</v>
      </c>
      <c r="AO365" s="2">
        <v>0.301588543305228</v>
      </c>
      <c r="AP365" s="2">
        <v>0.301588543305228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6</v>
      </c>
      <c r="AW365" s="2">
        <v>0</v>
      </c>
      <c r="AX365" s="2">
        <v>0</v>
      </c>
      <c r="AY365" s="2">
        <v>15.3</v>
      </c>
      <c r="AZ365" s="2">
        <v>9.8000000000000007</v>
      </c>
      <c r="BA365" s="2">
        <v>29.7</v>
      </c>
      <c r="BB365" s="2">
        <v>564</v>
      </c>
      <c r="BC365" s="2">
        <v>68</v>
      </c>
      <c r="BD365" s="2">
        <v>1.8</v>
      </c>
      <c r="BE365" s="2">
        <v>43</v>
      </c>
      <c r="BF365" s="2">
        <v>25.4</v>
      </c>
      <c r="BG365" s="2">
        <v>162</v>
      </c>
      <c r="BH365" s="2">
        <v>9.1</v>
      </c>
      <c r="BI365" s="2">
        <v>9.1999999999999993</v>
      </c>
      <c r="BJ365" s="2">
        <v>18.3</v>
      </c>
      <c r="BK365" s="2">
        <v>0.34</v>
      </c>
      <c r="BL365" s="2">
        <v>7.3</v>
      </c>
      <c r="BM365" s="2">
        <v>0.9</v>
      </c>
      <c r="BN365" s="2">
        <v>7.5</v>
      </c>
      <c r="BO365" s="2">
        <v>2.9</v>
      </c>
      <c r="BP365" s="2">
        <f t="shared" si="10"/>
        <v>8.7514879197784801</v>
      </c>
      <c r="BQ365" s="2">
        <f t="shared" si="11"/>
        <v>28.114409681085959</v>
      </c>
    </row>
    <row r="366" spans="1:69" x14ac:dyDescent="0.2">
      <c r="A366" s="2" t="s">
        <v>1908</v>
      </c>
      <c r="B366" s="2" t="s">
        <v>47</v>
      </c>
      <c r="C366" s="2" t="s">
        <v>48</v>
      </c>
      <c r="D366" s="2" t="s">
        <v>49</v>
      </c>
      <c r="E366" s="2" t="s">
        <v>153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89</v>
      </c>
      <c r="L366" s="6" t="s">
        <v>103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1909</v>
      </c>
      <c r="R366" s="2">
        <v>7132352.9409999996</v>
      </c>
      <c r="S366" s="2">
        <v>0</v>
      </c>
      <c r="T366" s="2" t="s">
        <v>96</v>
      </c>
      <c r="U366" s="2" t="s">
        <v>97</v>
      </c>
      <c r="V366" s="2" t="s">
        <v>56</v>
      </c>
      <c r="W366" s="2" t="s">
        <v>98</v>
      </c>
      <c r="X366" s="2" t="s">
        <v>99</v>
      </c>
      <c r="Y366" s="2">
        <v>0.43404554004761497</v>
      </c>
      <c r="Z366" s="2">
        <v>434.04554004761502</v>
      </c>
      <c r="AA366" s="2">
        <v>4.73719444444444</v>
      </c>
      <c r="AB366" s="2">
        <v>-74.069472222222203</v>
      </c>
      <c r="AC366" s="2">
        <v>2555</v>
      </c>
      <c r="AD366" s="2">
        <v>0</v>
      </c>
      <c r="AE366" s="2" t="s">
        <v>59</v>
      </c>
      <c r="AF366" s="2" t="s">
        <v>86</v>
      </c>
      <c r="AG366" s="2" t="s">
        <v>61</v>
      </c>
      <c r="AH366" s="2" t="s">
        <v>62</v>
      </c>
      <c r="AI366" s="2" t="s">
        <v>100</v>
      </c>
      <c r="AJ366" s="2">
        <v>1.62611355275875</v>
      </c>
      <c r="AK366" s="2">
        <v>4.9741576658632303</v>
      </c>
      <c r="AL366" s="2">
        <v>2.0899560013927299</v>
      </c>
      <c r="AM366" s="2">
        <v>0.17930700026262</v>
      </c>
      <c r="AN366" s="2">
        <v>2.1139536971181099</v>
      </c>
      <c r="AO366" s="2">
        <v>5.5473599364051003E-2</v>
      </c>
      <c r="AP366" s="2">
        <v>5.5473599364051003E-2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8</v>
      </c>
      <c r="AW366" s="2">
        <v>0</v>
      </c>
      <c r="AX366" s="2">
        <v>0</v>
      </c>
      <c r="AY366" s="2">
        <v>15.3</v>
      </c>
      <c r="AZ366" s="2">
        <v>9.8000000000000007</v>
      </c>
      <c r="BA366" s="2">
        <v>29.7</v>
      </c>
      <c r="BB366" s="2">
        <v>564</v>
      </c>
      <c r="BC366" s="2">
        <v>68</v>
      </c>
      <c r="BD366" s="2">
        <v>1.8</v>
      </c>
      <c r="BE366" s="2">
        <v>43</v>
      </c>
      <c r="BF366" s="2">
        <v>25.4</v>
      </c>
      <c r="BG366" s="2">
        <v>162</v>
      </c>
      <c r="BH366" s="2">
        <v>9.1</v>
      </c>
      <c r="BI366" s="2">
        <v>9.1999999999999993</v>
      </c>
      <c r="BJ366" s="2">
        <v>18.3</v>
      </c>
      <c r="BK366" s="2">
        <v>0.34</v>
      </c>
      <c r="BL366" s="2">
        <v>7.3</v>
      </c>
      <c r="BM366" s="2">
        <v>0.9</v>
      </c>
      <c r="BN366" s="2">
        <v>7.5</v>
      </c>
      <c r="BO366" s="2">
        <v>2.9</v>
      </c>
      <c r="BP366" s="2">
        <f t="shared" si="10"/>
        <v>9.5916903149915438</v>
      </c>
      <c r="BQ366" s="2">
        <f t="shared" si="11"/>
        <v>29.392218218032461</v>
      </c>
    </row>
    <row r="367" spans="1:69" x14ac:dyDescent="0.2">
      <c r="A367" s="2" t="s">
        <v>1174</v>
      </c>
      <c r="B367" s="2" t="s">
        <v>47</v>
      </c>
      <c r="C367" s="2" t="s">
        <v>48</v>
      </c>
      <c r="D367" s="2" t="s">
        <v>49</v>
      </c>
      <c r="E367" s="2" t="s">
        <v>1175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89</v>
      </c>
      <c r="L367" s="6" t="s">
        <v>103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1176</v>
      </c>
      <c r="R367" s="2">
        <v>6617647.0590000004</v>
      </c>
      <c r="S367" s="2">
        <v>0</v>
      </c>
      <c r="T367" s="2" t="s">
        <v>96</v>
      </c>
      <c r="U367" s="2" t="s">
        <v>97</v>
      </c>
      <c r="V367" s="2" t="s">
        <v>56</v>
      </c>
      <c r="W367" s="2" t="s">
        <v>98</v>
      </c>
      <c r="X367" s="2" t="s">
        <v>99</v>
      </c>
      <c r="Y367" s="2">
        <v>1.4035806006431999</v>
      </c>
      <c r="Z367" s="2">
        <v>1403.5806006431999</v>
      </c>
      <c r="AA367" s="2">
        <v>4.73719444444444</v>
      </c>
      <c r="AB367" s="2">
        <v>-74.069472222222203</v>
      </c>
      <c r="AC367" s="2">
        <v>2555</v>
      </c>
      <c r="AD367" s="2">
        <v>0</v>
      </c>
      <c r="AE367" s="2" t="s">
        <v>59</v>
      </c>
      <c r="AF367" s="2" t="s">
        <v>86</v>
      </c>
      <c r="AG367" s="2" t="s">
        <v>61</v>
      </c>
      <c r="AH367" s="2" t="s">
        <v>62</v>
      </c>
      <c r="AI367" s="2" t="s">
        <v>100</v>
      </c>
      <c r="AJ367" s="2">
        <v>1.0570388323655</v>
      </c>
      <c r="AK367" s="2">
        <v>4.0521654571918599</v>
      </c>
      <c r="AL367" s="2">
        <v>1.4051861958506999</v>
      </c>
      <c r="AM367" s="2">
        <v>0.30023088902522099</v>
      </c>
      <c r="AN367" s="2">
        <v>3.0817742419736298</v>
      </c>
      <c r="AO367" s="2">
        <v>2.2920863346223799E-2</v>
      </c>
      <c r="AP367" s="2">
        <v>2.2920863346223799E-2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11</v>
      </c>
      <c r="AW367" s="2">
        <v>0</v>
      </c>
      <c r="AX367" s="2">
        <v>0</v>
      </c>
      <c r="AY367" s="2">
        <v>15.3</v>
      </c>
      <c r="AZ367" s="2">
        <v>9.8000000000000007</v>
      </c>
      <c r="BA367" s="2">
        <v>29.7</v>
      </c>
      <c r="BB367" s="2">
        <v>564</v>
      </c>
      <c r="BC367" s="2">
        <v>68</v>
      </c>
      <c r="BD367" s="2">
        <v>1.8</v>
      </c>
      <c r="BE367" s="2">
        <v>43</v>
      </c>
      <c r="BF367" s="2">
        <v>25.4</v>
      </c>
      <c r="BG367" s="2">
        <v>162</v>
      </c>
      <c r="BH367" s="2">
        <v>9.1</v>
      </c>
      <c r="BI367" s="2">
        <v>9.1999999999999993</v>
      </c>
      <c r="BJ367" s="2">
        <v>18.3</v>
      </c>
      <c r="BK367" s="2">
        <v>0.34</v>
      </c>
      <c r="BL367" s="2">
        <v>7.3</v>
      </c>
      <c r="BM367" s="2">
        <v>0.9</v>
      </c>
      <c r="BN367" s="2">
        <v>7.5</v>
      </c>
      <c r="BO367" s="2">
        <v>2.9</v>
      </c>
      <c r="BP367" s="2">
        <f t="shared" si="10"/>
        <v>9.1422373845751626</v>
      </c>
      <c r="BQ367" s="2">
        <f t="shared" si="11"/>
        <v>28.716191038965064</v>
      </c>
    </row>
    <row r="368" spans="1:69" x14ac:dyDescent="0.2">
      <c r="A368" s="2" t="s">
        <v>2502</v>
      </c>
      <c r="B368" s="2" t="s">
        <v>47</v>
      </c>
      <c r="C368" s="2" t="s">
        <v>1935</v>
      </c>
      <c r="D368" s="2" t="s">
        <v>49</v>
      </c>
      <c r="E368" s="2" t="s">
        <v>2503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89</v>
      </c>
      <c r="L368" s="6" t="s">
        <v>103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2504</v>
      </c>
      <c r="R368" s="2">
        <v>6411212.1660000002</v>
      </c>
      <c r="S368" s="2">
        <v>0</v>
      </c>
      <c r="T368" s="2" t="s">
        <v>96</v>
      </c>
      <c r="U368" s="2" t="s">
        <v>97</v>
      </c>
      <c r="V368" s="2" t="s">
        <v>56</v>
      </c>
      <c r="W368" s="2" t="s">
        <v>98</v>
      </c>
      <c r="X368" s="2" t="s">
        <v>99</v>
      </c>
      <c r="Y368" s="2">
        <v>1.40419604368316</v>
      </c>
      <c r="Z368" s="2">
        <v>1404.19604368316</v>
      </c>
      <c r="AA368" s="2">
        <v>4.73719444444444</v>
      </c>
      <c r="AB368" s="2">
        <v>-74.069472222222203</v>
      </c>
      <c r="AC368" s="2">
        <v>2555</v>
      </c>
      <c r="AD368" s="2">
        <v>0</v>
      </c>
      <c r="AE368" s="2" t="s">
        <v>59</v>
      </c>
      <c r="AF368" s="2" t="s">
        <v>86</v>
      </c>
      <c r="AG368" s="2" t="s">
        <v>61</v>
      </c>
      <c r="AH368" s="2" t="s">
        <v>62</v>
      </c>
      <c r="AI368" s="2" t="s">
        <v>100</v>
      </c>
      <c r="AJ368" s="2">
        <v>2.1342106963142999</v>
      </c>
      <c r="AK368" s="2">
        <v>5.0222449902519797</v>
      </c>
      <c r="AL368" s="2">
        <v>1.6522015381436199</v>
      </c>
      <c r="AM368" s="2">
        <v>0.28144012866962898</v>
      </c>
      <c r="AN368" s="2">
        <v>2.1323964611857198</v>
      </c>
      <c r="AO368" s="2">
        <v>4.2702368428876297E-3</v>
      </c>
      <c r="AP368" s="2">
        <v>4.2702368428876297E-3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10</v>
      </c>
      <c r="AW368" s="2">
        <v>0</v>
      </c>
      <c r="AX368" s="2">
        <v>0</v>
      </c>
      <c r="AY368" s="2">
        <v>15.3</v>
      </c>
      <c r="AZ368" s="2">
        <v>9.8000000000000007</v>
      </c>
      <c r="BA368" s="2">
        <v>29.7</v>
      </c>
      <c r="BB368" s="2">
        <v>564</v>
      </c>
      <c r="BC368" s="2">
        <v>68</v>
      </c>
      <c r="BD368" s="2">
        <v>1.8</v>
      </c>
      <c r="BE368" s="2">
        <v>43</v>
      </c>
      <c r="BF368" s="2">
        <v>25.4</v>
      </c>
      <c r="BG368" s="2">
        <v>162</v>
      </c>
      <c r="BH368" s="2">
        <v>9.1</v>
      </c>
      <c r="BI368" s="2">
        <v>9.1999999999999993</v>
      </c>
      <c r="BJ368" s="2">
        <v>18.3</v>
      </c>
      <c r="BK368" s="2">
        <v>0.34</v>
      </c>
      <c r="BL368" s="2">
        <v>7.3</v>
      </c>
      <c r="BM368" s="2">
        <v>0.9</v>
      </c>
      <c r="BN368" s="2">
        <v>7.5</v>
      </c>
      <c r="BO368" s="2">
        <v>2.9</v>
      </c>
      <c r="BP368" s="2">
        <f t="shared" si="10"/>
        <v>9.1419588757622723</v>
      </c>
      <c r="BQ368" s="2">
        <f t="shared" si="11"/>
        <v>28.715766885779757</v>
      </c>
    </row>
    <row r="369" spans="1:69" x14ac:dyDescent="0.2">
      <c r="A369" s="2" t="s">
        <v>2287</v>
      </c>
      <c r="B369" s="2" t="s">
        <v>47</v>
      </c>
      <c r="C369" s="2" t="s">
        <v>1935</v>
      </c>
      <c r="D369" s="2" t="s">
        <v>49</v>
      </c>
      <c r="E369" s="2" t="s">
        <v>2288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89</v>
      </c>
      <c r="L369" s="6" t="s">
        <v>141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2289</v>
      </c>
      <c r="R369" s="2">
        <v>5671641.7910000002</v>
      </c>
      <c r="S369" s="2">
        <v>0</v>
      </c>
      <c r="T369" s="2" t="s">
        <v>96</v>
      </c>
      <c r="U369" s="2" t="s">
        <v>97</v>
      </c>
      <c r="V369" s="2" t="s">
        <v>56</v>
      </c>
      <c r="W369" s="2" t="s">
        <v>98</v>
      </c>
      <c r="X369" s="2" t="s">
        <v>99</v>
      </c>
      <c r="Y369" s="2">
        <v>1.65706811477821</v>
      </c>
      <c r="Z369" s="2">
        <v>1657.06811477821</v>
      </c>
      <c r="AA369" s="2">
        <v>4.73719444444444</v>
      </c>
      <c r="AB369" s="2">
        <v>-74.069472222222203</v>
      </c>
      <c r="AC369" s="2">
        <v>2555</v>
      </c>
      <c r="AD369" s="2">
        <v>0</v>
      </c>
      <c r="AE369" s="2" t="s">
        <v>59</v>
      </c>
      <c r="AF369" s="2" t="s">
        <v>86</v>
      </c>
      <c r="AG369" s="2" t="s">
        <v>61</v>
      </c>
      <c r="AH369" s="2" t="s">
        <v>62</v>
      </c>
      <c r="AI369" s="2" t="s">
        <v>100</v>
      </c>
      <c r="AJ369" s="2">
        <v>0.86393131853077898</v>
      </c>
      <c r="AK369" s="2">
        <v>3.9088250190147402</v>
      </c>
      <c r="AL369" s="2">
        <v>1.1730224823086499</v>
      </c>
      <c r="AM369" s="2">
        <v>0.47836981227622999</v>
      </c>
      <c r="AN369" s="2">
        <v>3.21768207918113</v>
      </c>
      <c r="AO369" s="2">
        <v>0.14701055877364899</v>
      </c>
      <c r="AP369" s="2">
        <v>0.14701055877364899</v>
      </c>
      <c r="AQ369" s="2">
        <v>0</v>
      </c>
      <c r="AR369" s="2">
        <v>1</v>
      </c>
      <c r="AS369" s="2">
        <v>0</v>
      </c>
      <c r="AT369" s="2">
        <v>0</v>
      </c>
      <c r="AU369" s="2">
        <v>0</v>
      </c>
      <c r="AV369" s="2">
        <v>11</v>
      </c>
      <c r="AW369" s="2">
        <v>0</v>
      </c>
      <c r="AX369" s="2">
        <v>0</v>
      </c>
      <c r="AY369" s="2">
        <v>15.3</v>
      </c>
      <c r="AZ369" s="2">
        <v>9.8000000000000007</v>
      </c>
      <c r="BA369" s="2">
        <v>29.7</v>
      </c>
      <c r="BB369" s="2">
        <v>564</v>
      </c>
      <c r="BC369" s="2">
        <v>68</v>
      </c>
      <c r="BD369" s="2">
        <v>1.8</v>
      </c>
      <c r="BE369" s="2">
        <v>43</v>
      </c>
      <c r="BF369" s="2">
        <v>25.4</v>
      </c>
      <c r="BG369" s="2">
        <v>162</v>
      </c>
      <c r="BH369" s="2">
        <v>9.1</v>
      </c>
      <c r="BI369" s="2">
        <v>9.1999999999999993</v>
      </c>
      <c r="BJ369" s="2">
        <v>18.3</v>
      </c>
      <c r="BK369" s="2">
        <v>0.34</v>
      </c>
      <c r="BL369" s="2">
        <v>7.3</v>
      </c>
      <c r="BM369" s="2">
        <v>0.9</v>
      </c>
      <c r="BN369" s="2">
        <v>7.5</v>
      </c>
      <c r="BO369" s="2">
        <v>2.9</v>
      </c>
      <c r="BP369" s="2">
        <f t="shared" si="10"/>
        <v>9.028240644905738</v>
      </c>
      <c r="BQ369" s="2">
        <f t="shared" si="11"/>
        <v>28.542020675140929</v>
      </c>
    </row>
    <row r="370" spans="1:69" x14ac:dyDescent="0.2">
      <c r="A370" s="2" t="s">
        <v>1307</v>
      </c>
      <c r="B370" s="2" t="s">
        <v>47</v>
      </c>
      <c r="C370" s="2" t="s">
        <v>48</v>
      </c>
      <c r="D370" s="2" t="s">
        <v>49</v>
      </c>
      <c r="E370" s="2" t="s">
        <v>1175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89</v>
      </c>
      <c r="L370" s="6" t="s">
        <v>141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1308</v>
      </c>
      <c r="R370" s="2">
        <v>5530303.0300000003</v>
      </c>
      <c r="S370" s="2">
        <v>0</v>
      </c>
      <c r="T370" s="2" t="s">
        <v>96</v>
      </c>
      <c r="U370" s="2" t="s">
        <v>97</v>
      </c>
      <c r="V370" s="2" t="s">
        <v>56</v>
      </c>
      <c r="W370" s="2" t="s">
        <v>98</v>
      </c>
      <c r="X370" s="2" t="s">
        <v>99</v>
      </c>
      <c r="Y370" s="2">
        <v>1.7003265686789599</v>
      </c>
      <c r="Z370" s="2">
        <v>1700.32656867896</v>
      </c>
      <c r="AA370" s="2">
        <v>4.73719444444444</v>
      </c>
      <c r="AB370" s="2">
        <v>-74.069472222222203</v>
      </c>
      <c r="AC370" s="2">
        <v>2555</v>
      </c>
      <c r="AD370" s="2">
        <v>0</v>
      </c>
      <c r="AE370" s="2" t="s">
        <v>59</v>
      </c>
      <c r="AF370" s="2" t="s">
        <v>86</v>
      </c>
      <c r="AG370" s="2" t="s">
        <v>61</v>
      </c>
      <c r="AH370" s="2" t="s">
        <v>62</v>
      </c>
      <c r="AI370" s="2" t="s">
        <v>100</v>
      </c>
      <c r="AJ370" s="2">
        <v>1.16979407274396</v>
      </c>
      <c r="AK370" s="2">
        <v>4.1170302245128401</v>
      </c>
      <c r="AL370" s="2">
        <v>0.84356398554610501</v>
      </c>
      <c r="AM370" s="2">
        <v>0.22481910892767501</v>
      </c>
      <c r="AN370" s="2">
        <v>3.11661097775018</v>
      </c>
      <c r="AO370" s="2">
        <v>9.5183419289802701E-2</v>
      </c>
      <c r="AP370" s="2">
        <v>9.5183419289802701E-2</v>
      </c>
      <c r="AQ370" s="2">
        <v>0</v>
      </c>
      <c r="AR370" s="2">
        <v>0</v>
      </c>
      <c r="AS370" s="2">
        <v>0</v>
      </c>
      <c r="AT370" s="2">
        <v>0</v>
      </c>
      <c r="AU370" s="2">
        <v>1</v>
      </c>
      <c r="AV370" s="2">
        <v>17</v>
      </c>
      <c r="AW370" s="2">
        <v>0</v>
      </c>
      <c r="AX370" s="2">
        <v>0</v>
      </c>
      <c r="AY370" s="2">
        <v>15.3</v>
      </c>
      <c r="AZ370" s="2">
        <v>9.8000000000000007</v>
      </c>
      <c r="BA370" s="2">
        <v>29.7</v>
      </c>
      <c r="BB370" s="2">
        <v>564</v>
      </c>
      <c r="BC370" s="2">
        <v>68</v>
      </c>
      <c r="BD370" s="2">
        <v>1.8</v>
      </c>
      <c r="BE370" s="2">
        <v>43</v>
      </c>
      <c r="BF370" s="2">
        <v>25.4</v>
      </c>
      <c r="BG370" s="2">
        <v>162</v>
      </c>
      <c r="BH370" s="2">
        <v>9.1</v>
      </c>
      <c r="BI370" s="2">
        <v>9.1999999999999993</v>
      </c>
      <c r="BJ370" s="2">
        <v>18.3</v>
      </c>
      <c r="BK370" s="2">
        <v>0.34</v>
      </c>
      <c r="BL370" s="2">
        <v>7.3</v>
      </c>
      <c r="BM370" s="2">
        <v>0.9</v>
      </c>
      <c r="BN370" s="2">
        <v>7.5</v>
      </c>
      <c r="BO370" s="2">
        <v>2.9</v>
      </c>
      <c r="BP370" s="2">
        <f t="shared" si="10"/>
        <v>9.0089292152823361</v>
      </c>
      <c r="BQ370" s="2">
        <f t="shared" si="11"/>
        <v>28.512403643590485</v>
      </c>
    </row>
    <row r="371" spans="1:69" x14ac:dyDescent="0.2">
      <c r="A371" s="2" t="s">
        <v>356</v>
      </c>
      <c r="B371" s="2" t="s">
        <v>47</v>
      </c>
      <c r="C371" s="2" t="s">
        <v>48</v>
      </c>
      <c r="D371" s="2" t="s">
        <v>49</v>
      </c>
      <c r="E371" s="2" t="s">
        <v>357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89</v>
      </c>
      <c r="L371" s="6" t="s">
        <v>90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358</v>
      </c>
      <c r="R371" s="2">
        <v>8430769.2310000006</v>
      </c>
      <c r="S371" s="2">
        <v>0</v>
      </c>
      <c r="T371" s="2" t="s">
        <v>96</v>
      </c>
      <c r="U371" s="2" t="s">
        <v>97</v>
      </c>
      <c r="V371" s="2" t="s">
        <v>56</v>
      </c>
      <c r="W371" s="2" t="s">
        <v>98</v>
      </c>
      <c r="X371" s="2" t="s">
        <v>99</v>
      </c>
      <c r="Y371" s="2">
        <v>2.35914748170803</v>
      </c>
      <c r="Z371" s="2">
        <v>2359.1474817080302</v>
      </c>
      <c r="AA371" s="2">
        <v>4.73719444444444</v>
      </c>
      <c r="AB371" s="2">
        <v>-74.069472222222203</v>
      </c>
      <c r="AC371" s="2">
        <v>2555</v>
      </c>
      <c r="AD371" s="2">
        <v>0</v>
      </c>
      <c r="AE371" s="2" t="s">
        <v>59</v>
      </c>
      <c r="AF371" s="2" t="s">
        <v>86</v>
      </c>
      <c r="AG371" s="2" t="s">
        <v>61</v>
      </c>
      <c r="AH371" s="2" t="s">
        <v>62</v>
      </c>
      <c r="AI371" s="2" t="s">
        <v>100</v>
      </c>
      <c r="AJ371" s="2">
        <v>0.86277627739553098</v>
      </c>
      <c r="AK371" s="2">
        <v>3.8834574095717</v>
      </c>
      <c r="AL371" s="2">
        <v>1.37016072752566</v>
      </c>
      <c r="AM371" s="2">
        <v>0.26859373077948701</v>
      </c>
      <c r="AN371" s="2">
        <v>3.8366907273962201</v>
      </c>
      <c r="AO371" s="2">
        <v>0.16840829252593001</v>
      </c>
      <c r="AP371" s="2">
        <v>0.16840829252593001</v>
      </c>
      <c r="AQ371" s="2">
        <v>0</v>
      </c>
      <c r="AR371" s="2">
        <v>2</v>
      </c>
      <c r="AS371" s="2">
        <v>0</v>
      </c>
      <c r="AT371" s="2">
        <v>0</v>
      </c>
      <c r="AU371" s="2">
        <v>0</v>
      </c>
      <c r="AV371" s="2">
        <v>14</v>
      </c>
      <c r="AW371" s="2">
        <v>0</v>
      </c>
      <c r="AX371" s="2">
        <v>0</v>
      </c>
      <c r="AY371" s="2">
        <v>15.3</v>
      </c>
      <c r="AZ371" s="2">
        <v>9.8000000000000007</v>
      </c>
      <c r="BA371" s="2">
        <v>29.7</v>
      </c>
      <c r="BB371" s="2">
        <v>564</v>
      </c>
      <c r="BC371" s="2">
        <v>68</v>
      </c>
      <c r="BD371" s="2">
        <v>1.8</v>
      </c>
      <c r="BE371" s="2">
        <v>43</v>
      </c>
      <c r="BF371" s="2">
        <v>25.4</v>
      </c>
      <c r="BG371" s="2">
        <v>162</v>
      </c>
      <c r="BH371" s="2">
        <v>9.1</v>
      </c>
      <c r="BI371" s="2">
        <v>9.1999999999999993</v>
      </c>
      <c r="BJ371" s="2">
        <v>18.3</v>
      </c>
      <c r="BK371" s="2">
        <v>0.34</v>
      </c>
      <c r="BL371" s="2">
        <v>7.3</v>
      </c>
      <c r="BM371" s="2">
        <v>0.9</v>
      </c>
      <c r="BN371" s="2">
        <v>7.5</v>
      </c>
      <c r="BO371" s="2">
        <v>2.9</v>
      </c>
      <c r="BP371" s="2">
        <f t="shared" si="10"/>
        <v>8.7198722303607887</v>
      </c>
      <c r="BQ371" s="2">
        <f t="shared" si="11"/>
        <v>28.065119496912835</v>
      </c>
    </row>
    <row r="372" spans="1:69" x14ac:dyDescent="0.2">
      <c r="A372" s="2" t="s">
        <v>282</v>
      </c>
      <c r="B372" s="2" t="s">
        <v>47</v>
      </c>
      <c r="C372" s="2" t="s">
        <v>48</v>
      </c>
      <c r="D372" s="2" t="s">
        <v>49</v>
      </c>
      <c r="E372" s="2" t="s">
        <v>150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89</v>
      </c>
      <c r="L372" s="6" t="s">
        <v>103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283</v>
      </c>
      <c r="R372" s="2">
        <v>8200000</v>
      </c>
      <c r="S372" s="2">
        <v>0</v>
      </c>
      <c r="T372" s="2" t="s">
        <v>96</v>
      </c>
      <c r="U372" s="2" t="s">
        <v>97</v>
      </c>
      <c r="V372" s="2" t="s">
        <v>56</v>
      </c>
      <c r="W372" s="2" t="s">
        <v>98</v>
      </c>
      <c r="X372" s="2" t="s">
        <v>99</v>
      </c>
      <c r="Y372" s="2">
        <v>2.9316637629442299</v>
      </c>
      <c r="Z372" s="2">
        <v>2931.6637629442298</v>
      </c>
      <c r="AA372" s="2">
        <v>4.73719444444444</v>
      </c>
      <c r="AB372" s="2">
        <v>-74.069472222222203</v>
      </c>
      <c r="AC372" s="2">
        <v>2555</v>
      </c>
      <c r="AD372" s="2">
        <v>0</v>
      </c>
      <c r="AE372" s="2" t="s">
        <v>59</v>
      </c>
      <c r="AF372" s="2" t="s">
        <v>86</v>
      </c>
      <c r="AG372" s="2" t="s">
        <v>61</v>
      </c>
      <c r="AH372" s="2" t="s">
        <v>62</v>
      </c>
      <c r="AI372" s="2" t="s">
        <v>100</v>
      </c>
      <c r="AJ372" s="2">
        <v>0.114423975215871</v>
      </c>
      <c r="AK372" s="2">
        <v>5.21687536638394</v>
      </c>
      <c r="AL372" s="2">
        <v>0.65226322587517005</v>
      </c>
      <c r="AM372" s="2">
        <v>0.14181817028282401</v>
      </c>
      <c r="AN372" s="2">
        <v>3.6679473339378599</v>
      </c>
      <c r="AO372" s="2">
        <v>0.37112165119991802</v>
      </c>
      <c r="AP372" s="2">
        <v>0.37112165119991802</v>
      </c>
      <c r="AQ372" s="2">
        <v>2</v>
      </c>
      <c r="AR372" s="2">
        <v>2</v>
      </c>
      <c r="AS372" s="2">
        <v>0</v>
      </c>
      <c r="AT372" s="2">
        <v>0</v>
      </c>
      <c r="AU372" s="2">
        <v>1</v>
      </c>
      <c r="AV372" s="2">
        <v>39</v>
      </c>
      <c r="AW372" s="2">
        <v>0</v>
      </c>
      <c r="AX372" s="2">
        <v>0</v>
      </c>
      <c r="AY372" s="2">
        <v>15.3</v>
      </c>
      <c r="AZ372" s="2">
        <v>9.8000000000000007</v>
      </c>
      <c r="BA372" s="2">
        <v>29.7</v>
      </c>
      <c r="BB372" s="2">
        <v>564</v>
      </c>
      <c r="BC372" s="2">
        <v>68</v>
      </c>
      <c r="BD372" s="2">
        <v>1.8</v>
      </c>
      <c r="BE372" s="2">
        <v>43</v>
      </c>
      <c r="BF372" s="2">
        <v>25.4</v>
      </c>
      <c r="BG372" s="2">
        <v>162</v>
      </c>
      <c r="BH372" s="2">
        <v>9.1</v>
      </c>
      <c r="BI372" s="2">
        <v>9.1999999999999993</v>
      </c>
      <c r="BJ372" s="2">
        <v>18.3</v>
      </c>
      <c r="BK372" s="2">
        <v>0.34</v>
      </c>
      <c r="BL372" s="2">
        <v>7.3</v>
      </c>
      <c r="BM372" s="2">
        <v>0.9</v>
      </c>
      <c r="BN372" s="2">
        <v>7.5</v>
      </c>
      <c r="BO372" s="2">
        <v>2.9</v>
      </c>
      <c r="BP372" s="2">
        <f t="shared" si="10"/>
        <v>8.4762236761554099</v>
      </c>
      <c r="BQ372" s="2">
        <f t="shared" si="11"/>
        <v>27.682131019866095</v>
      </c>
    </row>
    <row r="373" spans="1:69" x14ac:dyDescent="0.2">
      <c r="A373" s="2" t="s">
        <v>520</v>
      </c>
      <c r="B373" s="2" t="s">
        <v>47</v>
      </c>
      <c r="C373" s="2" t="s">
        <v>48</v>
      </c>
      <c r="D373" s="2" t="s">
        <v>49</v>
      </c>
      <c r="E373" s="2" t="s">
        <v>521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89</v>
      </c>
      <c r="L373" s="6" t="s">
        <v>141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522</v>
      </c>
      <c r="R373" s="2">
        <v>4184615.3849999998</v>
      </c>
      <c r="S373" s="2">
        <v>0</v>
      </c>
      <c r="T373" s="2" t="s">
        <v>96</v>
      </c>
      <c r="U373" s="2" t="s">
        <v>97</v>
      </c>
      <c r="V373" s="2" t="s">
        <v>56</v>
      </c>
      <c r="W373" s="2" t="s">
        <v>98</v>
      </c>
      <c r="X373" s="2" t="s">
        <v>99</v>
      </c>
      <c r="Y373" s="2">
        <v>2.12051303046827</v>
      </c>
      <c r="Z373" s="2">
        <v>2120.5130304682698</v>
      </c>
      <c r="AA373" s="2">
        <v>4.73719444444444</v>
      </c>
      <c r="AB373" s="2">
        <v>-74.069472222222203</v>
      </c>
      <c r="AC373" s="2">
        <v>2555</v>
      </c>
      <c r="AD373" s="2">
        <v>0</v>
      </c>
      <c r="AE373" s="2" t="s">
        <v>59</v>
      </c>
      <c r="AF373" s="2" t="s">
        <v>86</v>
      </c>
      <c r="AG373" s="2" t="s">
        <v>61</v>
      </c>
      <c r="AH373" s="2" t="s">
        <v>62</v>
      </c>
      <c r="AI373" s="2" t="s">
        <v>100</v>
      </c>
      <c r="AJ373" s="2">
        <v>0.923240611124587</v>
      </c>
      <c r="AK373" s="2">
        <v>4.1927159984494002</v>
      </c>
      <c r="AL373" s="2">
        <v>2.25527783253141</v>
      </c>
      <c r="AM373" s="2">
        <v>0.25155645768317197</v>
      </c>
      <c r="AN373" s="2">
        <v>1.2942936517257999</v>
      </c>
      <c r="AO373" s="2">
        <v>4.4103008464132301E-2</v>
      </c>
      <c r="AP373" s="2">
        <v>4.4103008464132301E-2</v>
      </c>
      <c r="AQ373" s="2">
        <v>0</v>
      </c>
      <c r="AR373" s="2">
        <v>1</v>
      </c>
      <c r="AS373" s="2">
        <v>0</v>
      </c>
      <c r="AT373" s="2">
        <v>0</v>
      </c>
      <c r="AU373" s="2">
        <v>0</v>
      </c>
      <c r="AV373" s="2">
        <v>12</v>
      </c>
      <c r="AW373" s="2">
        <v>0</v>
      </c>
      <c r="AX373" s="2">
        <v>0</v>
      </c>
      <c r="AY373" s="2">
        <v>15.3</v>
      </c>
      <c r="AZ373" s="2">
        <v>9.8000000000000007</v>
      </c>
      <c r="BA373" s="2">
        <v>29.7</v>
      </c>
      <c r="BB373" s="2">
        <v>564</v>
      </c>
      <c r="BC373" s="2">
        <v>68</v>
      </c>
      <c r="BD373" s="2">
        <v>1.8</v>
      </c>
      <c r="BE373" s="2">
        <v>43</v>
      </c>
      <c r="BF373" s="2">
        <v>25.4</v>
      </c>
      <c r="BG373" s="2">
        <v>162</v>
      </c>
      <c r="BH373" s="2">
        <v>9.1</v>
      </c>
      <c r="BI373" s="2">
        <v>9.1999999999999993</v>
      </c>
      <c r="BJ373" s="2">
        <v>18.3</v>
      </c>
      <c r="BK373" s="2">
        <v>0.34</v>
      </c>
      <c r="BL373" s="2">
        <v>7.3</v>
      </c>
      <c r="BM373" s="2">
        <v>0.9</v>
      </c>
      <c r="BN373" s="2">
        <v>7.5</v>
      </c>
      <c r="BO373" s="2">
        <v>2.9</v>
      </c>
      <c r="BP373" s="2">
        <f t="shared" si="10"/>
        <v>8.82348565271122</v>
      </c>
      <c r="BQ373" s="2">
        <f t="shared" si="11"/>
        <v>28.226315966028622</v>
      </c>
    </row>
    <row r="374" spans="1:69" x14ac:dyDescent="0.2">
      <c r="A374" s="2" t="s">
        <v>1366</v>
      </c>
      <c r="B374" s="2" t="s">
        <v>47</v>
      </c>
      <c r="C374" s="2" t="s">
        <v>48</v>
      </c>
      <c r="D374" s="2" t="s">
        <v>49</v>
      </c>
      <c r="E374" s="2" t="s">
        <v>1285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89</v>
      </c>
      <c r="L374" s="6" t="s">
        <v>141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1367</v>
      </c>
      <c r="R374" s="2">
        <v>5396825.3969999999</v>
      </c>
      <c r="S374" s="2">
        <v>0</v>
      </c>
      <c r="T374" s="2" t="s">
        <v>96</v>
      </c>
      <c r="U374" s="2" t="s">
        <v>97</v>
      </c>
      <c r="V374" s="2" t="s">
        <v>56</v>
      </c>
      <c r="W374" s="2" t="s">
        <v>98</v>
      </c>
      <c r="X374" s="2" t="s">
        <v>99</v>
      </c>
      <c r="Y374" s="2">
        <v>2.7345634499425802</v>
      </c>
      <c r="Z374" s="2">
        <v>2734.5634499425801</v>
      </c>
      <c r="AA374" s="2">
        <v>4.73719444444444</v>
      </c>
      <c r="AB374" s="2">
        <v>-74.069472222222203</v>
      </c>
      <c r="AC374" s="2">
        <v>2555</v>
      </c>
      <c r="AD374" s="2">
        <v>0</v>
      </c>
      <c r="AE374" s="2" t="s">
        <v>59</v>
      </c>
      <c r="AF374" s="2" t="s">
        <v>86</v>
      </c>
      <c r="AG374" s="2" t="s">
        <v>61</v>
      </c>
      <c r="AH374" s="2" t="s">
        <v>62</v>
      </c>
      <c r="AI374" s="2" t="s">
        <v>87</v>
      </c>
      <c r="AJ374" s="2">
        <v>0.47158161534314402</v>
      </c>
      <c r="AK374" s="2">
        <v>2.6328201193359799</v>
      </c>
      <c r="AL374" s="2">
        <v>0.86877635425700295</v>
      </c>
      <c r="AM374" s="2">
        <v>0.238373210691844</v>
      </c>
      <c r="AN374" s="2">
        <v>2.0325498879126598</v>
      </c>
      <c r="AO374" s="2">
        <v>0.279892664708834</v>
      </c>
      <c r="AP374" s="2">
        <v>0.279892664708834</v>
      </c>
      <c r="AQ374" s="2">
        <v>1</v>
      </c>
      <c r="AR374" s="2">
        <v>3</v>
      </c>
      <c r="AS374" s="2">
        <v>0</v>
      </c>
      <c r="AT374" s="2">
        <v>0</v>
      </c>
      <c r="AU374" s="2">
        <v>1</v>
      </c>
      <c r="AV374" s="2">
        <v>29</v>
      </c>
      <c r="AW374" s="2">
        <v>0</v>
      </c>
      <c r="AX374" s="2">
        <v>0</v>
      </c>
      <c r="AY374" s="2">
        <v>15.3</v>
      </c>
      <c r="AZ374" s="2">
        <v>9.8000000000000007</v>
      </c>
      <c r="BA374" s="2">
        <v>29.7</v>
      </c>
      <c r="BB374" s="2">
        <v>564</v>
      </c>
      <c r="BC374" s="2">
        <v>68</v>
      </c>
      <c r="BD374" s="2">
        <v>1.8</v>
      </c>
      <c r="BE374" s="2">
        <v>43</v>
      </c>
      <c r="BF374" s="2">
        <v>25.4</v>
      </c>
      <c r="BG374" s="2">
        <v>162</v>
      </c>
      <c r="BH374" s="2">
        <v>9.1</v>
      </c>
      <c r="BI374" s="2">
        <v>9.1999999999999993</v>
      </c>
      <c r="BJ374" s="2">
        <v>18.3</v>
      </c>
      <c r="BK374" s="2">
        <v>0.34</v>
      </c>
      <c r="BL374" s="2">
        <v>7.3</v>
      </c>
      <c r="BM374" s="2">
        <v>0.9</v>
      </c>
      <c r="BN374" s="2">
        <v>7.5</v>
      </c>
      <c r="BO374" s="2">
        <v>2.9</v>
      </c>
      <c r="BP374" s="2">
        <f t="shared" si="10"/>
        <v>8.5593263951712419</v>
      </c>
      <c r="BQ374" s="2">
        <f t="shared" si="11"/>
        <v>27.813388987469189</v>
      </c>
    </row>
    <row r="375" spans="1:69" x14ac:dyDescent="0.2">
      <c r="A375" s="2" t="s">
        <v>1841</v>
      </c>
      <c r="B375" s="2" t="s">
        <v>47</v>
      </c>
      <c r="C375" s="2" t="s">
        <v>48</v>
      </c>
      <c r="D375" s="2" t="s">
        <v>49</v>
      </c>
      <c r="E375" s="2" t="s">
        <v>1731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51</v>
      </c>
      <c r="L375" s="6" t="s">
        <v>52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1842</v>
      </c>
      <c r="R375" s="2">
        <v>12909842.58</v>
      </c>
      <c r="S375" s="2">
        <v>0</v>
      </c>
      <c r="T375" s="2" t="s">
        <v>96</v>
      </c>
      <c r="U375" s="2" t="s">
        <v>97</v>
      </c>
      <c r="V375" s="2" t="s">
        <v>56</v>
      </c>
      <c r="W375" s="2" t="s">
        <v>98</v>
      </c>
      <c r="X375" s="2" t="s">
        <v>99</v>
      </c>
      <c r="Y375" s="2">
        <v>2.48923283715119</v>
      </c>
      <c r="Z375" s="2">
        <v>2489.2328371511899</v>
      </c>
      <c r="AA375" s="2">
        <v>4.73719444444444</v>
      </c>
      <c r="AB375" s="2">
        <v>-74.069472222222203</v>
      </c>
      <c r="AC375" s="2">
        <v>2555</v>
      </c>
      <c r="AD375" s="2">
        <v>0</v>
      </c>
      <c r="AE375" s="2" t="s">
        <v>59</v>
      </c>
      <c r="AF375" s="2" t="s">
        <v>86</v>
      </c>
      <c r="AG375" s="2" t="s">
        <v>61</v>
      </c>
      <c r="AH375" s="2" t="s">
        <v>62</v>
      </c>
      <c r="AI375" s="2" t="s">
        <v>87</v>
      </c>
      <c r="AJ375" s="2">
        <v>0.104507746198367</v>
      </c>
      <c r="AK375" s="2">
        <v>3.0169697291412199</v>
      </c>
      <c r="AL375" s="2">
        <v>1.34789688577975</v>
      </c>
      <c r="AM375" s="2">
        <v>0.110540604597802</v>
      </c>
      <c r="AN375" s="2">
        <v>3.0997383633652502</v>
      </c>
      <c r="AO375" s="2">
        <v>0.11602629409213699</v>
      </c>
      <c r="AP375" s="2">
        <v>0.11602629409213699</v>
      </c>
      <c r="AQ375" s="2">
        <v>1</v>
      </c>
      <c r="AR375" s="2">
        <v>4</v>
      </c>
      <c r="AS375" s="2">
        <v>0</v>
      </c>
      <c r="AT375" s="2">
        <v>0</v>
      </c>
      <c r="AU375" s="2">
        <v>0</v>
      </c>
      <c r="AV375" s="2">
        <v>42</v>
      </c>
      <c r="AW375" s="2">
        <v>0</v>
      </c>
      <c r="AX375" s="2">
        <v>0</v>
      </c>
      <c r="AY375" s="2">
        <v>15.3</v>
      </c>
      <c r="AZ375" s="2">
        <v>9.8000000000000007</v>
      </c>
      <c r="BA375" s="2">
        <v>29.7</v>
      </c>
      <c r="BB375" s="2">
        <v>564</v>
      </c>
      <c r="BC375" s="2">
        <v>68</v>
      </c>
      <c r="BD375" s="2">
        <v>1.8</v>
      </c>
      <c r="BE375" s="2">
        <v>43</v>
      </c>
      <c r="BF375" s="2">
        <v>25.4</v>
      </c>
      <c r="BG375" s="2">
        <v>162</v>
      </c>
      <c r="BH375" s="2">
        <v>9.1</v>
      </c>
      <c r="BI375" s="2">
        <v>9.1999999999999993</v>
      </c>
      <c r="BJ375" s="2">
        <v>18.3</v>
      </c>
      <c r="BK375" s="2">
        <v>0.34</v>
      </c>
      <c r="BL375" s="2">
        <v>7.3</v>
      </c>
      <c r="BM375" s="2">
        <v>0.9</v>
      </c>
      <c r="BN375" s="2">
        <v>7.5</v>
      </c>
      <c r="BO375" s="2">
        <v>2.9</v>
      </c>
      <c r="BP375" s="2">
        <f t="shared" si="10"/>
        <v>8.6639034016071328</v>
      </c>
      <c r="BQ375" s="2">
        <f t="shared" si="11"/>
        <v>27.977635467578256</v>
      </c>
    </row>
    <row r="376" spans="1:69" x14ac:dyDescent="0.2">
      <c r="A376" s="2" t="s">
        <v>380</v>
      </c>
      <c r="B376" s="2" t="s">
        <v>47</v>
      </c>
      <c r="C376" s="2" t="s">
        <v>48</v>
      </c>
      <c r="D376" s="2" t="s">
        <v>49</v>
      </c>
      <c r="E376" s="2" t="s">
        <v>246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89</v>
      </c>
      <c r="L376" s="6" t="s">
        <v>90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381</v>
      </c>
      <c r="R376" s="2">
        <v>8837579.6180000007</v>
      </c>
      <c r="S376" s="2">
        <v>0</v>
      </c>
      <c r="T376" s="2" t="s">
        <v>130</v>
      </c>
      <c r="U376" s="2" t="s">
        <v>131</v>
      </c>
      <c r="V376" s="2" t="s">
        <v>56</v>
      </c>
      <c r="W376" s="2" t="s">
        <v>98</v>
      </c>
      <c r="X376" s="2" t="s">
        <v>132</v>
      </c>
      <c r="Y376" s="2">
        <v>0.96529036070602303</v>
      </c>
      <c r="Z376" s="2">
        <v>965.29036070602297</v>
      </c>
      <c r="AA376" s="2">
        <v>4.7837500000000004</v>
      </c>
      <c r="AB376" s="2">
        <v>-74.044138888888895</v>
      </c>
      <c r="AC376" s="2">
        <v>2580</v>
      </c>
      <c r="AD376" s="2">
        <v>0</v>
      </c>
      <c r="AE376" s="2" t="s">
        <v>133</v>
      </c>
      <c r="AF376" s="2" t="s">
        <v>86</v>
      </c>
      <c r="AG376" s="2" t="s">
        <v>61</v>
      </c>
      <c r="AH376" s="2" t="s">
        <v>62</v>
      </c>
      <c r="AI376" s="2" t="s">
        <v>100</v>
      </c>
      <c r="AJ376" s="2">
        <v>0.96961107970469196</v>
      </c>
      <c r="AK376" s="2">
        <v>2.9584622455460399</v>
      </c>
      <c r="AL376" s="2">
        <v>2.5821112313955799</v>
      </c>
      <c r="AM376" s="2">
        <v>0.50772592774554404</v>
      </c>
      <c r="AN376" s="2">
        <v>4.5156064599761603</v>
      </c>
      <c r="AO376" s="2">
        <v>0.28956529369416401</v>
      </c>
      <c r="AP376" s="2">
        <v>0.28956529369416401</v>
      </c>
      <c r="AQ376" s="2">
        <v>0</v>
      </c>
      <c r="AR376" s="2">
        <v>1</v>
      </c>
      <c r="AS376" s="2">
        <v>0</v>
      </c>
      <c r="AT376" s="2">
        <v>0</v>
      </c>
      <c r="AU376" s="2">
        <v>0</v>
      </c>
      <c r="AV376" s="2">
        <v>1</v>
      </c>
      <c r="AW376" s="2">
        <v>0</v>
      </c>
      <c r="AX376" s="2">
        <v>0</v>
      </c>
      <c r="AY376" s="2">
        <v>15.3</v>
      </c>
      <c r="AZ376" s="2">
        <v>9.8000000000000007</v>
      </c>
      <c r="BA376" s="2">
        <v>29.7</v>
      </c>
      <c r="BB376" s="2">
        <v>564</v>
      </c>
      <c r="BC376" s="2">
        <v>68</v>
      </c>
      <c r="BD376" s="2">
        <v>1.8</v>
      </c>
      <c r="BE376" s="2">
        <v>43</v>
      </c>
      <c r="BF376" s="2">
        <v>25.4</v>
      </c>
      <c r="BG376" s="2">
        <v>162</v>
      </c>
      <c r="BH376" s="2">
        <v>9.1</v>
      </c>
      <c r="BI376" s="2">
        <v>9.1999999999999993</v>
      </c>
      <c r="BJ376" s="2">
        <v>18.3</v>
      </c>
      <c r="BK376" s="2">
        <v>0.34</v>
      </c>
      <c r="BL376" s="2">
        <v>7.3</v>
      </c>
      <c r="BM376" s="2">
        <v>0.9</v>
      </c>
      <c r="BN376" s="2">
        <v>7.5</v>
      </c>
      <c r="BO376" s="2">
        <v>2.9</v>
      </c>
      <c r="BP376" s="2">
        <f t="shared" si="10"/>
        <v>9.3427487982365705</v>
      </c>
      <c r="BQ376" s="2">
        <f t="shared" si="11"/>
        <v>29.019849958156154</v>
      </c>
    </row>
    <row r="377" spans="1:69" x14ac:dyDescent="0.2">
      <c r="A377" s="2" t="s">
        <v>523</v>
      </c>
      <c r="B377" s="2" t="s">
        <v>47</v>
      </c>
      <c r="C377" s="2" t="s">
        <v>48</v>
      </c>
      <c r="D377" s="2" t="s">
        <v>49</v>
      </c>
      <c r="E377" s="2" t="s">
        <v>524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89</v>
      </c>
      <c r="L377" s="6" t="s">
        <v>103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525</v>
      </c>
      <c r="R377" s="2">
        <v>9026434.5580000002</v>
      </c>
      <c r="S377" s="2">
        <v>0</v>
      </c>
      <c r="T377" s="2" t="s">
        <v>96</v>
      </c>
      <c r="U377" s="2" t="s">
        <v>97</v>
      </c>
      <c r="V377" s="2" t="s">
        <v>56</v>
      </c>
      <c r="W377" s="2" t="s">
        <v>98</v>
      </c>
      <c r="X377" s="2" t="s">
        <v>99</v>
      </c>
      <c r="Y377" s="2">
        <v>1.3413229071937001</v>
      </c>
      <c r="Z377" s="2">
        <v>1341.3229071937001</v>
      </c>
      <c r="AA377" s="2">
        <v>4.73719444444444</v>
      </c>
      <c r="AB377" s="2">
        <v>-74.069472222222203</v>
      </c>
      <c r="AC377" s="2">
        <v>2555</v>
      </c>
      <c r="AD377" s="2">
        <v>0</v>
      </c>
      <c r="AE377" s="2" t="s">
        <v>59</v>
      </c>
      <c r="AF377" s="2" t="s">
        <v>86</v>
      </c>
      <c r="AG377" s="2" t="s">
        <v>61</v>
      </c>
      <c r="AH377" s="2" t="s">
        <v>62</v>
      </c>
      <c r="AI377" s="2" t="s">
        <v>100</v>
      </c>
      <c r="AJ377" s="2">
        <v>1.02709756487527</v>
      </c>
      <c r="AK377" s="2">
        <v>3.9926796745159101</v>
      </c>
      <c r="AL377" s="2">
        <v>1.6713282492086501</v>
      </c>
      <c r="AM377" s="2">
        <v>9.8788087787938197E-2</v>
      </c>
      <c r="AN377" s="2">
        <v>3.0983572918610802</v>
      </c>
      <c r="AO377" s="2">
        <v>1.11427020762771E-2</v>
      </c>
      <c r="AP377" s="2">
        <v>1.11427020762771E-2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11</v>
      </c>
      <c r="AW377" s="2">
        <v>0</v>
      </c>
      <c r="AX377" s="2">
        <v>0</v>
      </c>
      <c r="AY377" s="2">
        <v>15.3</v>
      </c>
      <c r="AZ377" s="2">
        <v>9.8000000000000007</v>
      </c>
      <c r="BA377" s="2">
        <v>29.7</v>
      </c>
      <c r="BB377" s="2">
        <v>564</v>
      </c>
      <c r="BC377" s="2">
        <v>68</v>
      </c>
      <c r="BD377" s="2">
        <v>1.8</v>
      </c>
      <c r="BE377" s="2">
        <v>43</v>
      </c>
      <c r="BF377" s="2">
        <v>25.4</v>
      </c>
      <c r="BG377" s="2">
        <v>162</v>
      </c>
      <c r="BH377" s="2">
        <v>9.1</v>
      </c>
      <c r="BI377" s="2">
        <v>9.1999999999999993</v>
      </c>
      <c r="BJ377" s="2">
        <v>18.3</v>
      </c>
      <c r="BK377" s="2">
        <v>0.34</v>
      </c>
      <c r="BL377" s="2">
        <v>7.3</v>
      </c>
      <c r="BM377" s="2">
        <v>0.9</v>
      </c>
      <c r="BN377" s="2">
        <v>7.5</v>
      </c>
      <c r="BO377" s="2">
        <v>2.9</v>
      </c>
      <c r="BP377" s="2">
        <f t="shared" si="10"/>
        <v>9.1704549854410047</v>
      </c>
      <c r="BQ377" s="2">
        <f t="shared" si="11"/>
        <v>28.759130402294659</v>
      </c>
    </row>
    <row r="378" spans="1:69" x14ac:dyDescent="0.2">
      <c r="A378" s="2" t="s">
        <v>1676</v>
      </c>
      <c r="B378" s="2" t="s">
        <v>47</v>
      </c>
      <c r="C378" s="2" t="s">
        <v>48</v>
      </c>
      <c r="D378" s="2" t="s">
        <v>49</v>
      </c>
      <c r="E378" s="2" t="s">
        <v>1677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89</v>
      </c>
      <c r="L378" s="6" t="s">
        <v>141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1678</v>
      </c>
      <c r="R378" s="2">
        <v>5259750.7690000003</v>
      </c>
      <c r="S378" s="2">
        <v>0</v>
      </c>
      <c r="T378" s="2" t="s">
        <v>130</v>
      </c>
      <c r="U378" s="2" t="s">
        <v>131</v>
      </c>
      <c r="V378" s="2" t="s">
        <v>56</v>
      </c>
      <c r="W378" s="2" t="s">
        <v>98</v>
      </c>
      <c r="X378" s="2" t="s">
        <v>132</v>
      </c>
      <c r="Y378" s="2">
        <v>1.7721202672228999</v>
      </c>
      <c r="Z378" s="2">
        <v>1772.1202672229001</v>
      </c>
      <c r="AA378" s="2">
        <v>4.7837500000000004</v>
      </c>
      <c r="AB378" s="2">
        <v>-74.044138888888895</v>
      </c>
      <c r="AC378" s="2">
        <v>2580</v>
      </c>
      <c r="AD378" s="2">
        <v>0</v>
      </c>
      <c r="AE378" s="2" t="s">
        <v>133</v>
      </c>
      <c r="AF378" s="2" t="s">
        <v>86</v>
      </c>
      <c r="AG378" s="2" t="s">
        <v>61</v>
      </c>
      <c r="AH378" s="2" t="s">
        <v>62</v>
      </c>
      <c r="AI378" s="2" t="s">
        <v>100</v>
      </c>
      <c r="AJ378" s="2">
        <v>0.219927367507463</v>
      </c>
      <c r="AK378" s="2">
        <v>2.4822662369404198</v>
      </c>
      <c r="AL378" s="2">
        <v>1.84113138438178</v>
      </c>
      <c r="AM378" s="2">
        <v>0.50471805064644004</v>
      </c>
      <c r="AN378" s="2">
        <v>3.5661603101885802</v>
      </c>
      <c r="AO378" s="2">
        <v>0.158988383984172</v>
      </c>
      <c r="AP378" s="2">
        <v>0.158988383984172</v>
      </c>
      <c r="AQ378" s="2">
        <v>1</v>
      </c>
      <c r="AR378" s="2">
        <v>2</v>
      </c>
      <c r="AS378" s="2">
        <v>0</v>
      </c>
      <c r="AT378" s="2">
        <v>0</v>
      </c>
      <c r="AU378" s="2">
        <v>0</v>
      </c>
      <c r="AV378" s="2">
        <v>14</v>
      </c>
      <c r="AW378" s="2">
        <v>0</v>
      </c>
      <c r="AX378" s="2">
        <v>0</v>
      </c>
      <c r="AY378" s="2">
        <v>15.3</v>
      </c>
      <c r="AZ378" s="2">
        <v>9.8000000000000007</v>
      </c>
      <c r="BA378" s="2">
        <v>29.7</v>
      </c>
      <c r="BB378" s="2">
        <v>564</v>
      </c>
      <c r="BC378" s="2">
        <v>68</v>
      </c>
      <c r="BD378" s="2">
        <v>1.8</v>
      </c>
      <c r="BE378" s="2">
        <v>43</v>
      </c>
      <c r="BF378" s="2">
        <v>25.4</v>
      </c>
      <c r="BG378" s="2">
        <v>162</v>
      </c>
      <c r="BH378" s="2">
        <v>9.1</v>
      </c>
      <c r="BI378" s="2">
        <v>9.1999999999999993</v>
      </c>
      <c r="BJ378" s="2">
        <v>18.3</v>
      </c>
      <c r="BK378" s="2">
        <v>0.34</v>
      </c>
      <c r="BL378" s="2">
        <v>7.3</v>
      </c>
      <c r="BM378" s="2">
        <v>0.9</v>
      </c>
      <c r="BN378" s="2">
        <v>7.5</v>
      </c>
      <c r="BO378" s="2">
        <v>2.9</v>
      </c>
      <c r="BP378" s="2">
        <f t="shared" si="10"/>
        <v>8.976970211440884</v>
      </c>
      <c r="BQ378" s="2">
        <f t="shared" si="11"/>
        <v>28.463317682600152</v>
      </c>
    </row>
    <row r="379" spans="1:69" x14ac:dyDescent="0.2">
      <c r="A379" s="2" t="s">
        <v>118</v>
      </c>
      <c r="B379" s="2" t="s">
        <v>47</v>
      </c>
      <c r="C379" s="2" t="s">
        <v>48</v>
      </c>
      <c r="D379" s="2" t="s">
        <v>49</v>
      </c>
      <c r="E379" s="2" t="s">
        <v>119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89</v>
      </c>
      <c r="L379" s="6" t="s">
        <v>90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120</v>
      </c>
      <c r="R379" s="2">
        <v>8493956.2229999993</v>
      </c>
      <c r="S379" s="2">
        <v>0</v>
      </c>
      <c r="T379" s="2" t="s">
        <v>96</v>
      </c>
      <c r="U379" s="2" t="s">
        <v>97</v>
      </c>
      <c r="V379" s="2" t="s">
        <v>56</v>
      </c>
      <c r="W379" s="2" t="s">
        <v>98</v>
      </c>
      <c r="X379" s="2" t="s">
        <v>99</v>
      </c>
      <c r="Y379" s="2">
        <v>1.60557139567109</v>
      </c>
      <c r="Z379" s="2">
        <v>1605.5713956710899</v>
      </c>
      <c r="AA379" s="2">
        <v>4.73719444444444</v>
      </c>
      <c r="AB379" s="2">
        <v>-74.069472222222203</v>
      </c>
      <c r="AC379" s="2">
        <v>2555</v>
      </c>
      <c r="AD379" s="2">
        <v>0</v>
      </c>
      <c r="AE379" s="2" t="s">
        <v>59</v>
      </c>
      <c r="AF379" s="2" t="s">
        <v>86</v>
      </c>
      <c r="AG379" s="2" t="s">
        <v>61</v>
      </c>
      <c r="AH379" s="2" t="s">
        <v>62</v>
      </c>
      <c r="AI379" s="2" t="s">
        <v>100</v>
      </c>
      <c r="AJ379" s="2">
        <v>0.83486934524760104</v>
      </c>
      <c r="AK379" s="2">
        <v>3.8110359956991902</v>
      </c>
      <c r="AL379" s="2">
        <v>1.41878004583305</v>
      </c>
      <c r="AM379" s="2">
        <v>0.22324231015778501</v>
      </c>
      <c r="AN379" s="2">
        <v>3.1831556439680302</v>
      </c>
      <c r="AO379" s="2">
        <v>0.13446172554651201</v>
      </c>
      <c r="AP379" s="2">
        <v>0.13446172554651201</v>
      </c>
      <c r="AQ379" s="2">
        <v>0</v>
      </c>
      <c r="AR379" s="2">
        <v>2</v>
      </c>
      <c r="AS379" s="2">
        <v>0</v>
      </c>
      <c r="AT379" s="2">
        <v>0</v>
      </c>
      <c r="AU379" s="2">
        <v>0</v>
      </c>
      <c r="AV379" s="2">
        <v>15</v>
      </c>
      <c r="AW379" s="2">
        <v>0</v>
      </c>
      <c r="AX379" s="2">
        <v>0</v>
      </c>
      <c r="AY379" s="2">
        <v>15.3</v>
      </c>
      <c r="AZ379" s="2">
        <v>9.8000000000000007</v>
      </c>
      <c r="BA379" s="2">
        <v>29.7</v>
      </c>
      <c r="BB379" s="2">
        <v>564</v>
      </c>
      <c r="BC379" s="2">
        <v>68</v>
      </c>
      <c r="BD379" s="2">
        <v>1.8</v>
      </c>
      <c r="BE379" s="2">
        <v>43</v>
      </c>
      <c r="BF379" s="2">
        <v>25.4</v>
      </c>
      <c r="BG379" s="2">
        <v>162</v>
      </c>
      <c r="BH379" s="2">
        <v>9.1</v>
      </c>
      <c r="BI379" s="2">
        <v>9.1999999999999993</v>
      </c>
      <c r="BJ379" s="2">
        <v>18.3</v>
      </c>
      <c r="BK379" s="2">
        <v>0.34</v>
      </c>
      <c r="BL379" s="2">
        <v>7.3</v>
      </c>
      <c r="BM379" s="2">
        <v>0.9</v>
      </c>
      <c r="BN379" s="2">
        <v>7.5</v>
      </c>
      <c r="BO379" s="2">
        <v>2.9</v>
      </c>
      <c r="BP379" s="2">
        <f t="shared" si="10"/>
        <v>9.0512837781505855</v>
      </c>
      <c r="BQ379" s="2">
        <f t="shared" si="11"/>
        <v>28.577318173226953</v>
      </c>
    </row>
    <row r="380" spans="1:69" x14ac:dyDescent="0.2">
      <c r="A380" s="2" t="s">
        <v>490</v>
      </c>
      <c r="B380" s="2" t="s">
        <v>47</v>
      </c>
      <c r="C380" s="2" t="s">
        <v>48</v>
      </c>
      <c r="D380" s="2" t="s">
        <v>49</v>
      </c>
      <c r="E380" s="2" t="s">
        <v>153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89</v>
      </c>
      <c r="L380" s="6" t="s">
        <v>112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491</v>
      </c>
      <c r="R380" s="2">
        <v>10000000</v>
      </c>
      <c r="S380" s="2">
        <v>0</v>
      </c>
      <c r="T380" s="2" t="s">
        <v>96</v>
      </c>
      <c r="U380" s="2" t="s">
        <v>97</v>
      </c>
      <c r="V380" s="2" t="s">
        <v>56</v>
      </c>
      <c r="W380" s="2" t="s">
        <v>98</v>
      </c>
      <c r="X380" s="2" t="s">
        <v>99</v>
      </c>
      <c r="Y380" s="2">
        <v>0.45714837169843803</v>
      </c>
      <c r="Z380" s="2">
        <v>457.14837169843798</v>
      </c>
      <c r="AA380" s="2">
        <v>4.73719444444444</v>
      </c>
      <c r="AB380" s="2">
        <v>-74.069472222222203</v>
      </c>
      <c r="AC380" s="2">
        <v>2555</v>
      </c>
      <c r="AD380" s="2">
        <v>0</v>
      </c>
      <c r="AE380" s="2" t="s">
        <v>59</v>
      </c>
      <c r="AF380" s="2" t="s">
        <v>86</v>
      </c>
      <c r="AG380" s="2" t="s">
        <v>61</v>
      </c>
      <c r="AH380" s="2" t="s">
        <v>62</v>
      </c>
      <c r="AI380" s="2" t="s">
        <v>100</v>
      </c>
      <c r="AJ380" s="2">
        <v>1.5786842516519599</v>
      </c>
      <c r="AK380" s="2">
        <v>5.1628789563456197</v>
      </c>
      <c r="AL380" s="2">
        <v>2.0989098477356101</v>
      </c>
      <c r="AM380" s="2">
        <v>0.40696984049770601</v>
      </c>
      <c r="AN380" s="2">
        <v>1.9393907116692899</v>
      </c>
      <c r="AO380" s="2">
        <v>4.1814280695361701E-2</v>
      </c>
      <c r="AP380" s="2">
        <v>4.1814280695361701E-2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7</v>
      </c>
      <c r="AW380" s="2">
        <v>0</v>
      </c>
      <c r="AX380" s="2">
        <v>0</v>
      </c>
      <c r="AY380" s="2">
        <v>15.3</v>
      </c>
      <c r="AZ380" s="2">
        <v>9.8000000000000007</v>
      </c>
      <c r="BA380" s="2">
        <v>29.7</v>
      </c>
      <c r="BB380" s="2">
        <v>564</v>
      </c>
      <c r="BC380" s="2">
        <v>68</v>
      </c>
      <c r="BD380" s="2">
        <v>1.8</v>
      </c>
      <c r="BE380" s="2">
        <v>43</v>
      </c>
      <c r="BF380" s="2">
        <v>25.4</v>
      </c>
      <c r="BG380" s="2">
        <v>162</v>
      </c>
      <c r="BH380" s="2">
        <v>9.1</v>
      </c>
      <c r="BI380" s="2">
        <v>9.1999999999999993</v>
      </c>
      <c r="BJ380" s="2">
        <v>18.3</v>
      </c>
      <c r="BK380" s="2">
        <v>0.34</v>
      </c>
      <c r="BL380" s="2">
        <v>7.3</v>
      </c>
      <c r="BM380" s="2">
        <v>0.9</v>
      </c>
      <c r="BN380" s="2">
        <v>7.5</v>
      </c>
      <c r="BO380" s="2">
        <v>2.9</v>
      </c>
      <c r="BP380" s="2">
        <f t="shared" si="10"/>
        <v>9.5807276218739119</v>
      </c>
      <c r="BQ380" s="2">
        <f t="shared" si="11"/>
        <v>29.375925692027643</v>
      </c>
    </row>
    <row r="381" spans="1:69" x14ac:dyDescent="0.2">
      <c r="A381" s="2" t="s">
        <v>639</v>
      </c>
      <c r="B381" s="2" t="s">
        <v>47</v>
      </c>
      <c r="C381" s="2" t="s">
        <v>48</v>
      </c>
      <c r="D381" s="2" t="s">
        <v>49</v>
      </c>
      <c r="E381" s="2" t="s">
        <v>640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89</v>
      </c>
      <c r="L381" s="6" t="s">
        <v>141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641</v>
      </c>
      <c r="R381" s="2">
        <v>5737704.9179999996</v>
      </c>
      <c r="S381" s="2">
        <v>0</v>
      </c>
      <c r="T381" s="2" t="s">
        <v>96</v>
      </c>
      <c r="U381" s="2" t="s">
        <v>97</v>
      </c>
      <c r="V381" s="2" t="s">
        <v>56</v>
      </c>
      <c r="W381" s="2" t="s">
        <v>98</v>
      </c>
      <c r="X381" s="2" t="s">
        <v>99</v>
      </c>
      <c r="Y381" s="2">
        <v>1.2522766317046301</v>
      </c>
      <c r="Z381" s="2">
        <v>1252.2766317046301</v>
      </c>
      <c r="AA381" s="2">
        <v>4.73719444444444</v>
      </c>
      <c r="AB381" s="2">
        <v>-74.069472222222203</v>
      </c>
      <c r="AC381" s="2">
        <v>2555</v>
      </c>
      <c r="AD381" s="2">
        <v>0</v>
      </c>
      <c r="AE381" s="2" t="s">
        <v>59</v>
      </c>
      <c r="AF381" s="2" t="s">
        <v>86</v>
      </c>
      <c r="AG381" s="2" t="s">
        <v>61</v>
      </c>
      <c r="AH381" s="2" t="s">
        <v>62</v>
      </c>
      <c r="AI381" s="2" t="s">
        <v>100</v>
      </c>
      <c r="AJ381" s="2">
        <v>1.8463942425740101</v>
      </c>
      <c r="AK381" s="2">
        <v>4.7763187402043599</v>
      </c>
      <c r="AL381" s="2">
        <v>1.35191310032228</v>
      </c>
      <c r="AM381" s="2">
        <v>0.38922228643564399</v>
      </c>
      <c r="AN381" s="2">
        <v>2.45315330642415</v>
      </c>
      <c r="AO381" s="2">
        <v>0.13266746313852801</v>
      </c>
      <c r="AP381" s="2">
        <v>0.13266746313852801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16</v>
      </c>
      <c r="AW381" s="2">
        <v>0</v>
      </c>
      <c r="AX381" s="2">
        <v>0</v>
      </c>
      <c r="AY381" s="2">
        <v>15.3</v>
      </c>
      <c r="AZ381" s="2">
        <v>9.8000000000000007</v>
      </c>
      <c r="BA381" s="2">
        <v>29.7</v>
      </c>
      <c r="BB381" s="2">
        <v>564</v>
      </c>
      <c r="BC381" s="2">
        <v>68</v>
      </c>
      <c r="BD381" s="2">
        <v>1.8</v>
      </c>
      <c r="BE381" s="2">
        <v>43</v>
      </c>
      <c r="BF381" s="2">
        <v>25.4</v>
      </c>
      <c r="BG381" s="2">
        <v>162</v>
      </c>
      <c r="BH381" s="2">
        <v>9.1</v>
      </c>
      <c r="BI381" s="2">
        <v>9.1999999999999993</v>
      </c>
      <c r="BJ381" s="2">
        <v>18.3</v>
      </c>
      <c r="BK381" s="2">
        <v>0.34</v>
      </c>
      <c r="BL381" s="2">
        <v>7.3</v>
      </c>
      <c r="BM381" s="2">
        <v>0.9</v>
      </c>
      <c r="BN381" s="2">
        <v>7.5</v>
      </c>
      <c r="BO381" s="2">
        <v>2.9</v>
      </c>
      <c r="BP381" s="2">
        <f t="shared" si="10"/>
        <v>9.2109656467281216</v>
      </c>
      <c r="BQ381" s="2">
        <f t="shared" si="11"/>
        <v>28.820657566822408</v>
      </c>
    </row>
    <row r="382" spans="1:69" x14ac:dyDescent="0.2">
      <c r="A382" s="2" t="s">
        <v>2979</v>
      </c>
      <c r="B382" s="2" t="s">
        <v>47</v>
      </c>
      <c r="C382" s="2" t="s">
        <v>1935</v>
      </c>
      <c r="D382" s="2" t="s">
        <v>49</v>
      </c>
      <c r="E382" s="2" t="s">
        <v>100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89</v>
      </c>
      <c r="L382" s="6" t="s">
        <v>141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2980</v>
      </c>
      <c r="R382" s="2">
        <v>3852459.0159999998</v>
      </c>
      <c r="S382" s="2">
        <v>0</v>
      </c>
      <c r="T382" s="2" t="s">
        <v>96</v>
      </c>
      <c r="U382" s="2" t="s">
        <v>97</v>
      </c>
      <c r="V382" s="2" t="s">
        <v>56</v>
      </c>
      <c r="W382" s="2" t="s">
        <v>98</v>
      </c>
      <c r="X382" s="2" t="s">
        <v>99</v>
      </c>
      <c r="Y382" s="2">
        <v>1.9633612054362699</v>
      </c>
      <c r="Z382" s="2">
        <v>1963.36120543627</v>
      </c>
      <c r="AA382" s="2">
        <v>4.73719444444444</v>
      </c>
      <c r="AB382" s="2">
        <v>-74.069472222222203</v>
      </c>
      <c r="AC382" s="2">
        <v>2555</v>
      </c>
      <c r="AD382" s="2">
        <v>0</v>
      </c>
      <c r="AE382" s="2" t="s">
        <v>59</v>
      </c>
      <c r="AF382" s="2" t="s">
        <v>86</v>
      </c>
      <c r="AG382" s="2" t="s">
        <v>61</v>
      </c>
      <c r="AH382" s="2" t="s">
        <v>62</v>
      </c>
      <c r="AI382" s="2" t="s">
        <v>100</v>
      </c>
      <c r="AJ382" s="2">
        <v>0.76038805144350796</v>
      </c>
      <c r="AK382" s="2">
        <v>4.3232551920124802</v>
      </c>
      <c r="AL382" s="2">
        <v>2.22689493334458</v>
      </c>
      <c r="AM382" s="2">
        <v>0.16447988786342499</v>
      </c>
      <c r="AN382" s="2">
        <v>1.17951830488335</v>
      </c>
      <c r="AO382" s="2">
        <v>0.11116454089945201</v>
      </c>
      <c r="AP382" s="2">
        <v>0.11116454089945201</v>
      </c>
      <c r="AQ382" s="2">
        <v>0</v>
      </c>
      <c r="AR382" s="2">
        <v>2</v>
      </c>
      <c r="AS382" s="2">
        <v>0</v>
      </c>
      <c r="AT382" s="2">
        <v>0</v>
      </c>
      <c r="AU382" s="2">
        <v>0</v>
      </c>
      <c r="AV382" s="2">
        <v>21</v>
      </c>
      <c r="AW382" s="2">
        <v>0</v>
      </c>
      <c r="AX382" s="2">
        <v>0</v>
      </c>
      <c r="AY382" s="2">
        <v>15.3</v>
      </c>
      <c r="AZ382" s="2">
        <v>9.8000000000000007</v>
      </c>
      <c r="BA382" s="2">
        <v>29.7</v>
      </c>
      <c r="BB382" s="2">
        <v>564</v>
      </c>
      <c r="BC382" s="2">
        <v>68</v>
      </c>
      <c r="BD382" s="2">
        <v>1.8</v>
      </c>
      <c r="BE382" s="2">
        <v>43</v>
      </c>
      <c r="BF382" s="2">
        <v>25.4</v>
      </c>
      <c r="BG382" s="2">
        <v>162</v>
      </c>
      <c r="BH382" s="2">
        <v>9.1</v>
      </c>
      <c r="BI382" s="2">
        <v>9.1999999999999993</v>
      </c>
      <c r="BJ382" s="2">
        <v>18.3</v>
      </c>
      <c r="BK382" s="2">
        <v>0.34</v>
      </c>
      <c r="BL382" s="2">
        <v>7.3</v>
      </c>
      <c r="BM382" s="2">
        <v>0.9</v>
      </c>
      <c r="BN382" s="2">
        <v>7.5</v>
      </c>
      <c r="BO382" s="2">
        <v>2.9</v>
      </c>
      <c r="BP382" s="2">
        <f t="shared" si="10"/>
        <v>8.8923913446909939</v>
      </c>
      <c r="BQ382" s="2">
        <f t="shared" si="11"/>
        <v>28.332976592165199</v>
      </c>
    </row>
    <row r="383" spans="1:69" x14ac:dyDescent="0.2">
      <c r="A383" s="2" t="s">
        <v>592</v>
      </c>
      <c r="B383" s="2" t="s">
        <v>47</v>
      </c>
      <c r="C383" s="2" t="s">
        <v>48</v>
      </c>
      <c r="D383" s="2" t="s">
        <v>49</v>
      </c>
      <c r="E383" s="2" t="s">
        <v>256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89</v>
      </c>
      <c r="L383" s="6" t="s">
        <v>94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593</v>
      </c>
      <c r="R383" s="2">
        <v>7500000</v>
      </c>
      <c r="S383" s="2">
        <v>0</v>
      </c>
      <c r="T383" s="2" t="s">
        <v>96</v>
      </c>
      <c r="U383" s="2" t="s">
        <v>97</v>
      </c>
      <c r="V383" s="2" t="s">
        <v>56</v>
      </c>
      <c r="W383" s="2" t="s">
        <v>98</v>
      </c>
      <c r="X383" s="2" t="s">
        <v>99</v>
      </c>
      <c r="Y383" s="2">
        <v>1.74819856643515</v>
      </c>
      <c r="Z383" s="2">
        <v>1748.19856643515</v>
      </c>
      <c r="AA383" s="2">
        <v>4.73719444444444</v>
      </c>
      <c r="AB383" s="2">
        <v>-74.069472222222203</v>
      </c>
      <c r="AC383" s="2">
        <v>2555</v>
      </c>
      <c r="AD383" s="2">
        <v>0</v>
      </c>
      <c r="AE383" s="2" t="s">
        <v>59</v>
      </c>
      <c r="AF383" s="2" t="s">
        <v>86</v>
      </c>
      <c r="AG383" s="2" t="s">
        <v>61</v>
      </c>
      <c r="AH383" s="2" t="s">
        <v>62</v>
      </c>
      <c r="AI383" s="2" t="s">
        <v>100</v>
      </c>
      <c r="AJ383" s="2">
        <v>0.967350627147052</v>
      </c>
      <c r="AK383" s="2">
        <v>3.9913434883689098</v>
      </c>
      <c r="AL383" s="2">
        <v>1.6569123990122401</v>
      </c>
      <c r="AM383" s="2">
        <v>0.33531631448747001</v>
      </c>
      <c r="AN383" s="2">
        <v>3.4036384207219301</v>
      </c>
      <c r="AO383" s="2">
        <v>0.10699048293482</v>
      </c>
      <c r="AP383" s="2">
        <v>0.10699048293482</v>
      </c>
      <c r="AQ383" s="2">
        <v>0</v>
      </c>
      <c r="AR383" s="2">
        <v>2</v>
      </c>
      <c r="AS383" s="2">
        <v>0</v>
      </c>
      <c r="AT383" s="2">
        <v>0</v>
      </c>
      <c r="AU383" s="2">
        <v>0</v>
      </c>
      <c r="AV383" s="2">
        <v>18</v>
      </c>
      <c r="AW383" s="2">
        <v>0</v>
      </c>
      <c r="AX383" s="2">
        <v>0</v>
      </c>
      <c r="AY383" s="2">
        <v>15.3</v>
      </c>
      <c r="AZ383" s="2">
        <v>9.8000000000000007</v>
      </c>
      <c r="BA383" s="2">
        <v>29.7</v>
      </c>
      <c r="BB383" s="2">
        <v>564</v>
      </c>
      <c r="BC383" s="2">
        <v>68</v>
      </c>
      <c r="BD383" s="2">
        <v>1.8</v>
      </c>
      <c r="BE383" s="2">
        <v>43</v>
      </c>
      <c r="BF383" s="2">
        <v>25.4</v>
      </c>
      <c r="BG383" s="2">
        <v>162</v>
      </c>
      <c r="BH383" s="2">
        <v>9.1</v>
      </c>
      <c r="BI383" s="2">
        <v>9.1999999999999993</v>
      </c>
      <c r="BJ383" s="2">
        <v>18.3</v>
      </c>
      <c r="BK383" s="2">
        <v>0.34</v>
      </c>
      <c r="BL383" s="2">
        <v>7.3</v>
      </c>
      <c r="BM383" s="2">
        <v>0.9</v>
      </c>
      <c r="BN383" s="2">
        <v>7.5</v>
      </c>
      <c r="BO383" s="2">
        <v>2.9</v>
      </c>
      <c r="BP383" s="2">
        <f t="shared" si="10"/>
        <v>8.9876063550267862</v>
      </c>
      <c r="BQ383" s="2">
        <f t="shared" si="11"/>
        <v>28.479663757718896</v>
      </c>
    </row>
    <row r="384" spans="1:69" x14ac:dyDescent="0.2">
      <c r="A384" s="2" t="s">
        <v>127</v>
      </c>
      <c r="B384" s="2" t="s">
        <v>47</v>
      </c>
      <c r="C384" s="2" t="s">
        <v>48</v>
      </c>
      <c r="D384" s="2" t="s">
        <v>49</v>
      </c>
      <c r="E384" s="2" t="s">
        <v>128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89</v>
      </c>
      <c r="L384" s="6" t="s">
        <v>90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129</v>
      </c>
      <c r="R384" s="2">
        <v>6983333.3329999996</v>
      </c>
      <c r="S384" s="2">
        <v>0</v>
      </c>
      <c r="T384" s="2" t="s">
        <v>130</v>
      </c>
      <c r="U384" s="2" t="s">
        <v>131</v>
      </c>
      <c r="V384" s="2" t="s">
        <v>56</v>
      </c>
      <c r="W384" s="2" t="s">
        <v>98</v>
      </c>
      <c r="X384" s="2" t="s">
        <v>132</v>
      </c>
      <c r="Y384" s="2">
        <v>3.0724390081611199</v>
      </c>
      <c r="Z384" s="2">
        <v>3072.43900816112</v>
      </c>
      <c r="AA384" s="2">
        <v>4.7837500000000004</v>
      </c>
      <c r="AB384" s="2">
        <v>-74.044138888888895</v>
      </c>
      <c r="AC384" s="2">
        <v>2580</v>
      </c>
      <c r="AD384" s="2">
        <v>0</v>
      </c>
      <c r="AE384" s="2" t="s">
        <v>133</v>
      </c>
      <c r="AF384" s="2" t="s">
        <v>86</v>
      </c>
      <c r="AG384" s="2" t="s">
        <v>61</v>
      </c>
      <c r="AH384" s="2" t="s">
        <v>62</v>
      </c>
      <c r="AI384" s="2" t="s">
        <v>87</v>
      </c>
      <c r="AJ384" s="2">
        <v>1.7097887313476601</v>
      </c>
      <c r="AK384" s="2">
        <v>0.86086234884032697</v>
      </c>
      <c r="AL384" s="2">
        <v>1.05883188151751</v>
      </c>
      <c r="AM384" s="2">
        <v>0.26892262333745198</v>
      </c>
      <c r="AN384" s="2">
        <v>2.10927039130747</v>
      </c>
      <c r="AO384" s="2">
        <v>0.26782450332876301</v>
      </c>
      <c r="AP384" s="2">
        <v>0.26782450332876301</v>
      </c>
      <c r="AQ384" s="2">
        <v>0</v>
      </c>
      <c r="AR384" s="2">
        <v>0</v>
      </c>
      <c r="AS384" s="2">
        <v>0</v>
      </c>
      <c r="AT384" s="2">
        <v>20</v>
      </c>
      <c r="AU384" s="2">
        <v>0</v>
      </c>
      <c r="AV384" s="2">
        <v>5</v>
      </c>
      <c r="AW384" s="2">
        <v>0</v>
      </c>
      <c r="AX384" s="2">
        <v>0</v>
      </c>
      <c r="AY384" s="2">
        <v>15.3</v>
      </c>
      <c r="AZ384" s="2">
        <v>9.8000000000000007</v>
      </c>
      <c r="BA384" s="2">
        <v>29.7</v>
      </c>
      <c r="BB384" s="2">
        <v>564</v>
      </c>
      <c r="BC384" s="2">
        <v>68</v>
      </c>
      <c r="BD384" s="2">
        <v>1.8</v>
      </c>
      <c r="BE384" s="2">
        <v>43</v>
      </c>
      <c r="BF384" s="2">
        <v>25.4</v>
      </c>
      <c r="BG384" s="2">
        <v>162</v>
      </c>
      <c r="BH384" s="2">
        <v>9.1</v>
      </c>
      <c r="BI384" s="2">
        <v>9.1999999999999993</v>
      </c>
      <c r="BJ384" s="2">
        <v>18.3</v>
      </c>
      <c r="BK384" s="2">
        <v>0.34</v>
      </c>
      <c r="BL384" s="2">
        <v>7.3</v>
      </c>
      <c r="BM384" s="2">
        <v>0.9</v>
      </c>
      <c r="BN384" s="2">
        <v>7.5</v>
      </c>
      <c r="BO384" s="2">
        <v>2.9</v>
      </c>
      <c r="BP384" s="2">
        <f t="shared" si="10"/>
        <v>8.4173634921479366</v>
      </c>
      <c r="BQ384" s="2">
        <f t="shared" si="11"/>
        <v>27.588761826757271</v>
      </c>
    </row>
    <row r="385" spans="1:69" x14ac:dyDescent="0.2">
      <c r="A385" s="2" t="s">
        <v>906</v>
      </c>
      <c r="B385" s="2" t="s">
        <v>47</v>
      </c>
      <c r="C385" s="2" t="s">
        <v>48</v>
      </c>
      <c r="D385" s="2" t="s">
        <v>49</v>
      </c>
      <c r="E385" s="2" t="s">
        <v>907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89</v>
      </c>
      <c r="L385" s="6" t="s">
        <v>141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908</v>
      </c>
      <c r="R385" s="2">
        <v>6500000</v>
      </c>
      <c r="S385" s="2">
        <v>0</v>
      </c>
      <c r="T385" s="2" t="s">
        <v>96</v>
      </c>
      <c r="U385" s="2" t="s">
        <v>97</v>
      </c>
      <c r="V385" s="2" t="s">
        <v>56</v>
      </c>
      <c r="W385" s="2" t="s">
        <v>98</v>
      </c>
      <c r="X385" s="2" t="s">
        <v>99</v>
      </c>
      <c r="Y385" s="2">
        <v>1.84537342159693</v>
      </c>
      <c r="Z385" s="2">
        <v>1845.37342159693</v>
      </c>
      <c r="AA385" s="2">
        <v>4.73719444444444</v>
      </c>
      <c r="AB385" s="2">
        <v>-74.069472222222203</v>
      </c>
      <c r="AC385" s="2">
        <v>2555</v>
      </c>
      <c r="AD385" s="2">
        <v>0</v>
      </c>
      <c r="AE385" s="2" t="s">
        <v>59</v>
      </c>
      <c r="AF385" s="2" t="s">
        <v>86</v>
      </c>
      <c r="AG385" s="2" t="s">
        <v>61</v>
      </c>
      <c r="AH385" s="2" t="s">
        <v>62</v>
      </c>
      <c r="AI385" s="2" t="s">
        <v>100</v>
      </c>
      <c r="AJ385" s="2">
        <v>0.450736584758752</v>
      </c>
      <c r="AK385" s="2">
        <v>3.4895767829312301</v>
      </c>
      <c r="AL385" s="2">
        <v>1.49669676106771</v>
      </c>
      <c r="AM385" s="2">
        <v>0.290912202887673</v>
      </c>
      <c r="AN385" s="2">
        <v>3.1222765982343601</v>
      </c>
      <c r="AO385" s="2">
        <v>7.20392882584708E-3</v>
      </c>
      <c r="AP385" s="2">
        <v>7.20392882584708E-3</v>
      </c>
      <c r="AQ385" s="2">
        <v>1</v>
      </c>
      <c r="AR385" s="2">
        <v>3</v>
      </c>
      <c r="AS385" s="2">
        <v>0</v>
      </c>
      <c r="AT385" s="2">
        <v>0</v>
      </c>
      <c r="AU385" s="2">
        <v>0</v>
      </c>
      <c r="AV385" s="2">
        <v>16</v>
      </c>
      <c r="AW385" s="2">
        <v>0</v>
      </c>
      <c r="AX385" s="2">
        <v>0</v>
      </c>
      <c r="AY385" s="2">
        <v>15.3</v>
      </c>
      <c r="AZ385" s="2">
        <v>9.8000000000000007</v>
      </c>
      <c r="BA385" s="2">
        <v>29.7</v>
      </c>
      <c r="BB385" s="2">
        <v>564</v>
      </c>
      <c r="BC385" s="2">
        <v>68</v>
      </c>
      <c r="BD385" s="2">
        <v>1.8</v>
      </c>
      <c r="BE385" s="2">
        <v>43</v>
      </c>
      <c r="BF385" s="2">
        <v>25.4</v>
      </c>
      <c r="BG385" s="2">
        <v>162</v>
      </c>
      <c r="BH385" s="2">
        <v>9.1</v>
      </c>
      <c r="BI385" s="2">
        <v>9.1999999999999993</v>
      </c>
      <c r="BJ385" s="2">
        <v>18.3</v>
      </c>
      <c r="BK385" s="2">
        <v>0.34</v>
      </c>
      <c r="BL385" s="2">
        <v>7.3</v>
      </c>
      <c r="BM385" s="2">
        <v>0.9</v>
      </c>
      <c r="BN385" s="2">
        <v>7.5</v>
      </c>
      <c r="BO385" s="2">
        <v>2.9</v>
      </c>
      <c r="BP385" s="2">
        <f t="shared" si="10"/>
        <v>8.9444783816914928</v>
      </c>
      <c r="BQ385" s="2">
        <f t="shared" si="11"/>
        <v>28.41332097717352</v>
      </c>
    </row>
    <row r="386" spans="1:69" x14ac:dyDescent="0.2">
      <c r="A386" s="2" t="s">
        <v>1400</v>
      </c>
      <c r="B386" s="2" t="s">
        <v>47</v>
      </c>
      <c r="C386" s="2" t="s">
        <v>48</v>
      </c>
      <c r="D386" s="2" t="s">
        <v>49</v>
      </c>
      <c r="E386" s="2" t="s">
        <v>163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89</v>
      </c>
      <c r="L386" s="6" t="s">
        <v>103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1401</v>
      </c>
      <c r="R386" s="2">
        <v>5566666.6670000004</v>
      </c>
      <c r="S386" s="2">
        <v>0</v>
      </c>
      <c r="T386" s="2" t="s">
        <v>96</v>
      </c>
      <c r="U386" s="2" t="s">
        <v>97</v>
      </c>
      <c r="V386" s="2" t="s">
        <v>56</v>
      </c>
      <c r="W386" s="2" t="s">
        <v>98</v>
      </c>
      <c r="X386" s="2" t="s">
        <v>99</v>
      </c>
      <c r="Y386" s="2">
        <v>2.09508838182354</v>
      </c>
      <c r="Z386" s="2">
        <v>2095.0883818235402</v>
      </c>
      <c r="AA386" s="2">
        <v>4.73719444444444</v>
      </c>
      <c r="AB386" s="2">
        <v>-74.069472222222203</v>
      </c>
      <c r="AC386" s="2">
        <v>2555</v>
      </c>
      <c r="AD386" s="2">
        <v>0</v>
      </c>
      <c r="AE386" s="2" t="s">
        <v>59</v>
      </c>
      <c r="AF386" s="2" t="s">
        <v>86</v>
      </c>
      <c r="AG386" s="2" t="s">
        <v>61</v>
      </c>
      <c r="AH386" s="2" t="s">
        <v>62</v>
      </c>
      <c r="AI386" s="2" t="s">
        <v>100</v>
      </c>
      <c r="AJ386" s="2">
        <v>1.25821344078652</v>
      </c>
      <c r="AK386" s="2">
        <v>3.9566572563237701</v>
      </c>
      <c r="AL386" s="2">
        <v>0.46322003280162499</v>
      </c>
      <c r="AM386" s="2">
        <v>0.17988501901595499</v>
      </c>
      <c r="AN386" s="2">
        <v>3.3054540183125201</v>
      </c>
      <c r="AO386" s="2">
        <v>0.14300163075528599</v>
      </c>
      <c r="AP386" s="2">
        <v>0.14300163075528599</v>
      </c>
      <c r="AQ386" s="2">
        <v>0</v>
      </c>
      <c r="AR386" s="2">
        <v>0</v>
      </c>
      <c r="AS386" s="2">
        <v>0</v>
      </c>
      <c r="AT386" s="2">
        <v>0</v>
      </c>
      <c r="AU386" s="2">
        <v>1</v>
      </c>
      <c r="AV386" s="2">
        <v>15</v>
      </c>
      <c r="AW386" s="2">
        <v>0</v>
      </c>
      <c r="AX386" s="2">
        <v>1</v>
      </c>
      <c r="AY386" s="2">
        <v>15.3</v>
      </c>
      <c r="AZ386" s="2">
        <v>9.8000000000000007</v>
      </c>
      <c r="BA386" s="2">
        <v>29.7</v>
      </c>
      <c r="BB386" s="2">
        <v>564</v>
      </c>
      <c r="BC386" s="2">
        <v>68</v>
      </c>
      <c r="BD386" s="2">
        <v>1.8</v>
      </c>
      <c r="BE386" s="2">
        <v>43</v>
      </c>
      <c r="BF386" s="2">
        <v>25.4</v>
      </c>
      <c r="BG386" s="2">
        <v>162</v>
      </c>
      <c r="BH386" s="2">
        <v>9.1</v>
      </c>
      <c r="BI386" s="2">
        <v>9.1999999999999993</v>
      </c>
      <c r="BJ386" s="2">
        <v>18.3</v>
      </c>
      <c r="BK386" s="2">
        <v>0.34</v>
      </c>
      <c r="BL386" s="2">
        <v>7.3</v>
      </c>
      <c r="BM386" s="2">
        <v>0.9</v>
      </c>
      <c r="BN386" s="2">
        <v>7.5</v>
      </c>
      <c r="BO386" s="2">
        <v>2.9</v>
      </c>
      <c r="BP386" s="2">
        <f t="shared" ref="BP386:BP449" si="12">+AZ386*EXP(-0.0495*Y386)</f>
        <v>8.8345971773990701</v>
      </c>
      <c r="BQ386" s="2">
        <f t="shared" ref="BQ386:BQ449" si="13">+BA386*EXP(-0.024*Y386)</f>
        <v>28.243544681885936</v>
      </c>
    </row>
    <row r="387" spans="1:69" x14ac:dyDescent="0.2">
      <c r="A387" s="2" t="s">
        <v>1138</v>
      </c>
      <c r="B387" s="2" t="s">
        <v>47</v>
      </c>
      <c r="C387" s="2" t="s">
        <v>48</v>
      </c>
      <c r="D387" s="2" t="s">
        <v>49</v>
      </c>
      <c r="E387" s="2" t="s">
        <v>1139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89</v>
      </c>
      <c r="L387" s="6" t="s">
        <v>141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1140</v>
      </c>
      <c r="R387" s="2">
        <v>6728343.1459999997</v>
      </c>
      <c r="S387" s="2">
        <v>0</v>
      </c>
      <c r="T387" s="2" t="s">
        <v>96</v>
      </c>
      <c r="U387" s="2" t="s">
        <v>97</v>
      </c>
      <c r="V387" s="2" t="s">
        <v>56</v>
      </c>
      <c r="W387" s="2" t="s">
        <v>98</v>
      </c>
      <c r="X387" s="2" t="s">
        <v>99</v>
      </c>
      <c r="Y387" s="2">
        <v>0.90823547802808202</v>
      </c>
      <c r="Z387" s="2">
        <v>908.23547802808196</v>
      </c>
      <c r="AA387" s="2">
        <v>4.73719444444444</v>
      </c>
      <c r="AB387" s="2">
        <v>-74.069472222222203</v>
      </c>
      <c r="AC387" s="2">
        <v>2555</v>
      </c>
      <c r="AD387" s="2">
        <v>0</v>
      </c>
      <c r="AE387" s="2" t="s">
        <v>59</v>
      </c>
      <c r="AF387" s="2" t="s">
        <v>86</v>
      </c>
      <c r="AG387" s="2" t="s">
        <v>61</v>
      </c>
      <c r="AH387" s="2" t="s">
        <v>62</v>
      </c>
      <c r="AI387" s="2" t="s">
        <v>100</v>
      </c>
      <c r="AJ387" s="2">
        <v>1.18043396738387</v>
      </c>
      <c r="AK387" s="2">
        <v>4.7050339113512898</v>
      </c>
      <c r="AL387" s="2">
        <v>1.7046790361592199</v>
      </c>
      <c r="AM387" s="2">
        <v>0.23477985747296601</v>
      </c>
      <c r="AN387" s="2">
        <v>2.5887230480484398</v>
      </c>
      <c r="AO387" s="2">
        <v>2.8441186525626799E-2</v>
      </c>
      <c r="AP387" s="2">
        <v>2.8441186525626799E-2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18</v>
      </c>
      <c r="AW387" s="2">
        <v>0</v>
      </c>
      <c r="AX387" s="2">
        <v>0</v>
      </c>
      <c r="AY387" s="2">
        <v>15.3</v>
      </c>
      <c r="AZ387" s="2">
        <v>9.8000000000000007</v>
      </c>
      <c r="BA387" s="2">
        <v>29.7</v>
      </c>
      <c r="BB387" s="2">
        <v>564</v>
      </c>
      <c r="BC387" s="2">
        <v>68</v>
      </c>
      <c r="BD387" s="2">
        <v>1.8</v>
      </c>
      <c r="BE387" s="2">
        <v>43</v>
      </c>
      <c r="BF387" s="2">
        <v>25.4</v>
      </c>
      <c r="BG387" s="2">
        <v>162</v>
      </c>
      <c r="BH387" s="2">
        <v>9.1</v>
      </c>
      <c r="BI387" s="2">
        <v>9.1999999999999993</v>
      </c>
      <c r="BJ387" s="2">
        <v>18.3</v>
      </c>
      <c r="BK387" s="2">
        <v>0.34</v>
      </c>
      <c r="BL387" s="2">
        <v>7.3</v>
      </c>
      <c r="BM387" s="2">
        <v>0.9</v>
      </c>
      <c r="BN387" s="2">
        <v>7.5</v>
      </c>
      <c r="BO387" s="2">
        <v>2.9</v>
      </c>
      <c r="BP387" s="2">
        <f t="shared" si="12"/>
        <v>9.3691720402644449</v>
      </c>
      <c r="BQ387" s="2">
        <f t="shared" si="13"/>
        <v>29.059614556349313</v>
      </c>
    </row>
    <row r="388" spans="1:69" x14ac:dyDescent="0.2">
      <c r="A388" s="2" t="s">
        <v>1766</v>
      </c>
      <c r="B388" s="2" t="s">
        <v>47</v>
      </c>
      <c r="C388" s="2" t="s">
        <v>48</v>
      </c>
      <c r="D388" s="2" t="s">
        <v>49</v>
      </c>
      <c r="E388" s="2" t="s">
        <v>119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89</v>
      </c>
      <c r="L388" s="6" t="s">
        <v>103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1767</v>
      </c>
      <c r="R388" s="2">
        <v>7338983.051</v>
      </c>
      <c r="S388" s="2">
        <v>0</v>
      </c>
      <c r="T388" s="2" t="s">
        <v>96</v>
      </c>
      <c r="U388" s="2" t="s">
        <v>97</v>
      </c>
      <c r="V388" s="2" t="s">
        <v>56</v>
      </c>
      <c r="W388" s="2" t="s">
        <v>98</v>
      </c>
      <c r="X388" s="2" t="s">
        <v>99</v>
      </c>
      <c r="Y388" s="2">
        <v>1.4033213440718999</v>
      </c>
      <c r="Z388" s="2">
        <v>1403.3213440719001</v>
      </c>
      <c r="AA388" s="2">
        <v>4.73719444444444</v>
      </c>
      <c r="AB388" s="2">
        <v>-74.069472222222203</v>
      </c>
      <c r="AC388" s="2">
        <v>2555</v>
      </c>
      <c r="AD388" s="2">
        <v>0</v>
      </c>
      <c r="AE388" s="2" t="s">
        <v>59</v>
      </c>
      <c r="AF388" s="2" t="s">
        <v>86</v>
      </c>
      <c r="AG388" s="2" t="s">
        <v>61</v>
      </c>
      <c r="AH388" s="2" t="s">
        <v>62</v>
      </c>
      <c r="AI388" s="2" t="s">
        <v>100</v>
      </c>
      <c r="AJ388" s="2">
        <v>1.0573067601671</v>
      </c>
      <c r="AK388" s="2">
        <v>4.0524204256817598</v>
      </c>
      <c r="AL388" s="2">
        <v>1.40528982097299</v>
      </c>
      <c r="AM388" s="2">
        <v>0.30030273337540198</v>
      </c>
      <c r="AN388" s="2">
        <v>3.0815071142651198</v>
      </c>
      <c r="AO388" s="2">
        <v>2.31631681787942E-2</v>
      </c>
      <c r="AP388" s="2">
        <v>2.31631681787942E-2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11</v>
      </c>
      <c r="AW388" s="2">
        <v>0</v>
      </c>
      <c r="AX388" s="2">
        <v>0</v>
      </c>
      <c r="AY388" s="2">
        <v>15.3</v>
      </c>
      <c r="AZ388" s="2">
        <v>9.8000000000000007</v>
      </c>
      <c r="BA388" s="2">
        <v>29.7</v>
      </c>
      <c r="BB388" s="2">
        <v>564</v>
      </c>
      <c r="BC388" s="2">
        <v>68</v>
      </c>
      <c r="BD388" s="2">
        <v>1.8</v>
      </c>
      <c r="BE388" s="2">
        <v>43</v>
      </c>
      <c r="BF388" s="2">
        <v>25.4</v>
      </c>
      <c r="BG388" s="2">
        <v>162</v>
      </c>
      <c r="BH388" s="2">
        <v>9.1</v>
      </c>
      <c r="BI388" s="2">
        <v>9.1999999999999993</v>
      </c>
      <c r="BJ388" s="2">
        <v>18.3</v>
      </c>
      <c r="BK388" s="2">
        <v>0.34</v>
      </c>
      <c r="BL388" s="2">
        <v>7.3</v>
      </c>
      <c r="BM388" s="2">
        <v>0.9</v>
      </c>
      <c r="BN388" s="2">
        <v>7.5</v>
      </c>
      <c r="BO388" s="2">
        <v>2.9</v>
      </c>
      <c r="BP388" s="2">
        <f t="shared" si="12"/>
        <v>9.1423547094913449</v>
      </c>
      <c r="BQ388" s="2">
        <f t="shared" si="13"/>
        <v>28.716369716190453</v>
      </c>
    </row>
    <row r="389" spans="1:69" x14ac:dyDescent="0.2">
      <c r="A389" s="2" t="s">
        <v>134</v>
      </c>
      <c r="B389" s="2" t="s">
        <v>47</v>
      </c>
      <c r="C389" s="2" t="s">
        <v>48</v>
      </c>
      <c r="D389" s="2" t="s">
        <v>49</v>
      </c>
      <c r="E389" s="2" t="s">
        <v>135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89</v>
      </c>
      <c r="L389" s="6" t="s">
        <v>90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136</v>
      </c>
      <c r="R389" s="2">
        <v>6525423.7290000003</v>
      </c>
      <c r="S389" s="2">
        <v>0</v>
      </c>
      <c r="T389" s="2" t="s">
        <v>130</v>
      </c>
      <c r="U389" s="2" t="s">
        <v>131</v>
      </c>
      <c r="V389" s="2" t="s">
        <v>56</v>
      </c>
      <c r="W389" s="2" t="s">
        <v>98</v>
      </c>
      <c r="X389" s="2" t="s">
        <v>132</v>
      </c>
      <c r="Y389" s="2">
        <v>2.85703896856741</v>
      </c>
      <c r="Z389" s="2">
        <v>2857.0389685674099</v>
      </c>
      <c r="AA389" s="2">
        <v>4.7837500000000004</v>
      </c>
      <c r="AB389" s="2">
        <v>-74.044138888888895</v>
      </c>
      <c r="AC389" s="2">
        <v>2580</v>
      </c>
      <c r="AD389" s="2">
        <v>0</v>
      </c>
      <c r="AE389" s="2" t="s">
        <v>133</v>
      </c>
      <c r="AF389" s="2" t="s">
        <v>86</v>
      </c>
      <c r="AG389" s="2" t="s">
        <v>61</v>
      </c>
      <c r="AH389" s="2" t="s">
        <v>62</v>
      </c>
      <c r="AI389" s="2" t="s">
        <v>87</v>
      </c>
      <c r="AJ389" s="2">
        <v>1.70479232774987</v>
      </c>
      <c r="AK389" s="2">
        <v>0.74397525041034696</v>
      </c>
      <c r="AL389" s="2">
        <v>1.3342699217149601</v>
      </c>
      <c r="AM389" s="2">
        <v>1.27721936378329E-2</v>
      </c>
      <c r="AN389" s="2">
        <v>2.37886706533852</v>
      </c>
      <c r="AO389" s="2">
        <v>7.5070334429215898E-3</v>
      </c>
      <c r="AP389" s="2">
        <v>7.5070334429215898E-3</v>
      </c>
      <c r="AQ389" s="2">
        <v>0</v>
      </c>
      <c r="AR389" s="2">
        <v>0</v>
      </c>
      <c r="AS389" s="2">
        <v>0</v>
      </c>
      <c r="AT389" s="2">
        <v>12</v>
      </c>
      <c r="AU389" s="2">
        <v>0</v>
      </c>
      <c r="AV389" s="2">
        <v>6</v>
      </c>
      <c r="AW389" s="2">
        <v>0</v>
      </c>
      <c r="AX389" s="2">
        <v>0</v>
      </c>
      <c r="AY389" s="2">
        <v>15.3</v>
      </c>
      <c r="AZ389" s="2">
        <v>9.8000000000000007</v>
      </c>
      <c r="BA389" s="2">
        <v>29.7</v>
      </c>
      <c r="BB389" s="2">
        <v>564</v>
      </c>
      <c r="BC389" s="2">
        <v>68</v>
      </c>
      <c r="BD389" s="2">
        <v>1.8</v>
      </c>
      <c r="BE389" s="2">
        <v>43</v>
      </c>
      <c r="BF389" s="2">
        <v>25.4</v>
      </c>
      <c r="BG389" s="2">
        <v>162</v>
      </c>
      <c r="BH389" s="2">
        <v>9.1</v>
      </c>
      <c r="BI389" s="2">
        <v>9.1999999999999993</v>
      </c>
      <c r="BJ389" s="2">
        <v>18.3</v>
      </c>
      <c r="BK389" s="2">
        <v>0.34</v>
      </c>
      <c r="BL389" s="2">
        <v>7.3</v>
      </c>
      <c r="BM389" s="2">
        <v>0.9</v>
      </c>
      <c r="BN389" s="2">
        <v>7.5</v>
      </c>
      <c r="BO389" s="2">
        <v>2.9</v>
      </c>
      <c r="BP389" s="2">
        <f t="shared" si="12"/>
        <v>8.50759213110479</v>
      </c>
      <c r="BQ389" s="2">
        <f t="shared" si="13"/>
        <v>27.731754003907845</v>
      </c>
    </row>
    <row r="390" spans="1:69" x14ac:dyDescent="0.2">
      <c r="A390" s="2" t="s">
        <v>948</v>
      </c>
      <c r="B390" s="2" t="s">
        <v>47</v>
      </c>
      <c r="C390" s="2" t="s">
        <v>48</v>
      </c>
      <c r="D390" s="2" t="s">
        <v>49</v>
      </c>
      <c r="E390" s="2" t="s">
        <v>949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89</v>
      </c>
      <c r="L390" s="6" t="s">
        <v>112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950</v>
      </c>
      <c r="R390" s="2">
        <v>5762711.8640000001</v>
      </c>
      <c r="S390" s="2">
        <v>0</v>
      </c>
      <c r="T390" s="2" t="s">
        <v>98</v>
      </c>
      <c r="U390" s="2" t="s">
        <v>766</v>
      </c>
      <c r="V390" s="2" t="s">
        <v>56</v>
      </c>
      <c r="W390" s="2" t="s">
        <v>98</v>
      </c>
      <c r="X390" s="2" t="s">
        <v>767</v>
      </c>
      <c r="Y390" s="2">
        <v>1.8056409318593201</v>
      </c>
      <c r="Z390" s="2">
        <v>1805.6409318593201</v>
      </c>
      <c r="AA390" s="2">
        <v>4.7612472222222202</v>
      </c>
      <c r="AB390" s="2">
        <v>-74.093461111111097</v>
      </c>
      <c r="AC390" s="2">
        <v>2571</v>
      </c>
      <c r="AD390" s="2">
        <v>6</v>
      </c>
      <c r="AE390" s="2" t="s">
        <v>133</v>
      </c>
      <c r="AF390" s="2" t="s">
        <v>86</v>
      </c>
      <c r="AG390" s="2" t="s">
        <v>61</v>
      </c>
      <c r="AH390" s="2" t="s">
        <v>62</v>
      </c>
      <c r="AI390" s="2" t="s">
        <v>100</v>
      </c>
      <c r="AJ390" s="2">
        <v>1.3851833774159701</v>
      </c>
      <c r="AK390" s="2">
        <v>3.7935764793566502</v>
      </c>
      <c r="AL390" s="2">
        <v>3.1074020923172698</v>
      </c>
      <c r="AM390" s="2">
        <v>0.39350431495030602</v>
      </c>
      <c r="AN390" s="2">
        <v>1.0838229188013699</v>
      </c>
      <c r="AO390" s="2">
        <v>0.11425693811050699</v>
      </c>
      <c r="AP390" s="2">
        <v>0.11425693811050699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7</v>
      </c>
      <c r="AW390" s="2">
        <v>0</v>
      </c>
      <c r="AX390" s="2">
        <v>0</v>
      </c>
      <c r="AY390" s="2">
        <v>15.3</v>
      </c>
      <c r="AZ390" s="2">
        <v>9.8000000000000007</v>
      </c>
      <c r="BA390" s="2">
        <v>29.7</v>
      </c>
      <c r="BB390" s="2">
        <v>564</v>
      </c>
      <c r="BC390" s="2">
        <v>68</v>
      </c>
      <c r="BD390" s="2">
        <v>1.8</v>
      </c>
      <c r="BE390" s="2">
        <v>43</v>
      </c>
      <c r="BF390" s="2">
        <v>25.4</v>
      </c>
      <c r="BG390" s="2">
        <v>162</v>
      </c>
      <c r="BH390" s="2">
        <v>9.1</v>
      </c>
      <c r="BI390" s="2">
        <v>9.1999999999999993</v>
      </c>
      <c r="BJ390" s="2">
        <v>18.3</v>
      </c>
      <c r="BK390" s="2">
        <v>0.34</v>
      </c>
      <c r="BL390" s="2">
        <v>7.3</v>
      </c>
      <c r="BM390" s="2">
        <v>0.9</v>
      </c>
      <c r="BN390" s="2">
        <v>7.5</v>
      </c>
      <c r="BO390" s="2">
        <v>2.9</v>
      </c>
      <c r="BP390" s="2">
        <f t="shared" si="12"/>
        <v>8.962087318854179</v>
      </c>
      <c r="BQ390" s="2">
        <f t="shared" si="13"/>
        <v>28.440428267220206</v>
      </c>
    </row>
    <row r="391" spans="1:69" x14ac:dyDescent="0.2">
      <c r="A391" s="2" t="s">
        <v>3383</v>
      </c>
      <c r="B391" s="2" t="s">
        <v>47</v>
      </c>
      <c r="C391" s="2" t="s">
        <v>3273</v>
      </c>
      <c r="D391" s="2" t="s">
        <v>49</v>
      </c>
      <c r="E391" s="2" t="s">
        <v>3384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89</v>
      </c>
      <c r="L391" s="6" t="s">
        <v>103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3385</v>
      </c>
      <c r="R391" s="2">
        <v>7068965.517</v>
      </c>
      <c r="S391" s="2">
        <v>0</v>
      </c>
      <c r="T391" s="2" t="s">
        <v>96</v>
      </c>
      <c r="U391" s="2" t="s">
        <v>97</v>
      </c>
      <c r="V391" s="2" t="s">
        <v>56</v>
      </c>
      <c r="W391" s="2" t="s">
        <v>98</v>
      </c>
      <c r="X391" s="2" t="s">
        <v>99</v>
      </c>
      <c r="Y391" s="2">
        <v>3.4381259047030102</v>
      </c>
      <c r="Z391" s="2">
        <v>3438.1259047030098</v>
      </c>
      <c r="AA391" s="2">
        <v>4.73719444444444</v>
      </c>
      <c r="AB391" s="2">
        <v>-74.069472222222203</v>
      </c>
      <c r="AC391" s="2">
        <v>2555</v>
      </c>
      <c r="AD391" s="2">
        <v>0</v>
      </c>
      <c r="AE391" s="2" t="s">
        <v>59</v>
      </c>
      <c r="AF391" s="2" t="s">
        <v>86</v>
      </c>
      <c r="AG391" s="2" t="s">
        <v>61</v>
      </c>
      <c r="AH391" s="2" t="s">
        <v>62</v>
      </c>
      <c r="AI391" s="2" t="s">
        <v>100</v>
      </c>
      <c r="AJ391" s="2">
        <v>1.72027938896185</v>
      </c>
      <c r="AK391" s="2">
        <v>4.2587390013365702</v>
      </c>
      <c r="AL391" s="2">
        <v>1.3298445349067201</v>
      </c>
      <c r="AM391" s="2">
        <v>0.72316548149699</v>
      </c>
      <c r="AN391" s="2">
        <v>2.9839416128601801</v>
      </c>
      <c r="AO391" s="2">
        <v>0.41672877561411797</v>
      </c>
      <c r="AP391" s="2">
        <v>0.41672877561411797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2</v>
      </c>
      <c r="AW391" s="2">
        <v>0</v>
      </c>
      <c r="AX391" s="2">
        <v>0</v>
      </c>
      <c r="AY391" s="2">
        <v>15.3</v>
      </c>
      <c r="AZ391" s="2">
        <v>9.8000000000000007</v>
      </c>
      <c r="BA391" s="2">
        <v>29.7</v>
      </c>
      <c r="BB391" s="2">
        <v>564</v>
      </c>
      <c r="BC391" s="2">
        <v>68</v>
      </c>
      <c r="BD391" s="2">
        <v>1.8</v>
      </c>
      <c r="BE391" s="2">
        <v>43</v>
      </c>
      <c r="BF391" s="2">
        <v>25.4</v>
      </c>
      <c r="BG391" s="2">
        <v>162</v>
      </c>
      <c r="BH391" s="2">
        <v>9.1</v>
      </c>
      <c r="BI391" s="2">
        <v>9.1999999999999993</v>
      </c>
      <c r="BJ391" s="2">
        <v>18.3</v>
      </c>
      <c r="BK391" s="2">
        <v>0.34</v>
      </c>
      <c r="BL391" s="2">
        <v>7.3</v>
      </c>
      <c r="BM391" s="2">
        <v>0.9</v>
      </c>
      <c r="BN391" s="2">
        <v>7.5</v>
      </c>
      <c r="BO391" s="2">
        <v>2.9</v>
      </c>
      <c r="BP391" s="2">
        <f t="shared" si="12"/>
        <v>8.2663673269178553</v>
      </c>
      <c r="BQ391" s="2">
        <f t="shared" si="13"/>
        <v>27.347688892131295</v>
      </c>
    </row>
    <row r="392" spans="1:69" x14ac:dyDescent="0.2">
      <c r="A392" s="2" t="s">
        <v>4171</v>
      </c>
      <c r="B392" s="2" t="s">
        <v>47</v>
      </c>
      <c r="C392" s="2" t="s">
        <v>3273</v>
      </c>
      <c r="D392" s="2" t="s">
        <v>49</v>
      </c>
      <c r="E392" s="2" t="s">
        <v>658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89</v>
      </c>
      <c r="L392" s="6" t="s">
        <v>112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4172</v>
      </c>
      <c r="R392" s="2">
        <v>7068965.517</v>
      </c>
      <c r="S392" s="2">
        <v>0</v>
      </c>
      <c r="T392" s="2" t="s">
        <v>96</v>
      </c>
      <c r="U392" s="2" t="s">
        <v>97</v>
      </c>
      <c r="V392" s="2" t="s">
        <v>56</v>
      </c>
      <c r="W392" s="2" t="s">
        <v>98</v>
      </c>
      <c r="X392" s="2" t="s">
        <v>99</v>
      </c>
      <c r="Y392" s="2">
        <v>3.3769903914034098</v>
      </c>
      <c r="Z392" s="2">
        <v>3376.9903914034098</v>
      </c>
      <c r="AA392" s="2">
        <v>4.73719444444444</v>
      </c>
      <c r="AB392" s="2">
        <v>-74.069472222222203</v>
      </c>
      <c r="AC392" s="2">
        <v>2555</v>
      </c>
      <c r="AD392" s="2">
        <v>0</v>
      </c>
      <c r="AE392" s="2" t="s">
        <v>59</v>
      </c>
      <c r="AF392" s="2" t="s">
        <v>86</v>
      </c>
      <c r="AG392" s="2" t="s">
        <v>61</v>
      </c>
      <c r="AH392" s="2" t="s">
        <v>62</v>
      </c>
      <c r="AI392" s="2" t="s">
        <v>100</v>
      </c>
      <c r="AJ392" s="2">
        <v>1.75659236260079</v>
      </c>
      <c r="AK392" s="2">
        <v>4.3213659124531203</v>
      </c>
      <c r="AL392" s="2">
        <v>1.3552660412259301</v>
      </c>
      <c r="AM392" s="2">
        <v>0.79594529752069498</v>
      </c>
      <c r="AN392" s="2">
        <v>3.0375778369204598</v>
      </c>
      <c r="AO392" s="2">
        <v>0.394001584479439</v>
      </c>
      <c r="AP392" s="2">
        <v>0.394001584479439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1</v>
      </c>
      <c r="AW392" s="2">
        <v>0</v>
      </c>
      <c r="AX392" s="2">
        <v>0</v>
      </c>
      <c r="AY392" s="2">
        <v>15.3</v>
      </c>
      <c r="AZ392" s="2">
        <v>9.8000000000000007</v>
      </c>
      <c r="BA392" s="2">
        <v>29.7</v>
      </c>
      <c r="BB392" s="2">
        <v>564</v>
      </c>
      <c r="BC392" s="2">
        <v>68</v>
      </c>
      <c r="BD392" s="2">
        <v>1.8</v>
      </c>
      <c r="BE392" s="2">
        <v>43</v>
      </c>
      <c r="BF392" s="2">
        <v>25.4</v>
      </c>
      <c r="BG392" s="2">
        <v>162</v>
      </c>
      <c r="BH392" s="2">
        <v>9.1</v>
      </c>
      <c r="BI392" s="2">
        <v>9.1999999999999993</v>
      </c>
      <c r="BJ392" s="2">
        <v>18.3</v>
      </c>
      <c r="BK392" s="2">
        <v>0.34</v>
      </c>
      <c r="BL392" s="2">
        <v>7.3</v>
      </c>
      <c r="BM392" s="2">
        <v>0.9</v>
      </c>
      <c r="BN392" s="2">
        <v>7.5</v>
      </c>
      <c r="BO392" s="2">
        <v>2.9</v>
      </c>
      <c r="BP392" s="2">
        <f t="shared" si="12"/>
        <v>8.291420962731193</v>
      </c>
      <c r="BQ392" s="2">
        <f t="shared" si="13"/>
        <v>27.387844303939342</v>
      </c>
    </row>
    <row r="393" spans="1:69" x14ac:dyDescent="0.2">
      <c r="A393" s="2" t="s">
        <v>885</v>
      </c>
      <c r="B393" s="2" t="s">
        <v>47</v>
      </c>
      <c r="C393" s="2" t="s">
        <v>48</v>
      </c>
      <c r="D393" s="2" t="s">
        <v>49</v>
      </c>
      <c r="E393" s="2" t="s">
        <v>198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89</v>
      </c>
      <c r="L393" s="6" t="s">
        <v>112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886</v>
      </c>
      <c r="R393" s="2">
        <v>5403521.0039999997</v>
      </c>
      <c r="S393" s="2">
        <v>0</v>
      </c>
      <c r="T393" s="2" t="s">
        <v>98</v>
      </c>
      <c r="U393" s="2" t="s">
        <v>766</v>
      </c>
      <c r="V393" s="2" t="s">
        <v>56</v>
      </c>
      <c r="W393" s="2" t="s">
        <v>98</v>
      </c>
      <c r="X393" s="2" t="s">
        <v>767</v>
      </c>
      <c r="Y393" s="2">
        <v>0.56178814451966097</v>
      </c>
      <c r="Z393" s="2">
        <v>561.78814451966105</v>
      </c>
      <c r="AA393" s="2">
        <v>4.7612472222222202</v>
      </c>
      <c r="AB393" s="2">
        <v>-74.093461111111097</v>
      </c>
      <c r="AC393" s="2">
        <v>2571</v>
      </c>
      <c r="AD393" s="2">
        <v>6</v>
      </c>
      <c r="AE393" s="2" t="s">
        <v>133</v>
      </c>
      <c r="AF393" s="2" t="s">
        <v>86</v>
      </c>
      <c r="AG393" s="2" t="s">
        <v>61</v>
      </c>
      <c r="AH393" s="2" t="s">
        <v>62</v>
      </c>
      <c r="AI393" s="2" t="s">
        <v>100</v>
      </c>
      <c r="AJ393" s="2">
        <v>1.03987220887647</v>
      </c>
      <c r="AK393" s="2">
        <v>2.28296034023063</v>
      </c>
      <c r="AL393" s="2">
        <v>4.4809485081178</v>
      </c>
      <c r="AM393" s="2">
        <v>0.14377236652689801</v>
      </c>
      <c r="AN393" s="2">
        <v>1.88801845139587</v>
      </c>
      <c r="AO393" s="2">
        <v>0.28798512608738702</v>
      </c>
      <c r="AP393" s="2">
        <v>0.28798512608738702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10</v>
      </c>
      <c r="AW393" s="2">
        <v>0</v>
      </c>
      <c r="AX393" s="2">
        <v>0</v>
      </c>
      <c r="AY393" s="2">
        <v>15.3</v>
      </c>
      <c r="AZ393" s="2">
        <v>9.8000000000000007</v>
      </c>
      <c r="BA393" s="2">
        <v>29.7</v>
      </c>
      <c r="BB393" s="2">
        <v>564</v>
      </c>
      <c r="BC393" s="2">
        <v>68</v>
      </c>
      <c r="BD393" s="2">
        <v>1.8</v>
      </c>
      <c r="BE393" s="2">
        <v>43</v>
      </c>
      <c r="BF393" s="2">
        <v>25.4</v>
      </c>
      <c r="BG393" s="2">
        <v>162</v>
      </c>
      <c r="BH393" s="2">
        <v>9.1</v>
      </c>
      <c r="BI393" s="2">
        <v>9.1999999999999993</v>
      </c>
      <c r="BJ393" s="2">
        <v>18.3</v>
      </c>
      <c r="BK393" s="2">
        <v>0.34</v>
      </c>
      <c r="BL393" s="2">
        <v>7.3</v>
      </c>
      <c r="BM393" s="2">
        <v>0.9</v>
      </c>
      <c r="BN393" s="2">
        <v>7.5</v>
      </c>
      <c r="BO393" s="2">
        <v>2.9</v>
      </c>
      <c r="BP393" s="2">
        <f t="shared" si="12"/>
        <v>9.5312309252725562</v>
      </c>
      <c r="BQ393" s="2">
        <f t="shared" si="13"/>
        <v>29.302244885486886</v>
      </c>
    </row>
    <row r="394" spans="1:69" x14ac:dyDescent="0.2">
      <c r="A394" s="2" t="s">
        <v>468</v>
      </c>
      <c r="B394" s="2" t="s">
        <v>47</v>
      </c>
      <c r="C394" s="2" t="s">
        <v>48</v>
      </c>
      <c r="D394" s="2" t="s">
        <v>49</v>
      </c>
      <c r="E394" s="2" t="s">
        <v>256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89</v>
      </c>
      <c r="L394" s="6" t="s">
        <v>141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469</v>
      </c>
      <c r="R394" s="2">
        <v>5754141.2379999999</v>
      </c>
      <c r="S394" s="2">
        <v>0</v>
      </c>
      <c r="T394" s="2" t="s">
        <v>96</v>
      </c>
      <c r="U394" s="2" t="s">
        <v>97</v>
      </c>
      <c r="V394" s="2" t="s">
        <v>56</v>
      </c>
      <c r="W394" s="2" t="s">
        <v>98</v>
      </c>
      <c r="X394" s="2" t="s">
        <v>99</v>
      </c>
      <c r="Y394" s="2">
        <v>2.50363253467633</v>
      </c>
      <c r="Z394" s="2">
        <v>2503.6325346763301</v>
      </c>
      <c r="AA394" s="2">
        <v>4.73719444444444</v>
      </c>
      <c r="AB394" s="2">
        <v>-74.069472222222203</v>
      </c>
      <c r="AC394" s="2">
        <v>2555</v>
      </c>
      <c r="AD394" s="2">
        <v>0</v>
      </c>
      <c r="AE394" s="2" t="s">
        <v>59</v>
      </c>
      <c r="AF394" s="2" t="s">
        <v>86</v>
      </c>
      <c r="AG394" s="2" t="s">
        <v>61</v>
      </c>
      <c r="AH394" s="2" t="s">
        <v>62</v>
      </c>
      <c r="AI394" s="2" t="s">
        <v>100</v>
      </c>
      <c r="AJ394" s="2">
        <v>0.18865455931424099</v>
      </c>
      <c r="AK394" s="2">
        <v>3.27786634312847</v>
      </c>
      <c r="AL394" s="2">
        <v>1.89991540293508</v>
      </c>
      <c r="AM394" s="2">
        <v>0.22515192730698699</v>
      </c>
      <c r="AN394" s="2">
        <v>3.64472599163153</v>
      </c>
      <c r="AO394" s="2">
        <v>0.108760116591058</v>
      </c>
      <c r="AP394" s="2">
        <v>0.108760116591058</v>
      </c>
      <c r="AQ394" s="2">
        <v>1</v>
      </c>
      <c r="AR394" s="2">
        <v>3</v>
      </c>
      <c r="AS394" s="2">
        <v>0</v>
      </c>
      <c r="AT394" s="2">
        <v>0</v>
      </c>
      <c r="AU394" s="2">
        <v>0</v>
      </c>
      <c r="AV394" s="2">
        <v>37</v>
      </c>
      <c r="AW394" s="2">
        <v>0</v>
      </c>
      <c r="AX394" s="2">
        <v>0</v>
      </c>
      <c r="AY394" s="2">
        <v>15.3</v>
      </c>
      <c r="AZ394" s="2">
        <v>9.8000000000000007</v>
      </c>
      <c r="BA394" s="2">
        <v>29.7</v>
      </c>
      <c r="BB394" s="2">
        <v>564</v>
      </c>
      <c r="BC394" s="2">
        <v>68</v>
      </c>
      <c r="BD394" s="2">
        <v>1.8</v>
      </c>
      <c r="BE394" s="2">
        <v>43</v>
      </c>
      <c r="BF394" s="2">
        <v>25.4</v>
      </c>
      <c r="BG394" s="2">
        <v>162</v>
      </c>
      <c r="BH394" s="2">
        <v>9.1</v>
      </c>
      <c r="BI394" s="2">
        <v>9.1999999999999993</v>
      </c>
      <c r="BJ394" s="2">
        <v>18.3</v>
      </c>
      <c r="BK394" s="2">
        <v>0.34</v>
      </c>
      <c r="BL394" s="2">
        <v>7.3</v>
      </c>
      <c r="BM394" s="2">
        <v>0.9</v>
      </c>
      <c r="BN394" s="2">
        <v>7.5</v>
      </c>
      <c r="BO394" s="2">
        <v>2.9</v>
      </c>
      <c r="BP394" s="2">
        <f t="shared" si="12"/>
        <v>8.657730101362171</v>
      </c>
      <c r="BQ394" s="2">
        <f t="shared" si="13"/>
        <v>27.967968270414211</v>
      </c>
    </row>
    <row r="395" spans="1:69" x14ac:dyDescent="0.2">
      <c r="A395" s="2" t="s">
        <v>425</v>
      </c>
      <c r="B395" s="2" t="s">
        <v>47</v>
      </c>
      <c r="C395" s="2" t="s">
        <v>48</v>
      </c>
      <c r="D395" s="2" t="s">
        <v>49</v>
      </c>
      <c r="E395" s="2" t="s">
        <v>163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89</v>
      </c>
      <c r="L395" s="6" t="s">
        <v>112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426</v>
      </c>
      <c r="R395" s="2">
        <v>6830122.5920000002</v>
      </c>
      <c r="S395" s="2">
        <v>0</v>
      </c>
      <c r="T395" s="2" t="s">
        <v>96</v>
      </c>
      <c r="U395" s="2" t="s">
        <v>97</v>
      </c>
      <c r="V395" s="2" t="s">
        <v>56</v>
      </c>
      <c r="W395" s="2" t="s">
        <v>98</v>
      </c>
      <c r="X395" s="2" t="s">
        <v>99</v>
      </c>
      <c r="Y395" s="2">
        <v>1.6100792816041001</v>
      </c>
      <c r="Z395" s="2">
        <v>1610.0792816041001</v>
      </c>
      <c r="AA395" s="2">
        <v>4.73719444444444</v>
      </c>
      <c r="AB395" s="2">
        <v>-74.069472222222203</v>
      </c>
      <c r="AC395" s="2">
        <v>2555</v>
      </c>
      <c r="AD395" s="2">
        <v>0</v>
      </c>
      <c r="AE395" s="2" t="s">
        <v>59</v>
      </c>
      <c r="AF395" s="2" t="s">
        <v>86</v>
      </c>
      <c r="AG395" s="2" t="s">
        <v>61</v>
      </c>
      <c r="AH395" s="2" t="s">
        <v>62</v>
      </c>
      <c r="AI395" s="2" t="s">
        <v>100</v>
      </c>
      <c r="AJ395" s="2">
        <v>1.1996343126992299</v>
      </c>
      <c r="AK395" s="2">
        <v>4.17752562416785</v>
      </c>
      <c r="AL395" s="2">
        <v>0.94614282944586303</v>
      </c>
      <c r="AM395" s="2">
        <v>0.32912923501288899</v>
      </c>
      <c r="AN395" s="2">
        <v>3.06473638136071</v>
      </c>
      <c r="AO395" s="2">
        <v>0.109729911888269</v>
      </c>
      <c r="AP395" s="2">
        <v>0.109729911888269</v>
      </c>
      <c r="AQ395" s="2">
        <v>0</v>
      </c>
      <c r="AR395" s="2">
        <v>0</v>
      </c>
      <c r="AS395" s="2">
        <v>0</v>
      </c>
      <c r="AT395" s="2">
        <v>0</v>
      </c>
      <c r="AU395" s="2">
        <v>1</v>
      </c>
      <c r="AV395" s="2">
        <v>17</v>
      </c>
      <c r="AW395" s="2">
        <v>0</v>
      </c>
      <c r="AX395" s="2">
        <v>0</v>
      </c>
      <c r="AY395" s="2">
        <v>15.3</v>
      </c>
      <c r="AZ395" s="2">
        <v>9.8000000000000007</v>
      </c>
      <c r="BA395" s="2">
        <v>29.7</v>
      </c>
      <c r="BB395" s="2">
        <v>564</v>
      </c>
      <c r="BC395" s="2">
        <v>68</v>
      </c>
      <c r="BD395" s="2">
        <v>1.8</v>
      </c>
      <c r="BE395" s="2">
        <v>43</v>
      </c>
      <c r="BF395" s="2">
        <v>25.4</v>
      </c>
      <c r="BG395" s="2">
        <v>162</v>
      </c>
      <c r="BH395" s="2">
        <v>9.1</v>
      </c>
      <c r="BI395" s="2">
        <v>9.1999999999999993</v>
      </c>
      <c r="BJ395" s="2">
        <v>18.3</v>
      </c>
      <c r="BK395" s="2">
        <v>0.34</v>
      </c>
      <c r="BL395" s="2">
        <v>7.3</v>
      </c>
      <c r="BM395" s="2">
        <v>0.9</v>
      </c>
      <c r="BN395" s="2">
        <v>7.5</v>
      </c>
      <c r="BO395" s="2">
        <v>2.9</v>
      </c>
      <c r="BP395" s="2">
        <f t="shared" si="12"/>
        <v>9.0492642968093051</v>
      </c>
      <c r="BQ395" s="2">
        <f t="shared" si="13"/>
        <v>28.574226581494173</v>
      </c>
    </row>
    <row r="396" spans="1:69" x14ac:dyDescent="0.2">
      <c r="A396" s="2" t="s">
        <v>1905</v>
      </c>
      <c r="B396" s="2" t="s">
        <v>47</v>
      </c>
      <c r="C396" s="2" t="s">
        <v>48</v>
      </c>
      <c r="D396" s="2" t="s">
        <v>49</v>
      </c>
      <c r="E396" s="2" t="s">
        <v>1906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89</v>
      </c>
      <c r="L396" s="6" t="s">
        <v>141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1907</v>
      </c>
      <c r="R396" s="2">
        <v>4196428.5710000005</v>
      </c>
      <c r="S396" s="2">
        <v>0</v>
      </c>
      <c r="T396" s="2" t="s">
        <v>96</v>
      </c>
      <c r="U396" s="2" t="s">
        <v>97</v>
      </c>
      <c r="V396" s="2" t="s">
        <v>56</v>
      </c>
      <c r="W396" s="2" t="s">
        <v>98</v>
      </c>
      <c r="X396" s="2" t="s">
        <v>99</v>
      </c>
      <c r="Y396" s="2">
        <v>2.1802870500563798</v>
      </c>
      <c r="Z396" s="2">
        <v>2180.2870500563799</v>
      </c>
      <c r="AA396" s="2">
        <v>4.73719444444444</v>
      </c>
      <c r="AB396" s="2">
        <v>-74.069472222222203</v>
      </c>
      <c r="AC396" s="2">
        <v>2555</v>
      </c>
      <c r="AD396" s="2">
        <v>0</v>
      </c>
      <c r="AE396" s="2" t="s">
        <v>59</v>
      </c>
      <c r="AF396" s="2" t="s">
        <v>86</v>
      </c>
      <c r="AG396" s="2" t="s">
        <v>61</v>
      </c>
      <c r="AH396" s="2" t="s">
        <v>62</v>
      </c>
      <c r="AI396" s="2" t="s">
        <v>100</v>
      </c>
      <c r="AJ396" s="2">
        <v>0.36082470245794901</v>
      </c>
      <c r="AK396" s="2">
        <v>3.84053021876348</v>
      </c>
      <c r="AL396" s="2">
        <v>2.9230419434442498</v>
      </c>
      <c r="AM396" s="2">
        <v>0.21970973853911099</v>
      </c>
      <c r="AN396" s="2">
        <v>0.690925363441935</v>
      </c>
      <c r="AO396" s="2">
        <v>5.5258397788991401E-2</v>
      </c>
      <c r="AP396" s="2">
        <v>5.5258397788991401E-2</v>
      </c>
      <c r="AQ396" s="2">
        <v>1</v>
      </c>
      <c r="AR396" s="2">
        <v>3</v>
      </c>
      <c r="AS396" s="2">
        <v>0</v>
      </c>
      <c r="AT396" s="2">
        <v>0</v>
      </c>
      <c r="AU396" s="2">
        <v>0</v>
      </c>
      <c r="AV396" s="2">
        <v>31</v>
      </c>
      <c r="AW396" s="2">
        <v>1</v>
      </c>
      <c r="AX396" s="2">
        <v>0</v>
      </c>
      <c r="AY396" s="2">
        <v>15.3</v>
      </c>
      <c r="AZ396" s="2">
        <v>9.8000000000000007</v>
      </c>
      <c r="BA396" s="2">
        <v>29.7</v>
      </c>
      <c r="BB396" s="2">
        <v>564</v>
      </c>
      <c r="BC396" s="2">
        <v>68</v>
      </c>
      <c r="BD396" s="2">
        <v>1.8</v>
      </c>
      <c r="BE396" s="2">
        <v>43</v>
      </c>
      <c r="BF396" s="2">
        <v>25.4</v>
      </c>
      <c r="BG396" s="2">
        <v>162</v>
      </c>
      <c r="BH396" s="2">
        <v>9.1</v>
      </c>
      <c r="BI396" s="2">
        <v>9.1999999999999993</v>
      </c>
      <c r="BJ396" s="2">
        <v>18.3</v>
      </c>
      <c r="BK396" s="2">
        <v>0.34</v>
      </c>
      <c r="BL396" s="2">
        <v>7.3</v>
      </c>
      <c r="BM396" s="2">
        <v>0.9</v>
      </c>
      <c r="BN396" s="2">
        <v>7.5</v>
      </c>
      <c r="BO396" s="2">
        <v>2.9</v>
      </c>
      <c r="BP396" s="2">
        <f t="shared" si="12"/>
        <v>8.7974171849927423</v>
      </c>
      <c r="BQ396" s="2">
        <f t="shared" si="13"/>
        <v>28.185852188436922</v>
      </c>
    </row>
    <row r="397" spans="1:69" x14ac:dyDescent="0.2">
      <c r="A397" s="2" t="s">
        <v>1785</v>
      </c>
      <c r="B397" s="2" t="s">
        <v>47</v>
      </c>
      <c r="C397" s="2" t="s">
        <v>48</v>
      </c>
      <c r="D397" s="2" t="s">
        <v>49</v>
      </c>
      <c r="E397" s="2" t="s">
        <v>1786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89</v>
      </c>
      <c r="L397" s="6" t="s">
        <v>90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1787</v>
      </c>
      <c r="R397" s="2">
        <v>5454545.4550000001</v>
      </c>
      <c r="S397" s="2">
        <v>0</v>
      </c>
      <c r="T397" s="2" t="s">
        <v>130</v>
      </c>
      <c r="U397" s="2" t="s">
        <v>131</v>
      </c>
      <c r="V397" s="2" t="s">
        <v>56</v>
      </c>
      <c r="W397" s="2" t="s">
        <v>98</v>
      </c>
      <c r="X397" s="2" t="s">
        <v>132</v>
      </c>
      <c r="Y397" s="2">
        <v>2.5193791820621598</v>
      </c>
      <c r="Z397" s="2">
        <v>2519.37918206216</v>
      </c>
      <c r="AA397" s="2">
        <v>4.7837500000000004</v>
      </c>
      <c r="AB397" s="2">
        <v>-74.044138888888895</v>
      </c>
      <c r="AC397" s="2">
        <v>2580</v>
      </c>
      <c r="AD397" s="2">
        <v>0</v>
      </c>
      <c r="AE397" s="2" t="s">
        <v>133</v>
      </c>
      <c r="AF397" s="2" t="s">
        <v>86</v>
      </c>
      <c r="AG397" s="2" t="s">
        <v>61</v>
      </c>
      <c r="AH397" s="2" t="s">
        <v>62</v>
      </c>
      <c r="AI397" s="2" t="s">
        <v>87</v>
      </c>
      <c r="AJ397" s="2">
        <v>1.6590522074945999</v>
      </c>
      <c r="AK397" s="2">
        <v>0.63913163759187497</v>
      </c>
      <c r="AL397" s="2">
        <v>1.80176799856317</v>
      </c>
      <c r="AM397" s="2">
        <v>0.39066913099238099</v>
      </c>
      <c r="AN397" s="2">
        <v>2.83901845890527</v>
      </c>
      <c r="AO397" s="2">
        <v>0.184782619280213</v>
      </c>
      <c r="AP397" s="2">
        <v>0.184782619280213</v>
      </c>
      <c r="AQ397" s="2">
        <v>0</v>
      </c>
      <c r="AR397" s="2">
        <v>0</v>
      </c>
      <c r="AS397" s="2">
        <v>0</v>
      </c>
      <c r="AT397" s="2">
        <v>8</v>
      </c>
      <c r="AU397" s="2">
        <v>0</v>
      </c>
      <c r="AV397" s="2">
        <v>5</v>
      </c>
      <c r="AW397" s="2">
        <v>0</v>
      </c>
      <c r="AX397" s="2">
        <v>0</v>
      </c>
      <c r="AY397" s="2">
        <v>15.3</v>
      </c>
      <c r="AZ397" s="2">
        <v>9.8000000000000007</v>
      </c>
      <c r="BA397" s="2">
        <v>29.7</v>
      </c>
      <c r="BB397" s="2">
        <v>564</v>
      </c>
      <c r="BC397" s="2">
        <v>68</v>
      </c>
      <c r="BD397" s="2">
        <v>1.8</v>
      </c>
      <c r="BE397" s="2">
        <v>43</v>
      </c>
      <c r="BF397" s="2">
        <v>25.4</v>
      </c>
      <c r="BG397" s="2">
        <v>162</v>
      </c>
      <c r="BH397" s="2">
        <v>9.1</v>
      </c>
      <c r="BI397" s="2">
        <v>9.1999999999999993</v>
      </c>
      <c r="BJ397" s="2">
        <v>18.3</v>
      </c>
      <c r="BK397" s="2">
        <v>0.34</v>
      </c>
      <c r="BL397" s="2">
        <v>7.3</v>
      </c>
      <c r="BM397" s="2">
        <v>0.9</v>
      </c>
      <c r="BN397" s="2">
        <v>7.5</v>
      </c>
      <c r="BO397" s="2">
        <v>2.9</v>
      </c>
      <c r="BP397" s="2">
        <f t="shared" si="12"/>
        <v>8.6509843846667938</v>
      </c>
      <c r="BQ397" s="2">
        <f t="shared" si="13"/>
        <v>27.957400625772816</v>
      </c>
    </row>
    <row r="398" spans="1:69" x14ac:dyDescent="0.2">
      <c r="A398" s="2" t="s">
        <v>1282</v>
      </c>
      <c r="B398" s="2" t="s">
        <v>47</v>
      </c>
      <c r="C398" s="2" t="s">
        <v>48</v>
      </c>
      <c r="D398" s="2" t="s">
        <v>49</v>
      </c>
      <c r="E398" s="2" t="s">
        <v>764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89</v>
      </c>
      <c r="L398" s="6" t="s">
        <v>103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1283</v>
      </c>
      <c r="R398" s="2">
        <v>4600000</v>
      </c>
      <c r="S398" s="2">
        <v>0</v>
      </c>
      <c r="T398" s="2" t="s">
        <v>96</v>
      </c>
      <c r="U398" s="2" t="s">
        <v>97</v>
      </c>
      <c r="V398" s="2" t="s">
        <v>56</v>
      </c>
      <c r="W398" s="2" t="s">
        <v>98</v>
      </c>
      <c r="X398" s="2" t="s">
        <v>99</v>
      </c>
      <c r="Y398" s="2">
        <v>2.1181978763840501</v>
      </c>
      <c r="Z398" s="2">
        <v>2118.1978763840498</v>
      </c>
      <c r="AA398" s="2">
        <v>4.73719444444444</v>
      </c>
      <c r="AB398" s="2">
        <v>-74.069472222222203</v>
      </c>
      <c r="AC398" s="2">
        <v>2555</v>
      </c>
      <c r="AD398" s="2">
        <v>0</v>
      </c>
      <c r="AE398" s="2" t="s">
        <v>59</v>
      </c>
      <c r="AF398" s="2" t="s">
        <v>86</v>
      </c>
      <c r="AG398" s="2" t="s">
        <v>61</v>
      </c>
      <c r="AH398" s="2" t="s">
        <v>62</v>
      </c>
      <c r="AI398" s="2" t="s">
        <v>100</v>
      </c>
      <c r="AJ398" s="2">
        <v>0.181355729411696</v>
      </c>
      <c r="AK398" s="2">
        <v>3.8000871428898502</v>
      </c>
      <c r="AL398" s="2">
        <v>3.0425345884331398</v>
      </c>
      <c r="AM398" s="2">
        <v>0.160156340775086</v>
      </c>
      <c r="AN398" s="2">
        <v>0.49001262626848502</v>
      </c>
      <c r="AO398" s="2">
        <v>9.3733106526474597E-3</v>
      </c>
      <c r="AP398" s="2">
        <v>9.3733106526474597E-3</v>
      </c>
      <c r="AQ398" s="2">
        <v>1</v>
      </c>
      <c r="AR398" s="2">
        <v>3</v>
      </c>
      <c r="AS398" s="2">
        <v>0</v>
      </c>
      <c r="AT398" s="2">
        <v>0</v>
      </c>
      <c r="AU398" s="2">
        <v>0</v>
      </c>
      <c r="AV398" s="2">
        <v>34</v>
      </c>
      <c r="AW398" s="2">
        <v>1</v>
      </c>
      <c r="AX398" s="2">
        <v>0</v>
      </c>
      <c r="AY398" s="2">
        <v>15.3</v>
      </c>
      <c r="AZ398" s="2">
        <v>9.8000000000000007</v>
      </c>
      <c r="BA398" s="2">
        <v>29.7</v>
      </c>
      <c r="BB398" s="2">
        <v>564</v>
      </c>
      <c r="BC398" s="2">
        <v>68</v>
      </c>
      <c r="BD398" s="2">
        <v>1.8</v>
      </c>
      <c r="BE398" s="2">
        <v>43</v>
      </c>
      <c r="BF398" s="2">
        <v>25.4</v>
      </c>
      <c r="BG398" s="2">
        <v>162</v>
      </c>
      <c r="BH398" s="2">
        <v>9.1</v>
      </c>
      <c r="BI398" s="2">
        <v>9.1999999999999993</v>
      </c>
      <c r="BJ398" s="2">
        <v>18.3</v>
      </c>
      <c r="BK398" s="2">
        <v>0.34</v>
      </c>
      <c r="BL398" s="2">
        <v>7.3</v>
      </c>
      <c r="BM398" s="2">
        <v>0.9</v>
      </c>
      <c r="BN398" s="2">
        <v>7.5</v>
      </c>
      <c r="BO398" s="2">
        <v>2.9</v>
      </c>
      <c r="BP398" s="2">
        <f t="shared" si="12"/>
        <v>8.8244968832315607</v>
      </c>
      <c r="BQ398" s="2">
        <f t="shared" si="13"/>
        <v>28.227884368097918</v>
      </c>
    </row>
    <row r="399" spans="1:69" x14ac:dyDescent="0.2">
      <c r="A399" s="2" t="s">
        <v>4416</v>
      </c>
      <c r="B399" s="2" t="s">
        <v>47</v>
      </c>
      <c r="C399" s="2" t="s">
        <v>3273</v>
      </c>
      <c r="D399" s="2" t="s">
        <v>49</v>
      </c>
      <c r="E399" s="2" t="s">
        <v>52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89</v>
      </c>
      <c r="L399" s="6" t="s">
        <v>103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4417</v>
      </c>
      <c r="R399" s="2">
        <v>10267693.439999999</v>
      </c>
      <c r="S399" s="2">
        <v>0</v>
      </c>
      <c r="T399" s="2" t="s">
        <v>96</v>
      </c>
      <c r="U399" s="2" t="s">
        <v>97</v>
      </c>
      <c r="V399" s="2" t="s">
        <v>56</v>
      </c>
      <c r="W399" s="2" t="s">
        <v>98</v>
      </c>
      <c r="X399" s="2" t="s">
        <v>99</v>
      </c>
      <c r="Y399" s="2">
        <v>0.97647873695868503</v>
      </c>
      <c r="Z399" s="2">
        <v>976.47873695868498</v>
      </c>
      <c r="AA399" s="2">
        <v>4.73719444444444</v>
      </c>
      <c r="AB399" s="2">
        <v>-74.069472222222203</v>
      </c>
      <c r="AC399" s="2">
        <v>2555</v>
      </c>
      <c r="AD399" s="2">
        <v>0</v>
      </c>
      <c r="AE399" s="2" t="s">
        <v>59</v>
      </c>
      <c r="AF399" s="2" t="s">
        <v>86</v>
      </c>
      <c r="AG399" s="2" t="s">
        <v>61</v>
      </c>
      <c r="AH399" s="2" t="s">
        <v>62</v>
      </c>
      <c r="AI399" s="2" t="s">
        <v>100</v>
      </c>
      <c r="AJ399" s="2">
        <v>1.3723472139392601</v>
      </c>
      <c r="AK399" s="2">
        <v>4.3607582812677297</v>
      </c>
      <c r="AL399" s="2">
        <v>1.79547614378135</v>
      </c>
      <c r="AM399" s="2">
        <v>0.43791235941239798</v>
      </c>
      <c r="AN399" s="2">
        <v>2.72780366198909</v>
      </c>
      <c r="AO399" s="2">
        <v>0.29198930718934202</v>
      </c>
      <c r="AP399" s="2">
        <v>0.29198930718934202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12</v>
      </c>
      <c r="AW399" s="2">
        <v>0</v>
      </c>
      <c r="AX399" s="2">
        <v>0</v>
      </c>
      <c r="AY399" s="2">
        <v>15.3</v>
      </c>
      <c r="AZ399" s="2">
        <v>9.8000000000000007</v>
      </c>
      <c r="BA399" s="2">
        <v>29.7</v>
      </c>
      <c r="BB399" s="2">
        <v>564</v>
      </c>
      <c r="BC399" s="2">
        <v>68</v>
      </c>
      <c r="BD399" s="2">
        <v>1.8</v>
      </c>
      <c r="BE399" s="2">
        <v>43</v>
      </c>
      <c r="BF399" s="2">
        <v>25.4</v>
      </c>
      <c r="BG399" s="2">
        <v>162</v>
      </c>
      <c r="BH399" s="2">
        <v>9.1</v>
      </c>
      <c r="BI399" s="2">
        <v>9.1999999999999993</v>
      </c>
      <c r="BJ399" s="2">
        <v>18.3</v>
      </c>
      <c r="BK399" s="2">
        <v>0.34</v>
      </c>
      <c r="BL399" s="2">
        <v>7.3</v>
      </c>
      <c r="BM399" s="2">
        <v>0.9</v>
      </c>
      <c r="BN399" s="2">
        <v>7.5</v>
      </c>
      <c r="BO399" s="2">
        <v>2.9</v>
      </c>
      <c r="BP399" s="2">
        <f t="shared" si="12"/>
        <v>9.3375759864390204</v>
      </c>
      <c r="BQ399" s="2">
        <f t="shared" si="13"/>
        <v>29.012058564276462</v>
      </c>
    </row>
    <row r="400" spans="1:69" x14ac:dyDescent="0.2">
      <c r="A400" s="2" t="s">
        <v>137</v>
      </c>
      <c r="B400" s="2" t="s">
        <v>47</v>
      </c>
      <c r="C400" s="2" t="s">
        <v>48</v>
      </c>
      <c r="D400" s="2" t="s">
        <v>49</v>
      </c>
      <c r="E400" s="2" t="s">
        <v>135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89</v>
      </c>
      <c r="L400" s="6" t="s">
        <v>90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138</v>
      </c>
      <c r="R400" s="2">
        <v>6555555.5559999999</v>
      </c>
      <c r="S400" s="2">
        <v>0</v>
      </c>
      <c r="T400" s="2" t="s">
        <v>130</v>
      </c>
      <c r="U400" s="2" t="s">
        <v>131</v>
      </c>
      <c r="V400" s="2" t="s">
        <v>56</v>
      </c>
      <c r="W400" s="2" t="s">
        <v>98</v>
      </c>
      <c r="X400" s="2" t="s">
        <v>132</v>
      </c>
      <c r="Y400" s="2">
        <v>2.85703896856741</v>
      </c>
      <c r="Z400" s="2">
        <v>2857.0389685674099</v>
      </c>
      <c r="AA400" s="2">
        <v>4.7837500000000004</v>
      </c>
      <c r="AB400" s="2">
        <v>-74.044138888888895</v>
      </c>
      <c r="AC400" s="2">
        <v>2580</v>
      </c>
      <c r="AD400" s="2">
        <v>0</v>
      </c>
      <c r="AE400" s="2" t="s">
        <v>133</v>
      </c>
      <c r="AF400" s="2" t="s">
        <v>86</v>
      </c>
      <c r="AG400" s="2" t="s">
        <v>61</v>
      </c>
      <c r="AH400" s="2" t="s">
        <v>62</v>
      </c>
      <c r="AI400" s="2" t="s">
        <v>87</v>
      </c>
      <c r="AJ400" s="2">
        <v>1.70479232774987</v>
      </c>
      <c r="AK400" s="2">
        <v>0.74397525041034696</v>
      </c>
      <c r="AL400" s="2">
        <v>1.3342699217149601</v>
      </c>
      <c r="AM400" s="2">
        <v>1.27721936378329E-2</v>
      </c>
      <c r="AN400" s="2">
        <v>2.37886706533852</v>
      </c>
      <c r="AO400" s="2">
        <v>7.5070334429215898E-3</v>
      </c>
      <c r="AP400" s="2">
        <v>7.5070334429215898E-3</v>
      </c>
      <c r="AQ400" s="2">
        <v>0</v>
      </c>
      <c r="AR400" s="2">
        <v>0</v>
      </c>
      <c r="AS400" s="2">
        <v>0</v>
      </c>
      <c r="AT400" s="2">
        <v>12</v>
      </c>
      <c r="AU400" s="2">
        <v>0</v>
      </c>
      <c r="AV400" s="2">
        <v>6</v>
      </c>
      <c r="AW400" s="2">
        <v>0</v>
      </c>
      <c r="AX400" s="2">
        <v>0</v>
      </c>
      <c r="AY400" s="2">
        <v>15.3</v>
      </c>
      <c r="AZ400" s="2">
        <v>9.8000000000000007</v>
      </c>
      <c r="BA400" s="2">
        <v>29.7</v>
      </c>
      <c r="BB400" s="2">
        <v>564</v>
      </c>
      <c r="BC400" s="2">
        <v>68</v>
      </c>
      <c r="BD400" s="2">
        <v>1.8</v>
      </c>
      <c r="BE400" s="2">
        <v>43</v>
      </c>
      <c r="BF400" s="2">
        <v>25.4</v>
      </c>
      <c r="BG400" s="2">
        <v>162</v>
      </c>
      <c r="BH400" s="2">
        <v>9.1</v>
      </c>
      <c r="BI400" s="2">
        <v>9.1999999999999993</v>
      </c>
      <c r="BJ400" s="2">
        <v>18.3</v>
      </c>
      <c r="BK400" s="2">
        <v>0.34</v>
      </c>
      <c r="BL400" s="2">
        <v>7.3</v>
      </c>
      <c r="BM400" s="2">
        <v>0.9</v>
      </c>
      <c r="BN400" s="2">
        <v>7.5</v>
      </c>
      <c r="BO400" s="2">
        <v>2.9</v>
      </c>
      <c r="BP400" s="2">
        <f t="shared" si="12"/>
        <v>8.50759213110479</v>
      </c>
      <c r="BQ400" s="2">
        <f t="shared" si="13"/>
        <v>27.731754003907845</v>
      </c>
    </row>
    <row r="401" spans="1:69" x14ac:dyDescent="0.2">
      <c r="A401" s="2" t="s">
        <v>1100</v>
      </c>
      <c r="B401" s="2" t="s">
        <v>47</v>
      </c>
      <c r="C401" s="2" t="s">
        <v>48</v>
      </c>
      <c r="D401" s="2" t="s">
        <v>49</v>
      </c>
      <c r="E401" s="2" t="s">
        <v>1101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89</v>
      </c>
      <c r="L401" s="6" t="s">
        <v>90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1102</v>
      </c>
      <c r="R401" s="2">
        <v>8396226.4149999991</v>
      </c>
      <c r="S401" s="2">
        <v>0</v>
      </c>
      <c r="T401" s="2" t="s">
        <v>96</v>
      </c>
      <c r="U401" s="2" t="s">
        <v>97</v>
      </c>
      <c r="V401" s="2" t="s">
        <v>56</v>
      </c>
      <c r="W401" s="2" t="s">
        <v>98</v>
      </c>
      <c r="X401" s="2" t="s">
        <v>99</v>
      </c>
      <c r="Y401" s="2">
        <v>0.29546000452207699</v>
      </c>
      <c r="Z401" s="2">
        <v>295.46000452207699</v>
      </c>
      <c r="AA401" s="2">
        <v>4.73719444444444</v>
      </c>
      <c r="AB401" s="2">
        <v>-74.069472222222203</v>
      </c>
      <c r="AC401" s="2">
        <v>2555</v>
      </c>
      <c r="AD401" s="2">
        <v>0</v>
      </c>
      <c r="AE401" s="2" t="s">
        <v>59</v>
      </c>
      <c r="AF401" s="2" t="s">
        <v>86</v>
      </c>
      <c r="AG401" s="2" t="s">
        <v>61</v>
      </c>
      <c r="AH401" s="2" t="s">
        <v>62</v>
      </c>
      <c r="AI401" s="2" t="s">
        <v>100</v>
      </c>
      <c r="AJ401" s="2">
        <v>1.48130146463921</v>
      </c>
      <c r="AK401" s="2">
        <v>5.0479273578566701</v>
      </c>
      <c r="AL401" s="2">
        <v>2.2347131362632302</v>
      </c>
      <c r="AM401" s="2">
        <v>0.204720092373325</v>
      </c>
      <c r="AN401" s="2">
        <v>2.0387112341981899</v>
      </c>
      <c r="AO401" s="2">
        <v>0.118739559216227</v>
      </c>
      <c r="AP401" s="2">
        <v>0.118739559216227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8</v>
      </c>
      <c r="AW401" s="2">
        <v>0</v>
      </c>
      <c r="AX401" s="2">
        <v>0</v>
      </c>
      <c r="AY401" s="2">
        <v>15.3</v>
      </c>
      <c r="AZ401" s="2">
        <v>9.8000000000000007</v>
      </c>
      <c r="BA401" s="2">
        <v>29.7</v>
      </c>
      <c r="BB401" s="2">
        <v>564</v>
      </c>
      <c r="BC401" s="2">
        <v>68</v>
      </c>
      <c r="BD401" s="2">
        <v>1.8</v>
      </c>
      <c r="BE401" s="2">
        <v>43</v>
      </c>
      <c r="BF401" s="2">
        <v>25.4</v>
      </c>
      <c r="BG401" s="2">
        <v>162</v>
      </c>
      <c r="BH401" s="2">
        <v>9.1</v>
      </c>
      <c r="BI401" s="2">
        <v>9.1999999999999993</v>
      </c>
      <c r="BJ401" s="2">
        <v>18.3</v>
      </c>
      <c r="BK401" s="2">
        <v>0.34</v>
      </c>
      <c r="BL401" s="2">
        <v>7.3</v>
      </c>
      <c r="BM401" s="2">
        <v>0.9</v>
      </c>
      <c r="BN401" s="2">
        <v>7.5</v>
      </c>
      <c r="BO401" s="2">
        <v>2.9</v>
      </c>
      <c r="BP401" s="2">
        <f t="shared" si="12"/>
        <v>9.6577153636312989</v>
      </c>
      <c r="BQ401" s="2">
        <f t="shared" si="13"/>
        <v>29.490141047260281</v>
      </c>
    </row>
    <row r="402" spans="1:69" x14ac:dyDescent="0.2">
      <c r="A402" s="2" t="s">
        <v>139</v>
      </c>
      <c r="B402" s="2" t="s">
        <v>47</v>
      </c>
      <c r="C402" s="2" t="s">
        <v>48</v>
      </c>
      <c r="D402" s="2" t="s">
        <v>49</v>
      </c>
      <c r="E402" s="2" t="s">
        <v>140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89</v>
      </c>
      <c r="L402" s="6" t="s">
        <v>141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142</v>
      </c>
      <c r="R402" s="2">
        <v>6538461.5379999997</v>
      </c>
      <c r="S402" s="2">
        <v>0</v>
      </c>
      <c r="T402" s="2" t="s">
        <v>96</v>
      </c>
      <c r="U402" s="2" t="s">
        <v>97</v>
      </c>
      <c r="V402" s="2" t="s">
        <v>56</v>
      </c>
      <c r="W402" s="2" t="s">
        <v>98</v>
      </c>
      <c r="X402" s="2" t="s">
        <v>99</v>
      </c>
      <c r="Y402" s="2">
        <v>2.2416068027008</v>
      </c>
      <c r="Z402" s="2">
        <v>2241.6068027008</v>
      </c>
      <c r="AA402" s="2">
        <v>4.73719444444444</v>
      </c>
      <c r="AB402" s="2">
        <v>-74.069472222222203</v>
      </c>
      <c r="AC402" s="2">
        <v>2555</v>
      </c>
      <c r="AD402" s="2">
        <v>0</v>
      </c>
      <c r="AE402" s="2" t="s">
        <v>59</v>
      </c>
      <c r="AF402" s="2" t="s">
        <v>86</v>
      </c>
      <c r="AG402" s="2" t="s">
        <v>61</v>
      </c>
      <c r="AH402" s="2" t="s">
        <v>62</v>
      </c>
      <c r="AI402" s="2" t="s">
        <v>100</v>
      </c>
      <c r="AJ402" s="2">
        <v>1.06245131389201</v>
      </c>
      <c r="AK402" s="2">
        <v>4.0996083039081803</v>
      </c>
      <c r="AL402" s="2">
        <v>1.16166016243165</v>
      </c>
      <c r="AM402" s="2">
        <v>0.45296033678883102</v>
      </c>
      <c r="AN402" s="2">
        <v>3.66106786886255</v>
      </c>
      <c r="AO402" s="2">
        <v>2.19531486655563E-2</v>
      </c>
      <c r="AP402" s="2">
        <v>2.19531486655563E-2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21</v>
      </c>
      <c r="AW402" s="2">
        <v>0</v>
      </c>
      <c r="AX402" s="2">
        <v>0</v>
      </c>
      <c r="AY402" s="2">
        <v>15.3</v>
      </c>
      <c r="AZ402" s="2">
        <v>9.8000000000000007</v>
      </c>
      <c r="BA402" s="2">
        <v>29.7</v>
      </c>
      <c r="BB402" s="2">
        <v>564</v>
      </c>
      <c r="BC402" s="2">
        <v>68</v>
      </c>
      <c r="BD402" s="2">
        <v>1.8</v>
      </c>
      <c r="BE402" s="2">
        <v>43</v>
      </c>
      <c r="BF402" s="2">
        <v>25.4</v>
      </c>
      <c r="BG402" s="2">
        <v>162</v>
      </c>
      <c r="BH402" s="2">
        <v>9.1</v>
      </c>
      <c r="BI402" s="2">
        <v>9.1999999999999993</v>
      </c>
      <c r="BJ402" s="2">
        <v>18.3</v>
      </c>
      <c r="BK402" s="2">
        <v>0.34</v>
      </c>
      <c r="BL402" s="2">
        <v>7.3</v>
      </c>
      <c r="BM402" s="2">
        <v>0.9</v>
      </c>
      <c r="BN402" s="2">
        <v>7.5</v>
      </c>
      <c r="BO402" s="2">
        <v>2.9</v>
      </c>
      <c r="BP402" s="2">
        <f t="shared" si="12"/>
        <v>8.7707546257046918</v>
      </c>
      <c r="BQ402" s="2">
        <f t="shared" si="13"/>
        <v>28.144402308652111</v>
      </c>
    </row>
    <row r="403" spans="1:69" x14ac:dyDescent="0.2">
      <c r="A403" s="2" t="s">
        <v>1316</v>
      </c>
      <c r="B403" s="2" t="s">
        <v>47</v>
      </c>
      <c r="C403" s="2" t="s">
        <v>48</v>
      </c>
      <c r="D403" s="2" t="s">
        <v>49</v>
      </c>
      <c r="E403" s="2" t="s">
        <v>1317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89</v>
      </c>
      <c r="L403" s="6" t="s">
        <v>103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1318</v>
      </c>
      <c r="R403" s="2">
        <v>4644230.7690000003</v>
      </c>
      <c r="S403" s="2">
        <v>0</v>
      </c>
      <c r="T403" s="2" t="s">
        <v>130</v>
      </c>
      <c r="U403" s="2" t="s">
        <v>131</v>
      </c>
      <c r="V403" s="2" t="s">
        <v>56</v>
      </c>
      <c r="W403" s="2" t="s">
        <v>98</v>
      </c>
      <c r="X403" s="2" t="s">
        <v>132</v>
      </c>
      <c r="Y403" s="2">
        <v>2.2773787824497602</v>
      </c>
      <c r="Z403" s="2">
        <v>2277.3787824497599</v>
      </c>
      <c r="AA403" s="2">
        <v>4.7837500000000004</v>
      </c>
      <c r="AB403" s="2">
        <v>-74.044138888888895</v>
      </c>
      <c r="AC403" s="2">
        <v>2580</v>
      </c>
      <c r="AD403" s="2">
        <v>0</v>
      </c>
      <c r="AE403" s="2" t="s">
        <v>133</v>
      </c>
      <c r="AF403" s="2" t="s">
        <v>86</v>
      </c>
      <c r="AG403" s="2" t="s">
        <v>61</v>
      </c>
      <c r="AH403" s="2" t="s">
        <v>62</v>
      </c>
      <c r="AI403" s="2" t="s">
        <v>87</v>
      </c>
      <c r="AJ403" s="2">
        <v>1.2920492412919999</v>
      </c>
      <c r="AK403" s="2">
        <v>1.00769279014179</v>
      </c>
      <c r="AL403" s="2">
        <v>1.8055643667735699</v>
      </c>
      <c r="AM403" s="2">
        <v>0.20557958589952199</v>
      </c>
      <c r="AN403" s="2">
        <v>2.8996194836192601</v>
      </c>
      <c r="AO403" s="2">
        <v>0.265267075013772</v>
      </c>
      <c r="AP403" s="2">
        <v>0.265267075013772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6</v>
      </c>
      <c r="AW403" s="2">
        <v>0</v>
      </c>
      <c r="AX403" s="2">
        <v>0</v>
      </c>
      <c r="AY403" s="2">
        <v>15.3</v>
      </c>
      <c r="AZ403" s="2">
        <v>9.8000000000000007</v>
      </c>
      <c r="BA403" s="2">
        <v>29.7</v>
      </c>
      <c r="BB403" s="2">
        <v>564</v>
      </c>
      <c r="BC403" s="2">
        <v>68</v>
      </c>
      <c r="BD403" s="2">
        <v>1.8</v>
      </c>
      <c r="BE403" s="2">
        <v>43</v>
      </c>
      <c r="BF403" s="2">
        <v>25.4</v>
      </c>
      <c r="BG403" s="2">
        <v>162</v>
      </c>
      <c r="BH403" s="2">
        <v>9.1</v>
      </c>
      <c r="BI403" s="2">
        <v>9.1999999999999993</v>
      </c>
      <c r="BJ403" s="2">
        <v>18.3</v>
      </c>
      <c r="BK403" s="2">
        <v>0.34</v>
      </c>
      <c r="BL403" s="2">
        <v>7.3</v>
      </c>
      <c r="BM403" s="2">
        <v>0.9</v>
      </c>
      <c r="BN403" s="2">
        <v>7.5</v>
      </c>
      <c r="BO403" s="2">
        <v>2.9</v>
      </c>
      <c r="BP403" s="2">
        <f t="shared" si="12"/>
        <v>8.7552378783977947</v>
      </c>
      <c r="BQ403" s="2">
        <f t="shared" si="13"/>
        <v>28.120249934128278</v>
      </c>
    </row>
    <row r="404" spans="1:69" x14ac:dyDescent="0.2">
      <c r="A404" s="2" t="s">
        <v>1404</v>
      </c>
      <c r="B404" s="2" t="s">
        <v>47</v>
      </c>
      <c r="C404" s="2" t="s">
        <v>48</v>
      </c>
      <c r="D404" s="2" t="s">
        <v>49</v>
      </c>
      <c r="E404" s="2" t="s">
        <v>1405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89</v>
      </c>
      <c r="L404" s="6" t="s">
        <v>141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1406</v>
      </c>
      <c r="R404" s="2">
        <v>4615384.6150000002</v>
      </c>
      <c r="S404" s="2">
        <v>0</v>
      </c>
      <c r="T404" s="2" t="s">
        <v>130</v>
      </c>
      <c r="U404" s="2" t="s">
        <v>131</v>
      </c>
      <c r="V404" s="2" t="s">
        <v>56</v>
      </c>
      <c r="W404" s="2" t="s">
        <v>98</v>
      </c>
      <c r="X404" s="2" t="s">
        <v>132</v>
      </c>
      <c r="Y404" s="2">
        <v>2.8240035872593698</v>
      </c>
      <c r="Z404" s="2">
        <v>2824.0035872593699</v>
      </c>
      <c r="AA404" s="2">
        <v>4.7837500000000004</v>
      </c>
      <c r="AB404" s="2">
        <v>-74.044138888888895</v>
      </c>
      <c r="AC404" s="2">
        <v>2580</v>
      </c>
      <c r="AD404" s="2">
        <v>0</v>
      </c>
      <c r="AE404" s="2" t="s">
        <v>133</v>
      </c>
      <c r="AF404" s="2" t="s">
        <v>86</v>
      </c>
      <c r="AG404" s="2" t="s">
        <v>61</v>
      </c>
      <c r="AH404" s="2" t="s">
        <v>62</v>
      </c>
      <c r="AI404" s="2" t="s">
        <v>87</v>
      </c>
      <c r="AJ404" s="2">
        <v>0.865379137601473</v>
      </c>
      <c r="AK404" s="2">
        <v>1.77068040874538</v>
      </c>
      <c r="AL404" s="2">
        <v>1.21202618176668</v>
      </c>
      <c r="AM404" s="2">
        <v>0.787099444675742</v>
      </c>
      <c r="AN404" s="2">
        <v>2.3049606151382398</v>
      </c>
      <c r="AO404" s="2">
        <v>0.14214680796952001</v>
      </c>
      <c r="AP404" s="2">
        <v>0.14214680796952001</v>
      </c>
      <c r="AQ404" s="2">
        <v>0</v>
      </c>
      <c r="AR404" s="2">
        <v>1</v>
      </c>
      <c r="AS404" s="2">
        <v>0</v>
      </c>
      <c r="AT404" s="2">
        <v>0</v>
      </c>
      <c r="AU404" s="2">
        <v>0</v>
      </c>
      <c r="AV404" s="2">
        <v>4</v>
      </c>
      <c r="AW404" s="2">
        <v>0</v>
      </c>
      <c r="AX404" s="2">
        <v>0</v>
      </c>
      <c r="AY404" s="2">
        <v>15.3</v>
      </c>
      <c r="AZ404" s="2">
        <v>9.8000000000000007</v>
      </c>
      <c r="BA404" s="2">
        <v>29.7</v>
      </c>
      <c r="BB404" s="2">
        <v>564</v>
      </c>
      <c r="BC404" s="2">
        <v>68</v>
      </c>
      <c r="BD404" s="2">
        <v>1.8</v>
      </c>
      <c r="BE404" s="2">
        <v>43</v>
      </c>
      <c r="BF404" s="2">
        <v>25.4</v>
      </c>
      <c r="BG404" s="2">
        <v>162</v>
      </c>
      <c r="BH404" s="2">
        <v>9.1</v>
      </c>
      <c r="BI404" s="2">
        <v>9.1999999999999993</v>
      </c>
      <c r="BJ404" s="2">
        <v>18.3</v>
      </c>
      <c r="BK404" s="2">
        <v>0.34</v>
      </c>
      <c r="BL404" s="2">
        <v>7.3</v>
      </c>
      <c r="BM404" s="2">
        <v>0.9</v>
      </c>
      <c r="BN404" s="2">
        <v>7.5</v>
      </c>
      <c r="BO404" s="2">
        <v>2.9</v>
      </c>
      <c r="BP404" s="2">
        <f t="shared" si="12"/>
        <v>8.5215155638866129</v>
      </c>
      <c r="BQ404" s="2">
        <f t="shared" si="13"/>
        <v>27.753749820066339</v>
      </c>
    </row>
    <row r="405" spans="1:69" x14ac:dyDescent="0.2">
      <c r="A405" s="2" t="s">
        <v>4025</v>
      </c>
      <c r="B405" s="2" t="s">
        <v>47</v>
      </c>
      <c r="C405" s="2" t="s">
        <v>3273</v>
      </c>
      <c r="D405" s="2" t="s">
        <v>49</v>
      </c>
      <c r="E405" s="2" t="s">
        <v>4026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89</v>
      </c>
      <c r="L405" s="6" t="s">
        <v>141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4027</v>
      </c>
      <c r="R405" s="2">
        <v>4990000</v>
      </c>
      <c r="S405" s="2">
        <v>0</v>
      </c>
      <c r="T405" s="2" t="s">
        <v>96</v>
      </c>
      <c r="U405" s="2" t="s">
        <v>97</v>
      </c>
      <c r="V405" s="2" t="s">
        <v>56</v>
      </c>
      <c r="W405" s="2" t="s">
        <v>98</v>
      </c>
      <c r="X405" s="2" t="s">
        <v>99</v>
      </c>
      <c r="Y405" s="2">
        <v>2.0104514223891301</v>
      </c>
      <c r="Z405" s="2">
        <v>2010.4514223891299</v>
      </c>
      <c r="AA405" s="2">
        <v>4.73719444444444</v>
      </c>
      <c r="AB405" s="2">
        <v>-74.069472222222203</v>
      </c>
      <c r="AC405" s="2">
        <v>2555</v>
      </c>
      <c r="AD405" s="2">
        <v>0</v>
      </c>
      <c r="AE405" s="2" t="s">
        <v>59</v>
      </c>
      <c r="AF405" s="2" t="s">
        <v>86</v>
      </c>
      <c r="AG405" s="2" t="s">
        <v>61</v>
      </c>
      <c r="AH405" s="2" t="s">
        <v>62</v>
      </c>
      <c r="AI405" s="2" t="s">
        <v>100</v>
      </c>
      <c r="AJ405" s="2">
        <v>0.28968342720957502</v>
      </c>
      <c r="AK405" s="2">
        <v>3.3313514099702299</v>
      </c>
      <c r="AL405" s="2">
        <v>1.3397428169348</v>
      </c>
      <c r="AM405" s="2">
        <v>0.317655199080697</v>
      </c>
      <c r="AN405" s="2">
        <v>2.9874074979784999</v>
      </c>
      <c r="AO405" s="2">
        <v>1.0568525483469799E-2</v>
      </c>
      <c r="AP405" s="2">
        <v>1.0568525483469799E-2</v>
      </c>
      <c r="AQ405" s="2">
        <v>2</v>
      </c>
      <c r="AR405" s="2">
        <v>3</v>
      </c>
      <c r="AS405" s="2">
        <v>0</v>
      </c>
      <c r="AT405" s="2">
        <v>0</v>
      </c>
      <c r="AU405" s="2">
        <v>0</v>
      </c>
      <c r="AV405" s="2">
        <v>21</v>
      </c>
      <c r="AW405" s="2">
        <v>0</v>
      </c>
      <c r="AX405" s="2">
        <v>0</v>
      </c>
      <c r="AY405" s="2">
        <v>15.3</v>
      </c>
      <c r="AZ405" s="2">
        <v>9.8000000000000007</v>
      </c>
      <c r="BA405" s="2">
        <v>29.7</v>
      </c>
      <c r="BB405" s="2">
        <v>564</v>
      </c>
      <c r="BC405" s="2">
        <v>68</v>
      </c>
      <c r="BD405" s="2">
        <v>1.8</v>
      </c>
      <c r="BE405" s="2">
        <v>43</v>
      </c>
      <c r="BF405" s="2">
        <v>25.4</v>
      </c>
      <c r="BG405" s="2">
        <v>162</v>
      </c>
      <c r="BH405" s="2">
        <v>9.1</v>
      </c>
      <c r="BI405" s="2">
        <v>9.1999999999999993</v>
      </c>
      <c r="BJ405" s="2">
        <v>18.3</v>
      </c>
      <c r="BK405" s="2">
        <v>0.34</v>
      </c>
      <c r="BL405" s="2">
        <v>7.3</v>
      </c>
      <c r="BM405" s="2">
        <v>0.9</v>
      </c>
      <c r="BN405" s="2">
        <v>7.5</v>
      </c>
      <c r="BO405" s="2">
        <v>2.9</v>
      </c>
      <c r="BP405" s="2">
        <f t="shared" si="12"/>
        <v>8.8716876243329725</v>
      </c>
      <c r="BQ405" s="2">
        <f t="shared" si="13"/>
        <v>28.300973735477648</v>
      </c>
    </row>
    <row r="406" spans="1:69" x14ac:dyDescent="0.2">
      <c r="A406" s="2" t="s">
        <v>1118</v>
      </c>
      <c r="B406" s="2" t="s">
        <v>47</v>
      </c>
      <c r="C406" s="2" t="s">
        <v>48</v>
      </c>
      <c r="D406" s="2" t="s">
        <v>49</v>
      </c>
      <c r="E406" s="2" t="s">
        <v>402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89</v>
      </c>
      <c r="L406" s="6" t="s">
        <v>141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1119</v>
      </c>
      <c r="R406" s="2">
        <v>4338842.9749999996</v>
      </c>
      <c r="S406" s="2">
        <v>0</v>
      </c>
      <c r="T406" s="2" t="s">
        <v>130</v>
      </c>
      <c r="U406" s="2" t="s">
        <v>131</v>
      </c>
      <c r="V406" s="2" t="s">
        <v>56</v>
      </c>
      <c r="W406" s="2" t="s">
        <v>98</v>
      </c>
      <c r="X406" s="2" t="s">
        <v>132</v>
      </c>
      <c r="Y406" s="2">
        <v>2.94052578922039</v>
      </c>
      <c r="Z406" s="2">
        <v>2940.5257892203899</v>
      </c>
      <c r="AA406" s="2">
        <v>4.7837500000000004</v>
      </c>
      <c r="AB406" s="2">
        <v>-74.044138888888895</v>
      </c>
      <c r="AC406" s="2">
        <v>2580</v>
      </c>
      <c r="AD406" s="2">
        <v>0</v>
      </c>
      <c r="AE406" s="2" t="s">
        <v>133</v>
      </c>
      <c r="AF406" s="2" t="s">
        <v>86</v>
      </c>
      <c r="AG406" s="2" t="s">
        <v>61</v>
      </c>
      <c r="AH406" s="2" t="s">
        <v>62</v>
      </c>
      <c r="AI406" s="2" t="s">
        <v>87</v>
      </c>
      <c r="AJ406" s="2">
        <v>1.04518037578616</v>
      </c>
      <c r="AK406" s="2">
        <v>1.5976592782679799</v>
      </c>
      <c r="AL406" s="2">
        <v>1.0497043874280501</v>
      </c>
      <c r="AM406" s="2">
        <v>0.91212559968347195</v>
      </c>
      <c r="AN406" s="2">
        <v>2.1564670884449999</v>
      </c>
      <c r="AO406" s="2">
        <v>0.18910840016316699</v>
      </c>
      <c r="AP406" s="2">
        <v>0.18910840016316699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5</v>
      </c>
      <c r="AW406" s="2">
        <v>0</v>
      </c>
      <c r="AX406" s="2">
        <v>0</v>
      </c>
      <c r="AY406" s="2">
        <v>15.3</v>
      </c>
      <c r="AZ406" s="2">
        <v>9.8000000000000007</v>
      </c>
      <c r="BA406" s="2">
        <v>29.7</v>
      </c>
      <c r="BB406" s="2">
        <v>564</v>
      </c>
      <c r="BC406" s="2">
        <v>68</v>
      </c>
      <c r="BD406" s="2">
        <v>1.8</v>
      </c>
      <c r="BE406" s="2">
        <v>43</v>
      </c>
      <c r="BF406" s="2">
        <v>25.4</v>
      </c>
      <c r="BG406" s="2">
        <v>162</v>
      </c>
      <c r="BH406" s="2">
        <v>9.1</v>
      </c>
      <c r="BI406" s="2">
        <v>9.1999999999999993</v>
      </c>
      <c r="BJ406" s="2">
        <v>18.3</v>
      </c>
      <c r="BK406" s="2">
        <v>0.34</v>
      </c>
      <c r="BL406" s="2">
        <v>7.3</v>
      </c>
      <c r="BM406" s="2">
        <v>0.9</v>
      </c>
      <c r="BN406" s="2">
        <v>7.5</v>
      </c>
      <c r="BO406" s="2">
        <v>2.9</v>
      </c>
      <c r="BP406" s="2">
        <f t="shared" si="12"/>
        <v>8.4725062239943867</v>
      </c>
      <c r="BQ406" s="2">
        <f t="shared" si="13"/>
        <v>27.676243971402947</v>
      </c>
    </row>
    <row r="407" spans="1:69" x14ac:dyDescent="0.2">
      <c r="A407" s="2" t="s">
        <v>1290</v>
      </c>
      <c r="B407" s="2" t="s">
        <v>47</v>
      </c>
      <c r="C407" s="2" t="s">
        <v>48</v>
      </c>
      <c r="D407" s="2" t="s">
        <v>49</v>
      </c>
      <c r="E407" s="2" t="s">
        <v>1291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89</v>
      </c>
      <c r="L407" s="6" t="s">
        <v>141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1292</v>
      </c>
      <c r="R407" s="2">
        <v>4723404.2549999999</v>
      </c>
      <c r="S407" s="2">
        <v>0</v>
      </c>
      <c r="T407" s="2" t="s">
        <v>96</v>
      </c>
      <c r="U407" s="2" t="s">
        <v>97</v>
      </c>
      <c r="V407" s="2" t="s">
        <v>56</v>
      </c>
      <c r="W407" s="2" t="s">
        <v>98</v>
      </c>
      <c r="X407" s="2" t="s">
        <v>99</v>
      </c>
      <c r="Y407" s="2">
        <v>3.1260894834772301</v>
      </c>
      <c r="Z407" s="2">
        <v>3126.0894834772298</v>
      </c>
      <c r="AA407" s="2">
        <v>4.73719444444444</v>
      </c>
      <c r="AB407" s="2">
        <v>-74.069472222222203</v>
      </c>
      <c r="AC407" s="2">
        <v>2555</v>
      </c>
      <c r="AD407" s="2">
        <v>0</v>
      </c>
      <c r="AE407" s="2" t="s">
        <v>59</v>
      </c>
      <c r="AF407" s="2" t="s">
        <v>86</v>
      </c>
      <c r="AG407" s="2" t="s">
        <v>61</v>
      </c>
      <c r="AH407" s="2" t="s">
        <v>62</v>
      </c>
      <c r="AI407" s="2" t="s">
        <v>87</v>
      </c>
      <c r="AJ407" s="2">
        <v>0.61173808117706996</v>
      </c>
      <c r="AK407" s="2">
        <v>2.4651814160045</v>
      </c>
      <c r="AL407" s="2">
        <v>1.2603375111456201</v>
      </c>
      <c r="AM407" s="2">
        <v>0.181546171651258</v>
      </c>
      <c r="AN407" s="2">
        <v>1.73261025095896</v>
      </c>
      <c r="AO407" s="2">
        <v>9.2706663581013204E-2</v>
      </c>
      <c r="AP407" s="2">
        <v>9.2706663581013204E-2</v>
      </c>
      <c r="AQ407" s="2">
        <v>0</v>
      </c>
      <c r="AR407" s="2">
        <v>2</v>
      </c>
      <c r="AS407" s="2">
        <v>0</v>
      </c>
      <c r="AT407" s="2">
        <v>0</v>
      </c>
      <c r="AU407" s="2">
        <v>0</v>
      </c>
      <c r="AV407" s="2">
        <v>39</v>
      </c>
      <c r="AW407" s="2">
        <v>0</v>
      </c>
      <c r="AX407" s="2">
        <v>0</v>
      </c>
      <c r="AY407" s="2">
        <v>15.3</v>
      </c>
      <c r="AZ407" s="2">
        <v>9.8000000000000007</v>
      </c>
      <c r="BA407" s="2">
        <v>29.7</v>
      </c>
      <c r="BB407" s="2">
        <v>564</v>
      </c>
      <c r="BC407" s="2">
        <v>68</v>
      </c>
      <c r="BD407" s="2">
        <v>1.8</v>
      </c>
      <c r="BE407" s="2">
        <v>43</v>
      </c>
      <c r="BF407" s="2">
        <v>25.4</v>
      </c>
      <c r="BG407" s="2">
        <v>162</v>
      </c>
      <c r="BH407" s="2">
        <v>9.1</v>
      </c>
      <c r="BI407" s="2">
        <v>9.1999999999999993</v>
      </c>
      <c r="BJ407" s="2">
        <v>18.3</v>
      </c>
      <c r="BK407" s="2">
        <v>0.34</v>
      </c>
      <c r="BL407" s="2">
        <v>7.3</v>
      </c>
      <c r="BM407" s="2">
        <v>0.9</v>
      </c>
      <c r="BN407" s="2">
        <v>7.5</v>
      </c>
      <c r="BO407" s="2">
        <v>2.9</v>
      </c>
      <c r="BP407" s="2">
        <f t="shared" si="12"/>
        <v>8.3950391687679549</v>
      </c>
      <c r="BQ407" s="2">
        <f t="shared" si="13"/>
        <v>27.553261082794251</v>
      </c>
    </row>
    <row r="408" spans="1:69" x14ac:dyDescent="0.2">
      <c r="A408" s="2" t="s">
        <v>1528</v>
      </c>
      <c r="B408" s="2" t="s">
        <v>47</v>
      </c>
      <c r="C408" s="2" t="s">
        <v>48</v>
      </c>
      <c r="D408" s="2" t="s">
        <v>49</v>
      </c>
      <c r="E408" s="2" t="s">
        <v>1529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89</v>
      </c>
      <c r="L408" s="6" t="s">
        <v>141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1530</v>
      </c>
      <c r="R408" s="2">
        <v>4553191.4890000001</v>
      </c>
      <c r="S408" s="2">
        <v>0</v>
      </c>
      <c r="T408" s="2" t="s">
        <v>98</v>
      </c>
      <c r="U408" s="2" t="s">
        <v>766</v>
      </c>
      <c r="V408" s="2" t="s">
        <v>56</v>
      </c>
      <c r="W408" s="2" t="s">
        <v>98</v>
      </c>
      <c r="X408" s="2" t="s">
        <v>767</v>
      </c>
      <c r="Y408" s="2">
        <v>1.3195692135871</v>
      </c>
      <c r="Z408" s="2">
        <v>1319.5692135871</v>
      </c>
      <c r="AA408" s="2">
        <v>4.7612472222222202</v>
      </c>
      <c r="AB408" s="2">
        <v>-74.093461111111097</v>
      </c>
      <c r="AC408" s="2">
        <v>2571</v>
      </c>
      <c r="AD408" s="2">
        <v>6</v>
      </c>
      <c r="AE408" s="2" t="s">
        <v>133</v>
      </c>
      <c r="AF408" s="2" t="s">
        <v>86</v>
      </c>
      <c r="AG408" s="2" t="s">
        <v>61</v>
      </c>
      <c r="AH408" s="2" t="s">
        <v>62</v>
      </c>
      <c r="AI408" s="2" t="s">
        <v>100</v>
      </c>
      <c r="AJ408" s="2">
        <v>1.1986811285207</v>
      </c>
      <c r="AK408" s="2">
        <v>1.5122752400607</v>
      </c>
      <c r="AL408" s="2">
        <v>5.34432812356334</v>
      </c>
      <c r="AM408" s="2">
        <v>0.59632149020973402</v>
      </c>
      <c r="AN408" s="2">
        <v>2.35199083773148</v>
      </c>
      <c r="AO408" s="2">
        <v>1.39573463240951E-2</v>
      </c>
      <c r="AP408" s="2">
        <v>1.39573463240951E-2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4</v>
      </c>
      <c r="AW408" s="2">
        <v>0</v>
      </c>
      <c r="AX408" s="2">
        <v>0</v>
      </c>
      <c r="AY408" s="2">
        <v>15.3</v>
      </c>
      <c r="AZ408" s="2">
        <v>9.8000000000000007</v>
      </c>
      <c r="BA408" s="2">
        <v>29.7</v>
      </c>
      <c r="BB408" s="2">
        <v>564</v>
      </c>
      <c r="BC408" s="2">
        <v>68</v>
      </c>
      <c r="BD408" s="2">
        <v>1.8</v>
      </c>
      <c r="BE408" s="2">
        <v>43</v>
      </c>
      <c r="BF408" s="2">
        <v>25.4</v>
      </c>
      <c r="BG408" s="2">
        <v>162</v>
      </c>
      <c r="BH408" s="2">
        <v>9.1</v>
      </c>
      <c r="BI408" s="2">
        <v>9.1999999999999993</v>
      </c>
      <c r="BJ408" s="2">
        <v>18.3</v>
      </c>
      <c r="BK408" s="2">
        <v>0.34</v>
      </c>
      <c r="BL408" s="2">
        <v>7.3</v>
      </c>
      <c r="BM408" s="2">
        <v>0.9</v>
      </c>
      <c r="BN408" s="2">
        <v>7.5</v>
      </c>
      <c r="BO408" s="2">
        <v>2.9</v>
      </c>
      <c r="BP408" s="2">
        <f t="shared" si="12"/>
        <v>9.180335121755741</v>
      </c>
      <c r="BQ408" s="2">
        <f t="shared" si="13"/>
        <v>28.774149137977133</v>
      </c>
    </row>
    <row r="409" spans="1:69" x14ac:dyDescent="0.2">
      <c r="A409" s="2" t="s">
        <v>763</v>
      </c>
      <c r="B409" s="2" t="s">
        <v>47</v>
      </c>
      <c r="C409" s="2" t="s">
        <v>48</v>
      </c>
      <c r="D409" s="2" t="s">
        <v>49</v>
      </c>
      <c r="E409" s="2" t="s">
        <v>764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89</v>
      </c>
      <c r="L409" s="6" t="s">
        <v>103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765</v>
      </c>
      <c r="R409" s="2">
        <v>6333333.3329999996</v>
      </c>
      <c r="S409" s="2">
        <v>0</v>
      </c>
      <c r="T409" s="2" t="s">
        <v>98</v>
      </c>
      <c r="U409" s="2" t="s">
        <v>766</v>
      </c>
      <c r="V409" s="2" t="s">
        <v>56</v>
      </c>
      <c r="W409" s="2" t="s">
        <v>98</v>
      </c>
      <c r="X409" s="2" t="s">
        <v>767</v>
      </c>
      <c r="Y409" s="2">
        <v>2.0764848570944499</v>
      </c>
      <c r="Z409" s="2">
        <v>2076.48485709445</v>
      </c>
      <c r="AA409" s="2">
        <v>4.7612472222222202</v>
      </c>
      <c r="AB409" s="2">
        <v>-74.093461111111097</v>
      </c>
      <c r="AC409" s="2">
        <v>2571</v>
      </c>
      <c r="AD409" s="2">
        <v>6</v>
      </c>
      <c r="AE409" s="2" t="s">
        <v>133</v>
      </c>
      <c r="AF409" s="2" t="s">
        <v>86</v>
      </c>
      <c r="AG409" s="2" t="s">
        <v>61</v>
      </c>
      <c r="AH409" s="2" t="s">
        <v>62</v>
      </c>
      <c r="AI409" s="2" t="s">
        <v>100</v>
      </c>
      <c r="AJ409" s="2">
        <v>7.8614015242118696E-2</v>
      </c>
      <c r="AK409" s="2">
        <v>3.2045942425606699</v>
      </c>
      <c r="AL409" s="2">
        <v>3.6464099613228802</v>
      </c>
      <c r="AM409" s="2">
        <v>5.85637816404957E-2</v>
      </c>
      <c r="AN409" s="2">
        <v>0.74442220660273295</v>
      </c>
      <c r="AO409" s="2">
        <v>0.22234802376437701</v>
      </c>
      <c r="AP409" s="2">
        <v>0.22234802376437701</v>
      </c>
      <c r="AQ409" s="2">
        <v>1</v>
      </c>
      <c r="AR409" s="2">
        <v>3</v>
      </c>
      <c r="AS409" s="2">
        <v>0</v>
      </c>
      <c r="AT409" s="2">
        <v>0</v>
      </c>
      <c r="AU409" s="2">
        <v>0</v>
      </c>
      <c r="AV409" s="2">
        <v>52</v>
      </c>
      <c r="AW409" s="2">
        <v>1</v>
      </c>
      <c r="AX409" s="2">
        <v>0</v>
      </c>
      <c r="AY409" s="2">
        <v>15.3</v>
      </c>
      <c r="AZ409" s="2">
        <v>9.8000000000000007</v>
      </c>
      <c r="BA409" s="2">
        <v>29.7</v>
      </c>
      <c r="BB409" s="2">
        <v>564</v>
      </c>
      <c r="BC409" s="2">
        <v>68</v>
      </c>
      <c r="BD409" s="2">
        <v>1.8</v>
      </c>
      <c r="BE409" s="2">
        <v>43</v>
      </c>
      <c r="BF409" s="2">
        <v>25.4</v>
      </c>
      <c r="BG409" s="2">
        <v>162</v>
      </c>
      <c r="BH409" s="2">
        <v>9.1</v>
      </c>
      <c r="BI409" s="2">
        <v>9.1999999999999993</v>
      </c>
      <c r="BJ409" s="2">
        <v>18.3</v>
      </c>
      <c r="BK409" s="2">
        <v>0.34</v>
      </c>
      <c r="BL409" s="2">
        <v>7.3</v>
      </c>
      <c r="BM409" s="2">
        <v>0.9</v>
      </c>
      <c r="BN409" s="2">
        <v>7.5</v>
      </c>
      <c r="BO409" s="2">
        <v>2.9</v>
      </c>
      <c r="BP409" s="2">
        <f t="shared" si="12"/>
        <v>8.8427364794911867</v>
      </c>
      <c r="BQ409" s="2">
        <f t="shared" si="13"/>
        <v>28.256157805025218</v>
      </c>
    </row>
    <row r="410" spans="1:69" x14ac:dyDescent="0.2">
      <c r="A410" s="2" t="s">
        <v>2313</v>
      </c>
      <c r="B410" s="2" t="s">
        <v>47</v>
      </c>
      <c r="C410" s="2" t="s">
        <v>1935</v>
      </c>
      <c r="D410" s="2" t="s">
        <v>49</v>
      </c>
      <c r="E410" s="2" t="s">
        <v>2314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89</v>
      </c>
      <c r="L410" s="6" t="s">
        <v>103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2315</v>
      </c>
      <c r="R410" s="2">
        <v>6136363.6359999999</v>
      </c>
      <c r="S410" s="2">
        <v>0</v>
      </c>
      <c r="T410" s="2" t="s">
        <v>98</v>
      </c>
      <c r="U410" s="2" t="s">
        <v>766</v>
      </c>
      <c r="V410" s="2" t="s">
        <v>56</v>
      </c>
      <c r="W410" s="2" t="s">
        <v>98</v>
      </c>
      <c r="X410" s="2" t="s">
        <v>767</v>
      </c>
      <c r="Y410" s="2">
        <v>1.34358831292186</v>
      </c>
      <c r="Z410" s="2">
        <v>1343.5883129218601</v>
      </c>
      <c r="AA410" s="2">
        <v>4.7612472222222202</v>
      </c>
      <c r="AB410" s="2">
        <v>-74.093461111111097</v>
      </c>
      <c r="AC410" s="2">
        <v>2571</v>
      </c>
      <c r="AD410" s="2">
        <v>6</v>
      </c>
      <c r="AE410" s="2" t="s">
        <v>133</v>
      </c>
      <c r="AF410" s="2" t="s">
        <v>86</v>
      </c>
      <c r="AG410" s="2" t="s">
        <v>61</v>
      </c>
      <c r="AH410" s="2" t="s">
        <v>62</v>
      </c>
      <c r="AI410" s="2" t="s">
        <v>100</v>
      </c>
      <c r="AJ410" s="2">
        <v>0.74161496748303601</v>
      </c>
      <c r="AK410" s="2">
        <v>3.0643898147884601</v>
      </c>
      <c r="AL410" s="2">
        <v>3.89804469141079</v>
      </c>
      <c r="AM410" s="2">
        <v>0.49200707238084701</v>
      </c>
      <c r="AN410" s="2">
        <v>1.0369854245892001</v>
      </c>
      <c r="AO410" s="2">
        <v>8.0551219252900097E-2</v>
      </c>
      <c r="AP410" s="2">
        <v>8.0551219252900097E-2</v>
      </c>
      <c r="AQ410" s="2">
        <v>0</v>
      </c>
      <c r="AR410" s="2">
        <v>2</v>
      </c>
      <c r="AS410" s="2">
        <v>0</v>
      </c>
      <c r="AT410" s="2">
        <v>0</v>
      </c>
      <c r="AU410" s="2">
        <v>0</v>
      </c>
      <c r="AV410" s="2">
        <v>34</v>
      </c>
      <c r="AW410" s="2">
        <v>0</v>
      </c>
      <c r="AX410" s="2">
        <v>0</v>
      </c>
      <c r="AY410" s="2">
        <v>15.3</v>
      </c>
      <c r="AZ410" s="2">
        <v>9.8000000000000007</v>
      </c>
      <c r="BA410" s="2">
        <v>29.7</v>
      </c>
      <c r="BB410" s="2">
        <v>564</v>
      </c>
      <c r="BC410" s="2">
        <v>68</v>
      </c>
      <c r="BD410" s="2">
        <v>1.8</v>
      </c>
      <c r="BE410" s="2">
        <v>43</v>
      </c>
      <c r="BF410" s="2">
        <v>25.4</v>
      </c>
      <c r="BG410" s="2">
        <v>162</v>
      </c>
      <c r="BH410" s="2">
        <v>9.1</v>
      </c>
      <c r="BI410" s="2">
        <v>9.1999999999999993</v>
      </c>
      <c r="BJ410" s="2">
        <v>18.3</v>
      </c>
      <c r="BK410" s="2">
        <v>0.34</v>
      </c>
      <c r="BL410" s="2">
        <v>7.3</v>
      </c>
      <c r="BM410" s="2">
        <v>0.9</v>
      </c>
      <c r="BN410" s="2">
        <v>7.5</v>
      </c>
      <c r="BO410" s="2">
        <v>2.9</v>
      </c>
      <c r="BP410" s="2">
        <f t="shared" si="12"/>
        <v>9.1694266904352748</v>
      </c>
      <c r="BQ410" s="2">
        <f t="shared" si="13"/>
        <v>28.75756681843086</v>
      </c>
    </row>
    <row r="411" spans="1:69" x14ac:dyDescent="0.2">
      <c r="A411" s="2" t="s">
        <v>777</v>
      </c>
      <c r="B411" s="2" t="s">
        <v>47</v>
      </c>
      <c r="C411" s="2" t="s">
        <v>48</v>
      </c>
      <c r="D411" s="2" t="s">
        <v>49</v>
      </c>
      <c r="E411" s="2" t="s">
        <v>521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89</v>
      </c>
      <c r="L411" s="6" t="s">
        <v>103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778</v>
      </c>
      <c r="R411" s="2">
        <v>4886363.6359999999</v>
      </c>
      <c r="S411" s="2">
        <v>0</v>
      </c>
      <c r="T411" s="2" t="s">
        <v>96</v>
      </c>
      <c r="U411" s="2" t="s">
        <v>97</v>
      </c>
      <c r="V411" s="2" t="s">
        <v>56</v>
      </c>
      <c r="W411" s="2" t="s">
        <v>98</v>
      </c>
      <c r="X411" s="2" t="s">
        <v>99</v>
      </c>
      <c r="Y411" s="2">
        <v>2.01933854779546</v>
      </c>
      <c r="Z411" s="2">
        <v>2019.33854779546</v>
      </c>
      <c r="AA411" s="2">
        <v>4.73719444444444</v>
      </c>
      <c r="AB411" s="2">
        <v>-74.069472222222203</v>
      </c>
      <c r="AC411" s="2">
        <v>2555</v>
      </c>
      <c r="AD411" s="2">
        <v>0</v>
      </c>
      <c r="AE411" s="2" t="s">
        <v>59</v>
      </c>
      <c r="AF411" s="2" t="s">
        <v>86</v>
      </c>
      <c r="AG411" s="2" t="s">
        <v>61</v>
      </c>
      <c r="AH411" s="2" t="s">
        <v>62</v>
      </c>
      <c r="AI411" s="2" t="s">
        <v>100</v>
      </c>
      <c r="AJ411" s="2">
        <v>0.79812887166351598</v>
      </c>
      <c r="AK411" s="2">
        <v>4.2569654499351604</v>
      </c>
      <c r="AL411" s="2">
        <v>2.2887322690801502</v>
      </c>
      <c r="AM411" s="2">
        <v>0.12646318150873001</v>
      </c>
      <c r="AN411" s="2">
        <v>1.16663784452932</v>
      </c>
      <c r="AO411" s="2">
        <v>4.1828335790849602E-2</v>
      </c>
      <c r="AP411" s="2">
        <v>4.1828335790849602E-2</v>
      </c>
      <c r="AQ411" s="2">
        <v>0</v>
      </c>
      <c r="AR411" s="2">
        <v>2</v>
      </c>
      <c r="AS411" s="2">
        <v>0</v>
      </c>
      <c r="AT411" s="2">
        <v>0</v>
      </c>
      <c r="AU411" s="2">
        <v>0</v>
      </c>
      <c r="AV411" s="2">
        <v>21</v>
      </c>
      <c r="AW411" s="2">
        <v>0</v>
      </c>
      <c r="AX411" s="2">
        <v>0</v>
      </c>
      <c r="AY411" s="2">
        <v>15.3</v>
      </c>
      <c r="AZ411" s="2">
        <v>9.8000000000000007</v>
      </c>
      <c r="BA411" s="2">
        <v>29.7</v>
      </c>
      <c r="BB411" s="2">
        <v>564</v>
      </c>
      <c r="BC411" s="2">
        <v>68</v>
      </c>
      <c r="BD411" s="2">
        <v>1.8</v>
      </c>
      <c r="BE411" s="2">
        <v>43</v>
      </c>
      <c r="BF411" s="2">
        <v>25.4</v>
      </c>
      <c r="BG411" s="2">
        <v>162</v>
      </c>
      <c r="BH411" s="2">
        <v>9.1</v>
      </c>
      <c r="BI411" s="2">
        <v>9.1999999999999993</v>
      </c>
      <c r="BJ411" s="2">
        <v>18.3</v>
      </c>
      <c r="BK411" s="2">
        <v>0.34</v>
      </c>
      <c r="BL411" s="2">
        <v>7.3</v>
      </c>
      <c r="BM411" s="2">
        <v>0.9</v>
      </c>
      <c r="BN411" s="2">
        <v>7.5</v>
      </c>
      <c r="BO411" s="2">
        <v>2.9</v>
      </c>
      <c r="BP411" s="2">
        <f t="shared" si="12"/>
        <v>8.8677857145218333</v>
      </c>
      <c r="BQ411" s="2">
        <f t="shared" si="13"/>
        <v>28.294938035915756</v>
      </c>
    </row>
    <row r="412" spans="1:69" x14ac:dyDescent="0.2">
      <c r="A412" s="2" t="s">
        <v>1280</v>
      </c>
      <c r="B412" s="2" t="s">
        <v>47</v>
      </c>
      <c r="C412" s="2" t="s">
        <v>48</v>
      </c>
      <c r="D412" s="2" t="s">
        <v>49</v>
      </c>
      <c r="E412" s="2" t="s">
        <v>402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89</v>
      </c>
      <c r="L412" s="6" t="s">
        <v>103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1281</v>
      </c>
      <c r="R412" s="2">
        <v>5744186.0470000003</v>
      </c>
      <c r="S412" s="2">
        <v>0</v>
      </c>
      <c r="T412" s="2" t="s">
        <v>130</v>
      </c>
      <c r="U412" s="2" t="s">
        <v>131</v>
      </c>
      <c r="V412" s="2" t="s">
        <v>56</v>
      </c>
      <c r="W412" s="2" t="s">
        <v>98</v>
      </c>
      <c r="X412" s="2" t="s">
        <v>132</v>
      </c>
      <c r="Y412" s="2">
        <v>2.9535314581034098</v>
      </c>
      <c r="Z412" s="2">
        <v>2953.5314581034099</v>
      </c>
      <c r="AA412" s="2">
        <v>4.7837500000000004</v>
      </c>
      <c r="AB412" s="2">
        <v>-74.044138888888895</v>
      </c>
      <c r="AC412" s="2">
        <v>2580</v>
      </c>
      <c r="AD412" s="2">
        <v>0</v>
      </c>
      <c r="AE412" s="2" t="s">
        <v>133</v>
      </c>
      <c r="AF412" s="2" t="s">
        <v>86</v>
      </c>
      <c r="AG412" s="2" t="s">
        <v>61</v>
      </c>
      <c r="AH412" s="2" t="s">
        <v>62</v>
      </c>
      <c r="AI412" s="2" t="s">
        <v>87</v>
      </c>
      <c r="AJ412" s="2">
        <v>1.1288057583688</v>
      </c>
      <c r="AK412" s="2">
        <v>1.49343140874338</v>
      </c>
      <c r="AL412" s="2">
        <v>1.0063555804734501</v>
      </c>
      <c r="AM412" s="2">
        <v>0.84144687010309704</v>
      </c>
      <c r="AN412" s="2">
        <v>2.1246129127550502</v>
      </c>
      <c r="AO412" s="2">
        <v>0.21761684505832099</v>
      </c>
      <c r="AP412" s="2">
        <v>0.21761684505832099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5</v>
      </c>
      <c r="AW412" s="2">
        <v>0</v>
      </c>
      <c r="AX412" s="2">
        <v>0</v>
      </c>
      <c r="AY412" s="2">
        <v>15.3</v>
      </c>
      <c r="AZ412" s="2">
        <v>9.8000000000000007</v>
      </c>
      <c r="BA412" s="2">
        <v>29.7</v>
      </c>
      <c r="BB412" s="2">
        <v>564</v>
      </c>
      <c r="BC412" s="2">
        <v>68</v>
      </c>
      <c r="BD412" s="2">
        <v>1.8</v>
      </c>
      <c r="BE412" s="2">
        <v>43</v>
      </c>
      <c r="BF412" s="2">
        <v>25.4</v>
      </c>
      <c r="BG412" s="2">
        <v>162</v>
      </c>
      <c r="BH412" s="2">
        <v>9.1</v>
      </c>
      <c r="BI412" s="2">
        <v>9.1999999999999993</v>
      </c>
      <c r="BJ412" s="2">
        <v>18.3</v>
      </c>
      <c r="BK412" s="2">
        <v>0.34</v>
      </c>
      <c r="BL412" s="2">
        <v>7.3</v>
      </c>
      <c r="BM412" s="2">
        <v>0.9</v>
      </c>
      <c r="BN412" s="2">
        <v>7.5</v>
      </c>
      <c r="BO412" s="2">
        <v>2.9</v>
      </c>
      <c r="BP412" s="2">
        <f t="shared" si="12"/>
        <v>8.4670535441248447</v>
      </c>
      <c r="BQ412" s="2">
        <f t="shared" si="13"/>
        <v>27.667606565935476</v>
      </c>
    </row>
    <row r="413" spans="1:69" x14ac:dyDescent="0.2">
      <c r="A413" s="2" t="s">
        <v>473</v>
      </c>
      <c r="B413" s="2" t="s">
        <v>47</v>
      </c>
      <c r="C413" s="2" t="s">
        <v>48</v>
      </c>
      <c r="D413" s="2" t="s">
        <v>49</v>
      </c>
      <c r="E413" s="2" t="s">
        <v>474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89</v>
      </c>
      <c r="L413" s="6" t="s">
        <v>141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475</v>
      </c>
      <c r="R413" s="2">
        <v>6763170.3839999996</v>
      </c>
      <c r="S413" s="2">
        <v>0</v>
      </c>
      <c r="T413" s="2" t="s">
        <v>96</v>
      </c>
      <c r="U413" s="2" t="s">
        <v>97</v>
      </c>
      <c r="V413" s="2" t="s">
        <v>56</v>
      </c>
      <c r="W413" s="2" t="s">
        <v>98</v>
      </c>
      <c r="X413" s="2" t="s">
        <v>99</v>
      </c>
      <c r="Y413" s="2">
        <v>1.9174620973571199</v>
      </c>
      <c r="Z413" s="2">
        <v>1917.46209735712</v>
      </c>
      <c r="AA413" s="2">
        <v>4.73719444444444</v>
      </c>
      <c r="AB413" s="2">
        <v>-74.069472222222203</v>
      </c>
      <c r="AC413" s="2">
        <v>2555</v>
      </c>
      <c r="AD413" s="2">
        <v>0</v>
      </c>
      <c r="AE413" s="2" t="s">
        <v>59</v>
      </c>
      <c r="AF413" s="2" t="s">
        <v>86</v>
      </c>
      <c r="AG413" s="2" t="s">
        <v>61</v>
      </c>
      <c r="AH413" s="2" t="s">
        <v>62</v>
      </c>
      <c r="AI413" s="2" t="s">
        <v>100</v>
      </c>
      <c r="AJ413" s="2">
        <v>0.57818702194752503</v>
      </c>
      <c r="AK413" s="2">
        <v>3.64982140573226</v>
      </c>
      <c r="AL413" s="2">
        <v>1.8721284229415101</v>
      </c>
      <c r="AM413" s="2">
        <v>0.37638006368314197</v>
      </c>
      <c r="AN413" s="2">
        <v>3.6045889565850899</v>
      </c>
      <c r="AO413" s="2">
        <v>2.3685467903279401E-2</v>
      </c>
      <c r="AP413" s="2">
        <v>2.3685467903279401E-2</v>
      </c>
      <c r="AQ413" s="2">
        <v>0</v>
      </c>
      <c r="AR413" s="2">
        <v>3</v>
      </c>
      <c r="AS413" s="2">
        <v>0</v>
      </c>
      <c r="AT413" s="2">
        <v>0</v>
      </c>
      <c r="AU413" s="2">
        <v>0</v>
      </c>
      <c r="AV413" s="2">
        <v>19</v>
      </c>
      <c r="AW413" s="2">
        <v>0</v>
      </c>
      <c r="AX413" s="2">
        <v>0</v>
      </c>
      <c r="AY413" s="2">
        <v>15.3</v>
      </c>
      <c r="AZ413" s="2">
        <v>9.8000000000000007</v>
      </c>
      <c r="BA413" s="2">
        <v>29.7</v>
      </c>
      <c r="BB413" s="2">
        <v>564</v>
      </c>
      <c r="BC413" s="2">
        <v>68</v>
      </c>
      <c r="BD413" s="2">
        <v>1.8</v>
      </c>
      <c r="BE413" s="2">
        <v>43</v>
      </c>
      <c r="BF413" s="2">
        <v>25.4</v>
      </c>
      <c r="BG413" s="2">
        <v>162</v>
      </c>
      <c r="BH413" s="2">
        <v>9.1</v>
      </c>
      <c r="BI413" s="2">
        <v>9.1999999999999993</v>
      </c>
      <c r="BJ413" s="2">
        <v>18.3</v>
      </c>
      <c r="BK413" s="2">
        <v>0.34</v>
      </c>
      <c r="BL413" s="2">
        <v>7.3</v>
      </c>
      <c r="BM413" s="2">
        <v>0.9</v>
      </c>
      <c r="BN413" s="2">
        <v>7.5</v>
      </c>
      <c r="BO413" s="2">
        <v>2.9</v>
      </c>
      <c r="BP413" s="2">
        <f t="shared" si="12"/>
        <v>8.9126178785467154</v>
      </c>
      <c r="BQ413" s="2">
        <f t="shared" si="13"/>
        <v>28.364204789679651</v>
      </c>
    </row>
    <row r="414" spans="1:69" x14ac:dyDescent="0.2">
      <c r="A414" s="2" t="s">
        <v>3499</v>
      </c>
      <c r="B414" s="2" t="s">
        <v>47</v>
      </c>
      <c r="C414" s="2" t="s">
        <v>3273</v>
      </c>
      <c r="D414" s="2" t="s">
        <v>49</v>
      </c>
      <c r="E414" s="2" t="s">
        <v>1101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89</v>
      </c>
      <c r="L414" s="6" t="s">
        <v>112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3500</v>
      </c>
      <c r="R414" s="2">
        <v>10476190.48</v>
      </c>
      <c r="S414" s="2">
        <v>0</v>
      </c>
      <c r="T414" s="2" t="s">
        <v>96</v>
      </c>
      <c r="U414" s="2" t="s">
        <v>97</v>
      </c>
      <c r="V414" s="2" t="s">
        <v>56</v>
      </c>
      <c r="W414" s="2" t="s">
        <v>98</v>
      </c>
      <c r="X414" s="2" t="s">
        <v>99</v>
      </c>
      <c r="Y414" s="2">
        <v>0.29546000452207699</v>
      </c>
      <c r="Z414" s="2">
        <v>295.46000452207699</v>
      </c>
      <c r="AA414" s="2">
        <v>4.73719444444444</v>
      </c>
      <c r="AB414" s="2">
        <v>-74.069472222222203</v>
      </c>
      <c r="AC414" s="2">
        <v>2555</v>
      </c>
      <c r="AD414" s="2">
        <v>0</v>
      </c>
      <c r="AE414" s="2" t="s">
        <v>59</v>
      </c>
      <c r="AF414" s="2" t="s">
        <v>86</v>
      </c>
      <c r="AG414" s="2" t="s">
        <v>61</v>
      </c>
      <c r="AH414" s="2" t="s">
        <v>62</v>
      </c>
      <c r="AI414" s="2" t="s">
        <v>100</v>
      </c>
      <c r="AJ414" s="2">
        <v>1.48130146463921</v>
      </c>
      <c r="AK414" s="2">
        <v>5.0479273578566701</v>
      </c>
      <c r="AL414" s="2">
        <v>2.2347131362632302</v>
      </c>
      <c r="AM414" s="2">
        <v>0.204720092373325</v>
      </c>
      <c r="AN414" s="2">
        <v>2.0387112341981899</v>
      </c>
      <c r="AO414" s="2">
        <v>0.118739559216227</v>
      </c>
      <c r="AP414" s="2">
        <v>0.118739559216227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8</v>
      </c>
      <c r="AW414" s="2">
        <v>0</v>
      </c>
      <c r="AX414" s="2">
        <v>0</v>
      </c>
      <c r="AY414" s="2">
        <v>15.3</v>
      </c>
      <c r="AZ414" s="2">
        <v>9.8000000000000007</v>
      </c>
      <c r="BA414" s="2">
        <v>29.7</v>
      </c>
      <c r="BB414" s="2">
        <v>564</v>
      </c>
      <c r="BC414" s="2">
        <v>68</v>
      </c>
      <c r="BD414" s="2">
        <v>1.8</v>
      </c>
      <c r="BE414" s="2">
        <v>43</v>
      </c>
      <c r="BF414" s="2">
        <v>25.4</v>
      </c>
      <c r="BG414" s="2">
        <v>162</v>
      </c>
      <c r="BH414" s="2">
        <v>9.1</v>
      </c>
      <c r="BI414" s="2">
        <v>9.1999999999999993</v>
      </c>
      <c r="BJ414" s="2">
        <v>18.3</v>
      </c>
      <c r="BK414" s="2">
        <v>0.34</v>
      </c>
      <c r="BL414" s="2">
        <v>7.3</v>
      </c>
      <c r="BM414" s="2">
        <v>0.9</v>
      </c>
      <c r="BN414" s="2">
        <v>7.5</v>
      </c>
      <c r="BO414" s="2">
        <v>2.9</v>
      </c>
      <c r="BP414" s="2">
        <f t="shared" si="12"/>
        <v>9.6577153636312989</v>
      </c>
      <c r="BQ414" s="2">
        <f t="shared" si="13"/>
        <v>29.490141047260281</v>
      </c>
    </row>
    <row r="415" spans="1:69" x14ac:dyDescent="0.2">
      <c r="A415" s="2" t="s">
        <v>3452</v>
      </c>
      <c r="B415" s="2" t="s">
        <v>47</v>
      </c>
      <c r="C415" s="2" t="s">
        <v>3273</v>
      </c>
      <c r="D415" s="2" t="s">
        <v>49</v>
      </c>
      <c r="E415" s="2" t="s">
        <v>524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89</v>
      </c>
      <c r="L415" s="6" t="s">
        <v>112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3453</v>
      </c>
      <c r="R415" s="2">
        <v>10000000</v>
      </c>
      <c r="S415" s="2">
        <v>0</v>
      </c>
      <c r="T415" s="2" t="s">
        <v>96</v>
      </c>
      <c r="U415" s="2" t="s">
        <v>97</v>
      </c>
      <c r="V415" s="2" t="s">
        <v>56</v>
      </c>
      <c r="W415" s="2" t="s">
        <v>98</v>
      </c>
      <c r="X415" s="2" t="s">
        <v>99</v>
      </c>
      <c r="Y415" s="2">
        <v>0.97647873695868503</v>
      </c>
      <c r="Z415" s="2">
        <v>976.47873695868498</v>
      </c>
      <c r="AA415" s="2">
        <v>4.73719444444444</v>
      </c>
      <c r="AB415" s="2">
        <v>-74.069472222222203</v>
      </c>
      <c r="AC415" s="2">
        <v>2555</v>
      </c>
      <c r="AD415" s="2">
        <v>0</v>
      </c>
      <c r="AE415" s="2" t="s">
        <v>59</v>
      </c>
      <c r="AF415" s="2" t="s">
        <v>86</v>
      </c>
      <c r="AG415" s="2" t="s">
        <v>61</v>
      </c>
      <c r="AH415" s="2" t="s">
        <v>62</v>
      </c>
      <c r="AI415" s="2" t="s">
        <v>100</v>
      </c>
      <c r="AJ415" s="2">
        <v>1.3723472139392601</v>
      </c>
      <c r="AK415" s="2">
        <v>4.3607582812677297</v>
      </c>
      <c r="AL415" s="2">
        <v>1.79547614378135</v>
      </c>
      <c r="AM415" s="2">
        <v>0.43791235941239798</v>
      </c>
      <c r="AN415" s="2">
        <v>2.72780366198909</v>
      </c>
      <c r="AO415" s="2">
        <v>0.29198930718934202</v>
      </c>
      <c r="AP415" s="2">
        <v>0.29198930718934202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12</v>
      </c>
      <c r="AW415" s="2">
        <v>0</v>
      </c>
      <c r="AX415" s="2">
        <v>0</v>
      </c>
      <c r="AY415" s="2">
        <v>15.3</v>
      </c>
      <c r="AZ415" s="2">
        <v>9.8000000000000007</v>
      </c>
      <c r="BA415" s="2">
        <v>29.7</v>
      </c>
      <c r="BB415" s="2">
        <v>564</v>
      </c>
      <c r="BC415" s="2">
        <v>68</v>
      </c>
      <c r="BD415" s="2">
        <v>1.8</v>
      </c>
      <c r="BE415" s="2">
        <v>43</v>
      </c>
      <c r="BF415" s="2">
        <v>25.4</v>
      </c>
      <c r="BG415" s="2">
        <v>162</v>
      </c>
      <c r="BH415" s="2">
        <v>9.1</v>
      </c>
      <c r="BI415" s="2">
        <v>9.1999999999999993</v>
      </c>
      <c r="BJ415" s="2">
        <v>18.3</v>
      </c>
      <c r="BK415" s="2">
        <v>0.34</v>
      </c>
      <c r="BL415" s="2">
        <v>7.3</v>
      </c>
      <c r="BM415" s="2">
        <v>0.9</v>
      </c>
      <c r="BN415" s="2">
        <v>7.5</v>
      </c>
      <c r="BO415" s="2">
        <v>2.9</v>
      </c>
      <c r="BP415" s="2">
        <f t="shared" si="12"/>
        <v>9.3375759864390204</v>
      </c>
      <c r="BQ415" s="2">
        <f t="shared" si="13"/>
        <v>29.012058564276462</v>
      </c>
    </row>
    <row r="416" spans="1:69" x14ac:dyDescent="0.2">
      <c r="A416" s="2" t="s">
        <v>3467</v>
      </c>
      <c r="B416" s="2" t="s">
        <v>47</v>
      </c>
      <c r="C416" s="2" t="s">
        <v>3273</v>
      </c>
      <c r="D416" s="2" t="s">
        <v>49</v>
      </c>
      <c r="E416" s="2" t="s">
        <v>524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89</v>
      </c>
      <c r="L416" s="6" t="s">
        <v>112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3468</v>
      </c>
      <c r="R416" s="2">
        <v>9285714.2860000003</v>
      </c>
      <c r="S416" s="2">
        <v>0</v>
      </c>
      <c r="T416" s="2" t="s">
        <v>96</v>
      </c>
      <c r="U416" s="2" t="s">
        <v>97</v>
      </c>
      <c r="V416" s="2" t="s">
        <v>56</v>
      </c>
      <c r="W416" s="2" t="s">
        <v>98</v>
      </c>
      <c r="X416" s="2" t="s">
        <v>99</v>
      </c>
      <c r="Y416" s="2">
        <v>0.97647873695868503</v>
      </c>
      <c r="Z416" s="2">
        <v>976.47873695868498</v>
      </c>
      <c r="AA416" s="2">
        <v>4.73719444444444</v>
      </c>
      <c r="AB416" s="2">
        <v>-74.069472222222203</v>
      </c>
      <c r="AC416" s="2">
        <v>2555</v>
      </c>
      <c r="AD416" s="2">
        <v>0</v>
      </c>
      <c r="AE416" s="2" t="s">
        <v>59</v>
      </c>
      <c r="AF416" s="2" t="s">
        <v>86</v>
      </c>
      <c r="AG416" s="2" t="s">
        <v>61</v>
      </c>
      <c r="AH416" s="2" t="s">
        <v>62</v>
      </c>
      <c r="AI416" s="2" t="s">
        <v>100</v>
      </c>
      <c r="AJ416" s="2">
        <v>1.3723472139392601</v>
      </c>
      <c r="AK416" s="2">
        <v>4.3607582812677297</v>
      </c>
      <c r="AL416" s="2">
        <v>1.79547614378135</v>
      </c>
      <c r="AM416" s="2">
        <v>0.43791235941239798</v>
      </c>
      <c r="AN416" s="2">
        <v>2.72780366198909</v>
      </c>
      <c r="AO416" s="2">
        <v>0.29198930718934202</v>
      </c>
      <c r="AP416" s="2">
        <v>0.29198930718934202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12</v>
      </c>
      <c r="AW416" s="2">
        <v>0</v>
      </c>
      <c r="AX416" s="2">
        <v>0</v>
      </c>
      <c r="AY416" s="2">
        <v>15.3</v>
      </c>
      <c r="AZ416" s="2">
        <v>9.8000000000000007</v>
      </c>
      <c r="BA416" s="2">
        <v>29.7</v>
      </c>
      <c r="BB416" s="2">
        <v>564</v>
      </c>
      <c r="BC416" s="2">
        <v>68</v>
      </c>
      <c r="BD416" s="2">
        <v>1.8</v>
      </c>
      <c r="BE416" s="2">
        <v>43</v>
      </c>
      <c r="BF416" s="2">
        <v>25.4</v>
      </c>
      <c r="BG416" s="2">
        <v>162</v>
      </c>
      <c r="BH416" s="2">
        <v>9.1</v>
      </c>
      <c r="BI416" s="2">
        <v>9.1999999999999993</v>
      </c>
      <c r="BJ416" s="2">
        <v>18.3</v>
      </c>
      <c r="BK416" s="2">
        <v>0.34</v>
      </c>
      <c r="BL416" s="2">
        <v>7.3</v>
      </c>
      <c r="BM416" s="2">
        <v>0.9</v>
      </c>
      <c r="BN416" s="2">
        <v>7.5</v>
      </c>
      <c r="BO416" s="2">
        <v>2.9</v>
      </c>
      <c r="BP416" s="2">
        <f t="shared" si="12"/>
        <v>9.3375759864390204</v>
      </c>
      <c r="BQ416" s="2">
        <f t="shared" si="13"/>
        <v>29.012058564276462</v>
      </c>
    </row>
    <row r="417" spans="1:69" x14ac:dyDescent="0.2">
      <c r="A417" s="2" t="s">
        <v>3338</v>
      </c>
      <c r="B417" s="2" t="s">
        <v>47</v>
      </c>
      <c r="C417" s="2" t="s">
        <v>3273</v>
      </c>
      <c r="D417" s="2" t="s">
        <v>49</v>
      </c>
      <c r="E417" s="2" t="s">
        <v>144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89</v>
      </c>
      <c r="L417" s="6" t="s">
        <v>90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3339</v>
      </c>
      <c r="R417" s="2">
        <v>6140139.6579999998</v>
      </c>
      <c r="S417" s="2">
        <v>0</v>
      </c>
      <c r="T417" s="2" t="s">
        <v>96</v>
      </c>
      <c r="U417" s="2" t="s">
        <v>97</v>
      </c>
      <c r="V417" s="2" t="s">
        <v>56</v>
      </c>
      <c r="W417" s="2" t="s">
        <v>98</v>
      </c>
      <c r="X417" s="2" t="s">
        <v>99</v>
      </c>
      <c r="Y417" s="2">
        <v>2.9453788573394801</v>
      </c>
      <c r="Z417" s="2">
        <v>2945.37885733948</v>
      </c>
      <c r="AA417" s="2">
        <v>4.73719444444444</v>
      </c>
      <c r="AB417" s="2">
        <v>-74.069472222222203</v>
      </c>
      <c r="AC417" s="2">
        <v>2555</v>
      </c>
      <c r="AD417" s="2">
        <v>0</v>
      </c>
      <c r="AE417" s="2" t="s">
        <v>59</v>
      </c>
      <c r="AF417" s="2" t="s">
        <v>86</v>
      </c>
      <c r="AG417" s="2" t="s">
        <v>61</v>
      </c>
      <c r="AH417" s="2" t="s">
        <v>62</v>
      </c>
      <c r="AI417" s="2" t="s">
        <v>100</v>
      </c>
      <c r="AJ417" s="2">
        <v>0.83065346914868698</v>
      </c>
      <c r="AK417" s="2">
        <v>3.41894942102024</v>
      </c>
      <c r="AL417" s="2">
        <v>0.49551304324711998</v>
      </c>
      <c r="AM417" s="2">
        <v>0.14731434021786599</v>
      </c>
      <c r="AN417" s="2">
        <v>3.40676736918227</v>
      </c>
      <c r="AO417" s="2">
        <v>9.8542177686970794E-2</v>
      </c>
      <c r="AP417" s="2">
        <v>9.8542177686970794E-2</v>
      </c>
      <c r="AQ417" s="2">
        <v>0</v>
      </c>
      <c r="AR417" s="2">
        <v>1</v>
      </c>
      <c r="AS417" s="2">
        <v>0</v>
      </c>
      <c r="AT417" s="2">
        <v>0</v>
      </c>
      <c r="AU417" s="2">
        <v>1</v>
      </c>
      <c r="AV417" s="2">
        <v>19</v>
      </c>
      <c r="AW417" s="2">
        <v>0</v>
      </c>
      <c r="AX417" s="2">
        <v>0</v>
      </c>
      <c r="AY417" s="2">
        <v>15.3</v>
      </c>
      <c r="AZ417" s="2">
        <v>9.8000000000000007</v>
      </c>
      <c r="BA417" s="2">
        <v>29.7</v>
      </c>
      <c r="BB417" s="2">
        <v>564</v>
      </c>
      <c r="BC417" s="2">
        <v>68</v>
      </c>
      <c r="BD417" s="2">
        <v>1.8</v>
      </c>
      <c r="BE417" s="2">
        <v>43</v>
      </c>
      <c r="BF417" s="2">
        <v>25.4</v>
      </c>
      <c r="BG417" s="2">
        <v>162</v>
      </c>
      <c r="BH417" s="2">
        <v>9.1</v>
      </c>
      <c r="BI417" s="2">
        <v>9.1999999999999993</v>
      </c>
      <c r="BJ417" s="2">
        <v>18.3</v>
      </c>
      <c r="BK417" s="2">
        <v>0.34</v>
      </c>
      <c r="BL417" s="2">
        <v>7.3</v>
      </c>
      <c r="BM417" s="2">
        <v>0.9</v>
      </c>
      <c r="BN417" s="2">
        <v>7.5</v>
      </c>
      <c r="BO417" s="2">
        <v>2.9</v>
      </c>
      <c r="BP417" s="2">
        <f t="shared" si="12"/>
        <v>8.4704711447772318</v>
      </c>
      <c r="BQ417" s="2">
        <f t="shared" si="13"/>
        <v>27.673020606390544</v>
      </c>
    </row>
    <row r="418" spans="1:69" x14ac:dyDescent="0.2">
      <c r="A418" s="2" t="s">
        <v>3328</v>
      </c>
      <c r="B418" s="2" t="s">
        <v>47</v>
      </c>
      <c r="C418" s="2" t="s">
        <v>3273</v>
      </c>
      <c r="D418" s="2" t="s">
        <v>49</v>
      </c>
      <c r="E418" s="2" t="s">
        <v>144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89</v>
      </c>
      <c r="L418" s="6" t="s">
        <v>90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3329</v>
      </c>
      <c r="R418" s="2">
        <v>5899349.8679999998</v>
      </c>
      <c r="S418" s="2">
        <v>0</v>
      </c>
      <c r="T418" s="2" t="s">
        <v>96</v>
      </c>
      <c r="U418" s="2" t="s">
        <v>97</v>
      </c>
      <c r="V418" s="2" t="s">
        <v>56</v>
      </c>
      <c r="W418" s="2" t="s">
        <v>98</v>
      </c>
      <c r="X418" s="2" t="s">
        <v>99</v>
      </c>
      <c r="Y418" s="2">
        <v>2.9453788573394801</v>
      </c>
      <c r="Z418" s="2">
        <v>2945.37885733948</v>
      </c>
      <c r="AA418" s="2">
        <v>4.73719444444444</v>
      </c>
      <c r="AB418" s="2">
        <v>-74.069472222222203</v>
      </c>
      <c r="AC418" s="2">
        <v>2555</v>
      </c>
      <c r="AD418" s="2">
        <v>0</v>
      </c>
      <c r="AE418" s="2" t="s">
        <v>59</v>
      </c>
      <c r="AF418" s="2" t="s">
        <v>86</v>
      </c>
      <c r="AG418" s="2" t="s">
        <v>61</v>
      </c>
      <c r="AH418" s="2" t="s">
        <v>62</v>
      </c>
      <c r="AI418" s="2" t="s">
        <v>100</v>
      </c>
      <c r="AJ418" s="2">
        <v>0.83065346914868698</v>
      </c>
      <c r="AK418" s="2">
        <v>3.41894942102024</v>
      </c>
      <c r="AL418" s="2">
        <v>0.49551304324711998</v>
      </c>
      <c r="AM418" s="2">
        <v>0.14731434021786599</v>
      </c>
      <c r="AN418" s="2">
        <v>3.40676736918227</v>
      </c>
      <c r="AO418" s="2">
        <v>9.8542177686970794E-2</v>
      </c>
      <c r="AP418" s="2">
        <v>9.8542177686970794E-2</v>
      </c>
      <c r="AQ418" s="2">
        <v>0</v>
      </c>
      <c r="AR418" s="2">
        <v>1</v>
      </c>
      <c r="AS418" s="2">
        <v>0</v>
      </c>
      <c r="AT418" s="2">
        <v>0</v>
      </c>
      <c r="AU418" s="2">
        <v>1</v>
      </c>
      <c r="AV418" s="2">
        <v>19</v>
      </c>
      <c r="AW418" s="2">
        <v>0</v>
      </c>
      <c r="AX418" s="2">
        <v>0</v>
      </c>
      <c r="AY418" s="2">
        <v>15.3</v>
      </c>
      <c r="AZ418" s="2">
        <v>9.8000000000000007</v>
      </c>
      <c r="BA418" s="2">
        <v>29.7</v>
      </c>
      <c r="BB418" s="2">
        <v>564</v>
      </c>
      <c r="BC418" s="2">
        <v>68</v>
      </c>
      <c r="BD418" s="2">
        <v>1.8</v>
      </c>
      <c r="BE418" s="2">
        <v>43</v>
      </c>
      <c r="BF418" s="2">
        <v>25.4</v>
      </c>
      <c r="BG418" s="2">
        <v>162</v>
      </c>
      <c r="BH418" s="2">
        <v>9.1</v>
      </c>
      <c r="BI418" s="2">
        <v>9.1999999999999993</v>
      </c>
      <c r="BJ418" s="2">
        <v>18.3</v>
      </c>
      <c r="BK418" s="2">
        <v>0.34</v>
      </c>
      <c r="BL418" s="2">
        <v>7.3</v>
      </c>
      <c r="BM418" s="2">
        <v>0.9</v>
      </c>
      <c r="BN418" s="2">
        <v>7.5</v>
      </c>
      <c r="BO418" s="2">
        <v>2.9</v>
      </c>
      <c r="BP418" s="2">
        <f t="shared" si="12"/>
        <v>8.4704711447772318</v>
      </c>
      <c r="BQ418" s="2">
        <f t="shared" si="13"/>
        <v>27.673020606390544</v>
      </c>
    </row>
    <row r="419" spans="1:69" x14ac:dyDescent="0.2">
      <c r="A419" s="2" t="s">
        <v>840</v>
      </c>
      <c r="B419" s="2" t="s">
        <v>47</v>
      </c>
      <c r="C419" s="2" t="s">
        <v>48</v>
      </c>
      <c r="D419" s="2" t="s">
        <v>49</v>
      </c>
      <c r="E419" s="2" t="s">
        <v>841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89</v>
      </c>
      <c r="L419" s="6" t="s">
        <v>90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842</v>
      </c>
      <c r="R419" s="2">
        <v>5375000</v>
      </c>
      <c r="S419" s="2">
        <v>0</v>
      </c>
      <c r="T419" s="2" t="s">
        <v>98</v>
      </c>
      <c r="U419" s="2" t="s">
        <v>766</v>
      </c>
      <c r="V419" s="2" t="s">
        <v>56</v>
      </c>
      <c r="W419" s="2" t="s">
        <v>98</v>
      </c>
      <c r="X419" s="2" t="s">
        <v>767</v>
      </c>
      <c r="Y419" s="2">
        <v>0.95879574089763198</v>
      </c>
      <c r="Z419" s="2">
        <v>958.79574089763196</v>
      </c>
      <c r="AA419" s="2">
        <v>4.7612472222222202</v>
      </c>
      <c r="AB419" s="2">
        <v>-74.093461111111097</v>
      </c>
      <c r="AC419" s="2">
        <v>2571</v>
      </c>
      <c r="AD419" s="2">
        <v>6</v>
      </c>
      <c r="AE419" s="2" t="s">
        <v>133</v>
      </c>
      <c r="AF419" s="2" t="s">
        <v>86</v>
      </c>
      <c r="AG419" s="2" t="s">
        <v>61</v>
      </c>
      <c r="AH419" s="2" t="s">
        <v>62</v>
      </c>
      <c r="AI419" s="2" t="s">
        <v>100</v>
      </c>
      <c r="AJ419" s="2">
        <v>1.5556275875410099</v>
      </c>
      <c r="AK419" s="2">
        <v>1.3633469452149201</v>
      </c>
      <c r="AL419" s="2">
        <v>5.3799109250006998</v>
      </c>
      <c r="AM419" s="2">
        <v>1.03693334964354</v>
      </c>
      <c r="AN419" s="2">
        <v>2.64219743399119</v>
      </c>
      <c r="AO419" s="2">
        <v>0.20505178951971001</v>
      </c>
      <c r="AP419" s="2">
        <v>0.20505178951971001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>
        <v>15.3</v>
      </c>
      <c r="AZ419" s="2">
        <v>9.8000000000000007</v>
      </c>
      <c r="BA419" s="2">
        <v>29.7</v>
      </c>
      <c r="BB419" s="2">
        <v>564</v>
      </c>
      <c r="BC419" s="2">
        <v>68</v>
      </c>
      <c r="BD419" s="2">
        <v>1.8</v>
      </c>
      <c r="BE419" s="2">
        <v>43</v>
      </c>
      <c r="BF419" s="2">
        <v>25.4</v>
      </c>
      <c r="BG419" s="2">
        <v>162</v>
      </c>
      <c r="BH419" s="2">
        <v>9.1</v>
      </c>
      <c r="BI419" s="2">
        <v>9.1999999999999993</v>
      </c>
      <c r="BJ419" s="2">
        <v>18.3</v>
      </c>
      <c r="BK419" s="2">
        <v>0.34</v>
      </c>
      <c r="BL419" s="2">
        <v>7.3</v>
      </c>
      <c r="BM419" s="2">
        <v>0.9</v>
      </c>
      <c r="BN419" s="2">
        <v>7.5</v>
      </c>
      <c r="BO419" s="2">
        <v>2.9</v>
      </c>
      <c r="BP419" s="2">
        <f t="shared" si="12"/>
        <v>9.3457528223528517</v>
      </c>
      <c r="BQ419" s="2">
        <f t="shared" si="13"/>
        <v>29.024373660120681</v>
      </c>
    </row>
    <row r="420" spans="1:69" x14ac:dyDescent="0.2">
      <c r="A420" s="2" t="s">
        <v>1319</v>
      </c>
      <c r="B420" s="2" t="s">
        <v>47</v>
      </c>
      <c r="C420" s="2" t="s">
        <v>48</v>
      </c>
      <c r="D420" s="2" t="s">
        <v>49</v>
      </c>
      <c r="E420" s="2" t="s">
        <v>841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89</v>
      </c>
      <c r="L420" s="6" t="s">
        <v>90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1320</v>
      </c>
      <c r="R420" s="2">
        <v>5375000</v>
      </c>
      <c r="S420" s="2">
        <v>0</v>
      </c>
      <c r="T420" s="2" t="s">
        <v>98</v>
      </c>
      <c r="U420" s="2" t="s">
        <v>766</v>
      </c>
      <c r="V420" s="2" t="s">
        <v>56</v>
      </c>
      <c r="W420" s="2" t="s">
        <v>98</v>
      </c>
      <c r="X420" s="2" t="s">
        <v>767</v>
      </c>
      <c r="Y420" s="2">
        <v>0.93862066591695004</v>
      </c>
      <c r="Z420" s="2">
        <v>938.62066591694997</v>
      </c>
      <c r="AA420" s="2">
        <v>4.7612472222222202</v>
      </c>
      <c r="AB420" s="2">
        <v>-74.093461111111097</v>
      </c>
      <c r="AC420" s="2">
        <v>2571</v>
      </c>
      <c r="AD420" s="2">
        <v>6</v>
      </c>
      <c r="AE420" s="2" t="s">
        <v>133</v>
      </c>
      <c r="AF420" s="2" t="s">
        <v>86</v>
      </c>
      <c r="AG420" s="2" t="s">
        <v>61</v>
      </c>
      <c r="AH420" s="2" t="s">
        <v>62</v>
      </c>
      <c r="AI420" s="2" t="s">
        <v>100</v>
      </c>
      <c r="AJ420" s="2">
        <v>1.5842032336546501</v>
      </c>
      <c r="AK420" s="2">
        <v>1.3636592126773801</v>
      </c>
      <c r="AL420" s="2">
        <v>5.3747859995353302</v>
      </c>
      <c r="AM420" s="2">
        <v>1.01961182599466</v>
      </c>
      <c r="AN420" s="2">
        <v>2.6643571722274499</v>
      </c>
      <c r="AO420" s="2">
        <v>0.21731965303816</v>
      </c>
      <c r="AP420" s="2">
        <v>0.21731965303816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>
        <v>15.3</v>
      </c>
      <c r="AZ420" s="2">
        <v>9.8000000000000007</v>
      </c>
      <c r="BA420" s="2">
        <v>29.7</v>
      </c>
      <c r="BB420" s="2">
        <v>564</v>
      </c>
      <c r="BC420" s="2">
        <v>68</v>
      </c>
      <c r="BD420" s="2">
        <v>1.8</v>
      </c>
      <c r="BE420" s="2">
        <v>43</v>
      </c>
      <c r="BF420" s="2">
        <v>25.4</v>
      </c>
      <c r="BG420" s="2">
        <v>162</v>
      </c>
      <c r="BH420" s="2">
        <v>9.1</v>
      </c>
      <c r="BI420" s="2">
        <v>9.1999999999999993</v>
      </c>
      <c r="BJ420" s="2">
        <v>18.3</v>
      </c>
      <c r="BK420" s="2">
        <v>0.34</v>
      </c>
      <c r="BL420" s="2">
        <v>7.3</v>
      </c>
      <c r="BM420" s="2">
        <v>0.9</v>
      </c>
      <c r="BN420" s="2">
        <v>7.5</v>
      </c>
      <c r="BO420" s="2">
        <v>2.9</v>
      </c>
      <c r="BP420" s="2">
        <f t="shared" si="12"/>
        <v>9.3550907718892304</v>
      </c>
      <c r="BQ420" s="2">
        <f t="shared" si="13"/>
        <v>29.038430717028813</v>
      </c>
    </row>
    <row r="421" spans="1:69" x14ac:dyDescent="0.2">
      <c r="A421" s="2" t="s">
        <v>4352</v>
      </c>
      <c r="B421" s="2" t="s">
        <v>47</v>
      </c>
      <c r="C421" s="2" t="s">
        <v>3273</v>
      </c>
      <c r="D421" s="2" t="s">
        <v>49</v>
      </c>
      <c r="E421" s="2" t="s">
        <v>100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89</v>
      </c>
      <c r="L421" s="6" t="s">
        <v>141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4353</v>
      </c>
      <c r="R421" s="2">
        <v>4375000</v>
      </c>
      <c r="S421" s="2">
        <v>0</v>
      </c>
      <c r="T421" s="2" t="s">
        <v>96</v>
      </c>
      <c r="U421" s="2" t="s">
        <v>97</v>
      </c>
      <c r="V421" s="2" t="s">
        <v>56</v>
      </c>
      <c r="W421" s="2" t="s">
        <v>98</v>
      </c>
      <c r="X421" s="2" t="s">
        <v>99</v>
      </c>
      <c r="Y421" s="2">
        <v>1.5939654063411399</v>
      </c>
      <c r="Z421" s="2">
        <v>1593.9654063411399</v>
      </c>
      <c r="AA421" s="2">
        <v>4.73719444444444</v>
      </c>
      <c r="AB421" s="2">
        <v>-74.069472222222203</v>
      </c>
      <c r="AC421" s="2">
        <v>2555</v>
      </c>
      <c r="AD421" s="2">
        <v>0</v>
      </c>
      <c r="AE421" s="2" t="s">
        <v>59</v>
      </c>
      <c r="AF421" s="2" t="s">
        <v>86</v>
      </c>
      <c r="AG421" s="2" t="s">
        <v>61</v>
      </c>
      <c r="AH421" s="2" t="s">
        <v>62</v>
      </c>
      <c r="AI421" s="2" t="s">
        <v>100</v>
      </c>
      <c r="AJ421" s="2">
        <v>0.302641478422007</v>
      </c>
      <c r="AK421" s="2">
        <v>4.4383951939188702</v>
      </c>
      <c r="AL421" s="2">
        <v>2.4355941233068901</v>
      </c>
      <c r="AM421" s="2">
        <v>0.26146974131853801</v>
      </c>
      <c r="AN421" s="2">
        <v>0.71733519752563202</v>
      </c>
      <c r="AO421" s="2">
        <v>1.7263803628133099E-2</v>
      </c>
      <c r="AP421" s="2">
        <v>1.7263803628133099E-2</v>
      </c>
      <c r="AQ421" s="2">
        <v>1</v>
      </c>
      <c r="AR421" s="2">
        <v>2</v>
      </c>
      <c r="AS421" s="2">
        <v>0</v>
      </c>
      <c r="AT421" s="2">
        <v>0</v>
      </c>
      <c r="AU421" s="2">
        <v>0</v>
      </c>
      <c r="AV421" s="2">
        <v>26</v>
      </c>
      <c r="AW421" s="2">
        <v>1</v>
      </c>
      <c r="AX421" s="2">
        <v>0</v>
      </c>
      <c r="AY421" s="2">
        <v>15.3</v>
      </c>
      <c r="AZ421" s="2">
        <v>9.8000000000000007</v>
      </c>
      <c r="BA421" s="2">
        <v>29.7</v>
      </c>
      <c r="BB421" s="2">
        <v>564</v>
      </c>
      <c r="BC421" s="2">
        <v>68</v>
      </c>
      <c r="BD421" s="2">
        <v>1.8</v>
      </c>
      <c r="BE421" s="2">
        <v>43</v>
      </c>
      <c r="BF421" s="2">
        <v>25.4</v>
      </c>
      <c r="BG421" s="2">
        <v>162</v>
      </c>
      <c r="BH421" s="2">
        <v>9.1</v>
      </c>
      <c r="BI421" s="2">
        <v>9.1999999999999993</v>
      </c>
      <c r="BJ421" s="2">
        <v>18.3</v>
      </c>
      <c r="BK421" s="2">
        <v>0.34</v>
      </c>
      <c r="BL421" s="2">
        <v>7.3</v>
      </c>
      <c r="BM421" s="2">
        <v>0.9</v>
      </c>
      <c r="BN421" s="2">
        <v>7.5</v>
      </c>
      <c r="BO421" s="2">
        <v>2.9</v>
      </c>
      <c r="BP421" s="2">
        <f t="shared" si="12"/>
        <v>9.0564852027036569</v>
      </c>
      <c r="BQ421" s="2">
        <f t="shared" si="13"/>
        <v>28.585279315133747</v>
      </c>
    </row>
    <row r="422" spans="1:69" x14ac:dyDescent="0.2">
      <c r="A422" s="2" t="s">
        <v>3800</v>
      </c>
      <c r="B422" s="2" t="s">
        <v>47</v>
      </c>
      <c r="C422" s="2" t="s">
        <v>3273</v>
      </c>
      <c r="D422" s="2" t="s">
        <v>49</v>
      </c>
      <c r="E422" s="2" t="s">
        <v>1746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89</v>
      </c>
      <c r="L422" s="6" t="s">
        <v>90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3801</v>
      </c>
      <c r="R422" s="2">
        <v>6666666.6670000004</v>
      </c>
      <c r="S422" s="2">
        <v>0</v>
      </c>
      <c r="T422" s="2" t="s">
        <v>96</v>
      </c>
      <c r="U422" s="2" t="s">
        <v>97</v>
      </c>
      <c r="V422" s="2" t="s">
        <v>56</v>
      </c>
      <c r="W422" s="2" t="s">
        <v>98</v>
      </c>
      <c r="X422" s="2" t="s">
        <v>99</v>
      </c>
      <c r="Y422" s="2">
        <v>0.73543678507976795</v>
      </c>
      <c r="Z422" s="2">
        <v>735.43678507976801</v>
      </c>
      <c r="AA422" s="2">
        <v>4.73719444444444</v>
      </c>
      <c r="AB422" s="2">
        <v>-74.069472222222203</v>
      </c>
      <c r="AC422" s="2">
        <v>2555</v>
      </c>
      <c r="AD422" s="2">
        <v>0</v>
      </c>
      <c r="AE422" s="2" t="s">
        <v>59</v>
      </c>
      <c r="AF422" s="2" t="s">
        <v>86</v>
      </c>
      <c r="AG422" s="2" t="s">
        <v>61</v>
      </c>
      <c r="AH422" s="2" t="s">
        <v>62</v>
      </c>
      <c r="AI422" s="2" t="s">
        <v>100</v>
      </c>
      <c r="AJ422" s="2">
        <v>1.68812807298878</v>
      </c>
      <c r="AK422" s="2">
        <v>5.2547917688862302</v>
      </c>
      <c r="AL422" s="2">
        <v>1.9433225892663999</v>
      </c>
      <c r="AM422" s="2">
        <v>0.52636933281906395</v>
      </c>
      <c r="AN422" s="2">
        <v>1.92322289081273</v>
      </c>
      <c r="AO422" s="2">
        <v>0.14863607771602599</v>
      </c>
      <c r="AP422" s="2">
        <v>0.14863607771602599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12</v>
      </c>
      <c r="AW422" s="2">
        <v>0</v>
      </c>
      <c r="AX422" s="2">
        <v>0</v>
      </c>
      <c r="AY422" s="2">
        <v>15.3</v>
      </c>
      <c r="AZ422" s="2">
        <v>9.8000000000000007</v>
      </c>
      <c r="BA422" s="2">
        <v>29.7</v>
      </c>
      <c r="BB422" s="2">
        <v>564</v>
      </c>
      <c r="BC422" s="2">
        <v>68</v>
      </c>
      <c r="BD422" s="2">
        <v>1.8</v>
      </c>
      <c r="BE422" s="2">
        <v>43</v>
      </c>
      <c r="BF422" s="2">
        <v>25.4</v>
      </c>
      <c r="BG422" s="2">
        <v>162</v>
      </c>
      <c r="BH422" s="2">
        <v>9.1</v>
      </c>
      <c r="BI422" s="2">
        <v>9.1999999999999993</v>
      </c>
      <c r="BJ422" s="2">
        <v>18.3</v>
      </c>
      <c r="BK422" s="2">
        <v>0.34</v>
      </c>
      <c r="BL422" s="2">
        <v>7.3</v>
      </c>
      <c r="BM422" s="2">
        <v>0.9</v>
      </c>
      <c r="BN422" s="2">
        <v>7.5</v>
      </c>
      <c r="BO422" s="2">
        <v>2.9</v>
      </c>
      <c r="BP422" s="2">
        <f t="shared" si="12"/>
        <v>9.4496553015608473</v>
      </c>
      <c r="BQ422" s="2">
        <f t="shared" si="13"/>
        <v>29.180379922341139</v>
      </c>
    </row>
    <row r="423" spans="1:69" x14ac:dyDescent="0.2">
      <c r="A423" s="2" t="s">
        <v>4148</v>
      </c>
      <c r="B423" s="2" t="s">
        <v>47</v>
      </c>
      <c r="C423" s="2" t="s">
        <v>3273</v>
      </c>
      <c r="D423" s="2" t="s">
        <v>49</v>
      </c>
      <c r="E423" s="2" t="s">
        <v>144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89</v>
      </c>
      <c r="L423" s="6" t="s">
        <v>90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4149</v>
      </c>
      <c r="R423" s="2">
        <v>6487179.4869999997</v>
      </c>
      <c r="S423" s="2">
        <v>0</v>
      </c>
      <c r="T423" s="2" t="s">
        <v>130</v>
      </c>
      <c r="U423" s="2" t="s">
        <v>131</v>
      </c>
      <c r="V423" s="2" t="s">
        <v>56</v>
      </c>
      <c r="W423" s="2" t="s">
        <v>98</v>
      </c>
      <c r="X423" s="2" t="s">
        <v>132</v>
      </c>
      <c r="Y423" s="2">
        <v>2.93151448813936</v>
      </c>
      <c r="Z423" s="2">
        <v>2931.5144881393599</v>
      </c>
      <c r="AA423" s="2">
        <v>4.7837500000000004</v>
      </c>
      <c r="AB423" s="2">
        <v>-74.044138888888895</v>
      </c>
      <c r="AC423" s="2">
        <v>2580</v>
      </c>
      <c r="AD423" s="2">
        <v>0</v>
      </c>
      <c r="AE423" s="2" t="s">
        <v>133</v>
      </c>
      <c r="AF423" s="2" t="s">
        <v>86</v>
      </c>
      <c r="AG423" s="2" t="s">
        <v>61</v>
      </c>
      <c r="AH423" s="2" t="s">
        <v>62</v>
      </c>
      <c r="AI423" s="2" t="s">
        <v>100</v>
      </c>
      <c r="AJ423" s="2">
        <v>0.80469574464798099</v>
      </c>
      <c r="AK423" s="2">
        <v>3.3377924904015401</v>
      </c>
      <c r="AL423" s="2">
        <v>0.60192000328283901</v>
      </c>
      <c r="AM423" s="2">
        <v>0.25306577116061901</v>
      </c>
      <c r="AN423" s="2">
        <v>3.3884317831345898</v>
      </c>
      <c r="AO423" s="2">
        <v>1.3387194689739999E-2</v>
      </c>
      <c r="AP423" s="2">
        <v>1.3387194689739999E-2</v>
      </c>
      <c r="AQ423" s="2">
        <v>0</v>
      </c>
      <c r="AR423" s="2">
        <v>2</v>
      </c>
      <c r="AS423" s="2">
        <v>0</v>
      </c>
      <c r="AT423" s="2">
        <v>0</v>
      </c>
      <c r="AU423" s="2">
        <v>1</v>
      </c>
      <c r="AV423" s="2">
        <v>19</v>
      </c>
      <c r="AW423" s="2">
        <v>0</v>
      </c>
      <c r="AX423" s="2">
        <v>0</v>
      </c>
      <c r="AY423" s="2">
        <v>15.3</v>
      </c>
      <c r="AZ423" s="2">
        <v>9.8000000000000007</v>
      </c>
      <c r="BA423" s="2">
        <v>29.7</v>
      </c>
      <c r="BB423" s="2">
        <v>564</v>
      </c>
      <c r="BC423" s="2">
        <v>68</v>
      </c>
      <c r="BD423" s="2">
        <v>1.8</v>
      </c>
      <c r="BE423" s="2">
        <v>43</v>
      </c>
      <c r="BF423" s="2">
        <v>25.4</v>
      </c>
      <c r="BG423" s="2">
        <v>162</v>
      </c>
      <c r="BH423" s="2">
        <v>9.1</v>
      </c>
      <c r="BI423" s="2">
        <v>9.1999999999999993</v>
      </c>
      <c r="BJ423" s="2">
        <v>18.3</v>
      </c>
      <c r="BK423" s="2">
        <v>0.34</v>
      </c>
      <c r="BL423" s="2">
        <v>7.3</v>
      </c>
      <c r="BM423" s="2">
        <v>0.9</v>
      </c>
      <c r="BN423" s="2">
        <v>7.5</v>
      </c>
      <c r="BO423" s="2">
        <v>2.9</v>
      </c>
      <c r="BP423" s="2">
        <f t="shared" si="12"/>
        <v>8.4762863080752542</v>
      </c>
      <c r="BQ423" s="2">
        <f t="shared" si="13"/>
        <v>27.682230193916698</v>
      </c>
    </row>
    <row r="424" spans="1:69" x14ac:dyDescent="0.2">
      <c r="A424" s="2" t="s">
        <v>4189</v>
      </c>
      <c r="B424" s="2" t="s">
        <v>47</v>
      </c>
      <c r="C424" s="2" t="s">
        <v>3273</v>
      </c>
      <c r="D424" s="2" t="s">
        <v>49</v>
      </c>
      <c r="E424" s="2" t="s">
        <v>144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89</v>
      </c>
      <c r="L424" s="6" t="s">
        <v>90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4190</v>
      </c>
      <c r="R424" s="2">
        <v>6179487.1789999995</v>
      </c>
      <c r="S424" s="2">
        <v>0</v>
      </c>
      <c r="T424" s="2" t="s">
        <v>96</v>
      </c>
      <c r="U424" s="2" t="s">
        <v>97</v>
      </c>
      <c r="V424" s="2" t="s">
        <v>56</v>
      </c>
      <c r="W424" s="2" t="s">
        <v>98</v>
      </c>
      <c r="X424" s="2" t="s">
        <v>99</v>
      </c>
      <c r="Y424" s="2">
        <v>1.91804207748638</v>
      </c>
      <c r="Z424" s="2">
        <v>1918.0420774863801</v>
      </c>
      <c r="AA424" s="2">
        <v>4.73719444444444</v>
      </c>
      <c r="AB424" s="2">
        <v>-74.069472222222203</v>
      </c>
      <c r="AC424" s="2">
        <v>2555</v>
      </c>
      <c r="AD424" s="2">
        <v>0</v>
      </c>
      <c r="AE424" s="2" t="s">
        <v>59</v>
      </c>
      <c r="AF424" s="2" t="s">
        <v>86</v>
      </c>
      <c r="AG424" s="2" t="s">
        <v>61</v>
      </c>
      <c r="AH424" s="2" t="s">
        <v>62</v>
      </c>
      <c r="AI424" s="2" t="s">
        <v>100</v>
      </c>
      <c r="AJ424" s="2">
        <v>5.2815802702927503E-2</v>
      </c>
      <c r="AK424" s="2">
        <v>5.6262528370061196</v>
      </c>
      <c r="AL424" s="2">
        <v>0.57249370046869297</v>
      </c>
      <c r="AM424" s="2">
        <v>0.28036028106592198</v>
      </c>
      <c r="AN424" s="2">
        <v>2.5612404988485502</v>
      </c>
      <c r="AO424" s="2">
        <v>0.120358298935377</v>
      </c>
      <c r="AP424" s="2">
        <v>0.120358298935377</v>
      </c>
      <c r="AQ424" s="2">
        <v>1</v>
      </c>
      <c r="AR424" s="2">
        <v>2</v>
      </c>
      <c r="AS424" s="2">
        <v>0</v>
      </c>
      <c r="AT424" s="2">
        <v>0</v>
      </c>
      <c r="AU424" s="2">
        <v>1</v>
      </c>
      <c r="AV424" s="2">
        <v>31</v>
      </c>
      <c r="AW424" s="2">
        <v>0</v>
      </c>
      <c r="AX424" s="2">
        <v>0</v>
      </c>
      <c r="AY424" s="2">
        <v>15.3</v>
      </c>
      <c r="AZ424" s="2">
        <v>9.8000000000000007</v>
      </c>
      <c r="BA424" s="2">
        <v>29.7</v>
      </c>
      <c r="BB424" s="2">
        <v>564</v>
      </c>
      <c r="BC424" s="2">
        <v>68</v>
      </c>
      <c r="BD424" s="2">
        <v>1.8</v>
      </c>
      <c r="BE424" s="2">
        <v>43</v>
      </c>
      <c r="BF424" s="2">
        <v>25.4</v>
      </c>
      <c r="BG424" s="2">
        <v>162</v>
      </c>
      <c r="BH424" s="2">
        <v>9.1</v>
      </c>
      <c r="BI424" s="2">
        <v>9.1999999999999993</v>
      </c>
      <c r="BJ424" s="2">
        <v>18.3</v>
      </c>
      <c r="BK424" s="2">
        <v>0.34</v>
      </c>
      <c r="BL424" s="2">
        <v>7.3</v>
      </c>
      <c r="BM424" s="2">
        <v>0.9</v>
      </c>
      <c r="BN424" s="2">
        <v>7.5</v>
      </c>
      <c r="BO424" s="2">
        <v>2.9</v>
      </c>
      <c r="BP424" s="2">
        <f t="shared" si="12"/>
        <v>8.9123620097267757</v>
      </c>
      <c r="BQ424" s="2">
        <f t="shared" si="13"/>
        <v>28.363809976223617</v>
      </c>
    </row>
    <row r="425" spans="1:69" x14ac:dyDescent="0.2">
      <c r="A425" s="2" t="s">
        <v>3770</v>
      </c>
      <c r="B425" s="2" t="s">
        <v>47</v>
      </c>
      <c r="C425" s="2" t="s">
        <v>3273</v>
      </c>
      <c r="D425" s="2" t="s">
        <v>49</v>
      </c>
      <c r="E425" s="2" t="s">
        <v>3771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89</v>
      </c>
      <c r="L425" s="6" t="s">
        <v>90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3772</v>
      </c>
      <c r="R425" s="2">
        <v>5512820.5130000003</v>
      </c>
      <c r="S425" s="2">
        <v>0</v>
      </c>
      <c r="T425" s="2" t="s">
        <v>130</v>
      </c>
      <c r="U425" s="2" t="s">
        <v>131</v>
      </c>
      <c r="V425" s="2" t="s">
        <v>56</v>
      </c>
      <c r="W425" s="2" t="s">
        <v>98</v>
      </c>
      <c r="X425" s="2" t="s">
        <v>132</v>
      </c>
      <c r="Y425" s="2">
        <v>2.97850180456228</v>
      </c>
      <c r="Z425" s="2">
        <v>2978.5018045622801</v>
      </c>
      <c r="AA425" s="2">
        <v>4.7837500000000004</v>
      </c>
      <c r="AB425" s="2">
        <v>-74.044138888888895</v>
      </c>
      <c r="AC425" s="2">
        <v>2580</v>
      </c>
      <c r="AD425" s="2">
        <v>0</v>
      </c>
      <c r="AE425" s="2" t="s">
        <v>133</v>
      </c>
      <c r="AF425" s="2" t="s">
        <v>86</v>
      </c>
      <c r="AG425" s="2" t="s">
        <v>61</v>
      </c>
      <c r="AH425" s="2" t="s">
        <v>62</v>
      </c>
      <c r="AI425" s="2" t="s">
        <v>100</v>
      </c>
      <c r="AJ425" s="2">
        <v>0.78004677605407502</v>
      </c>
      <c r="AK425" s="2">
        <v>3.3404846752127901</v>
      </c>
      <c r="AL425" s="2">
        <v>0.554863200125848</v>
      </c>
      <c r="AM425" s="2">
        <v>0.234478549037034</v>
      </c>
      <c r="AN425" s="2">
        <v>3.3626408370183101</v>
      </c>
      <c r="AO425" s="2">
        <v>3.2033839239975E-2</v>
      </c>
      <c r="AP425" s="2">
        <v>3.2033839239975E-2</v>
      </c>
      <c r="AQ425" s="2">
        <v>0</v>
      </c>
      <c r="AR425" s="2">
        <v>1</v>
      </c>
      <c r="AS425" s="2">
        <v>0</v>
      </c>
      <c r="AT425" s="2">
        <v>0</v>
      </c>
      <c r="AU425" s="2">
        <v>1</v>
      </c>
      <c r="AV425" s="2">
        <v>19</v>
      </c>
      <c r="AW425" s="2">
        <v>0</v>
      </c>
      <c r="AX425" s="2">
        <v>0</v>
      </c>
      <c r="AY425" s="2">
        <v>15.3</v>
      </c>
      <c r="AZ425" s="2">
        <v>9.8000000000000007</v>
      </c>
      <c r="BA425" s="2">
        <v>29.7</v>
      </c>
      <c r="BB425" s="2">
        <v>564</v>
      </c>
      <c r="BC425" s="2">
        <v>68</v>
      </c>
      <c r="BD425" s="2">
        <v>1.8</v>
      </c>
      <c r="BE425" s="2">
        <v>43</v>
      </c>
      <c r="BF425" s="2">
        <v>25.4</v>
      </c>
      <c r="BG425" s="2">
        <v>162</v>
      </c>
      <c r="BH425" s="2">
        <v>9.1</v>
      </c>
      <c r="BI425" s="2">
        <v>9.1999999999999993</v>
      </c>
      <c r="BJ425" s="2">
        <v>18.3</v>
      </c>
      <c r="BK425" s="2">
        <v>0.34</v>
      </c>
      <c r="BL425" s="2">
        <v>7.3</v>
      </c>
      <c r="BM425" s="2">
        <v>0.9</v>
      </c>
      <c r="BN425" s="2">
        <v>7.5</v>
      </c>
      <c r="BO425" s="2">
        <v>2.9</v>
      </c>
      <c r="BP425" s="2">
        <f t="shared" si="12"/>
        <v>8.4565944589453199</v>
      </c>
      <c r="BQ425" s="2">
        <f t="shared" si="13"/>
        <v>27.651030659985608</v>
      </c>
    </row>
    <row r="426" spans="1:69" x14ac:dyDescent="0.2">
      <c r="A426" s="2" t="s">
        <v>3744</v>
      </c>
      <c r="B426" s="2" t="s">
        <v>47</v>
      </c>
      <c r="C426" s="2" t="s">
        <v>3273</v>
      </c>
      <c r="D426" s="2" t="s">
        <v>49</v>
      </c>
      <c r="E426" s="2" t="s">
        <v>474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89</v>
      </c>
      <c r="L426" s="6" t="s">
        <v>90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3745</v>
      </c>
      <c r="R426" s="2">
        <v>6347150.2589999996</v>
      </c>
      <c r="S426" s="2">
        <v>0</v>
      </c>
      <c r="T426" s="2" t="s">
        <v>96</v>
      </c>
      <c r="U426" s="2" t="s">
        <v>97</v>
      </c>
      <c r="V426" s="2" t="s">
        <v>56</v>
      </c>
      <c r="W426" s="2" t="s">
        <v>98</v>
      </c>
      <c r="X426" s="2" t="s">
        <v>99</v>
      </c>
      <c r="Y426" s="2">
        <v>2.0934439016960198</v>
      </c>
      <c r="Z426" s="2">
        <v>2093.44390169602</v>
      </c>
      <c r="AA426" s="2">
        <v>4.73719444444444</v>
      </c>
      <c r="AB426" s="2">
        <v>-74.069472222222203</v>
      </c>
      <c r="AC426" s="2">
        <v>2555</v>
      </c>
      <c r="AD426" s="2">
        <v>0</v>
      </c>
      <c r="AE426" s="2" t="s">
        <v>59</v>
      </c>
      <c r="AF426" s="2" t="s">
        <v>86</v>
      </c>
      <c r="AG426" s="2" t="s">
        <v>61</v>
      </c>
      <c r="AH426" s="2" t="s">
        <v>62</v>
      </c>
      <c r="AI426" s="2" t="s">
        <v>100</v>
      </c>
      <c r="AJ426" s="2">
        <v>0.31684982994232103</v>
      </c>
      <c r="AK426" s="2">
        <v>3.4066387008022501</v>
      </c>
      <c r="AL426" s="2">
        <v>1.5886726239842599</v>
      </c>
      <c r="AM426" s="2">
        <v>0.23904603732339999</v>
      </c>
      <c r="AN426" s="2">
        <v>3.3245263037904902</v>
      </c>
      <c r="AO426" s="2">
        <v>1.34537550046637E-2</v>
      </c>
      <c r="AP426" s="2">
        <v>1.34537550046637E-2</v>
      </c>
      <c r="AQ426" s="2">
        <v>1</v>
      </c>
      <c r="AR426" s="2">
        <v>4</v>
      </c>
      <c r="AS426" s="2">
        <v>0</v>
      </c>
      <c r="AT426" s="2">
        <v>0</v>
      </c>
      <c r="AU426" s="2">
        <v>0</v>
      </c>
      <c r="AV426" s="2">
        <v>24</v>
      </c>
      <c r="AW426" s="2">
        <v>0</v>
      </c>
      <c r="AX426" s="2">
        <v>0</v>
      </c>
      <c r="AY426" s="2">
        <v>15.3</v>
      </c>
      <c r="AZ426" s="2">
        <v>9.8000000000000007</v>
      </c>
      <c r="BA426" s="2">
        <v>29.7</v>
      </c>
      <c r="BB426" s="2">
        <v>564</v>
      </c>
      <c r="BC426" s="2">
        <v>68</v>
      </c>
      <c r="BD426" s="2">
        <v>1.8</v>
      </c>
      <c r="BE426" s="2">
        <v>43</v>
      </c>
      <c r="BF426" s="2">
        <v>25.4</v>
      </c>
      <c r="BG426" s="2">
        <v>162</v>
      </c>
      <c r="BH426" s="2">
        <v>9.1</v>
      </c>
      <c r="BI426" s="2">
        <v>9.1999999999999993</v>
      </c>
      <c r="BJ426" s="2">
        <v>18.3</v>
      </c>
      <c r="BK426" s="2">
        <v>0.34</v>
      </c>
      <c r="BL426" s="2">
        <v>7.3</v>
      </c>
      <c r="BM426" s="2">
        <v>0.9</v>
      </c>
      <c r="BN426" s="2">
        <v>7.5</v>
      </c>
      <c r="BO426" s="2">
        <v>2.9</v>
      </c>
      <c r="BP426" s="2">
        <f t="shared" si="12"/>
        <v>8.8353163584848762</v>
      </c>
      <c r="BQ426" s="2">
        <f t="shared" si="13"/>
        <v>28.244659406634543</v>
      </c>
    </row>
    <row r="427" spans="1:69" x14ac:dyDescent="0.2">
      <c r="A427" s="2" t="s">
        <v>3877</v>
      </c>
      <c r="B427" s="2" t="s">
        <v>47</v>
      </c>
      <c r="C427" s="2" t="s">
        <v>3273</v>
      </c>
      <c r="D427" s="2" t="s">
        <v>49</v>
      </c>
      <c r="E427" s="2" t="s">
        <v>408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89</v>
      </c>
      <c r="L427" s="6" t="s">
        <v>90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3878</v>
      </c>
      <c r="R427" s="2">
        <v>10774025.970000001</v>
      </c>
      <c r="S427" s="2">
        <v>0</v>
      </c>
      <c r="T427" s="2" t="s">
        <v>96</v>
      </c>
      <c r="U427" s="2" t="s">
        <v>97</v>
      </c>
      <c r="V427" s="2" t="s">
        <v>56</v>
      </c>
      <c r="W427" s="2" t="s">
        <v>98</v>
      </c>
      <c r="X427" s="2" t="s">
        <v>99</v>
      </c>
      <c r="Y427" s="2">
        <v>2.6156487656109002</v>
      </c>
      <c r="Z427" s="2">
        <v>2615.6487656109002</v>
      </c>
      <c r="AA427" s="2">
        <v>4.73719444444444</v>
      </c>
      <c r="AB427" s="2">
        <v>-74.069472222222203</v>
      </c>
      <c r="AC427" s="2">
        <v>2555</v>
      </c>
      <c r="AD427" s="2">
        <v>0</v>
      </c>
      <c r="AE427" s="2" t="s">
        <v>59</v>
      </c>
      <c r="AF427" s="2" t="s">
        <v>86</v>
      </c>
      <c r="AG427" s="2" t="s">
        <v>61</v>
      </c>
      <c r="AH427" s="2" t="s">
        <v>62</v>
      </c>
      <c r="AI427" s="2" t="s">
        <v>87</v>
      </c>
      <c r="AJ427" s="2">
        <v>0.25490498305667603</v>
      </c>
      <c r="AK427" s="2">
        <v>2.9242209060889399</v>
      </c>
      <c r="AL427" s="2">
        <v>1.37785849747266</v>
      </c>
      <c r="AM427" s="2">
        <v>8.3370456925129399E-2</v>
      </c>
      <c r="AN427" s="2">
        <v>3.1235772803930999</v>
      </c>
      <c r="AO427" s="2">
        <v>1.43609813866763E-2</v>
      </c>
      <c r="AP427" s="2">
        <v>1.43609813866763E-2</v>
      </c>
      <c r="AQ427" s="2">
        <v>2</v>
      </c>
      <c r="AR427" s="2">
        <v>3</v>
      </c>
      <c r="AS427" s="2">
        <v>0</v>
      </c>
      <c r="AT427" s="2">
        <v>0</v>
      </c>
      <c r="AU427" s="2">
        <v>0</v>
      </c>
      <c r="AV427" s="2">
        <v>42</v>
      </c>
      <c r="AW427" s="2">
        <v>0</v>
      </c>
      <c r="AX427" s="2">
        <v>0</v>
      </c>
      <c r="AY427" s="2">
        <v>15.3</v>
      </c>
      <c r="AZ427" s="2">
        <v>9.8000000000000007</v>
      </c>
      <c r="BA427" s="2">
        <v>29.7</v>
      </c>
      <c r="BB427" s="2">
        <v>564</v>
      </c>
      <c r="BC427" s="2">
        <v>68</v>
      </c>
      <c r="BD427" s="2">
        <v>1.8</v>
      </c>
      <c r="BE427" s="2">
        <v>43</v>
      </c>
      <c r="BF427" s="2">
        <v>25.4</v>
      </c>
      <c r="BG427" s="2">
        <v>162</v>
      </c>
      <c r="BH427" s="2">
        <v>9.1</v>
      </c>
      <c r="BI427" s="2">
        <v>9.1999999999999993</v>
      </c>
      <c r="BJ427" s="2">
        <v>18.3</v>
      </c>
      <c r="BK427" s="2">
        <v>0.34</v>
      </c>
      <c r="BL427" s="2">
        <v>7.3</v>
      </c>
      <c r="BM427" s="2">
        <v>0.9</v>
      </c>
      <c r="BN427" s="2">
        <v>7.5</v>
      </c>
      <c r="BO427" s="2">
        <v>2.9</v>
      </c>
      <c r="BP427" s="2">
        <f t="shared" si="12"/>
        <v>8.6098575344287269</v>
      </c>
      <c r="BQ427" s="2">
        <f t="shared" si="13"/>
        <v>27.892880454866436</v>
      </c>
    </row>
    <row r="428" spans="1:69" x14ac:dyDescent="0.2">
      <c r="A428" s="2" t="s">
        <v>3705</v>
      </c>
      <c r="B428" s="2" t="s">
        <v>47</v>
      </c>
      <c r="C428" s="2" t="s">
        <v>3273</v>
      </c>
      <c r="D428" s="2" t="s">
        <v>49</v>
      </c>
      <c r="E428" s="2" t="s">
        <v>3706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89</v>
      </c>
      <c r="L428" s="6" t="s">
        <v>112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3707</v>
      </c>
      <c r="R428" s="2">
        <v>8421052.6319999993</v>
      </c>
      <c r="S428" s="2">
        <v>0</v>
      </c>
      <c r="T428" s="2" t="s">
        <v>96</v>
      </c>
      <c r="U428" s="2" t="s">
        <v>97</v>
      </c>
      <c r="V428" s="2" t="s">
        <v>56</v>
      </c>
      <c r="W428" s="2" t="s">
        <v>98</v>
      </c>
      <c r="X428" s="2" t="s">
        <v>99</v>
      </c>
      <c r="Y428" s="2">
        <v>2.0748919715582801</v>
      </c>
      <c r="Z428" s="2">
        <v>2074.8919715582801</v>
      </c>
      <c r="AA428" s="2">
        <v>4.73719444444444</v>
      </c>
      <c r="AB428" s="2">
        <v>-74.069472222222203</v>
      </c>
      <c r="AC428" s="2">
        <v>2555</v>
      </c>
      <c r="AD428" s="2">
        <v>0</v>
      </c>
      <c r="AE428" s="2" t="s">
        <v>59</v>
      </c>
      <c r="AF428" s="2" t="s">
        <v>86</v>
      </c>
      <c r="AG428" s="2" t="s">
        <v>61</v>
      </c>
      <c r="AH428" s="2" t="s">
        <v>62</v>
      </c>
      <c r="AI428" s="2" t="s">
        <v>100</v>
      </c>
      <c r="AJ428" s="2">
        <v>0.72607427024721904</v>
      </c>
      <c r="AK428" s="2">
        <v>3.6803412742991499</v>
      </c>
      <c r="AL428" s="2">
        <v>0.67853603146525598</v>
      </c>
      <c r="AM428" s="2">
        <v>0.471371194228005</v>
      </c>
      <c r="AN428" s="2">
        <v>3.05767445757518</v>
      </c>
      <c r="AO428" s="2">
        <v>4.4339473583280701E-3</v>
      </c>
      <c r="AP428" s="2">
        <v>4.4339473583280701E-3</v>
      </c>
      <c r="AQ428" s="2">
        <v>0</v>
      </c>
      <c r="AR428" s="2">
        <v>2</v>
      </c>
      <c r="AS428" s="2">
        <v>0</v>
      </c>
      <c r="AT428" s="2">
        <v>0</v>
      </c>
      <c r="AU428" s="2">
        <v>1</v>
      </c>
      <c r="AV428" s="2">
        <v>14</v>
      </c>
      <c r="AW428" s="2">
        <v>0</v>
      </c>
      <c r="AX428" s="2">
        <v>0</v>
      </c>
      <c r="AY428" s="2">
        <v>15.3</v>
      </c>
      <c r="AZ428" s="2">
        <v>9.8000000000000007</v>
      </c>
      <c r="BA428" s="2">
        <v>29.7</v>
      </c>
      <c r="BB428" s="2">
        <v>564</v>
      </c>
      <c r="BC428" s="2">
        <v>68</v>
      </c>
      <c r="BD428" s="2">
        <v>1.8</v>
      </c>
      <c r="BE428" s="2">
        <v>43</v>
      </c>
      <c r="BF428" s="2">
        <v>25.4</v>
      </c>
      <c r="BG428" s="2">
        <v>162</v>
      </c>
      <c r="BH428" s="2">
        <v>9.1</v>
      </c>
      <c r="BI428" s="2">
        <v>9.1999999999999993</v>
      </c>
      <c r="BJ428" s="2">
        <v>18.3</v>
      </c>
      <c r="BK428" s="2">
        <v>0.34</v>
      </c>
      <c r="BL428" s="2">
        <v>7.3</v>
      </c>
      <c r="BM428" s="2">
        <v>0.9</v>
      </c>
      <c r="BN428" s="2">
        <v>7.5</v>
      </c>
      <c r="BO428" s="2">
        <v>2.9</v>
      </c>
      <c r="BP428" s="2">
        <f t="shared" si="12"/>
        <v>8.84343373759787</v>
      </c>
      <c r="BQ428" s="2">
        <f t="shared" si="13"/>
        <v>28.257238037475137</v>
      </c>
    </row>
    <row r="429" spans="1:69" x14ac:dyDescent="0.2">
      <c r="A429" s="2" t="s">
        <v>4002</v>
      </c>
      <c r="B429" s="2" t="s">
        <v>47</v>
      </c>
      <c r="C429" s="2" t="s">
        <v>3273</v>
      </c>
      <c r="D429" s="2" t="s">
        <v>49</v>
      </c>
      <c r="E429" s="2" t="s">
        <v>119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89</v>
      </c>
      <c r="L429" s="6" t="s">
        <v>103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4003</v>
      </c>
      <c r="R429" s="2">
        <v>7368421.0530000003</v>
      </c>
      <c r="S429" s="2">
        <v>0</v>
      </c>
      <c r="T429" s="2" t="s">
        <v>96</v>
      </c>
      <c r="U429" s="2" t="s">
        <v>97</v>
      </c>
      <c r="V429" s="2" t="s">
        <v>56</v>
      </c>
      <c r="W429" s="2" t="s">
        <v>98</v>
      </c>
      <c r="X429" s="2" t="s">
        <v>99</v>
      </c>
      <c r="Y429" s="2">
        <v>1.13710771535105</v>
      </c>
      <c r="Z429" s="2">
        <v>1137.10771535105</v>
      </c>
      <c r="AA429" s="2">
        <v>4.73719444444444</v>
      </c>
      <c r="AB429" s="2">
        <v>-74.069472222222203</v>
      </c>
      <c r="AC429" s="2">
        <v>2555</v>
      </c>
      <c r="AD429" s="2">
        <v>0</v>
      </c>
      <c r="AE429" s="2" t="s">
        <v>59</v>
      </c>
      <c r="AF429" s="2" t="s">
        <v>86</v>
      </c>
      <c r="AG429" s="2" t="s">
        <v>61</v>
      </c>
      <c r="AH429" s="2" t="s">
        <v>62</v>
      </c>
      <c r="AI429" s="2" t="s">
        <v>100</v>
      </c>
      <c r="AJ429" s="2">
        <v>1.3597168495501699</v>
      </c>
      <c r="AK429" s="2">
        <v>4.3576029510064496</v>
      </c>
      <c r="AL429" s="2">
        <v>1.49455506562768</v>
      </c>
      <c r="AM429" s="2">
        <v>0.420685265647261</v>
      </c>
      <c r="AN429" s="2">
        <v>2.7774101614802902</v>
      </c>
      <c r="AO429" s="2">
        <v>0.15900331649439001</v>
      </c>
      <c r="AP429" s="2">
        <v>0.15900331649439001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11</v>
      </c>
      <c r="AW429" s="2">
        <v>0</v>
      </c>
      <c r="AX429" s="2">
        <v>0</v>
      </c>
      <c r="AY429" s="2">
        <v>15.3</v>
      </c>
      <c r="AZ429" s="2">
        <v>9.8000000000000007</v>
      </c>
      <c r="BA429" s="2">
        <v>29.7</v>
      </c>
      <c r="BB429" s="2">
        <v>564</v>
      </c>
      <c r="BC429" s="2">
        <v>68</v>
      </c>
      <c r="BD429" s="2">
        <v>1.8</v>
      </c>
      <c r="BE429" s="2">
        <v>43</v>
      </c>
      <c r="BF429" s="2">
        <v>25.4</v>
      </c>
      <c r="BG429" s="2">
        <v>162</v>
      </c>
      <c r="BH429" s="2">
        <v>9.1</v>
      </c>
      <c r="BI429" s="2">
        <v>9.1999999999999993</v>
      </c>
      <c r="BJ429" s="2">
        <v>18.3</v>
      </c>
      <c r="BK429" s="2">
        <v>0.34</v>
      </c>
      <c r="BL429" s="2">
        <v>7.3</v>
      </c>
      <c r="BM429" s="2">
        <v>0.9</v>
      </c>
      <c r="BN429" s="2">
        <v>7.5</v>
      </c>
      <c r="BO429" s="2">
        <v>2.9</v>
      </c>
      <c r="BP429" s="2">
        <f t="shared" si="12"/>
        <v>9.2636260470669374</v>
      </c>
      <c r="BQ429" s="2">
        <f t="shared" si="13"/>
        <v>28.900429616774471</v>
      </c>
    </row>
    <row r="430" spans="1:69" x14ac:dyDescent="0.2">
      <c r="A430" s="2" t="s">
        <v>4289</v>
      </c>
      <c r="B430" s="2" t="s">
        <v>47</v>
      </c>
      <c r="C430" s="2" t="s">
        <v>3273</v>
      </c>
      <c r="D430" s="2" t="s">
        <v>49</v>
      </c>
      <c r="E430" s="2" t="s">
        <v>521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89</v>
      </c>
      <c r="L430" s="6" t="s">
        <v>112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4290</v>
      </c>
      <c r="R430" s="2">
        <v>5842105.2630000003</v>
      </c>
      <c r="S430" s="2">
        <v>0</v>
      </c>
      <c r="T430" s="2" t="s">
        <v>96</v>
      </c>
      <c r="U430" s="2" t="s">
        <v>97</v>
      </c>
      <c r="V430" s="2" t="s">
        <v>56</v>
      </c>
      <c r="W430" s="2" t="s">
        <v>98</v>
      </c>
      <c r="X430" s="2" t="s">
        <v>99</v>
      </c>
      <c r="Y430" s="2">
        <v>1.62497559293198</v>
      </c>
      <c r="Z430" s="2">
        <v>1624.9755929319799</v>
      </c>
      <c r="AA430" s="2">
        <v>4.73719444444444</v>
      </c>
      <c r="AB430" s="2">
        <v>-74.069472222222203</v>
      </c>
      <c r="AC430" s="2">
        <v>2555</v>
      </c>
      <c r="AD430" s="2">
        <v>0</v>
      </c>
      <c r="AE430" s="2" t="s">
        <v>59</v>
      </c>
      <c r="AF430" s="2" t="s">
        <v>86</v>
      </c>
      <c r="AG430" s="2" t="s">
        <v>61</v>
      </c>
      <c r="AH430" s="2" t="s">
        <v>62</v>
      </c>
      <c r="AI430" s="2" t="s">
        <v>100</v>
      </c>
      <c r="AJ430" s="2">
        <v>0.37616697786118702</v>
      </c>
      <c r="AK430" s="2">
        <v>4.2585791598971596</v>
      </c>
      <c r="AL430" s="2">
        <v>2.6464589888157599</v>
      </c>
      <c r="AM430" s="2">
        <v>5.42106217479578E-2</v>
      </c>
      <c r="AN430" s="2">
        <v>0.49195216605150299</v>
      </c>
      <c r="AO430" s="2">
        <v>9.4736722488307806E-2</v>
      </c>
      <c r="AP430" s="2">
        <v>9.4736722488307806E-2</v>
      </c>
      <c r="AQ430" s="2">
        <v>2</v>
      </c>
      <c r="AR430" s="2">
        <v>3</v>
      </c>
      <c r="AS430" s="2">
        <v>0</v>
      </c>
      <c r="AT430" s="2">
        <v>0</v>
      </c>
      <c r="AU430" s="2">
        <v>0</v>
      </c>
      <c r="AV430" s="2">
        <v>26</v>
      </c>
      <c r="AW430" s="2">
        <v>1</v>
      </c>
      <c r="AX430" s="2">
        <v>0</v>
      </c>
      <c r="AY430" s="2">
        <v>15.3</v>
      </c>
      <c r="AZ430" s="2">
        <v>9.8000000000000007</v>
      </c>
      <c r="BA430" s="2">
        <v>29.7</v>
      </c>
      <c r="BB430" s="2">
        <v>564</v>
      </c>
      <c r="BC430" s="2">
        <v>68</v>
      </c>
      <c r="BD430" s="2">
        <v>1.8</v>
      </c>
      <c r="BE430" s="2">
        <v>43</v>
      </c>
      <c r="BF430" s="2">
        <v>25.4</v>
      </c>
      <c r="BG430" s="2">
        <v>162</v>
      </c>
      <c r="BH430" s="2">
        <v>9.1</v>
      </c>
      <c r="BI430" s="2">
        <v>9.1999999999999993</v>
      </c>
      <c r="BJ430" s="2">
        <v>18.3</v>
      </c>
      <c r="BK430" s="2">
        <v>0.34</v>
      </c>
      <c r="BL430" s="2">
        <v>7.3</v>
      </c>
      <c r="BM430" s="2">
        <v>0.9</v>
      </c>
      <c r="BN430" s="2">
        <v>7.5</v>
      </c>
      <c r="BO430" s="2">
        <v>2.9</v>
      </c>
      <c r="BP430" s="2">
        <f t="shared" si="12"/>
        <v>9.0425941237121084</v>
      </c>
      <c r="BQ430" s="2">
        <f t="shared" si="13"/>
        <v>28.564012793573468</v>
      </c>
    </row>
    <row r="431" spans="1:69" x14ac:dyDescent="0.2">
      <c r="A431" s="2" t="s">
        <v>3613</v>
      </c>
      <c r="B431" s="2" t="s">
        <v>47</v>
      </c>
      <c r="C431" s="2" t="s">
        <v>3273</v>
      </c>
      <c r="D431" s="2" t="s">
        <v>49</v>
      </c>
      <c r="E431" s="2" t="s">
        <v>184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89</v>
      </c>
      <c r="L431" s="6" t="s">
        <v>103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3614</v>
      </c>
      <c r="R431" s="2">
        <v>7102653.4440000001</v>
      </c>
      <c r="S431" s="2">
        <v>0</v>
      </c>
      <c r="T431" s="2" t="s">
        <v>96</v>
      </c>
      <c r="U431" s="2" t="s">
        <v>97</v>
      </c>
      <c r="V431" s="2" t="s">
        <v>56</v>
      </c>
      <c r="W431" s="2" t="s">
        <v>98</v>
      </c>
      <c r="X431" s="2" t="s">
        <v>99</v>
      </c>
      <c r="Y431" s="2">
        <v>2.51737162762387</v>
      </c>
      <c r="Z431" s="2">
        <v>2517.3716276238702</v>
      </c>
      <c r="AA431" s="2">
        <v>4.73719444444444</v>
      </c>
      <c r="AB431" s="2">
        <v>-74.069472222222203</v>
      </c>
      <c r="AC431" s="2">
        <v>2555</v>
      </c>
      <c r="AD431" s="2">
        <v>0</v>
      </c>
      <c r="AE431" s="2" t="s">
        <v>59</v>
      </c>
      <c r="AF431" s="2" t="s">
        <v>86</v>
      </c>
      <c r="AG431" s="2" t="s">
        <v>61</v>
      </c>
      <c r="AH431" s="2" t="s">
        <v>62</v>
      </c>
      <c r="AI431" s="2" t="s">
        <v>87</v>
      </c>
      <c r="AJ431" s="2">
        <v>0.20907919069931399</v>
      </c>
      <c r="AK431" s="2">
        <v>2.9416487823632802</v>
      </c>
      <c r="AL431" s="2">
        <v>1.13554778850088</v>
      </c>
      <c r="AM431" s="2">
        <v>7.7452555628140393E-2</v>
      </c>
      <c r="AN431" s="2">
        <v>2.88647397305302</v>
      </c>
      <c r="AO431" s="2">
        <v>8.4507960315511499E-2</v>
      </c>
      <c r="AP431" s="2">
        <v>8.4507960315511499E-2</v>
      </c>
      <c r="AQ431" s="2">
        <v>2</v>
      </c>
      <c r="AR431" s="2">
        <v>4</v>
      </c>
      <c r="AS431" s="2">
        <v>0</v>
      </c>
      <c r="AT431" s="2">
        <v>0</v>
      </c>
      <c r="AU431" s="2">
        <v>0</v>
      </c>
      <c r="AV431" s="2">
        <v>40</v>
      </c>
      <c r="AW431" s="2">
        <v>0</v>
      </c>
      <c r="AX431" s="2">
        <v>0</v>
      </c>
      <c r="AY431" s="2">
        <v>15.3</v>
      </c>
      <c r="AZ431" s="2">
        <v>9.8000000000000007</v>
      </c>
      <c r="BA431" s="2">
        <v>29.7</v>
      </c>
      <c r="BB431" s="2">
        <v>564</v>
      </c>
      <c r="BC431" s="2">
        <v>68</v>
      </c>
      <c r="BD431" s="2">
        <v>1.8</v>
      </c>
      <c r="BE431" s="2">
        <v>43</v>
      </c>
      <c r="BF431" s="2">
        <v>25.4</v>
      </c>
      <c r="BG431" s="2">
        <v>162</v>
      </c>
      <c r="BH431" s="2">
        <v>9.1</v>
      </c>
      <c r="BI431" s="2">
        <v>9.1999999999999993</v>
      </c>
      <c r="BJ431" s="2">
        <v>18.3</v>
      </c>
      <c r="BK431" s="2">
        <v>0.34</v>
      </c>
      <c r="BL431" s="2">
        <v>7.3</v>
      </c>
      <c r="BM431" s="2">
        <v>0.9</v>
      </c>
      <c r="BN431" s="2">
        <v>7.5</v>
      </c>
      <c r="BO431" s="2">
        <v>2.9</v>
      </c>
      <c r="BP431" s="2">
        <f t="shared" si="12"/>
        <v>8.651844109827028</v>
      </c>
      <c r="BQ431" s="2">
        <f t="shared" si="13"/>
        <v>27.958747682313049</v>
      </c>
    </row>
    <row r="432" spans="1:69" x14ac:dyDescent="0.2">
      <c r="A432" s="2" t="s">
        <v>143</v>
      </c>
      <c r="B432" s="2" t="s">
        <v>47</v>
      </c>
      <c r="C432" s="2" t="s">
        <v>48</v>
      </c>
      <c r="D432" s="2" t="s">
        <v>49</v>
      </c>
      <c r="E432" s="2" t="s">
        <v>144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89</v>
      </c>
      <c r="L432" s="6" t="s">
        <v>90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145</v>
      </c>
      <c r="R432" s="2">
        <v>7297297.2970000003</v>
      </c>
      <c r="S432" s="2">
        <v>0</v>
      </c>
      <c r="T432" s="2" t="s">
        <v>96</v>
      </c>
      <c r="U432" s="2" t="s">
        <v>97</v>
      </c>
      <c r="V432" s="2" t="s">
        <v>56</v>
      </c>
      <c r="W432" s="2" t="s">
        <v>98</v>
      </c>
      <c r="X432" s="2" t="s">
        <v>99</v>
      </c>
      <c r="Y432" s="2">
        <v>2.9106084804418102</v>
      </c>
      <c r="Z432" s="2">
        <v>2910.6084804418101</v>
      </c>
      <c r="AA432" s="2">
        <v>4.73719444444444</v>
      </c>
      <c r="AB432" s="2">
        <v>-74.069472222222203</v>
      </c>
      <c r="AC432" s="2">
        <v>2555</v>
      </c>
      <c r="AD432" s="2">
        <v>0</v>
      </c>
      <c r="AE432" s="2" t="s">
        <v>59</v>
      </c>
      <c r="AF432" s="2" t="s">
        <v>86</v>
      </c>
      <c r="AG432" s="2" t="s">
        <v>61</v>
      </c>
      <c r="AH432" s="2" t="s">
        <v>62</v>
      </c>
      <c r="AI432" s="2" t="s">
        <v>100</v>
      </c>
      <c r="AJ432" s="2">
        <v>0.77772871359934703</v>
      </c>
      <c r="AK432" s="2">
        <v>3.3896119000015701</v>
      </c>
      <c r="AL432" s="2">
        <v>0.43432513631529801</v>
      </c>
      <c r="AM432" s="2">
        <v>0.180647385569949</v>
      </c>
      <c r="AN432" s="2">
        <v>3.3470875235511701</v>
      </c>
      <c r="AO432" s="2">
        <v>7.6180792166303302E-2</v>
      </c>
      <c r="AP432" s="2">
        <v>7.6180792166303302E-2</v>
      </c>
      <c r="AQ432" s="2">
        <v>0</v>
      </c>
      <c r="AR432" s="2">
        <v>1</v>
      </c>
      <c r="AS432" s="2">
        <v>0</v>
      </c>
      <c r="AT432" s="2">
        <v>0</v>
      </c>
      <c r="AU432" s="2">
        <v>1</v>
      </c>
      <c r="AV432" s="2">
        <v>22</v>
      </c>
      <c r="AW432" s="2">
        <v>0</v>
      </c>
      <c r="AX432" s="2">
        <v>0</v>
      </c>
      <c r="AY432" s="2">
        <v>15.3</v>
      </c>
      <c r="AZ432" s="2">
        <v>9.8000000000000007</v>
      </c>
      <c r="BA432" s="2">
        <v>29.7</v>
      </c>
      <c r="BB432" s="2">
        <v>564</v>
      </c>
      <c r="BC432" s="2">
        <v>68</v>
      </c>
      <c r="BD432" s="2">
        <v>1.8</v>
      </c>
      <c r="BE432" s="2">
        <v>43</v>
      </c>
      <c r="BF432" s="2">
        <v>25.4</v>
      </c>
      <c r="BG432" s="2">
        <v>162</v>
      </c>
      <c r="BH432" s="2">
        <v>9.1</v>
      </c>
      <c r="BI432" s="2">
        <v>9.1999999999999993</v>
      </c>
      <c r="BJ432" s="2">
        <v>18.3</v>
      </c>
      <c r="BK432" s="2">
        <v>0.34</v>
      </c>
      <c r="BL432" s="2">
        <v>7.3</v>
      </c>
      <c r="BM432" s="2">
        <v>0.9</v>
      </c>
      <c r="BN432" s="2">
        <v>7.5</v>
      </c>
      <c r="BO432" s="2">
        <v>2.9</v>
      </c>
      <c r="BP432" s="2">
        <f t="shared" si="12"/>
        <v>8.4850625109941085</v>
      </c>
      <c r="BQ432" s="2">
        <f t="shared" si="13"/>
        <v>27.696123076982349</v>
      </c>
    </row>
    <row r="433" spans="1:69" x14ac:dyDescent="0.2">
      <c r="A433" s="2" t="s">
        <v>937</v>
      </c>
      <c r="B433" s="2" t="s">
        <v>47</v>
      </c>
      <c r="C433" s="2" t="s">
        <v>48</v>
      </c>
      <c r="D433" s="2" t="s">
        <v>49</v>
      </c>
      <c r="E433" s="2" t="s">
        <v>938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89</v>
      </c>
      <c r="L433" s="6" t="s">
        <v>90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939</v>
      </c>
      <c r="R433" s="2">
        <v>7027027.0269999998</v>
      </c>
      <c r="S433" s="2">
        <v>0</v>
      </c>
      <c r="T433" s="2" t="s">
        <v>130</v>
      </c>
      <c r="U433" s="2" t="s">
        <v>131</v>
      </c>
      <c r="V433" s="2" t="s">
        <v>56</v>
      </c>
      <c r="W433" s="2" t="s">
        <v>98</v>
      </c>
      <c r="X433" s="2" t="s">
        <v>132</v>
      </c>
      <c r="Y433" s="2">
        <v>2.9557753495646102</v>
      </c>
      <c r="Z433" s="2">
        <v>2955.7753495646102</v>
      </c>
      <c r="AA433" s="2">
        <v>4.7837500000000004</v>
      </c>
      <c r="AB433" s="2">
        <v>-74.044138888888895</v>
      </c>
      <c r="AC433" s="2">
        <v>2580</v>
      </c>
      <c r="AD433" s="2">
        <v>0</v>
      </c>
      <c r="AE433" s="2" t="s">
        <v>133</v>
      </c>
      <c r="AF433" s="2" t="s">
        <v>86</v>
      </c>
      <c r="AG433" s="2" t="s">
        <v>61</v>
      </c>
      <c r="AH433" s="2" t="s">
        <v>62</v>
      </c>
      <c r="AI433" s="2" t="s">
        <v>100</v>
      </c>
      <c r="AJ433" s="2">
        <v>0.79341067480966898</v>
      </c>
      <c r="AK433" s="2">
        <v>3.34257664552822</v>
      </c>
      <c r="AL433" s="2">
        <v>0.577642569756319</v>
      </c>
      <c r="AM433" s="2">
        <v>0.24104012890625601</v>
      </c>
      <c r="AN433" s="2">
        <v>3.3767564622976201</v>
      </c>
      <c r="AO433" s="2">
        <v>1.02187826009662E-2</v>
      </c>
      <c r="AP433" s="2">
        <v>1.02187826009662E-2</v>
      </c>
      <c r="AQ433" s="2">
        <v>0</v>
      </c>
      <c r="AR433" s="2">
        <v>1</v>
      </c>
      <c r="AS433" s="2">
        <v>0</v>
      </c>
      <c r="AT433" s="2">
        <v>0</v>
      </c>
      <c r="AU433" s="2">
        <v>1</v>
      </c>
      <c r="AV433" s="2">
        <v>19</v>
      </c>
      <c r="AW433" s="2">
        <v>0</v>
      </c>
      <c r="AX433" s="2">
        <v>0</v>
      </c>
      <c r="AY433" s="2">
        <v>15.3</v>
      </c>
      <c r="AZ433" s="2">
        <v>9.8000000000000007</v>
      </c>
      <c r="BA433" s="2">
        <v>29.7</v>
      </c>
      <c r="BB433" s="2">
        <v>564</v>
      </c>
      <c r="BC433" s="2">
        <v>68</v>
      </c>
      <c r="BD433" s="2">
        <v>1.8</v>
      </c>
      <c r="BE433" s="2">
        <v>43</v>
      </c>
      <c r="BF433" s="2">
        <v>25.4</v>
      </c>
      <c r="BG433" s="2">
        <v>162</v>
      </c>
      <c r="BH433" s="2">
        <v>9.1</v>
      </c>
      <c r="BI433" s="2">
        <v>9.1999999999999993</v>
      </c>
      <c r="BJ433" s="2">
        <v>18.3</v>
      </c>
      <c r="BK433" s="2">
        <v>0.34</v>
      </c>
      <c r="BL433" s="2">
        <v>7.3</v>
      </c>
      <c r="BM433" s="2">
        <v>0.9</v>
      </c>
      <c r="BN433" s="2">
        <v>7.5</v>
      </c>
      <c r="BO433" s="2">
        <v>2.9</v>
      </c>
      <c r="BP433" s="2">
        <f t="shared" si="12"/>
        <v>8.4661131384695913</v>
      </c>
      <c r="BQ433" s="2">
        <f t="shared" si="13"/>
        <v>27.666116611508386</v>
      </c>
    </row>
    <row r="434" spans="1:69" x14ac:dyDescent="0.2">
      <c r="A434" s="2" t="s">
        <v>3855</v>
      </c>
      <c r="B434" s="2" t="s">
        <v>47</v>
      </c>
      <c r="C434" s="2" t="s">
        <v>3273</v>
      </c>
      <c r="D434" s="2" t="s">
        <v>49</v>
      </c>
      <c r="E434" s="2" t="s">
        <v>3446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89</v>
      </c>
      <c r="L434" s="6" t="s">
        <v>90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3856</v>
      </c>
      <c r="R434" s="2">
        <v>6756756.7570000002</v>
      </c>
      <c r="S434" s="2">
        <v>0</v>
      </c>
      <c r="T434" s="2" t="s">
        <v>96</v>
      </c>
      <c r="U434" s="2" t="s">
        <v>97</v>
      </c>
      <c r="V434" s="2" t="s">
        <v>56</v>
      </c>
      <c r="W434" s="2" t="s">
        <v>98</v>
      </c>
      <c r="X434" s="2" t="s">
        <v>99</v>
      </c>
      <c r="Y434" s="2">
        <v>2.9669191408723501</v>
      </c>
      <c r="Z434" s="2">
        <v>2966.91914087235</v>
      </c>
      <c r="AA434" s="2">
        <v>4.73719444444444</v>
      </c>
      <c r="AB434" s="2">
        <v>-74.069472222222203</v>
      </c>
      <c r="AC434" s="2">
        <v>2555</v>
      </c>
      <c r="AD434" s="2">
        <v>0</v>
      </c>
      <c r="AE434" s="2" t="s">
        <v>59</v>
      </c>
      <c r="AF434" s="2" t="s">
        <v>86</v>
      </c>
      <c r="AG434" s="2" t="s">
        <v>61</v>
      </c>
      <c r="AH434" s="2" t="s">
        <v>62</v>
      </c>
      <c r="AI434" s="2" t="s">
        <v>100</v>
      </c>
      <c r="AJ434" s="2">
        <v>1.3907839109820599</v>
      </c>
      <c r="AK434" s="2">
        <v>3.3169765508328299</v>
      </c>
      <c r="AL434" s="2">
        <v>2.95204803820784</v>
      </c>
      <c r="AM434" s="2">
        <v>0.40884095948704502</v>
      </c>
      <c r="AN434" s="2">
        <v>1.7207569089036601</v>
      </c>
      <c r="AO434" s="2">
        <v>0.104993462424654</v>
      </c>
      <c r="AP434" s="2">
        <v>0.104993462424654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6</v>
      </c>
      <c r="AW434" s="2">
        <v>0</v>
      </c>
      <c r="AX434" s="2">
        <v>0</v>
      </c>
      <c r="AY434" s="2">
        <v>15.3</v>
      </c>
      <c r="AZ434" s="2">
        <v>9.8000000000000007</v>
      </c>
      <c r="BA434" s="2">
        <v>29.7</v>
      </c>
      <c r="BB434" s="2">
        <v>564</v>
      </c>
      <c r="BC434" s="2">
        <v>68</v>
      </c>
      <c r="BD434" s="2">
        <v>1.8</v>
      </c>
      <c r="BE434" s="2">
        <v>43</v>
      </c>
      <c r="BF434" s="2">
        <v>25.4</v>
      </c>
      <c r="BG434" s="2">
        <v>162</v>
      </c>
      <c r="BH434" s="2">
        <v>9.1</v>
      </c>
      <c r="BI434" s="2">
        <v>9.1999999999999993</v>
      </c>
      <c r="BJ434" s="2">
        <v>18.3</v>
      </c>
      <c r="BK434" s="2">
        <v>0.34</v>
      </c>
      <c r="BL434" s="2">
        <v>7.3</v>
      </c>
      <c r="BM434" s="2">
        <v>0.9</v>
      </c>
      <c r="BN434" s="2">
        <v>7.5</v>
      </c>
      <c r="BO434" s="2">
        <v>2.9</v>
      </c>
      <c r="BP434" s="2">
        <f t="shared" si="12"/>
        <v>8.461444368674794</v>
      </c>
      <c r="BQ434" s="2">
        <f t="shared" si="13"/>
        <v>27.658718270583751</v>
      </c>
    </row>
    <row r="435" spans="1:69" x14ac:dyDescent="0.2">
      <c r="A435" s="2" t="s">
        <v>4345</v>
      </c>
      <c r="B435" s="2" t="s">
        <v>47</v>
      </c>
      <c r="C435" s="2" t="s">
        <v>3273</v>
      </c>
      <c r="D435" s="2" t="s">
        <v>49</v>
      </c>
      <c r="E435" s="2" t="s">
        <v>4346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89</v>
      </c>
      <c r="L435" s="6" t="s">
        <v>90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4347</v>
      </c>
      <c r="R435" s="2">
        <v>6564245.7819999997</v>
      </c>
      <c r="S435" s="2">
        <v>0</v>
      </c>
      <c r="T435" s="2" t="s">
        <v>130</v>
      </c>
      <c r="U435" s="2" t="s">
        <v>131</v>
      </c>
      <c r="V435" s="2" t="s">
        <v>56</v>
      </c>
      <c r="W435" s="2" t="s">
        <v>98</v>
      </c>
      <c r="X435" s="2" t="s">
        <v>132</v>
      </c>
      <c r="Y435" s="2">
        <v>4.2842269289581703</v>
      </c>
      <c r="Z435" s="2">
        <v>4284.22692895817</v>
      </c>
      <c r="AA435" s="2">
        <v>4.7837500000000004</v>
      </c>
      <c r="AB435" s="2">
        <v>-74.044138888888895</v>
      </c>
      <c r="AC435" s="2">
        <v>2580</v>
      </c>
      <c r="AD435" s="2">
        <v>0</v>
      </c>
      <c r="AE435" s="2" t="s">
        <v>133</v>
      </c>
      <c r="AF435" s="2" t="s">
        <v>86</v>
      </c>
      <c r="AG435" s="2" t="s">
        <v>61</v>
      </c>
      <c r="AH435" s="2" t="s">
        <v>62</v>
      </c>
      <c r="AI435" s="2" t="s">
        <v>87</v>
      </c>
      <c r="AJ435" s="2">
        <v>2.1664101264058</v>
      </c>
      <c r="AK435" s="2">
        <v>0.75417960171493903</v>
      </c>
      <c r="AL435" s="2">
        <v>0.204282584578339</v>
      </c>
      <c r="AM435" s="2">
        <v>0.83323687237800903</v>
      </c>
      <c r="AN435" s="2">
        <v>0.840246222342105</v>
      </c>
      <c r="AO435" s="2">
        <v>0.206693226844124</v>
      </c>
      <c r="AP435" s="2">
        <v>0.206693226844124</v>
      </c>
      <c r="AQ435" s="2">
        <v>0</v>
      </c>
      <c r="AR435" s="2">
        <v>0</v>
      </c>
      <c r="AS435" s="2">
        <v>0</v>
      </c>
      <c r="AT435" s="2">
        <v>11</v>
      </c>
      <c r="AU435" s="2">
        <v>3</v>
      </c>
      <c r="AV435" s="2">
        <v>3</v>
      </c>
      <c r="AW435" s="2">
        <v>1</v>
      </c>
      <c r="AX435" s="2">
        <v>0</v>
      </c>
      <c r="AY435" s="2">
        <v>15.3</v>
      </c>
      <c r="AZ435" s="2">
        <v>9.8000000000000007</v>
      </c>
      <c r="BA435" s="2">
        <v>29.7</v>
      </c>
      <c r="BB435" s="2">
        <v>564</v>
      </c>
      <c r="BC435" s="2">
        <v>68</v>
      </c>
      <c r="BD435" s="2">
        <v>1.8</v>
      </c>
      <c r="BE435" s="2">
        <v>43</v>
      </c>
      <c r="BF435" s="2">
        <v>25.4</v>
      </c>
      <c r="BG435" s="2">
        <v>162</v>
      </c>
      <c r="BH435" s="2">
        <v>9.1</v>
      </c>
      <c r="BI435" s="2">
        <v>9.1999999999999993</v>
      </c>
      <c r="BJ435" s="2">
        <v>18.3</v>
      </c>
      <c r="BK435" s="2">
        <v>0.34</v>
      </c>
      <c r="BL435" s="2">
        <v>7.3</v>
      </c>
      <c r="BM435" s="2">
        <v>0.9</v>
      </c>
      <c r="BN435" s="2">
        <v>7.5</v>
      </c>
      <c r="BO435" s="2">
        <v>2.9</v>
      </c>
      <c r="BP435" s="2">
        <f t="shared" si="12"/>
        <v>7.9273051861640633</v>
      </c>
      <c r="BQ435" s="2">
        <f t="shared" si="13"/>
        <v>26.797955559499627</v>
      </c>
    </row>
    <row r="436" spans="1:69" x14ac:dyDescent="0.2">
      <c r="A436" s="2" t="s">
        <v>3351</v>
      </c>
      <c r="B436" s="2" t="s">
        <v>47</v>
      </c>
      <c r="C436" s="2" t="s">
        <v>3273</v>
      </c>
      <c r="D436" s="2" t="s">
        <v>49</v>
      </c>
      <c r="E436" s="2" t="s">
        <v>847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89</v>
      </c>
      <c r="L436" s="6" t="s">
        <v>103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3352</v>
      </c>
      <c r="R436" s="2">
        <v>6640293.8679999998</v>
      </c>
      <c r="S436" s="2">
        <v>0</v>
      </c>
      <c r="T436" s="2" t="s">
        <v>96</v>
      </c>
      <c r="U436" s="2" t="s">
        <v>97</v>
      </c>
      <c r="V436" s="2" t="s">
        <v>56</v>
      </c>
      <c r="W436" s="2" t="s">
        <v>98</v>
      </c>
      <c r="X436" s="2" t="s">
        <v>99</v>
      </c>
      <c r="Y436" s="2">
        <v>3.5920755565124298</v>
      </c>
      <c r="Z436" s="2">
        <v>3592.07555651243</v>
      </c>
      <c r="AA436" s="2">
        <v>4.73719444444444</v>
      </c>
      <c r="AB436" s="2">
        <v>-74.069472222222203</v>
      </c>
      <c r="AC436" s="2">
        <v>2555</v>
      </c>
      <c r="AD436" s="2">
        <v>0</v>
      </c>
      <c r="AE436" s="2" t="s">
        <v>59</v>
      </c>
      <c r="AF436" s="2" t="s">
        <v>86</v>
      </c>
      <c r="AG436" s="2" t="s">
        <v>61</v>
      </c>
      <c r="AH436" s="2" t="s">
        <v>62</v>
      </c>
      <c r="AI436" s="2" t="s">
        <v>87</v>
      </c>
      <c r="AJ436" s="2">
        <v>1.1016131624496499</v>
      </c>
      <c r="AK436" s="2">
        <v>1.9691601124040099</v>
      </c>
      <c r="AL436" s="2">
        <v>0.98788575613187601</v>
      </c>
      <c r="AM436" s="2">
        <v>0.24362193765677101</v>
      </c>
      <c r="AN436" s="2">
        <v>1.2344530359997701</v>
      </c>
      <c r="AO436" s="2">
        <v>0.135442760742119</v>
      </c>
      <c r="AP436" s="2">
        <v>0.135442760742119</v>
      </c>
      <c r="AQ436" s="2">
        <v>0</v>
      </c>
      <c r="AR436" s="2">
        <v>0</v>
      </c>
      <c r="AS436" s="2">
        <v>0</v>
      </c>
      <c r="AT436" s="2">
        <v>0</v>
      </c>
      <c r="AU436" s="2">
        <v>1</v>
      </c>
      <c r="AV436" s="2">
        <v>34</v>
      </c>
      <c r="AW436" s="2">
        <v>0</v>
      </c>
      <c r="AX436" s="2">
        <v>0</v>
      </c>
      <c r="AY436" s="2">
        <v>15.3</v>
      </c>
      <c r="AZ436" s="2">
        <v>9.8000000000000007</v>
      </c>
      <c r="BA436" s="2">
        <v>29.7</v>
      </c>
      <c r="BB436" s="2">
        <v>564</v>
      </c>
      <c r="BC436" s="2">
        <v>68</v>
      </c>
      <c r="BD436" s="2">
        <v>1.8</v>
      </c>
      <c r="BE436" s="2">
        <v>43</v>
      </c>
      <c r="BF436" s="2">
        <v>25.4</v>
      </c>
      <c r="BG436" s="2">
        <v>162</v>
      </c>
      <c r="BH436" s="2">
        <v>9.1</v>
      </c>
      <c r="BI436" s="2">
        <v>9.1999999999999993</v>
      </c>
      <c r="BJ436" s="2">
        <v>18.3</v>
      </c>
      <c r="BK436" s="2">
        <v>0.34</v>
      </c>
      <c r="BL436" s="2">
        <v>7.3</v>
      </c>
      <c r="BM436" s="2">
        <v>0.9</v>
      </c>
      <c r="BN436" s="2">
        <v>7.5</v>
      </c>
      <c r="BO436" s="2">
        <v>2.9</v>
      </c>
      <c r="BP436" s="2">
        <f t="shared" si="12"/>
        <v>8.2036128247940532</v>
      </c>
      <c r="BQ436" s="2">
        <f t="shared" si="13"/>
        <v>27.246831318343983</v>
      </c>
    </row>
    <row r="437" spans="1:69" x14ac:dyDescent="0.2">
      <c r="A437" s="2" t="s">
        <v>1090</v>
      </c>
      <c r="B437" s="2" t="s">
        <v>47</v>
      </c>
      <c r="C437" s="2" t="s">
        <v>48</v>
      </c>
      <c r="D437" s="2" t="s">
        <v>49</v>
      </c>
      <c r="E437" s="2" t="s">
        <v>402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89</v>
      </c>
      <c r="L437" s="6" t="s">
        <v>90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1091</v>
      </c>
      <c r="R437" s="2">
        <v>8387830.5369999995</v>
      </c>
      <c r="S437" s="2">
        <v>0</v>
      </c>
      <c r="T437" s="2" t="s">
        <v>130</v>
      </c>
      <c r="U437" s="2" t="s">
        <v>131</v>
      </c>
      <c r="V437" s="2" t="s">
        <v>56</v>
      </c>
      <c r="W437" s="2" t="s">
        <v>98</v>
      </c>
      <c r="X437" s="2" t="s">
        <v>132</v>
      </c>
      <c r="Y437" s="2">
        <v>3.7511410397782901</v>
      </c>
      <c r="Z437" s="2">
        <v>3751.1410397782902</v>
      </c>
      <c r="AA437" s="2">
        <v>4.7837500000000004</v>
      </c>
      <c r="AB437" s="2">
        <v>-74.044138888888895</v>
      </c>
      <c r="AC437" s="2">
        <v>2580</v>
      </c>
      <c r="AD437" s="2">
        <v>0</v>
      </c>
      <c r="AE437" s="2" t="s">
        <v>133</v>
      </c>
      <c r="AF437" s="2" t="s">
        <v>86</v>
      </c>
      <c r="AG437" s="2" t="s">
        <v>61</v>
      </c>
      <c r="AH437" s="2" t="s">
        <v>62</v>
      </c>
      <c r="AI437" s="2" t="s">
        <v>87</v>
      </c>
      <c r="AJ437" s="2">
        <v>1.6048489219597999</v>
      </c>
      <c r="AK437" s="2">
        <v>1.1966062195442799</v>
      </c>
      <c r="AL437" s="2">
        <v>0.20411455915511101</v>
      </c>
      <c r="AM437" s="2">
        <v>1.01936209298696</v>
      </c>
      <c r="AN437" s="2">
        <v>1.3226280081686099</v>
      </c>
      <c r="AO437" s="2">
        <v>8.1972117926907298E-2</v>
      </c>
      <c r="AP437" s="2">
        <v>8.1972117926907298E-2</v>
      </c>
      <c r="AQ437" s="2">
        <v>0</v>
      </c>
      <c r="AR437" s="2">
        <v>0</v>
      </c>
      <c r="AS437" s="2">
        <v>0</v>
      </c>
      <c r="AT437" s="2">
        <v>0</v>
      </c>
      <c r="AU437" s="2">
        <v>3</v>
      </c>
      <c r="AV437" s="2">
        <v>0</v>
      </c>
      <c r="AW437" s="2">
        <v>0</v>
      </c>
      <c r="AX437" s="2">
        <v>0</v>
      </c>
      <c r="AY437" s="2">
        <v>15.3</v>
      </c>
      <c r="AZ437" s="2">
        <v>9.8000000000000007</v>
      </c>
      <c r="BA437" s="2">
        <v>29.7</v>
      </c>
      <c r="BB437" s="2">
        <v>564</v>
      </c>
      <c r="BC437" s="2">
        <v>68</v>
      </c>
      <c r="BD437" s="2">
        <v>1.8</v>
      </c>
      <c r="BE437" s="2">
        <v>43</v>
      </c>
      <c r="BF437" s="2">
        <v>25.4</v>
      </c>
      <c r="BG437" s="2">
        <v>162</v>
      </c>
      <c r="BH437" s="2">
        <v>9.1</v>
      </c>
      <c r="BI437" s="2">
        <v>9.1999999999999993</v>
      </c>
      <c r="BJ437" s="2">
        <v>18.3</v>
      </c>
      <c r="BK437" s="2">
        <v>0.34</v>
      </c>
      <c r="BL437" s="2">
        <v>7.3</v>
      </c>
      <c r="BM437" s="2">
        <v>0.9</v>
      </c>
      <c r="BN437" s="2">
        <v>7.5</v>
      </c>
      <c r="BO437" s="2">
        <v>2.9</v>
      </c>
      <c r="BP437" s="2">
        <f t="shared" si="12"/>
        <v>8.1392733273690698</v>
      </c>
      <c r="BQ437" s="2">
        <f t="shared" si="13"/>
        <v>27.143012882199997</v>
      </c>
    </row>
    <row r="438" spans="1:69" x14ac:dyDescent="0.2">
      <c r="A438" s="2" t="s">
        <v>401</v>
      </c>
      <c r="B438" s="2" t="s">
        <v>47</v>
      </c>
      <c r="C438" s="2" t="s">
        <v>48</v>
      </c>
      <c r="D438" s="2" t="s">
        <v>49</v>
      </c>
      <c r="E438" s="2" t="s">
        <v>402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89</v>
      </c>
      <c r="L438" s="6" t="s">
        <v>90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403</v>
      </c>
      <c r="R438" s="2">
        <v>9103840.6830000002</v>
      </c>
      <c r="S438" s="2">
        <v>0</v>
      </c>
      <c r="T438" s="2" t="s">
        <v>130</v>
      </c>
      <c r="U438" s="2" t="s">
        <v>131</v>
      </c>
      <c r="V438" s="2" t="s">
        <v>56</v>
      </c>
      <c r="W438" s="2" t="s">
        <v>98</v>
      </c>
      <c r="X438" s="2" t="s">
        <v>132</v>
      </c>
      <c r="Y438" s="2">
        <v>3.5223315764246901</v>
      </c>
      <c r="Z438" s="2">
        <v>3522.33157642469</v>
      </c>
      <c r="AA438" s="2">
        <v>4.7837500000000004</v>
      </c>
      <c r="AB438" s="2">
        <v>-74.044138888888895</v>
      </c>
      <c r="AC438" s="2">
        <v>2580</v>
      </c>
      <c r="AD438" s="2">
        <v>0</v>
      </c>
      <c r="AE438" s="2" t="s">
        <v>133</v>
      </c>
      <c r="AF438" s="2" t="s">
        <v>86</v>
      </c>
      <c r="AG438" s="2" t="s">
        <v>61</v>
      </c>
      <c r="AH438" s="2" t="s">
        <v>62</v>
      </c>
      <c r="AI438" s="2" t="s">
        <v>87</v>
      </c>
      <c r="AJ438" s="2">
        <v>1.12167294787781</v>
      </c>
      <c r="AK438" s="2">
        <v>1.61468119685348</v>
      </c>
      <c r="AL438" s="2">
        <v>0.65062909330373897</v>
      </c>
      <c r="AM438" s="2">
        <v>0.83602913175073501</v>
      </c>
      <c r="AN438" s="2">
        <v>1.6469128054456801</v>
      </c>
      <c r="AO438" s="2">
        <v>0.17382242837807901</v>
      </c>
      <c r="AP438" s="2">
        <v>0.17382242837807901</v>
      </c>
      <c r="AQ438" s="2">
        <v>0</v>
      </c>
      <c r="AR438" s="2">
        <v>0</v>
      </c>
      <c r="AS438" s="2">
        <v>0</v>
      </c>
      <c r="AT438" s="2">
        <v>0</v>
      </c>
      <c r="AU438" s="2">
        <v>2</v>
      </c>
      <c r="AV438" s="2">
        <v>8</v>
      </c>
      <c r="AW438" s="2">
        <v>0</v>
      </c>
      <c r="AX438" s="2">
        <v>0</v>
      </c>
      <c r="AY438" s="2">
        <v>15.3</v>
      </c>
      <c r="AZ438" s="2">
        <v>9.8000000000000007</v>
      </c>
      <c r="BA438" s="2">
        <v>29.7</v>
      </c>
      <c r="BB438" s="2">
        <v>564</v>
      </c>
      <c r="BC438" s="2">
        <v>68</v>
      </c>
      <c r="BD438" s="2">
        <v>1.8</v>
      </c>
      <c r="BE438" s="2">
        <v>43</v>
      </c>
      <c r="BF438" s="2">
        <v>25.4</v>
      </c>
      <c r="BG438" s="2">
        <v>162</v>
      </c>
      <c r="BH438" s="2">
        <v>9.1</v>
      </c>
      <c r="BI438" s="2">
        <v>9.1999999999999993</v>
      </c>
      <c r="BJ438" s="2">
        <v>18.3</v>
      </c>
      <c r="BK438" s="2">
        <v>0.34</v>
      </c>
      <c r="BL438" s="2">
        <v>7.3</v>
      </c>
      <c r="BM438" s="2">
        <v>0.9</v>
      </c>
      <c r="BN438" s="2">
        <v>7.5</v>
      </c>
      <c r="BO438" s="2">
        <v>2.9</v>
      </c>
      <c r="BP438" s="2">
        <f t="shared" si="12"/>
        <v>8.2319833229048651</v>
      </c>
      <c r="BQ438" s="2">
        <f t="shared" si="13"/>
        <v>27.292476768693216</v>
      </c>
    </row>
    <row r="439" spans="1:69" x14ac:dyDescent="0.2">
      <c r="A439" s="2" t="s">
        <v>3668</v>
      </c>
      <c r="B439" s="2" t="s">
        <v>47</v>
      </c>
      <c r="C439" s="2" t="s">
        <v>3273</v>
      </c>
      <c r="D439" s="2" t="s">
        <v>49</v>
      </c>
      <c r="E439" s="2" t="s">
        <v>153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89</v>
      </c>
      <c r="L439" s="6" t="s">
        <v>112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3669</v>
      </c>
      <c r="R439" s="2">
        <v>8285714.2860000003</v>
      </c>
      <c r="S439" s="2">
        <v>0</v>
      </c>
      <c r="T439" s="2" t="s">
        <v>96</v>
      </c>
      <c r="U439" s="2" t="s">
        <v>97</v>
      </c>
      <c r="V439" s="2" t="s">
        <v>56</v>
      </c>
      <c r="W439" s="2" t="s">
        <v>98</v>
      </c>
      <c r="X439" s="2" t="s">
        <v>99</v>
      </c>
      <c r="Y439" s="2">
        <v>0.45488248058387398</v>
      </c>
      <c r="Z439" s="2">
        <v>454.88248058387398</v>
      </c>
      <c r="AA439" s="2">
        <v>4.73719444444444</v>
      </c>
      <c r="AB439" s="2">
        <v>-74.069472222222203</v>
      </c>
      <c r="AC439" s="2">
        <v>2555</v>
      </c>
      <c r="AD439" s="2">
        <v>0</v>
      </c>
      <c r="AE439" s="2" t="s">
        <v>59</v>
      </c>
      <c r="AF439" s="2" t="s">
        <v>86</v>
      </c>
      <c r="AG439" s="2" t="s">
        <v>61</v>
      </c>
      <c r="AH439" s="2" t="s">
        <v>62</v>
      </c>
      <c r="AI439" s="2" t="s">
        <v>100</v>
      </c>
      <c r="AJ439" s="2">
        <v>1.43081285123753</v>
      </c>
      <c r="AK439" s="2">
        <v>5.3448745604625199</v>
      </c>
      <c r="AL439" s="2">
        <v>2.2153819593696502</v>
      </c>
      <c r="AM439" s="2">
        <v>0.56479574971640201</v>
      </c>
      <c r="AN439" s="2">
        <v>1.76028290157206</v>
      </c>
      <c r="AO439" s="2">
        <v>1.7404830127152E-2</v>
      </c>
      <c r="AP439" s="2">
        <v>1.7404830127152E-2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5</v>
      </c>
      <c r="AW439" s="2">
        <v>0</v>
      </c>
      <c r="AX439" s="2">
        <v>0</v>
      </c>
      <c r="AY439" s="2">
        <v>15.3</v>
      </c>
      <c r="AZ439" s="2">
        <v>9.8000000000000007</v>
      </c>
      <c r="BA439" s="2">
        <v>29.7</v>
      </c>
      <c r="BB439" s="2">
        <v>564</v>
      </c>
      <c r="BC439" s="2">
        <v>68</v>
      </c>
      <c r="BD439" s="2">
        <v>1.8</v>
      </c>
      <c r="BE439" s="2">
        <v>43</v>
      </c>
      <c r="BF439" s="2">
        <v>25.4</v>
      </c>
      <c r="BG439" s="2">
        <v>162</v>
      </c>
      <c r="BH439" s="2">
        <v>9.1</v>
      </c>
      <c r="BI439" s="2">
        <v>9.1999999999999993</v>
      </c>
      <c r="BJ439" s="2">
        <v>18.3</v>
      </c>
      <c r="BK439" s="2">
        <v>0.34</v>
      </c>
      <c r="BL439" s="2">
        <v>7.3</v>
      </c>
      <c r="BM439" s="2">
        <v>0.9</v>
      </c>
      <c r="BN439" s="2">
        <v>7.5</v>
      </c>
      <c r="BO439" s="2">
        <v>2.9</v>
      </c>
      <c r="BP439" s="2">
        <f t="shared" si="12"/>
        <v>9.5818022719767058</v>
      </c>
      <c r="BQ439" s="2">
        <f t="shared" si="13"/>
        <v>29.377523239041846</v>
      </c>
    </row>
    <row r="440" spans="1:69" x14ac:dyDescent="0.2">
      <c r="A440" s="2" t="s">
        <v>1312</v>
      </c>
      <c r="B440" s="2" t="s">
        <v>47</v>
      </c>
      <c r="C440" s="2" t="s">
        <v>48</v>
      </c>
      <c r="D440" s="2" t="s">
        <v>49</v>
      </c>
      <c r="E440" s="2" t="s">
        <v>305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89</v>
      </c>
      <c r="L440" s="6" t="s">
        <v>90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1313</v>
      </c>
      <c r="R440" s="2">
        <v>6400000</v>
      </c>
      <c r="S440" s="2">
        <v>0</v>
      </c>
      <c r="T440" s="2" t="s">
        <v>130</v>
      </c>
      <c r="U440" s="2" t="s">
        <v>131</v>
      </c>
      <c r="V440" s="2" t="s">
        <v>56</v>
      </c>
      <c r="W440" s="2" t="s">
        <v>98</v>
      </c>
      <c r="X440" s="2" t="s">
        <v>132</v>
      </c>
      <c r="Y440" s="2">
        <v>4.2690153127430897</v>
      </c>
      <c r="Z440" s="2">
        <v>4269.0153127430904</v>
      </c>
      <c r="AA440" s="2">
        <v>4.7837500000000004</v>
      </c>
      <c r="AB440" s="2">
        <v>-74.044138888888895</v>
      </c>
      <c r="AC440" s="2">
        <v>2580</v>
      </c>
      <c r="AD440" s="2">
        <v>0</v>
      </c>
      <c r="AE440" s="2" t="s">
        <v>133</v>
      </c>
      <c r="AF440" s="2" t="s">
        <v>86</v>
      </c>
      <c r="AG440" s="2" t="s">
        <v>61</v>
      </c>
      <c r="AH440" s="2" t="s">
        <v>62</v>
      </c>
      <c r="AI440" s="2" t="s">
        <v>87</v>
      </c>
      <c r="AJ440" s="2">
        <v>2.1582186365918501</v>
      </c>
      <c r="AK440" s="2">
        <v>0.758483946383672</v>
      </c>
      <c r="AL440" s="2">
        <v>0.21922052646498499</v>
      </c>
      <c r="AM440" s="2">
        <v>0.8441796074172</v>
      </c>
      <c r="AN440" s="2">
        <v>0.85525446997222498</v>
      </c>
      <c r="AO440" s="2">
        <v>0.20120353646577199</v>
      </c>
      <c r="AP440" s="2">
        <v>0.20120353646577199</v>
      </c>
      <c r="AQ440" s="2">
        <v>0</v>
      </c>
      <c r="AR440" s="2">
        <v>0</v>
      </c>
      <c r="AS440" s="2">
        <v>0</v>
      </c>
      <c r="AT440" s="2">
        <v>12</v>
      </c>
      <c r="AU440" s="2">
        <v>3</v>
      </c>
      <c r="AV440" s="2">
        <v>3</v>
      </c>
      <c r="AW440" s="2">
        <v>1</v>
      </c>
      <c r="AX440" s="2">
        <v>0</v>
      </c>
      <c r="AY440" s="2">
        <v>15.3</v>
      </c>
      <c r="AZ440" s="2">
        <v>9.8000000000000007</v>
      </c>
      <c r="BA440" s="2">
        <v>29.7</v>
      </c>
      <c r="BB440" s="2">
        <v>564</v>
      </c>
      <c r="BC440" s="2">
        <v>68</v>
      </c>
      <c r="BD440" s="2">
        <v>1.8</v>
      </c>
      <c r="BE440" s="2">
        <v>43</v>
      </c>
      <c r="BF440" s="2">
        <v>25.4</v>
      </c>
      <c r="BG440" s="2">
        <v>162</v>
      </c>
      <c r="BH440" s="2">
        <v>9.1</v>
      </c>
      <c r="BI440" s="2">
        <v>9.1999999999999993</v>
      </c>
      <c r="BJ440" s="2">
        <v>18.3</v>
      </c>
      <c r="BK440" s="2">
        <v>0.34</v>
      </c>
      <c r="BL440" s="2">
        <v>7.3</v>
      </c>
      <c r="BM440" s="2">
        <v>0.9</v>
      </c>
      <c r="BN440" s="2">
        <v>7.5</v>
      </c>
      <c r="BO440" s="2">
        <v>2.9</v>
      </c>
      <c r="BP440" s="2">
        <f t="shared" si="12"/>
        <v>7.9332764966492286</v>
      </c>
      <c r="BQ440" s="2">
        <f t="shared" si="13"/>
        <v>26.807740710734205</v>
      </c>
    </row>
    <row r="441" spans="1:69" x14ac:dyDescent="0.2">
      <c r="A441" s="2" t="s">
        <v>1397</v>
      </c>
      <c r="B441" s="2" t="s">
        <v>47</v>
      </c>
      <c r="C441" s="2" t="s">
        <v>48</v>
      </c>
      <c r="D441" s="2" t="s">
        <v>49</v>
      </c>
      <c r="E441" s="2" t="s">
        <v>1398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89</v>
      </c>
      <c r="L441" s="6" t="s">
        <v>90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1399</v>
      </c>
      <c r="R441" s="2">
        <v>8933717.5789999999</v>
      </c>
      <c r="S441" s="2">
        <v>0</v>
      </c>
      <c r="T441" s="2" t="s">
        <v>96</v>
      </c>
      <c r="U441" s="2" t="s">
        <v>97</v>
      </c>
      <c r="V441" s="2" t="s">
        <v>56</v>
      </c>
      <c r="W441" s="2" t="s">
        <v>98</v>
      </c>
      <c r="X441" s="2" t="s">
        <v>99</v>
      </c>
      <c r="Y441" s="2">
        <v>2.4910917342423602</v>
      </c>
      <c r="Z441" s="2">
        <v>2491.09173424236</v>
      </c>
      <c r="AA441" s="2">
        <v>4.73719444444444</v>
      </c>
      <c r="AB441" s="2">
        <v>-74.069472222222203</v>
      </c>
      <c r="AC441" s="2">
        <v>2555</v>
      </c>
      <c r="AD441" s="2">
        <v>0</v>
      </c>
      <c r="AE441" s="2" t="s">
        <v>59</v>
      </c>
      <c r="AF441" s="2" t="s">
        <v>86</v>
      </c>
      <c r="AG441" s="2" t="s">
        <v>61</v>
      </c>
      <c r="AH441" s="2" t="s">
        <v>62</v>
      </c>
      <c r="AI441" s="2" t="s">
        <v>100</v>
      </c>
      <c r="AJ441" s="2">
        <v>0.98873986486427701</v>
      </c>
      <c r="AK441" s="2">
        <v>4.0802731636756002</v>
      </c>
      <c r="AL441" s="2">
        <v>1.1236393543907199</v>
      </c>
      <c r="AM441" s="2">
        <v>0.30372367528710298</v>
      </c>
      <c r="AN441" s="2">
        <v>3.8419720281664902</v>
      </c>
      <c r="AO441" s="2">
        <v>6.5098353744391501E-3</v>
      </c>
      <c r="AP441" s="2">
        <v>6.5098353744391501E-3</v>
      </c>
      <c r="AQ441" s="2">
        <v>0</v>
      </c>
      <c r="AR441" s="2">
        <v>1</v>
      </c>
      <c r="AS441" s="2">
        <v>0</v>
      </c>
      <c r="AT441" s="2">
        <v>0</v>
      </c>
      <c r="AU441" s="2">
        <v>0</v>
      </c>
      <c r="AV441" s="2">
        <v>21</v>
      </c>
      <c r="AW441" s="2">
        <v>0</v>
      </c>
      <c r="AX441" s="2">
        <v>0</v>
      </c>
      <c r="AY441" s="2">
        <v>15.3</v>
      </c>
      <c r="AZ441" s="2">
        <v>9.8000000000000007</v>
      </c>
      <c r="BA441" s="2">
        <v>29.7</v>
      </c>
      <c r="BB441" s="2">
        <v>564</v>
      </c>
      <c r="BC441" s="2">
        <v>68</v>
      </c>
      <c r="BD441" s="2">
        <v>1.8</v>
      </c>
      <c r="BE441" s="2">
        <v>43</v>
      </c>
      <c r="BF441" s="2">
        <v>25.4</v>
      </c>
      <c r="BG441" s="2">
        <v>162</v>
      </c>
      <c r="BH441" s="2">
        <v>9.1</v>
      </c>
      <c r="BI441" s="2">
        <v>9.1999999999999993</v>
      </c>
      <c r="BJ441" s="2">
        <v>18.3</v>
      </c>
      <c r="BK441" s="2">
        <v>0.34</v>
      </c>
      <c r="BL441" s="2">
        <v>7.3</v>
      </c>
      <c r="BM441" s="2">
        <v>0.9</v>
      </c>
      <c r="BN441" s="2">
        <v>7.5</v>
      </c>
      <c r="BO441" s="2">
        <v>2.9</v>
      </c>
      <c r="BP441" s="2">
        <f t="shared" si="12"/>
        <v>8.6631062256947722</v>
      </c>
      <c r="BQ441" s="2">
        <f t="shared" si="13"/>
        <v>27.976387314336201</v>
      </c>
    </row>
    <row r="442" spans="1:69" x14ac:dyDescent="0.2">
      <c r="A442" s="2" t="s">
        <v>4036</v>
      </c>
      <c r="B442" s="2" t="s">
        <v>47</v>
      </c>
      <c r="C442" s="2" t="s">
        <v>3273</v>
      </c>
      <c r="D442" s="2" t="s">
        <v>49</v>
      </c>
      <c r="E442" s="2" t="s">
        <v>52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89</v>
      </c>
      <c r="L442" s="6" t="s">
        <v>90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4037</v>
      </c>
      <c r="R442" s="2">
        <v>12500000</v>
      </c>
      <c r="S442" s="2">
        <v>0</v>
      </c>
      <c r="T442" s="2" t="s">
        <v>96</v>
      </c>
      <c r="U442" s="2" t="s">
        <v>97</v>
      </c>
      <c r="V442" s="2" t="s">
        <v>56</v>
      </c>
      <c r="W442" s="2" t="s">
        <v>98</v>
      </c>
      <c r="X442" s="2" t="s">
        <v>99</v>
      </c>
      <c r="Y442" s="2">
        <v>0.57650417641582197</v>
      </c>
      <c r="Z442" s="2">
        <v>576.50417641582203</v>
      </c>
      <c r="AA442" s="2">
        <v>4.73719444444444</v>
      </c>
      <c r="AB442" s="2">
        <v>-74.069472222222203</v>
      </c>
      <c r="AC442" s="2">
        <v>2555</v>
      </c>
      <c r="AD442" s="2">
        <v>0</v>
      </c>
      <c r="AE442" s="2" t="s">
        <v>59</v>
      </c>
      <c r="AF442" s="2" t="s">
        <v>86</v>
      </c>
      <c r="AG442" s="2" t="s">
        <v>61</v>
      </c>
      <c r="AH442" s="2" t="s">
        <v>62</v>
      </c>
      <c r="AI442" s="2" t="s">
        <v>100</v>
      </c>
      <c r="AJ442" s="2">
        <v>1.3959181332438899</v>
      </c>
      <c r="AK442" s="2">
        <v>4.7437158188576101</v>
      </c>
      <c r="AL442" s="2">
        <v>2.15094760677185</v>
      </c>
      <c r="AM442" s="2">
        <v>0.32319638558976699</v>
      </c>
      <c r="AN442" s="2">
        <v>2.3875301242930398</v>
      </c>
      <c r="AO442" s="2">
        <v>0.33389926860673003</v>
      </c>
      <c r="AP442" s="2">
        <v>0.33389926860673003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18</v>
      </c>
      <c r="AW442" s="2">
        <v>0</v>
      </c>
      <c r="AX442" s="2">
        <v>0</v>
      </c>
      <c r="AY442" s="2">
        <v>15.3</v>
      </c>
      <c r="AZ442" s="2">
        <v>9.8000000000000007</v>
      </c>
      <c r="BA442" s="2">
        <v>29.7</v>
      </c>
      <c r="BB442" s="2">
        <v>564</v>
      </c>
      <c r="BC442" s="2">
        <v>68</v>
      </c>
      <c r="BD442" s="2">
        <v>1.8</v>
      </c>
      <c r="BE442" s="2">
        <v>43</v>
      </c>
      <c r="BF442" s="2">
        <v>25.4</v>
      </c>
      <c r="BG442" s="2">
        <v>162</v>
      </c>
      <c r="BH442" s="2">
        <v>9.1</v>
      </c>
      <c r="BI442" s="2">
        <v>9.1999999999999993</v>
      </c>
      <c r="BJ442" s="2">
        <v>18.3</v>
      </c>
      <c r="BK442" s="2">
        <v>0.34</v>
      </c>
      <c r="BL442" s="2">
        <v>7.3</v>
      </c>
      <c r="BM442" s="2">
        <v>0.9</v>
      </c>
      <c r="BN442" s="2">
        <v>7.5</v>
      </c>
      <c r="BO442" s="2">
        <v>2.9</v>
      </c>
      <c r="BP442" s="2">
        <f t="shared" si="12"/>
        <v>9.524290489471257</v>
      </c>
      <c r="BQ442" s="2">
        <f t="shared" si="13"/>
        <v>29.29189760635639</v>
      </c>
    </row>
    <row r="443" spans="1:69" x14ac:dyDescent="0.2">
      <c r="A443" s="2" t="s">
        <v>4518</v>
      </c>
      <c r="B443" s="2" t="s">
        <v>47</v>
      </c>
      <c r="C443" s="2" t="s">
        <v>3273</v>
      </c>
      <c r="D443" s="2" t="s">
        <v>49</v>
      </c>
      <c r="E443" s="2" t="s">
        <v>688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89</v>
      </c>
      <c r="L443" s="6" t="s">
        <v>90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4519</v>
      </c>
      <c r="R443" s="2">
        <v>7058823.5290000001</v>
      </c>
      <c r="S443" s="2">
        <v>0</v>
      </c>
      <c r="T443" s="2" t="s">
        <v>96</v>
      </c>
      <c r="U443" s="2" t="s">
        <v>97</v>
      </c>
      <c r="V443" s="2" t="s">
        <v>56</v>
      </c>
      <c r="W443" s="2" t="s">
        <v>98</v>
      </c>
      <c r="X443" s="2" t="s">
        <v>99</v>
      </c>
      <c r="Y443" s="2">
        <v>0.73177745296724395</v>
      </c>
      <c r="Z443" s="2">
        <v>731.77745296724402</v>
      </c>
      <c r="AA443" s="2">
        <v>4.73719444444444</v>
      </c>
      <c r="AB443" s="2">
        <v>-74.069472222222203</v>
      </c>
      <c r="AC443" s="2">
        <v>2555</v>
      </c>
      <c r="AD443" s="2">
        <v>0</v>
      </c>
      <c r="AE443" s="2" t="s">
        <v>59</v>
      </c>
      <c r="AF443" s="2" t="s">
        <v>86</v>
      </c>
      <c r="AG443" s="2" t="s">
        <v>61</v>
      </c>
      <c r="AH443" s="2" t="s">
        <v>62</v>
      </c>
      <c r="AI443" s="2" t="s">
        <v>100</v>
      </c>
      <c r="AJ443" s="2">
        <v>1.69588884646461</v>
      </c>
      <c r="AK443" s="2">
        <v>5.2403166828973404</v>
      </c>
      <c r="AL443" s="2">
        <v>1.9359408797345099</v>
      </c>
      <c r="AM443" s="2">
        <v>0.51154607886915904</v>
      </c>
      <c r="AN443" s="2">
        <v>1.9355781898687401</v>
      </c>
      <c r="AO443" s="2">
        <v>0.16300139856578999</v>
      </c>
      <c r="AP443" s="2">
        <v>0.16300139856578999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12</v>
      </c>
      <c r="AW443" s="2">
        <v>0</v>
      </c>
      <c r="AX443" s="2">
        <v>0</v>
      </c>
      <c r="AY443" s="2">
        <v>15.3</v>
      </c>
      <c r="AZ443" s="2">
        <v>9.8000000000000007</v>
      </c>
      <c r="BA443" s="2">
        <v>29.7</v>
      </c>
      <c r="BB443" s="2">
        <v>564</v>
      </c>
      <c r="BC443" s="2">
        <v>68</v>
      </c>
      <c r="BD443" s="2">
        <v>1.8</v>
      </c>
      <c r="BE443" s="2">
        <v>43</v>
      </c>
      <c r="BF443" s="2">
        <v>25.4</v>
      </c>
      <c r="BG443" s="2">
        <v>162</v>
      </c>
      <c r="BH443" s="2">
        <v>9.1</v>
      </c>
      <c r="BI443" s="2">
        <v>9.1999999999999993</v>
      </c>
      <c r="BJ443" s="2">
        <v>18.3</v>
      </c>
      <c r="BK443" s="2">
        <v>0.34</v>
      </c>
      <c r="BL443" s="2">
        <v>7.3</v>
      </c>
      <c r="BM443" s="2">
        <v>0.9</v>
      </c>
      <c r="BN443" s="2">
        <v>7.5</v>
      </c>
      <c r="BO443" s="2">
        <v>2.9</v>
      </c>
      <c r="BP443" s="2">
        <f t="shared" si="12"/>
        <v>9.451367138235911</v>
      </c>
      <c r="BQ443" s="2">
        <f t="shared" si="13"/>
        <v>29.182942771710625</v>
      </c>
    </row>
    <row r="444" spans="1:69" x14ac:dyDescent="0.2">
      <c r="A444" s="2" t="s">
        <v>4260</v>
      </c>
      <c r="B444" s="2" t="s">
        <v>47</v>
      </c>
      <c r="C444" s="2" t="s">
        <v>3273</v>
      </c>
      <c r="D444" s="2" t="s">
        <v>49</v>
      </c>
      <c r="E444" s="2" t="s">
        <v>3552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89</v>
      </c>
      <c r="L444" s="6" t="s">
        <v>112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4261</v>
      </c>
      <c r="R444" s="2">
        <v>9847806.625</v>
      </c>
      <c r="S444" s="2">
        <v>0</v>
      </c>
      <c r="T444" s="2" t="s">
        <v>96</v>
      </c>
      <c r="U444" s="2" t="s">
        <v>97</v>
      </c>
      <c r="V444" s="2" t="s">
        <v>56</v>
      </c>
      <c r="W444" s="2" t="s">
        <v>98</v>
      </c>
      <c r="X444" s="2" t="s">
        <v>99</v>
      </c>
      <c r="Y444" s="2">
        <v>3.15609371692533</v>
      </c>
      <c r="Z444" s="2">
        <v>3156.0937169253302</v>
      </c>
      <c r="AA444" s="2">
        <v>4.73719444444444</v>
      </c>
      <c r="AB444" s="2">
        <v>-74.069472222222203</v>
      </c>
      <c r="AC444" s="2">
        <v>2555</v>
      </c>
      <c r="AD444" s="2">
        <v>0</v>
      </c>
      <c r="AE444" s="2" t="s">
        <v>59</v>
      </c>
      <c r="AF444" s="2" t="s">
        <v>86</v>
      </c>
      <c r="AG444" s="2" t="s">
        <v>61</v>
      </c>
      <c r="AH444" s="2" t="s">
        <v>62</v>
      </c>
      <c r="AI444" s="2" t="s">
        <v>87</v>
      </c>
      <c r="AJ444" s="2">
        <v>0.63890524779841895</v>
      </c>
      <c r="AK444" s="2">
        <v>2.4351037523186201</v>
      </c>
      <c r="AL444" s="2">
        <v>1.2574072037580299</v>
      </c>
      <c r="AM444" s="2">
        <v>0.17231533055830101</v>
      </c>
      <c r="AN444" s="2">
        <v>1.7031679787687399</v>
      </c>
      <c r="AO444" s="2">
        <v>0.102070412767164</v>
      </c>
      <c r="AP444" s="2">
        <v>0.102070412767164</v>
      </c>
      <c r="AQ444" s="2">
        <v>0</v>
      </c>
      <c r="AR444" s="2">
        <v>2</v>
      </c>
      <c r="AS444" s="2">
        <v>0</v>
      </c>
      <c r="AT444" s="2">
        <v>0</v>
      </c>
      <c r="AU444" s="2">
        <v>0</v>
      </c>
      <c r="AV444" s="2">
        <v>39</v>
      </c>
      <c r="AW444" s="2">
        <v>0</v>
      </c>
      <c r="AX444" s="2">
        <v>0</v>
      </c>
      <c r="AY444" s="2">
        <v>15.3</v>
      </c>
      <c r="AZ444" s="2">
        <v>9.8000000000000007</v>
      </c>
      <c r="BA444" s="2">
        <v>29.7</v>
      </c>
      <c r="BB444" s="2">
        <v>564</v>
      </c>
      <c r="BC444" s="2">
        <v>68</v>
      </c>
      <c r="BD444" s="2">
        <v>1.8</v>
      </c>
      <c r="BE444" s="2">
        <v>43</v>
      </c>
      <c r="BF444" s="2">
        <v>25.4</v>
      </c>
      <c r="BG444" s="2">
        <v>162</v>
      </c>
      <c r="BH444" s="2">
        <v>9.1</v>
      </c>
      <c r="BI444" s="2">
        <v>9.1999999999999993</v>
      </c>
      <c r="BJ444" s="2">
        <v>18.3</v>
      </c>
      <c r="BK444" s="2">
        <v>0.34</v>
      </c>
      <c r="BL444" s="2">
        <v>7.3</v>
      </c>
      <c r="BM444" s="2">
        <v>0.9</v>
      </c>
      <c r="BN444" s="2">
        <v>7.5</v>
      </c>
      <c r="BO444" s="2">
        <v>2.9</v>
      </c>
      <c r="BP444" s="2">
        <f t="shared" si="12"/>
        <v>8.3825800308797547</v>
      </c>
      <c r="BQ444" s="2">
        <f t="shared" si="13"/>
        <v>27.533427077434013</v>
      </c>
    </row>
    <row r="445" spans="1:69" x14ac:dyDescent="0.2">
      <c r="A445" s="2" t="s">
        <v>362</v>
      </c>
      <c r="B445" s="2" t="s">
        <v>47</v>
      </c>
      <c r="C445" s="2" t="s">
        <v>48</v>
      </c>
      <c r="D445" s="2" t="s">
        <v>49</v>
      </c>
      <c r="E445" s="2" t="s">
        <v>135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89</v>
      </c>
      <c r="L445" s="6" t="s">
        <v>103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363</v>
      </c>
      <c r="R445" s="2">
        <v>5929919.1370000001</v>
      </c>
      <c r="S445" s="2">
        <v>0</v>
      </c>
      <c r="T445" s="2" t="s">
        <v>130</v>
      </c>
      <c r="U445" s="2" t="s">
        <v>131</v>
      </c>
      <c r="V445" s="2" t="s">
        <v>56</v>
      </c>
      <c r="W445" s="2" t="s">
        <v>98</v>
      </c>
      <c r="X445" s="2" t="s">
        <v>132</v>
      </c>
      <c r="Y445" s="2">
        <v>2.7386381989238702</v>
      </c>
      <c r="Z445" s="2">
        <v>2738.6381989238698</v>
      </c>
      <c r="AA445" s="2">
        <v>4.7837500000000004</v>
      </c>
      <c r="AB445" s="2">
        <v>-74.044138888888895</v>
      </c>
      <c r="AC445" s="2">
        <v>2580</v>
      </c>
      <c r="AD445" s="2">
        <v>0</v>
      </c>
      <c r="AE445" s="2" t="s">
        <v>133</v>
      </c>
      <c r="AF445" s="2" t="s">
        <v>86</v>
      </c>
      <c r="AG445" s="2" t="s">
        <v>61</v>
      </c>
      <c r="AH445" s="2" t="s">
        <v>62</v>
      </c>
      <c r="AI445" s="2" t="s">
        <v>87</v>
      </c>
      <c r="AJ445" s="2">
        <v>1.5591734928341701</v>
      </c>
      <c r="AK445" s="2">
        <v>0.87501627835000295</v>
      </c>
      <c r="AL445" s="2">
        <v>1.3667259334460899</v>
      </c>
      <c r="AM445" s="2">
        <v>0.16319138217972201</v>
      </c>
      <c r="AN445" s="2">
        <v>2.44133047917077</v>
      </c>
      <c r="AO445" s="2">
        <v>4.3955696629682302E-2</v>
      </c>
      <c r="AP445" s="2">
        <v>4.3955696629682302E-2</v>
      </c>
      <c r="AQ445" s="2">
        <v>0</v>
      </c>
      <c r="AR445" s="2">
        <v>0</v>
      </c>
      <c r="AS445" s="2">
        <v>0</v>
      </c>
      <c r="AT445" s="2">
        <v>6</v>
      </c>
      <c r="AU445" s="2">
        <v>0</v>
      </c>
      <c r="AV445" s="2">
        <v>6</v>
      </c>
      <c r="AW445" s="2">
        <v>0</v>
      </c>
      <c r="AX445" s="2">
        <v>0</v>
      </c>
      <c r="AY445" s="2">
        <v>15.3</v>
      </c>
      <c r="AZ445" s="2">
        <v>9.8000000000000007</v>
      </c>
      <c r="BA445" s="2">
        <v>29.7</v>
      </c>
      <c r="BB445" s="2">
        <v>564</v>
      </c>
      <c r="BC445" s="2">
        <v>68</v>
      </c>
      <c r="BD445" s="2">
        <v>1.8</v>
      </c>
      <c r="BE445" s="2">
        <v>43</v>
      </c>
      <c r="BF445" s="2">
        <v>25.4</v>
      </c>
      <c r="BG445" s="2">
        <v>162</v>
      </c>
      <c r="BH445" s="2">
        <v>9.1</v>
      </c>
      <c r="BI445" s="2">
        <v>9.1999999999999993</v>
      </c>
      <c r="BJ445" s="2">
        <v>18.3</v>
      </c>
      <c r="BK445" s="2">
        <v>0.34</v>
      </c>
      <c r="BL445" s="2">
        <v>7.3</v>
      </c>
      <c r="BM445" s="2">
        <v>0.9</v>
      </c>
      <c r="BN445" s="2">
        <v>7.5</v>
      </c>
      <c r="BO445" s="2">
        <v>2.9</v>
      </c>
      <c r="BP445" s="2">
        <f t="shared" si="12"/>
        <v>8.5576001524965246</v>
      </c>
      <c r="BQ445" s="2">
        <f t="shared" si="13"/>
        <v>27.810669138581144</v>
      </c>
    </row>
    <row r="446" spans="1:69" x14ac:dyDescent="0.2">
      <c r="A446" s="2" t="s">
        <v>4309</v>
      </c>
      <c r="B446" s="2" t="s">
        <v>47</v>
      </c>
      <c r="C446" s="2" t="s">
        <v>3273</v>
      </c>
      <c r="D446" s="2" t="s">
        <v>49</v>
      </c>
      <c r="E446" s="2" t="s">
        <v>144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89</v>
      </c>
      <c r="L446" s="6" t="s">
        <v>90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4310</v>
      </c>
      <c r="R446" s="2">
        <v>8375000</v>
      </c>
      <c r="S446" s="2">
        <v>0</v>
      </c>
      <c r="T446" s="2" t="s">
        <v>130</v>
      </c>
      <c r="U446" s="2" t="s">
        <v>131</v>
      </c>
      <c r="V446" s="2" t="s">
        <v>56</v>
      </c>
      <c r="W446" s="2" t="s">
        <v>98</v>
      </c>
      <c r="X446" s="2" t="s">
        <v>132</v>
      </c>
      <c r="Y446" s="2">
        <v>3.0004161785653598</v>
      </c>
      <c r="Z446" s="2">
        <v>3000.41617856536</v>
      </c>
      <c r="AA446" s="2">
        <v>4.7837500000000004</v>
      </c>
      <c r="AB446" s="2">
        <v>-74.044138888888895</v>
      </c>
      <c r="AC446" s="2">
        <v>2580</v>
      </c>
      <c r="AD446" s="2">
        <v>0</v>
      </c>
      <c r="AE446" s="2" t="s">
        <v>133</v>
      </c>
      <c r="AF446" s="2" t="s">
        <v>86</v>
      </c>
      <c r="AG446" s="2" t="s">
        <v>61</v>
      </c>
      <c r="AH446" s="2" t="s">
        <v>62</v>
      </c>
      <c r="AI446" s="2" t="s">
        <v>100</v>
      </c>
      <c r="AJ446" s="2">
        <v>0.58071034703616897</v>
      </c>
      <c r="AK446" s="2">
        <v>3.1497918881271199</v>
      </c>
      <c r="AL446" s="2">
        <v>0.57302899403019802</v>
      </c>
      <c r="AM446" s="2">
        <v>0.39012179514484102</v>
      </c>
      <c r="AN446" s="2">
        <v>3.1644621079634501</v>
      </c>
      <c r="AO446" s="2">
        <v>3.7609653435346897E-2</v>
      </c>
      <c r="AP446" s="2">
        <v>3.7609653435346897E-2</v>
      </c>
      <c r="AQ446" s="2">
        <v>0</v>
      </c>
      <c r="AR446" s="2">
        <v>2</v>
      </c>
      <c r="AS446" s="2">
        <v>0</v>
      </c>
      <c r="AT446" s="2">
        <v>0</v>
      </c>
      <c r="AU446" s="2">
        <v>1</v>
      </c>
      <c r="AV446" s="2">
        <v>20</v>
      </c>
      <c r="AW446" s="2">
        <v>0</v>
      </c>
      <c r="AX446" s="2">
        <v>0</v>
      </c>
      <c r="AY446" s="2">
        <v>15.3</v>
      </c>
      <c r="AZ446" s="2">
        <v>9.8000000000000007</v>
      </c>
      <c r="BA446" s="2">
        <v>29.7</v>
      </c>
      <c r="BB446" s="2">
        <v>564</v>
      </c>
      <c r="BC446" s="2">
        <v>68</v>
      </c>
      <c r="BD446" s="2">
        <v>1.8</v>
      </c>
      <c r="BE446" s="2">
        <v>43</v>
      </c>
      <c r="BF446" s="2">
        <v>25.4</v>
      </c>
      <c r="BG446" s="2">
        <v>162</v>
      </c>
      <c r="BH446" s="2">
        <v>9.1</v>
      </c>
      <c r="BI446" s="2">
        <v>9.1999999999999993</v>
      </c>
      <c r="BJ446" s="2">
        <v>18.3</v>
      </c>
      <c r="BK446" s="2">
        <v>0.34</v>
      </c>
      <c r="BL446" s="2">
        <v>7.3</v>
      </c>
      <c r="BM446" s="2">
        <v>0.9</v>
      </c>
      <c r="BN446" s="2">
        <v>7.5</v>
      </c>
      <c r="BO446" s="2">
        <v>2.9</v>
      </c>
      <c r="BP446" s="2">
        <f t="shared" si="12"/>
        <v>8.4474260444145735</v>
      </c>
      <c r="BQ446" s="2">
        <f t="shared" si="13"/>
        <v>27.63649156304437</v>
      </c>
    </row>
    <row r="447" spans="1:69" x14ac:dyDescent="0.2">
      <c r="A447" s="2" t="s">
        <v>3826</v>
      </c>
      <c r="B447" s="2" t="s">
        <v>47</v>
      </c>
      <c r="C447" s="2" t="s">
        <v>3273</v>
      </c>
      <c r="D447" s="2" t="s">
        <v>49</v>
      </c>
      <c r="E447" s="2" t="s">
        <v>474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89</v>
      </c>
      <c r="L447" s="6" t="s">
        <v>90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3827</v>
      </c>
      <c r="R447" s="2">
        <v>7019262.1610000003</v>
      </c>
      <c r="S447" s="2">
        <v>0</v>
      </c>
      <c r="T447" s="2" t="s">
        <v>96</v>
      </c>
      <c r="U447" s="2" t="s">
        <v>97</v>
      </c>
      <c r="V447" s="2" t="s">
        <v>56</v>
      </c>
      <c r="W447" s="2" t="s">
        <v>98</v>
      </c>
      <c r="X447" s="2" t="s">
        <v>99</v>
      </c>
      <c r="Y447" s="2">
        <v>2.1136912069093001</v>
      </c>
      <c r="Z447" s="2">
        <v>2113.6912069093</v>
      </c>
      <c r="AA447" s="2">
        <v>4.73719444444444</v>
      </c>
      <c r="AB447" s="2">
        <v>-74.069472222222203</v>
      </c>
      <c r="AC447" s="2">
        <v>2555</v>
      </c>
      <c r="AD447" s="2">
        <v>0</v>
      </c>
      <c r="AE447" s="2" t="s">
        <v>59</v>
      </c>
      <c r="AF447" s="2" t="s">
        <v>86</v>
      </c>
      <c r="AG447" s="2" t="s">
        <v>61</v>
      </c>
      <c r="AH447" s="2" t="s">
        <v>62</v>
      </c>
      <c r="AI447" s="2" t="s">
        <v>100</v>
      </c>
      <c r="AJ447" s="2">
        <v>0.29759723353601902</v>
      </c>
      <c r="AK447" s="2">
        <v>3.3872647655441401</v>
      </c>
      <c r="AL447" s="2">
        <v>1.5765613267627101</v>
      </c>
      <c r="AM447" s="2">
        <v>0.23970749844703801</v>
      </c>
      <c r="AN447" s="2">
        <v>3.31410237205198</v>
      </c>
      <c r="AO447" s="2">
        <v>6.1120495297220696E-3</v>
      </c>
      <c r="AP447" s="2">
        <v>6.1120495297220696E-3</v>
      </c>
      <c r="AQ447" s="2">
        <v>1</v>
      </c>
      <c r="AR447" s="2">
        <v>4</v>
      </c>
      <c r="AS447" s="2">
        <v>0</v>
      </c>
      <c r="AT447" s="2">
        <v>0</v>
      </c>
      <c r="AU447" s="2">
        <v>0</v>
      </c>
      <c r="AV447" s="2">
        <v>25</v>
      </c>
      <c r="AW447" s="2">
        <v>0</v>
      </c>
      <c r="AX447" s="2">
        <v>0</v>
      </c>
      <c r="AY447" s="2">
        <v>15.3</v>
      </c>
      <c r="AZ447" s="2">
        <v>9.8000000000000007</v>
      </c>
      <c r="BA447" s="2">
        <v>29.7</v>
      </c>
      <c r="BB447" s="2">
        <v>564</v>
      </c>
      <c r="BC447" s="2">
        <v>68</v>
      </c>
      <c r="BD447" s="2">
        <v>1.8</v>
      </c>
      <c r="BE447" s="2">
        <v>43</v>
      </c>
      <c r="BF447" s="2">
        <v>25.4</v>
      </c>
      <c r="BG447" s="2">
        <v>162</v>
      </c>
      <c r="BH447" s="2">
        <v>9.1</v>
      </c>
      <c r="BI447" s="2">
        <v>9.1999999999999993</v>
      </c>
      <c r="BJ447" s="2">
        <v>18.3</v>
      </c>
      <c r="BK447" s="2">
        <v>0.34</v>
      </c>
      <c r="BL447" s="2">
        <v>7.3</v>
      </c>
      <c r="BM447" s="2">
        <v>0.9</v>
      </c>
      <c r="BN447" s="2">
        <v>7.5</v>
      </c>
      <c r="BO447" s="2">
        <v>2.9</v>
      </c>
      <c r="BP447" s="2">
        <f t="shared" si="12"/>
        <v>8.8264656728136401</v>
      </c>
      <c r="BQ447" s="2">
        <f t="shared" si="13"/>
        <v>28.230937663092885</v>
      </c>
    </row>
    <row r="448" spans="1:69" x14ac:dyDescent="0.2">
      <c r="A448" s="2" t="s">
        <v>3120</v>
      </c>
      <c r="B448" s="2" t="s">
        <v>47</v>
      </c>
      <c r="C448" s="2" t="s">
        <v>1935</v>
      </c>
      <c r="D448" s="2" t="s">
        <v>49</v>
      </c>
      <c r="E448" s="2" t="s">
        <v>2922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89</v>
      </c>
      <c r="L448" s="6" t="s">
        <v>112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3121</v>
      </c>
      <c r="R448" s="2">
        <v>33266666.670000002</v>
      </c>
      <c r="S448" s="2">
        <v>0</v>
      </c>
      <c r="T448" s="2" t="s">
        <v>96</v>
      </c>
      <c r="U448" s="2" t="s">
        <v>97</v>
      </c>
      <c r="V448" s="2" t="s">
        <v>56</v>
      </c>
      <c r="W448" s="2" t="s">
        <v>98</v>
      </c>
      <c r="X448" s="2" t="s">
        <v>99</v>
      </c>
      <c r="Y448" s="2">
        <v>3.0444280649015401</v>
      </c>
      <c r="Z448" s="2">
        <v>3044.42806490154</v>
      </c>
      <c r="AA448" s="2">
        <v>4.73719444444444</v>
      </c>
      <c r="AB448" s="2">
        <v>-74.069472222222203</v>
      </c>
      <c r="AC448" s="2">
        <v>2555</v>
      </c>
      <c r="AD448" s="2">
        <v>0</v>
      </c>
      <c r="AE448" s="2" t="s">
        <v>59</v>
      </c>
      <c r="AF448" s="2" t="s">
        <v>86</v>
      </c>
      <c r="AG448" s="2" t="s">
        <v>61</v>
      </c>
      <c r="AH448" s="2" t="s">
        <v>62</v>
      </c>
      <c r="AI448" s="2" t="s">
        <v>100</v>
      </c>
      <c r="AJ448" s="2">
        <v>0.47293914861679898</v>
      </c>
      <c r="AK448" s="2">
        <v>4.7955353152625397</v>
      </c>
      <c r="AL448" s="2">
        <v>0.84451360059834901</v>
      </c>
      <c r="AM448" s="2">
        <v>0.14722414653544799</v>
      </c>
      <c r="AN448" s="2">
        <v>3.9624833482641302</v>
      </c>
      <c r="AO448" s="2">
        <v>0.530252188211915</v>
      </c>
      <c r="AP448" s="2">
        <v>0.530252188211915</v>
      </c>
      <c r="AQ448" s="2">
        <v>1</v>
      </c>
      <c r="AR448" s="2">
        <v>2</v>
      </c>
      <c r="AS448" s="2">
        <v>0</v>
      </c>
      <c r="AT448" s="2">
        <v>0</v>
      </c>
      <c r="AU448" s="2">
        <v>1</v>
      </c>
      <c r="AV448" s="2">
        <v>34</v>
      </c>
      <c r="AW448" s="2">
        <v>0</v>
      </c>
      <c r="AX448" s="2">
        <v>0</v>
      </c>
      <c r="AY448" s="2">
        <v>15.3</v>
      </c>
      <c r="AZ448" s="2">
        <v>9.8000000000000007</v>
      </c>
      <c r="BA448" s="2">
        <v>29.7</v>
      </c>
      <c r="BB448" s="2">
        <v>564</v>
      </c>
      <c r="BC448" s="2">
        <v>68</v>
      </c>
      <c r="BD448" s="2">
        <v>1.8</v>
      </c>
      <c r="BE448" s="2">
        <v>43</v>
      </c>
      <c r="BF448" s="2">
        <v>25.4</v>
      </c>
      <c r="BG448" s="2">
        <v>162</v>
      </c>
      <c r="BH448" s="2">
        <v>9.1</v>
      </c>
      <c r="BI448" s="2">
        <v>9.1999999999999993</v>
      </c>
      <c r="BJ448" s="2">
        <v>18.3</v>
      </c>
      <c r="BK448" s="2">
        <v>0.34</v>
      </c>
      <c r="BL448" s="2">
        <v>7.3</v>
      </c>
      <c r="BM448" s="2">
        <v>0.9</v>
      </c>
      <c r="BN448" s="2">
        <v>7.5</v>
      </c>
      <c r="BO448" s="2">
        <v>2.9</v>
      </c>
      <c r="BP448" s="2">
        <f t="shared" si="12"/>
        <v>8.4290426124835829</v>
      </c>
      <c r="BQ448" s="2">
        <f t="shared" si="13"/>
        <v>27.607314956157545</v>
      </c>
    </row>
    <row r="449" spans="1:69" x14ac:dyDescent="0.2">
      <c r="A449" s="2" t="s">
        <v>1108</v>
      </c>
      <c r="B449" s="2" t="s">
        <v>47</v>
      </c>
      <c r="C449" s="2" t="s">
        <v>48</v>
      </c>
      <c r="D449" s="2" t="s">
        <v>49</v>
      </c>
      <c r="E449" s="2" t="s">
        <v>305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89</v>
      </c>
      <c r="L449" s="6" t="s">
        <v>90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1109</v>
      </c>
      <c r="R449" s="2">
        <v>8333333.3329999996</v>
      </c>
      <c r="S449" s="2">
        <v>0</v>
      </c>
      <c r="T449" s="2" t="s">
        <v>130</v>
      </c>
      <c r="U449" s="2" t="s">
        <v>131</v>
      </c>
      <c r="V449" s="2" t="s">
        <v>56</v>
      </c>
      <c r="W449" s="2" t="s">
        <v>98</v>
      </c>
      <c r="X449" s="2" t="s">
        <v>132</v>
      </c>
      <c r="Y449" s="2">
        <v>4.3717683579254096</v>
      </c>
      <c r="Z449" s="2">
        <v>4371.7683579254099</v>
      </c>
      <c r="AA449" s="2">
        <v>4.7837500000000004</v>
      </c>
      <c r="AB449" s="2">
        <v>-74.044138888888895</v>
      </c>
      <c r="AC449" s="2">
        <v>2580</v>
      </c>
      <c r="AD449" s="2">
        <v>0</v>
      </c>
      <c r="AE449" s="2" t="s">
        <v>133</v>
      </c>
      <c r="AF449" s="2" t="s">
        <v>86</v>
      </c>
      <c r="AG449" s="2" t="s">
        <v>61</v>
      </c>
      <c r="AH449" s="2" t="s">
        <v>62</v>
      </c>
      <c r="AI449" s="2" t="s">
        <v>87</v>
      </c>
      <c r="AJ449" s="2">
        <v>2.5046580905410698</v>
      </c>
      <c r="AK449" s="2">
        <v>0.39252187808303102</v>
      </c>
      <c r="AL449" s="2">
        <v>0.47558837345632898</v>
      </c>
      <c r="AM449" s="2">
        <v>0.82387514700267594</v>
      </c>
      <c r="AN449" s="2">
        <v>0.99005980468446897</v>
      </c>
      <c r="AO449" s="2">
        <v>0.17359718481571501</v>
      </c>
      <c r="AP449" s="2">
        <v>0.17359718481571501</v>
      </c>
      <c r="AQ449" s="2">
        <v>0</v>
      </c>
      <c r="AR449" s="2">
        <v>0</v>
      </c>
      <c r="AS449" s="2">
        <v>3</v>
      </c>
      <c r="AT449" s="2">
        <v>45</v>
      </c>
      <c r="AU449" s="2">
        <v>3</v>
      </c>
      <c r="AV449" s="2">
        <v>2</v>
      </c>
      <c r="AW449" s="2">
        <v>1</v>
      </c>
      <c r="AX449" s="2">
        <v>0</v>
      </c>
      <c r="AY449" s="2">
        <v>15.3</v>
      </c>
      <c r="AZ449" s="2">
        <v>9.8000000000000007</v>
      </c>
      <c r="BA449" s="2">
        <v>29.7</v>
      </c>
      <c r="BB449" s="2">
        <v>564</v>
      </c>
      <c r="BC449" s="2">
        <v>68</v>
      </c>
      <c r="BD449" s="2">
        <v>1.8</v>
      </c>
      <c r="BE449" s="2">
        <v>43</v>
      </c>
      <c r="BF449" s="2">
        <v>25.4</v>
      </c>
      <c r="BG449" s="2">
        <v>162</v>
      </c>
      <c r="BH449" s="2">
        <v>9.1</v>
      </c>
      <c r="BI449" s="2">
        <v>9.1999999999999993</v>
      </c>
      <c r="BJ449" s="2">
        <v>18.3</v>
      </c>
      <c r="BK449" s="2">
        <v>0.34</v>
      </c>
      <c r="BL449" s="2">
        <v>7.3</v>
      </c>
      <c r="BM449" s="2">
        <v>0.9</v>
      </c>
      <c r="BN449" s="2">
        <v>7.5</v>
      </c>
      <c r="BO449" s="2">
        <v>2.9</v>
      </c>
      <c r="BP449" s="2">
        <f t="shared" si="12"/>
        <v>7.89302810886175</v>
      </c>
      <c r="BQ449" s="2">
        <f t="shared" si="13"/>
        <v>26.741712311805973</v>
      </c>
    </row>
    <row r="450" spans="1:69" x14ac:dyDescent="0.2">
      <c r="A450" s="2" t="s">
        <v>3293</v>
      </c>
      <c r="B450" s="2" t="s">
        <v>47</v>
      </c>
      <c r="C450" s="2" t="s">
        <v>3273</v>
      </c>
      <c r="D450" s="2" t="s">
        <v>49</v>
      </c>
      <c r="E450" s="2" t="s">
        <v>462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89</v>
      </c>
      <c r="L450" s="6" t="s">
        <v>90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3294</v>
      </c>
      <c r="R450" s="2">
        <v>8166666.6670000004</v>
      </c>
      <c r="S450" s="2">
        <v>0</v>
      </c>
      <c r="T450" s="2" t="s">
        <v>96</v>
      </c>
      <c r="U450" s="2" t="s">
        <v>97</v>
      </c>
      <c r="V450" s="2" t="s">
        <v>56</v>
      </c>
      <c r="W450" s="2" t="s">
        <v>98</v>
      </c>
      <c r="X450" s="2" t="s">
        <v>99</v>
      </c>
      <c r="Y450" s="2">
        <v>1.50380754949125</v>
      </c>
      <c r="Z450" s="2">
        <v>1503.80754949125</v>
      </c>
      <c r="AA450" s="2">
        <v>4.73719444444444</v>
      </c>
      <c r="AB450" s="2">
        <v>-74.069472222222203</v>
      </c>
      <c r="AC450" s="2">
        <v>2555</v>
      </c>
      <c r="AD450" s="2">
        <v>0</v>
      </c>
      <c r="AE450" s="2" t="s">
        <v>59</v>
      </c>
      <c r="AF450" s="2" t="s">
        <v>86</v>
      </c>
      <c r="AG450" s="2" t="s">
        <v>61</v>
      </c>
      <c r="AH450" s="2" t="s">
        <v>62</v>
      </c>
      <c r="AI450" s="2" t="s">
        <v>100</v>
      </c>
      <c r="AJ450" s="2">
        <v>0.36801168432527098</v>
      </c>
      <c r="AK450" s="2">
        <v>5.5153775491366899</v>
      </c>
      <c r="AL450" s="2">
        <v>0.83091214856195394</v>
      </c>
      <c r="AM450" s="2">
        <v>0.43709818106130699</v>
      </c>
      <c r="AN450" s="2">
        <v>2.33690809736011</v>
      </c>
      <c r="AO450" s="2">
        <v>0.204032477875631</v>
      </c>
      <c r="AP450" s="2">
        <v>0.204032477875631</v>
      </c>
      <c r="AQ450" s="2">
        <v>2</v>
      </c>
      <c r="AR450" s="2">
        <v>2</v>
      </c>
      <c r="AS450" s="2">
        <v>0</v>
      </c>
      <c r="AT450" s="2">
        <v>0</v>
      </c>
      <c r="AU450" s="2">
        <v>1</v>
      </c>
      <c r="AV450" s="2">
        <v>27</v>
      </c>
      <c r="AW450" s="2">
        <v>0</v>
      </c>
      <c r="AX450" s="2">
        <v>0</v>
      </c>
      <c r="AY450" s="2">
        <v>15.3</v>
      </c>
      <c r="AZ450" s="2">
        <v>9.8000000000000007</v>
      </c>
      <c r="BA450" s="2">
        <v>29.7</v>
      </c>
      <c r="BB450" s="2">
        <v>564</v>
      </c>
      <c r="BC450" s="2">
        <v>68</v>
      </c>
      <c r="BD450" s="2">
        <v>1.8</v>
      </c>
      <c r="BE450" s="2">
        <v>43</v>
      </c>
      <c r="BF450" s="2">
        <v>25.4</v>
      </c>
      <c r="BG450" s="2">
        <v>162</v>
      </c>
      <c r="BH450" s="2">
        <v>9.1</v>
      </c>
      <c r="BI450" s="2">
        <v>9.1999999999999993</v>
      </c>
      <c r="BJ450" s="2">
        <v>18.3</v>
      </c>
      <c r="BK450" s="2">
        <v>0.34</v>
      </c>
      <c r="BL450" s="2">
        <v>7.3</v>
      </c>
      <c r="BM450" s="2">
        <v>0.9</v>
      </c>
      <c r="BN450" s="2">
        <v>7.5</v>
      </c>
      <c r="BO450" s="2">
        <v>2.9</v>
      </c>
      <c r="BP450" s="2">
        <f t="shared" ref="BP450:BP513" si="14">+AZ450*EXP(-0.0495*Y450)</f>
        <v>9.0969929328780754</v>
      </c>
      <c r="BQ450" s="2">
        <f t="shared" ref="BQ450:BQ513" si="15">+BA450*EXP(-0.024*Y450)</f>
        <v>28.647198781784052</v>
      </c>
    </row>
    <row r="451" spans="1:69" x14ac:dyDescent="0.2">
      <c r="A451" s="2" t="s">
        <v>4369</v>
      </c>
      <c r="B451" s="2" t="s">
        <v>47</v>
      </c>
      <c r="C451" s="2" t="s">
        <v>3273</v>
      </c>
      <c r="D451" s="2" t="s">
        <v>49</v>
      </c>
      <c r="E451" s="2" t="s">
        <v>640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89</v>
      </c>
      <c r="L451" s="6" t="s">
        <v>90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4370</v>
      </c>
      <c r="R451" s="2">
        <v>7266666.6670000004</v>
      </c>
      <c r="S451" s="2">
        <v>0</v>
      </c>
      <c r="T451" s="2" t="s">
        <v>96</v>
      </c>
      <c r="U451" s="2" t="s">
        <v>97</v>
      </c>
      <c r="V451" s="2" t="s">
        <v>56</v>
      </c>
      <c r="W451" s="2" t="s">
        <v>98</v>
      </c>
      <c r="X451" s="2" t="s">
        <v>99</v>
      </c>
      <c r="Y451" s="2">
        <v>1.3634021695844101</v>
      </c>
      <c r="Z451" s="2">
        <v>1363.4021695844101</v>
      </c>
      <c r="AA451" s="2">
        <v>4.73719444444444</v>
      </c>
      <c r="AB451" s="2">
        <v>-74.069472222222203</v>
      </c>
      <c r="AC451" s="2">
        <v>2555</v>
      </c>
      <c r="AD451" s="2">
        <v>0</v>
      </c>
      <c r="AE451" s="2" t="s">
        <v>59</v>
      </c>
      <c r="AF451" s="2" t="s">
        <v>86</v>
      </c>
      <c r="AG451" s="2" t="s">
        <v>61</v>
      </c>
      <c r="AH451" s="2" t="s">
        <v>62</v>
      </c>
      <c r="AI451" s="2" t="s">
        <v>100</v>
      </c>
      <c r="AJ451" s="2">
        <v>1.64961312746184</v>
      </c>
      <c r="AK451" s="2">
        <v>4.5839896624581904</v>
      </c>
      <c r="AL451" s="2">
        <v>1.1864089801334901</v>
      </c>
      <c r="AM451" s="2">
        <v>0.37618588029316202</v>
      </c>
      <c r="AN451" s="2">
        <v>2.64531557555547</v>
      </c>
      <c r="AO451" s="2">
        <v>5.1856322204296E-2</v>
      </c>
      <c r="AP451" s="2">
        <v>5.1856322204296E-2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14</v>
      </c>
      <c r="AW451" s="2">
        <v>0</v>
      </c>
      <c r="AX451" s="2">
        <v>0</v>
      </c>
      <c r="AY451" s="2">
        <v>15.3</v>
      </c>
      <c r="AZ451" s="2">
        <v>9.8000000000000007</v>
      </c>
      <c r="BA451" s="2">
        <v>29.7</v>
      </c>
      <c r="BB451" s="2">
        <v>564</v>
      </c>
      <c r="BC451" s="2">
        <v>68</v>
      </c>
      <c r="BD451" s="2">
        <v>1.8</v>
      </c>
      <c r="BE451" s="2">
        <v>43</v>
      </c>
      <c r="BF451" s="2">
        <v>25.4</v>
      </c>
      <c r="BG451" s="2">
        <v>162</v>
      </c>
      <c r="BH451" s="2">
        <v>9.1</v>
      </c>
      <c r="BI451" s="2">
        <v>9.1999999999999993</v>
      </c>
      <c r="BJ451" s="2">
        <v>18.3</v>
      </c>
      <c r="BK451" s="2">
        <v>0.34</v>
      </c>
      <c r="BL451" s="2">
        <v>7.3</v>
      </c>
      <c r="BM451" s="2">
        <v>0.9</v>
      </c>
      <c r="BN451" s="2">
        <v>7.5</v>
      </c>
      <c r="BO451" s="2">
        <v>2.9</v>
      </c>
      <c r="BP451" s="2">
        <f t="shared" si="14"/>
        <v>9.1604378547644583</v>
      </c>
      <c r="BQ451" s="2">
        <f t="shared" si="15"/>
        <v>28.743894910041597</v>
      </c>
    </row>
    <row r="452" spans="1:69" x14ac:dyDescent="0.2">
      <c r="A452" s="2" t="s">
        <v>4622</v>
      </c>
      <c r="B452" s="2" t="s">
        <v>47</v>
      </c>
      <c r="C452" s="2" t="s">
        <v>3273</v>
      </c>
      <c r="D452" s="2" t="s">
        <v>49</v>
      </c>
      <c r="E452" s="2" t="s">
        <v>688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89</v>
      </c>
      <c r="L452" s="6" t="s">
        <v>112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4623</v>
      </c>
      <c r="R452" s="2">
        <v>7857142.8569999998</v>
      </c>
      <c r="S452" s="2">
        <v>0</v>
      </c>
      <c r="T452" s="2" t="s">
        <v>96</v>
      </c>
      <c r="U452" s="2" t="s">
        <v>97</v>
      </c>
      <c r="V452" s="2" t="s">
        <v>56</v>
      </c>
      <c r="W452" s="2" t="s">
        <v>98</v>
      </c>
      <c r="X452" s="2" t="s">
        <v>99</v>
      </c>
      <c r="Y452" s="2">
        <v>1.4826595442911299</v>
      </c>
      <c r="Z452" s="2">
        <v>1482.65954429113</v>
      </c>
      <c r="AA452" s="2">
        <v>4.73719444444444</v>
      </c>
      <c r="AB452" s="2">
        <v>-74.069472222222203</v>
      </c>
      <c r="AC452" s="2">
        <v>2555</v>
      </c>
      <c r="AD452" s="2">
        <v>0</v>
      </c>
      <c r="AE452" s="2" t="s">
        <v>59</v>
      </c>
      <c r="AF452" s="2" t="s">
        <v>86</v>
      </c>
      <c r="AG452" s="2" t="s">
        <v>61</v>
      </c>
      <c r="AH452" s="2" t="s">
        <v>62</v>
      </c>
      <c r="AI452" s="2" t="s">
        <v>100</v>
      </c>
      <c r="AJ452" s="2">
        <v>0.390005174170028</v>
      </c>
      <c r="AK452" s="2">
        <v>5.5051193803714904</v>
      </c>
      <c r="AL452" s="2">
        <v>0.84639234462455404</v>
      </c>
      <c r="AM452" s="2">
        <v>0.45298825859990499</v>
      </c>
      <c r="AN452" s="2">
        <v>2.3288658807844702</v>
      </c>
      <c r="AO452" s="2">
        <v>0.21378853060202899</v>
      </c>
      <c r="AP452" s="2">
        <v>0.21378853060202899</v>
      </c>
      <c r="AQ452" s="2">
        <v>2</v>
      </c>
      <c r="AR452" s="2">
        <v>2</v>
      </c>
      <c r="AS452" s="2">
        <v>0</v>
      </c>
      <c r="AT452" s="2">
        <v>0</v>
      </c>
      <c r="AU452" s="2">
        <v>1</v>
      </c>
      <c r="AV452" s="2">
        <v>28</v>
      </c>
      <c r="AW452" s="2">
        <v>0</v>
      </c>
      <c r="AX452" s="2">
        <v>0</v>
      </c>
      <c r="AY452" s="2">
        <v>15.3</v>
      </c>
      <c r="AZ452" s="2">
        <v>9.8000000000000007</v>
      </c>
      <c r="BA452" s="2">
        <v>29.7</v>
      </c>
      <c r="BB452" s="2">
        <v>564</v>
      </c>
      <c r="BC452" s="2">
        <v>68</v>
      </c>
      <c r="BD452" s="2">
        <v>1.8</v>
      </c>
      <c r="BE452" s="2">
        <v>43</v>
      </c>
      <c r="BF452" s="2">
        <v>25.4</v>
      </c>
      <c r="BG452" s="2">
        <v>162</v>
      </c>
      <c r="BH452" s="2">
        <v>9.1</v>
      </c>
      <c r="BI452" s="2">
        <v>9.1999999999999993</v>
      </c>
      <c r="BJ452" s="2">
        <v>18.3</v>
      </c>
      <c r="BK452" s="2">
        <v>0.34</v>
      </c>
      <c r="BL452" s="2">
        <v>7.3</v>
      </c>
      <c r="BM452" s="2">
        <v>0.9</v>
      </c>
      <c r="BN452" s="2">
        <v>7.5</v>
      </c>
      <c r="BO452" s="2">
        <v>2.9</v>
      </c>
      <c r="BP452" s="2">
        <f t="shared" si="14"/>
        <v>9.1065208901314669</v>
      </c>
      <c r="BQ452" s="2">
        <f t="shared" si="15"/>
        <v>28.661742418910144</v>
      </c>
    </row>
    <row r="453" spans="1:69" x14ac:dyDescent="0.2">
      <c r="A453" s="2" t="s">
        <v>3981</v>
      </c>
      <c r="B453" s="2" t="s">
        <v>47</v>
      </c>
      <c r="C453" s="2" t="s">
        <v>3273</v>
      </c>
      <c r="D453" s="2" t="s">
        <v>49</v>
      </c>
      <c r="E453" s="2" t="s">
        <v>3982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89</v>
      </c>
      <c r="L453" s="6" t="s">
        <v>90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3983</v>
      </c>
      <c r="R453" s="2">
        <v>7500000</v>
      </c>
      <c r="S453" s="2">
        <v>0</v>
      </c>
      <c r="T453" s="2" t="s">
        <v>96</v>
      </c>
      <c r="U453" s="2" t="s">
        <v>97</v>
      </c>
      <c r="V453" s="2" t="s">
        <v>56</v>
      </c>
      <c r="W453" s="2" t="s">
        <v>98</v>
      </c>
      <c r="X453" s="2" t="s">
        <v>99</v>
      </c>
      <c r="Y453" s="2">
        <v>1.9228731765563301</v>
      </c>
      <c r="Z453" s="2">
        <v>1922.87317655633</v>
      </c>
      <c r="AA453" s="2">
        <v>4.73719444444444</v>
      </c>
      <c r="AB453" s="2">
        <v>-74.069472222222203</v>
      </c>
      <c r="AC453" s="2">
        <v>2555</v>
      </c>
      <c r="AD453" s="2">
        <v>0</v>
      </c>
      <c r="AE453" s="2" t="s">
        <v>59</v>
      </c>
      <c r="AF453" s="2" t="s">
        <v>86</v>
      </c>
      <c r="AG453" s="2" t="s">
        <v>61</v>
      </c>
      <c r="AH453" s="2" t="s">
        <v>62</v>
      </c>
      <c r="AI453" s="2" t="s">
        <v>100</v>
      </c>
      <c r="AJ453" s="2">
        <v>0.52652651248948201</v>
      </c>
      <c r="AK453" s="2">
        <v>3.6112326344055101</v>
      </c>
      <c r="AL453" s="2">
        <v>1.7980618730623701</v>
      </c>
      <c r="AM453" s="2">
        <v>0.40848997798015801</v>
      </c>
      <c r="AN453" s="2">
        <v>3.5264368552504002</v>
      </c>
      <c r="AO453" s="2">
        <v>5.7658914624038701E-2</v>
      </c>
      <c r="AP453" s="2">
        <v>5.7658914624038701E-2</v>
      </c>
      <c r="AQ453" s="2">
        <v>0</v>
      </c>
      <c r="AR453" s="2">
        <v>3</v>
      </c>
      <c r="AS453" s="2">
        <v>0</v>
      </c>
      <c r="AT453" s="2">
        <v>0</v>
      </c>
      <c r="AU453" s="2">
        <v>0</v>
      </c>
      <c r="AV453" s="2">
        <v>17</v>
      </c>
      <c r="AW453" s="2">
        <v>0</v>
      </c>
      <c r="AX453" s="2">
        <v>0</v>
      </c>
      <c r="AY453" s="2">
        <v>15.3</v>
      </c>
      <c r="AZ453" s="2">
        <v>9.8000000000000007</v>
      </c>
      <c r="BA453" s="2">
        <v>29.7</v>
      </c>
      <c r="BB453" s="2">
        <v>564</v>
      </c>
      <c r="BC453" s="2">
        <v>68</v>
      </c>
      <c r="BD453" s="2">
        <v>1.8</v>
      </c>
      <c r="BE453" s="2">
        <v>43</v>
      </c>
      <c r="BF453" s="2">
        <v>25.4</v>
      </c>
      <c r="BG453" s="2">
        <v>162</v>
      </c>
      <c r="BH453" s="2">
        <v>9.1</v>
      </c>
      <c r="BI453" s="2">
        <v>9.1999999999999993</v>
      </c>
      <c r="BJ453" s="2">
        <v>18.3</v>
      </c>
      <c r="BK453" s="2">
        <v>0.34</v>
      </c>
      <c r="BL453" s="2">
        <v>7.3</v>
      </c>
      <c r="BM453" s="2">
        <v>0.9</v>
      </c>
      <c r="BN453" s="2">
        <v>7.5</v>
      </c>
      <c r="BO453" s="2">
        <v>2.9</v>
      </c>
      <c r="BP453" s="2">
        <f t="shared" si="14"/>
        <v>8.9102309676060987</v>
      </c>
      <c r="BQ453" s="2">
        <f t="shared" si="15"/>
        <v>28.360521485847666</v>
      </c>
    </row>
    <row r="454" spans="1:69" x14ac:dyDescent="0.2">
      <c r="A454" s="2" t="s">
        <v>3456</v>
      </c>
      <c r="B454" s="2" t="s">
        <v>47</v>
      </c>
      <c r="C454" s="2" t="s">
        <v>3273</v>
      </c>
      <c r="D454" s="2" t="s">
        <v>49</v>
      </c>
      <c r="E454" s="2" t="s">
        <v>144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89</v>
      </c>
      <c r="L454" s="6" t="s">
        <v>90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3457</v>
      </c>
      <c r="R454" s="2">
        <v>8312251.5360000003</v>
      </c>
      <c r="S454" s="2">
        <v>0</v>
      </c>
      <c r="T454" s="2" t="s">
        <v>130</v>
      </c>
      <c r="U454" s="2" t="s">
        <v>131</v>
      </c>
      <c r="V454" s="2" t="s">
        <v>56</v>
      </c>
      <c r="W454" s="2" t="s">
        <v>98</v>
      </c>
      <c r="X454" s="2" t="s">
        <v>132</v>
      </c>
      <c r="Y454" s="2">
        <v>2.9541339542928702</v>
      </c>
      <c r="Z454" s="2">
        <v>2954.1339542928699</v>
      </c>
      <c r="AA454" s="2">
        <v>4.7837500000000004</v>
      </c>
      <c r="AB454" s="2">
        <v>-74.044138888888895</v>
      </c>
      <c r="AC454" s="2">
        <v>2580</v>
      </c>
      <c r="AD454" s="2">
        <v>0</v>
      </c>
      <c r="AE454" s="2" t="s">
        <v>133</v>
      </c>
      <c r="AF454" s="2" t="s">
        <v>86</v>
      </c>
      <c r="AG454" s="2" t="s">
        <v>61</v>
      </c>
      <c r="AH454" s="2" t="s">
        <v>62</v>
      </c>
      <c r="AI454" s="2" t="s">
        <v>100</v>
      </c>
      <c r="AJ454" s="2">
        <v>0.57532217326871304</v>
      </c>
      <c r="AK454" s="2">
        <v>3.1154723736379299</v>
      </c>
      <c r="AL454" s="2">
        <v>0.62537242677060101</v>
      </c>
      <c r="AM454" s="2">
        <v>0.35189237309575</v>
      </c>
      <c r="AN454" s="2">
        <v>3.15747165769708</v>
      </c>
      <c r="AO454" s="2">
        <v>1.1001468661722099E-2</v>
      </c>
      <c r="AP454" s="2">
        <v>1.1001468661722099E-2</v>
      </c>
      <c r="AQ454" s="2">
        <v>0</v>
      </c>
      <c r="AR454" s="2">
        <v>2</v>
      </c>
      <c r="AS454" s="2">
        <v>0</v>
      </c>
      <c r="AT454" s="2">
        <v>0</v>
      </c>
      <c r="AU454" s="2">
        <v>1</v>
      </c>
      <c r="AV454" s="2">
        <v>20</v>
      </c>
      <c r="AW454" s="2">
        <v>0</v>
      </c>
      <c r="AX454" s="2">
        <v>0</v>
      </c>
      <c r="AY454" s="2">
        <v>15.3</v>
      </c>
      <c r="AZ454" s="2">
        <v>9.8000000000000007</v>
      </c>
      <c r="BA454" s="2">
        <v>29.7</v>
      </c>
      <c r="BB454" s="2">
        <v>564</v>
      </c>
      <c r="BC454" s="2">
        <v>68</v>
      </c>
      <c r="BD454" s="2">
        <v>1.8</v>
      </c>
      <c r="BE454" s="2">
        <v>43</v>
      </c>
      <c r="BF454" s="2">
        <v>25.4</v>
      </c>
      <c r="BG454" s="2">
        <v>162</v>
      </c>
      <c r="BH454" s="2">
        <v>9.1</v>
      </c>
      <c r="BI454" s="2">
        <v>9.1999999999999993</v>
      </c>
      <c r="BJ454" s="2">
        <v>18.3</v>
      </c>
      <c r="BK454" s="2">
        <v>0.34</v>
      </c>
      <c r="BL454" s="2">
        <v>7.3</v>
      </c>
      <c r="BM454" s="2">
        <v>0.9</v>
      </c>
      <c r="BN454" s="2">
        <v>7.5</v>
      </c>
      <c r="BO454" s="2">
        <v>2.9</v>
      </c>
      <c r="BP454" s="2">
        <f t="shared" si="14"/>
        <v>8.46680103019923</v>
      </c>
      <c r="BQ454" s="2">
        <f t="shared" si="15"/>
        <v>27.6672064977673</v>
      </c>
    </row>
    <row r="455" spans="1:69" x14ac:dyDescent="0.2">
      <c r="A455" s="2" t="s">
        <v>4381</v>
      </c>
      <c r="B455" s="2" t="s">
        <v>47</v>
      </c>
      <c r="C455" s="2" t="s">
        <v>3273</v>
      </c>
      <c r="D455" s="2" t="s">
        <v>49</v>
      </c>
      <c r="E455" s="2" t="s">
        <v>4382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89</v>
      </c>
      <c r="L455" s="6" t="s">
        <v>90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4383</v>
      </c>
      <c r="R455" s="2">
        <v>9286234.523</v>
      </c>
      <c r="S455" s="2">
        <v>0</v>
      </c>
      <c r="T455" s="2" t="s">
        <v>96</v>
      </c>
      <c r="U455" s="2" t="s">
        <v>97</v>
      </c>
      <c r="V455" s="2" t="s">
        <v>56</v>
      </c>
      <c r="W455" s="2" t="s">
        <v>98</v>
      </c>
      <c r="X455" s="2" t="s">
        <v>99</v>
      </c>
      <c r="Y455" s="2">
        <v>1.92224170392265</v>
      </c>
      <c r="Z455" s="2">
        <v>1922.24170392265</v>
      </c>
      <c r="AA455" s="2">
        <v>4.73719444444444</v>
      </c>
      <c r="AB455" s="2">
        <v>-74.069472222222203</v>
      </c>
      <c r="AC455" s="2">
        <v>2555</v>
      </c>
      <c r="AD455" s="2">
        <v>0</v>
      </c>
      <c r="AE455" s="2" t="s">
        <v>59</v>
      </c>
      <c r="AF455" s="2" t="s">
        <v>86</v>
      </c>
      <c r="AG455" s="2" t="s">
        <v>61</v>
      </c>
      <c r="AH455" s="2" t="s">
        <v>62</v>
      </c>
      <c r="AI455" s="2" t="s">
        <v>100</v>
      </c>
      <c r="AJ455" s="2">
        <v>0.52708235451677998</v>
      </c>
      <c r="AK455" s="2">
        <v>3.61182185625684</v>
      </c>
      <c r="AL455" s="2">
        <v>1.7984319182035899</v>
      </c>
      <c r="AM455" s="2">
        <v>0.40873170207382498</v>
      </c>
      <c r="AN455" s="2">
        <v>3.52674655683844</v>
      </c>
      <c r="AO455" s="2">
        <v>5.70595167197862E-2</v>
      </c>
      <c r="AP455" s="2">
        <v>5.70595167197862E-2</v>
      </c>
      <c r="AQ455" s="2">
        <v>0</v>
      </c>
      <c r="AR455" s="2">
        <v>3</v>
      </c>
      <c r="AS455" s="2">
        <v>0</v>
      </c>
      <c r="AT455" s="2">
        <v>0</v>
      </c>
      <c r="AU455" s="2">
        <v>0</v>
      </c>
      <c r="AV455" s="2">
        <v>17</v>
      </c>
      <c r="AW455" s="2">
        <v>0</v>
      </c>
      <c r="AX455" s="2">
        <v>0</v>
      </c>
      <c r="AY455" s="2">
        <v>15.3</v>
      </c>
      <c r="AZ455" s="2">
        <v>9.8000000000000007</v>
      </c>
      <c r="BA455" s="2">
        <v>29.7</v>
      </c>
      <c r="BB455" s="2">
        <v>564</v>
      </c>
      <c r="BC455" s="2">
        <v>68</v>
      </c>
      <c r="BD455" s="2">
        <v>1.8</v>
      </c>
      <c r="BE455" s="2">
        <v>43</v>
      </c>
      <c r="BF455" s="2">
        <v>25.4</v>
      </c>
      <c r="BG455" s="2">
        <v>162</v>
      </c>
      <c r="BH455" s="2">
        <v>9.1</v>
      </c>
      <c r="BI455" s="2">
        <v>9.1999999999999993</v>
      </c>
      <c r="BJ455" s="2">
        <v>18.3</v>
      </c>
      <c r="BK455" s="2">
        <v>0.34</v>
      </c>
      <c r="BL455" s="2">
        <v>7.3</v>
      </c>
      <c r="BM455" s="2">
        <v>0.9</v>
      </c>
      <c r="BN455" s="2">
        <v>7.5</v>
      </c>
      <c r="BO455" s="2">
        <v>2.9</v>
      </c>
      <c r="BP455" s="2">
        <f t="shared" si="14"/>
        <v>8.9105094870263244</v>
      </c>
      <c r="BQ455" s="2">
        <f t="shared" si="15"/>
        <v>28.360951302541352</v>
      </c>
    </row>
    <row r="456" spans="1:69" x14ac:dyDescent="0.2">
      <c r="A456" s="2" t="s">
        <v>4303</v>
      </c>
      <c r="B456" s="2" t="s">
        <v>47</v>
      </c>
      <c r="C456" s="2" t="s">
        <v>3273</v>
      </c>
      <c r="D456" s="2" t="s">
        <v>49</v>
      </c>
      <c r="E456" s="2" t="s">
        <v>474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89</v>
      </c>
      <c r="L456" s="6" t="s">
        <v>90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4304</v>
      </c>
      <c r="R456" s="2">
        <v>9420022.1649999991</v>
      </c>
      <c r="S456" s="2">
        <v>0</v>
      </c>
      <c r="T456" s="2" t="s">
        <v>96</v>
      </c>
      <c r="U456" s="2" t="s">
        <v>97</v>
      </c>
      <c r="V456" s="2" t="s">
        <v>56</v>
      </c>
      <c r="W456" s="2" t="s">
        <v>98</v>
      </c>
      <c r="X456" s="2" t="s">
        <v>99</v>
      </c>
      <c r="Y456" s="2">
        <v>1.9137497598189499</v>
      </c>
      <c r="Z456" s="2">
        <v>1913.74975981895</v>
      </c>
      <c r="AA456" s="2">
        <v>4.73719444444444</v>
      </c>
      <c r="AB456" s="2">
        <v>-74.069472222222203</v>
      </c>
      <c r="AC456" s="2">
        <v>2555</v>
      </c>
      <c r="AD456" s="2">
        <v>0</v>
      </c>
      <c r="AE456" s="2" t="s">
        <v>59</v>
      </c>
      <c r="AF456" s="2" t="s">
        <v>86</v>
      </c>
      <c r="AG456" s="2" t="s">
        <v>61</v>
      </c>
      <c r="AH456" s="2" t="s">
        <v>62</v>
      </c>
      <c r="AI456" s="2" t="s">
        <v>100</v>
      </c>
      <c r="AJ456" s="2">
        <v>0.52976366640588002</v>
      </c>
      <c r="AK456" s="2">
        <v>3.6160159685265798</v>
      </c>
      <c r="AL456" s="2">
        <v>1.7950191227863601</v>
      </c>
      <c r="AM456" s="2">
        <v>0.40256272711366597</v>
      </c>
      <c r="AN456" s="2">
        <v>3.5218699600263701</v>
      </c>
      <c r="AO456" s="2">
        <v>5.2073108003588602E-2</v>
      </c>
      <c r="AP456" s="2">
        <v>5.2073108003588602E-2</v>
      </c>
      <c r="AQ456" s="2">
        <v>0</v>
      </c>
      <c r="AR456" s="2">
        <v>3</v>
      </c>
      <c r="AS456" s="2">
        <v>0</v>
      </c>
      <c r="AT456" s="2">
        <v>0</v>
      </c>
      <c r="AU456" s="2">
        <v>0</v>
      </c>
      <c r="AV456" s="2">
        <v>17</v>
      </c>
      <c r="AW456" s="2">
        <v>0</v>
      </c>
      <c r="AX456" s="2">
        <v>0</v>
      </c>
      <c r="AY456" s="2">
        <v>15.3</v>
      </c>
      <c r="AZ456" s="2">
        <v>9.8000000000000007</v>
      </c>
      <c r="BA456" s="2">
        <v>29.7</v>
      </c>
      <c r="BB456" s="2">
        <v>564</v>
      </c>
      <c r="BC456" s="2">
        <v>68</v>
      </c>
      <c r="BD456" s="2">
        <v>1.8</v>
      </c>
      <c r="BE456" s="2">
        <v>43</v>
      </c>
      <c r="BF456" s="2">
        <v>25.4</v>
      </c>
      <c r="BG456" s="2">
        <v>162</v>
      </c>
      <c r="BH456" s="2">
        <v>9.1</v>
      </c>
      <c r="BI456" s="2">
        <v>9.1999999999999993</v>
      </c>
      <c r="BJ456" s="2">
        <v>18.3</v>
      </c>
      <c r="BK456" s="2">
        <v>0.34</v>
      </c>
      <c r="BL456" s="2">
        <v>7.3</v>
      </c>
      <c r="BM456" s="2">
        <v>0.9</v>
      </c>
      <c r="BN456" s="2">
        <v>7.5</v>
      </c>
      <c r="BO456" s="2">
        <v>2.9</v>
      </c>
      <c r="BP456" s="2">
        <f t="shared" si="14"/>
        <v>8.9142558180093019</v>
      </c>
      <c r="BQ456" s="2">
        <f t="shared" si="15"/>
        <v>28.366732042314506</v>
      </c>
    </row>
    <row r="457" spans="1:69" x14ac:dyDescent="0.2">
      <c r="A457" s="2" t="s">
        <v>3719</v>
      </c>
      <c r="B457" s="2" t="s">
        <v>47</v>
      </c>
      <c r="C457" s="2" t="s">
        <v>3273</v>
      </c>
      <c r="D457" s="2" t="s">
        <v>49</v>
      </c>
      <c r="E457" s="2" t="s">
        <v>989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89</v>
      </c>
      <c r="L457" s="6" t="s">
        <v>90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3720</v>
      </c>
      <c r="R457" s="2">
        <v>10740740.74</v>
      </c>
      <c r="S457" s="2">
        <v>0</v>
      </c>
      <c r="T457" s="2" t="s">
        <v>96</v>
      </c>
      <c r="U457" s="2" t="s">
        <v>97</v>
      </c>
      <c r="V457" s="2" t="s">
        <v>56</v>
      </c>
      <c r="W457" s="2" t="s">
        <v>98</v>
      </c>
      <c r="X457" s="2" t="s">
        <v>99</v>
      </c>
      <c r="Y457" s="2">
        <v>1.8118421568220899</v>
      </c>
      <c r="Z457" s="2">
        <v>1811.8421568220899</v>
      </c>
      <c r="AA457" s="2">
        <v>4.73719444444444</v>
      </c>
      <c r="AB457" s="2">
        <v>-74.069472222222203</v>
      </c>
      <c r="AC457" s="2">
        <v>2555</v>
      </c>
      <c r="AD457" s="2">
        <v>0</v>
      </c>
      <c r="AE457" s="2" t="s">
        <v>59</v>
      </c>
      <c r="AF457" s="2" t="s">
        <v>86</v>
      </c>
      <c r="AG457" s="2" t="s">
        <v>61</v>
      </c>
      <c r="AH457" s="2" t="s">
        <v>62</v>
      </c>
      <c r="AI457" s="2" t="s">
        <v>100</v>
      </c>
      <c r="AJ457" s="2">
        <v>0.497043711660623</v>
      </c>
      <c r="AK457" s="2">
        <v>3.4831373217135599</v>
      </c>
      <c r="AL457" s="2">
        <v>1.5224385143125101</v>
      </c>
      <c r="AM457" s="2">
        <v>0.248121412394299</v>
      </c>
      <c r="AN457" s="2">
        <v>2.97551658671664</v>
      </c>
      <c r="AO457" s="2">
        <v>0.15005951554880101</v>
      </c>
      <c r="AP457" s="2">
        <v>0.15005951554880101</v>
      </c>
      <c r="AQ457" s="2">
        <v>1</v>
      </c>
      <c r="AR457" s="2">
        <v>3</v>
      </c>
      <c r="AS457" s="2">
        <v>0</v>
      </c>
      <c r="AT457" s="2">
        <v>0</v>
      </c>
      <c r="AU457" s="2">
        <v>0</v>
      </c>
      <c r="AV457" s="2">
        <v>13</v>
      </c>
      <c r="AW457" s="2">
        <v>0</v>
      </c>
      <c r="AX457" s="2">
        <v>0</v>
      </c>
      <c r="AY457" s="2">
        <v>15.3</v>
      </c>
      <c r="AZ457" s="2">
        <v>9.8000000000000007</v>
      </c>
      <c r="BA457" s="2">
        <v>29.7</v>
      </c>
      <c r="BB457" s="2">
        <v>564</v>
      </c>
      <c r="BC457" s="2">
        <v>68</v>
      </c>
      <c r="BD457" s="2">
        <v>1.8</v>
      </c>
      <c r="BE457" s="2">
        <v>43</v>
      </c>
      <c r="BF457" s="2">
        <v>25.4</v>
      </c>
      <c r="BG457" s="2">
        <v>162</v>
      </c>
      <c r="BH457" s="2">
        <v>9.1</v>
      </c>
      <c r="BI457" s="2">
        <v>9.1999999999999993</v>
      </c>
      <c r="BJ457" s="2">
        <v>18.3</v>
      </c>
      <c r="BK457" s="2">
        <v>0.34</v>
      </c>
      <c r="BL457" s="2">
        <v>7.3</v>
      </c>
      <c r="BM457" s="2">
        <v>0.9</v>
      </c>
      <c r="BN457" s="2">
        <v>7.5</v>
      </c>
      <c r="BO457" s="2">
        <v>2.9</v>
      </c>
      <c r="BP457" s="2">
        <f t="shared" si="14"/>
        <v>8.9593367330163556</v>
      </c>
      <c r="BQ457" s="2">
        <f t="shared" si="15"/>
        <v>28.436195810335679</v>
      </c>
    </row>
    <row r="458" spans="1:69" x14ac:dyDescent="0.2">
      <c r="A458" s="2" t="s">
        <v>3979</v>
      </c>
      <c r="B458" s="2" t="s">
        <v>47</v>
      </c>
      <c r="C458" s="2" t="s">
        <v>3273</v>
      </c>
      <c r="D458" s="2" t="s">
        <v>49</v>
      </c>
      <c r="E458" s="2" t="s">
        <v>1756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89</v>
      </c>
      <c r="L458" s="6" t="s">
        <v>90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3980</v>
      </c>
      <c r="R458" s="2">
        <v>6481481.4809999997</v>
      </c>
      <c r="S458" s="2">
        <v>0</v>
      </c>
      <c r="T458" s="2" t="s">
        <v>130</v>
      </c>
      <c r="U458" s="2" t="s">
        <v>131</v>
      </c>
      <c r="V458" s="2" t="s">
        <v>56</v>
      </c>
      <c r="W458" s="2" t="s">
        <v>98</v>
      </c>
      <c r="X458" s="2" t="s">
        <v>132</v>
      </c>
      <c r="Y458" s="2">
        <v>2.9851109822768298</v>
      </c>
      <c r="Z458" s="2">
        <v>2985.1109822768299</v>
      </c>
      <c r="AA458" s="2">
        <v>4.7837500000000004</v>
      </c>
      <c r="AB458" s="2">
        <v>-74.044138888888895</v>
      </c>
      <c r="AC458" s="2">
        <v>2580</v>
      </c>
      <c r="AD458" s="2">
        <v>0</v>
      </c>
      <c r="AE458" s="2" t="s">
        <v>133</v>
      </c>
      <c r="AF458" s="2" t="s">
        <v>86</v>
      </c>
      <c r="AG458" s="2" t="s">
        <v>61</v>
      </c>
      <c r="AH458" s="2" t="s">
        <v>62</v>
      </c>
      <c r="AI458" s="2" t="s">
        <v>87</v>
      </c>
      <c r="AJ458" s="2">
        <v>1.89569860402208</v>
      </c>
      <c r="AK458" s="2">
        <v>0.56970043684633898</v>
      </c>
      <c r="AL458" s="2">
        <v>1.35602190903206</v>
      </c>
      <c r="AM458" s="2">
        <v>0.18066402729789299</v>
      </c>
      <c r="AN458" s="2">
        <v>2.3497637790073198</v>
      </c>
      <c r="AO458" s="2">
        <v>2.9350346422144701E-2</v>
      </c>
      <c r="AP458" s="2">
        <v>2.9350346422144701E-2</v>
      </c>
      <c r="AQ458" s="2">
        <v>0</v>
      </c>
      <c r="AR458" s="2">
        <v>0</v>
      </c>
      <c r="AS458" s="2">
        <v>0</v>
      </c>
      <c r="AT458" s="2">
        <v>24</v>
      </c>
      <c r="AU458" s="2">
        <v>0</v>
      </c>
      <c r="AV458" s="2">
        <v>6</v>
      </c>
      <c r="AW458" s="2">
        <v>0</v>
      </c>
      <c r="AX458" s="2">
        <v>0</v>
      </c>
      <c r="AY458" s="2">
        <v>15.3</v>
      </c>
      <c r="AZ458" s="2">
        <v>9.8000000000000007</v>
      </c>
      <c r="BA458" s="2">
        <v>29.7</v>
      </c>
      <c r="BB458" s="2">
        <v>564</v>
      </c>
      <c r="BC458" s="2">
        <v>68</v>
      </c>
      <c r="BD458" s="2">
        <v>1.8</v>
      </c>
      <c r="BE458" s="2">
        <v>43</v>
      </c>
      <c r="BF458" s="2">
        <v>25.4</v>
      </c>
      <c r="BG458" s="2">
        <v>162</v>
      </c>
      <c r="BH458" s="2">
        <v>9.1</v>
      </c>
      <c r="BI458" s="2">
        <v>9.1999999999999993</v>
      </c>
      <c r="BJ458" s="2">
        <v>18.3</v>
      </c>
      <c r="BK458" s="2">
        <v>0.34</v>
      </c>
      <c r="BL458" s="2">
        <v>7.3</v>
      </c>
      <c r="BM458" s="2">
        <v>0.9</v>
      </c>
      <c r="BN458" s="2">
        <v>7.5</v>
      </c>
      <c r="BO458" s="2">
        <v>2.9</v>
      </c>
      <c r="BP458" s="2">
        <f t="shared" si="14"/>
        <v>8.4538283002362142</v>
      </c>
      <c r="BQ458" s="2">
        <f t="shared" si="15"/>
        <v>27.64664499400762</v>
      </c>
    </row>
    <row r="459" spans="1:69" x14ac:dyDescent="0.2">
      <c r="A459" s="2" t="s">
        <v>3572</v>
      </c>
      <c r="B459" s="2" t="s">
        <v>47</v>
      </c>
      <c r="C459" s="2" t="s">
        <v>3273</v>
      </c>
      <c r="D459" s="2" t="s">
        <v>49</v>
      </c>
      <c r="E459" s="2" t="s">
        <v>907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89</v>
      </c>
      <c r="L459" s="6" t="s">
        <v>90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3573</v>
      </c>
      <c r="R459" s="2">
        <v>10659133.710000001</v>
      </c>
      <c r="S459" s="2">
        <v>0</v>
      </c>
      <c r="T459" s="2" t="s">
        <v>96</v>
      </c>
      <c r="U459" s="2" t="s">
        <v>97</v>
      </c>
      <c r="V459" s="2" t="s">
        <v>56</v>
      </c>
      <c r="W459" s="2" t="s">
        <v>98</v>
      </c>
      <c r="X459" s="2" t="s">
        <v>99</v>
      </c>
      <c r="Y459" s="2">
        <v>1.8855543190917401</v>
      </c>
      <c r="Z459" s="2">
        <v>1885.5543190917399</v>
      </c>
      <c r="AA459" s="2">
        <v>4.73719444444444</v>
      </c>
      <c r="AB459" s="2">
        <v>-74.069472222222203</v>
      </c>
      <c r="AC459" s="2">
        <v>2555</v>
      </c>
      <c r="AD459" s="2">
        <v>0</v>
      </c>
      <c r="AE459" s="2" t="s">
        <v>59</v>
      </c>
      <c r="AF459" s="2" t="s">
        <v>86</v>
      </c>
      <c r="AG459" s="2" t="s">
        <v>61</v>
      </c>
      <c r="AH459" s="2" t="s">
        <v>62</v>
      </c>
      <c r="AI459" s="2" t="s">
        <v>100</v>
      </c>
      <c r="AJ459" s="2">
        <v>0.42133393314850798</v>
      </c>
      <c r="AK459" s="2">
        <v>3.4402692358698399</v>
      </c>
      <c r="AL459" s="2">
        <v>1.4470985696915399</v>
      </c>
      <c r="AM459" s="2">
        <v>0.29170759545218</v>
      </c>
      <c r="AN459" s="2">
        <v>3.0664343874631999</v>
      </c>
      <c r="AO459" s="2">
        <v>4.4212772447441102E-2</v>
      </c>
      <c r="AP459" s="2">
        <v>4.4212772447441102E-2</v>
      </c>
      <c r="AQ459" s="2">
        <v>2</v>
      </c>
      <c r="AR459" s="2">
        <v>3</v>
      </c>
      <c r="AS459" s="2">
        <v>0</v>
      </c>
      <c r="AT459" s="2">
        <v>0</v>
      </c>
      <c r="AU459" s="2">
        <v>0</v>
      </c>
      <c r="AV459" s="2">
        <v>19</v>
      </c>
      <c r="AW459" s="2">
        <v>0</v>
      </c>
      <c r="AX459" s="2">
        <v>0</v>
      </c>
      <c r="AY459" s="2">
        <v>15.3</v>
      </c>
      <c r="AZ459" s="2">
        <v>9.8000000000000007</v>
      </c>
      <c r="BA459" s="2">
        <v>29.7</v>
      </c>
      <c r="BB459" s="2">
        <v>564</v>
      </c>
      <c r="BC459" s="2">
        <v>68</v>
      </c>
      <c r="BD459" s="2">
        <v>1.8</v>
      </c>
      <c r="BE459" s="2">
        <v>43</v>
      </c>
      <c r="BF459" s="2">
        <v>25.4</v>
      </c>
      <c r="BG459" s="2">
        <v>162</v>
      </c>
      <c r="BH459" s="2">
        <v>9.1</v>
      </c>
      <c r="BI459" s="2">
        <v>9.1999999999999993</v>
      </c>
      <c r="BJ459" s="2">
        <v>18.3</v>
      </c>
      <c r="BK459" s="2">
        <v>0.34</v>
      </c>
      <c r="BL459" s="2">
        <v>7.3</v>
      </c>
      <c r="BM459" s="2">
        <v>0.9</v>
      </c>
      <c r="BN459" s="2">
        <v>7.5</v>
      </c>
      <c r="BO459" s="2">
        <v>2.9</v>
      </c>
      <c r="BP459" s="2">
        <f t="shared" si="14"/>
        <v>8.9267059020109922</v>
      </c>
      <c r="BQ459" s="2">
        <f t="shared" si="15"/>
        <v>28.385934038772977</v>
      </c>
    </row>
    <row r="460" spans="1:69" x14ac:dyDescent="0.2">
      <c r="A460" s="2" t="s">
        <v>4494</v>
      </c>
      <c r="B460" s="2" t="s">
        <v>47</v>
      </c>
      <c r="C460" s="2" t="s">
        <v>3273</v>
      </c>
      <c r="D460" s="2" t="s">
        <v>49</v>
      </c>
      <c r="E460" s="2" t="s">
        <v>462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89</v>
      </c>
      <c r="L460" s="6" t="s">
        <v>112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4495</v>
      </c>
      <c r="R460" s="2">
        <v>8846153.8460000008</v>
      </c>
      <c r="S460" s="2">
        <v>0</v>
      </c>
      <c r="T460" s="2" t="s">
        <v>96</v>
      </c>
      <c r="U460" s="2" t="s">
        <v>97</v>
      </c>
      <c r="V460" s="2" t="s">
        <v>56</v>
      </c>
      <c r="W460" s="2" t="s">
        <v>98</v>
      </c>
      <c r="X460" s="2" t="s">
        <v>99</v>
      </c>
      <c r="Y460" s="2">
        <v>1.50216917086618</v>
      </c>
      <c r="Z460" s="2">
        <v>1502.1691708661799</v>
      </c>
      <c r="AA460" s="2">
        <v>4.73719444444444</v>
      </c>
      <c r="AB460" s="2">
        <v>-74.069472222222203</v>
      </c>
      <c r="AC460" s="2">
        <v>2555</v>
      </c>
      <c r="AD460" s="2">
        <v>0</v>
      </c>
      <c r="AE460" s="2" t="s">
        <v>59</v>
      </c>
      <c r="AF460" s="2" t="s">
        <v>86</v>
      </c>
      <c r="AG460" s="2" t="s">
        <v>61</v>
      </c>
      <c r="AH460" s="2" t="s">
        <v>62</v>
      </c>
      <c r="AI460" s="2" t="s">
        <v>100</v>
      </c>
      <c r="AJ460" s="2">
        <v>0.36505833128508097</v>
      </c>
      <c r="AK460" s="2">
        <v>5.5376795633654403</v>
      </c>
      <c r="AL460" s="2">
        <v>0.84365842736249996</v>
      </c>
      <c r="AM460" s="2">
        <v>0.44968788500322499</v>
      </c>
      <c r="AN460" s="2">
        <v>2.3179804179505599</v>
      </c>
      <c r="AO460" s="2">
        <v>0.18140246454141901</v>
      </c>
      <c r="AP460" s="2">
        <v>0.18140246454141901</v>
      </c>
      <c r="AQ460" s="2">
        <v>2</v>
      </c>
      <c r="AR460" s="2">
        <v>2</v>
      </c>
      <c r="AS460" s="2">
        <v>0</v>
      </c>
      <c r="AT460" s="2">
        <v>0</v>
      </c>
      <c r="AU460" s="2">
        <v>1</v>
      </c>
      <c r="AV460" s="2">
        <v>28</v>
      </c>
      <c r="AW460" s="2">
        <v>0</v>
      </c>
      <c r="AX460" s="2">
        <v>0</v>
      </c>
      <c r="AY460" s="2">
        <v>15.3</v>
      </c>
      <c r="AZ460" s="2">
        <v>9.8000000000000007</v>
      </c>
      <c r="BA460" s="2">
        <v>29.7</v>
      </c>
      <c r="BB460" s="2">
        <v>564</v>
      </c>
      <c r="BC460" s="2">
        <v>68</v>
      </c>
      <c r="BD460" s="2">
        <v>1.8</v>
      </c>
      <c r="BE460" s="2">
        <v>43</v>
      </c>
      <c r="BF460" s="2">
        <v>25.4</v>
      </c>
      <c r="BG460" s="2">
        <v>162</v>
      </c>
      <c r="BH460" s="2">
        <v>9.1</v>
      </c>
      <c r="BI460" s="2">
        <v>9.1999999999999993</v>
      </c>
      <c r="BJ460" s="2">
        <v>18.3</v>
      </c>
      <c r="BK460" s="2">
        <v>0.34</v>
      </c>
      <c r="BL460" s="2">
        <v>7.3</v>
      </c>
      <c r="BM460" s="2">
        <v>0.9</v>
      </c>
      <c r="BN460" s="2">
        <v>7.5</v>
      </c>
      <c r="BO460" s="2">
        <v>2.9</v>
      </c>
      <c r="BP460" s="2">
        <f t="shared" si="14"/>
        <v>9.0977307265744045</v>
      </c>
      <c r="BQ460" s="2">
        <f t="shared" si="15"/>
        <v>28.648325242926397</v>
      </c>
    </row>
    <row r="461" spans="1:69" x14ac:dyDescent="0.2">
      <c r="A461" s="2" t="s">
        <v>4185</v>
      </c>
      <c r="B461" s="2" t="s">
        <v>47</v>
      </c>
      <c r="C461" s="2" t="s">
        <v>3273</v>
      </c>
      <c r="D461" s="2" t="s">
        <v>49</v>
      </c>
      <c r="E461" s="2" t="s">
        <v>688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89</v>
      </c>
      <c r="L461" s="6" t="s">
        <v>90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4186</v>
      </c>
      <c r="R461" s="2">
        <v>8720000</v>
      </c>
      <c r="S461" s="2">
        <v>0</v>
      </c>
      <c r="T461" s="2" t="s">
        <v>96</v>
      </c>
      <c r="U461" s="2" t="s">
        <v>97</v>
      </c>
      <c r="V461" s="2" t="s">
        <v>56</v>
      </c>
      <c r="W461" s="2" t="s">
        <v>98</v>
      </c>
      <c r="X461" s="2" t="s">
        <v>99</v>
      </c>
      <c r="Y461" s="2">
        <v>1.3634021695844101</v>
      </c>
      <c r="Z461" s="2">
        <v>1363.4021695844101</v>
      </c>
      <c r="AA461" s="2">
        <v>4.73719444444444</v>
      </c>
      <c r="AB461" s="2">
        <v>-74.069472222222203</v>
      </c>
      <c r="AC461" s="2">
        <v>2555</v>
      </c>
      <c r="AD461" s="2">
        <v>0</v>
      </c>
      <c r="AE461" s="2" t="s">
        <v>59</v>
      </c>
      <c r="AF461" s="2" t="s">
        <v>86</v>
      </c>
      <c r="AG461" s="2" t="s">
        <v>61</v>
      </c>
      <c r="AH461" s="2" t="s">
        <v>62</v>
      </c>
      <c r="AI461" s="2" t="s">
        <v>100</v>
      </c>
      <c r="AJ461" s="2">
        <v>1.64961312746184</v>
      </c>
      <c r="AK461" s="2">
        <v>4.5839896624581904</v>
      </c>
      <c r="AL461" s="2">
        <v>1.1864089801334901</v>
      </c>
      <c r="AM461" s="2">
        <v>0.37618588029316202</v>
      </c>
      <c r="AN461" s="2">
        <v>2.64531557555547</v>
      </c>
      <c r="AO461" s="2">
        <v>5.1856322204296E-2</v>
      </c>
      <c r="AP461" s="2">
        <v>5.1856322204296E-2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14</v>
      </c>
      <c r="AW461" s="2">
        <v>0</v>
      </c>
      <c r="AX461" s="2">
        <v>0</v>
      </c>
      <c r="AY461" s="2">
        <v>15.3</v>
      </c>
      <c r="AZ461" s="2">
        <v>9.8000000000000007</v>
      </c>
      <c r="BA461" s="2">
        <v>29.7</v>
      </c>
      <c r="BB461" s="2">
        <v>564</v>
      </c>
      <c r="BC461" s="2">
        <v>68</v>
      </c>
      <c r="BD461" s="2">
        <v>1.8</v>
      </c>
      <c r="BE461" s="2">
        <v>43</v>
      </c>
      <c r="BF461" s="2">
        <v>25.4</v>
      </c>
      <c r="BG461" s="2">
        <v>162</v>
      </c>
      <c r="BH461" s="2">
        <v>9.1</v>
      </c>
      <c r="BI461" s="2">
        <v>9.1999999999999993</v>
      </c>
      <c r="BJ461" s="2">
        <v>18.3</v>
      </c>
      <c r="BK461" s="2">
        <v>0.34</v>
      </c>
      <c r="BL461" s="2">
        <v>7.3</v>
      </c>
      <c r="BM461" s="2">
        <v>0.9</v>
      </c>
      <c r="BN461" s="2">
        <v>7.5</v>
      </c>
      <c r="BO461" s="2">
        <v>2.9</v>
      </c>
      <c r="BP461" s="2">
        <f t="shared" si="14"/>
        <v>9.1604378547644583</v>
      </c>
      <c r="BQ461" s="2">
        <f t="shared" si="15"/>
        <v>28.743894910041597</v>
      </c>
    </row>
    <row r="462" spans="1:69" x14ac:dyDescent="0.2">
      <c r="A462" s="2" t="s">
        <v>4233</v>
      </c>
      <c r="B462" s="2" t="s">
        <v>47</v>
      </c>
      <c r="C462" s="2" t="s">
        <v>3273</v>
      </c>
      <c r="D462" s="2" t="s">
        <v>49</v>
      </c>
      <c r="E462" s="2" t="s">
        <v>2872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89</v>
      </c>
      <c r="L462" s="6" t="s">
        <v>112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4234</v>
      </c>
      <c r="R462" s="2">
        <v>10555555.560000001</v>
      </c>
      <c r="S462" s="2">
        <v>0</v>
      </c>
      <c r="T462" s="2" t="s">
        <v>130</v>
      </c>
      <c r="U462" s="2" t="s">
        <v>131</v>
      </c>
      <c r="V462" s="2" t="s">
        <v>56</v>
      </c>
      <c r="W462" s="2" t="s">
        <v>98</v>
      </c>
      <c r="X462" s="2" t="s">
        <v>132</v>
      </c>
      <c r="Y462" s="2">
        <v>2.8920095190305801</v>
      </c>
      <c r="Z462" s="2">
        <v>2892.0095190305801</v>
      </c>
      <c r="AA462" s="2">
        <v>4.7837500000000004</v>
      </c>
      <c r="AB462" s="2">
        <v>-74.044138888888895</v>
      </c>
      <c r="AC462" s="2">
        <v>2580</v>
      </c>
      <c r="AD462" s="2">
        <v>0</v>
      </c>
      <c r="AE462" s="2" t="s">
        <v>133</v>
      </c>
      <c r="AF462" s="2" t="s">
        <v>86</v>
      </c>
      <c r="AG462" s="2" t="s">
        <v>61</v>
      </c>
      <c r="AH462" s="2" t="s">
        <v>62</v>
      </c>
      <c r="AI462" s="2" t="s">
        <v>87</v>
      </c>
      <c r="AJ462" s="2">
        <v>0.83156080323188997</v>
      </c>
      <c r="AK462" s="2">
        <v>1.87460105479145</v>
      </c>
      <c r="AL462" s="2">
        <v>1.2252838492362499</v>
      </c>
      <c r="AM462" s="2">
        <v>0.83725590883030698</v>
      </c>
      <c r="AN462" s="2">
        <v>2.28999460067168</v>
      </c>
      <c r="AO462" s="2">
        <v>0.28110695748931602</v>
      </c>
      <c r="AP462" s="2">
        <v>0.28110695748931602</v>
      </c>
      <c r="AQ462" s="2">
        <v>0</v>
      </c>
      <c r="AR462" s="2">
        <v>2</v>
      </c>
      <c r="AS462" s="2">
        <v>0</v>
      </c>
      <c r="AT462" s="2">
        <v>0</v>
      </c>
      <c r="AU462" s="2">
        <v>0</v>
      </c>
      <c r="AV462" s="2">
        <v>13</v>
      </c>
      <c r="AW462" s="2">
        <v>0</v>
      </c>
      <c r="AX462" s="2">
        <v>0</v>
      </c>
      <c r="AY462" s="2">
        <v>15.3</v>
      </c>
      <c r="AZ462" s="2">
        <v>9.8000000000000007</v>
      </c>
      <c r="BA462" s="2">
        <v>29.7</v>
      </c>
      <c r="BB462" s="2">
        <v>564</v>
      </c>
      <c r="BC462" s="2">
        <v>68</v>
      </c>
      <c r="BD462" s="2">
        <v>1.8</v>
      </c>
      <c r="BE462" s="2">
        <v>43</v>
      </c>
      <c r="BF462" s="2">
        <v>25.4</v>
      </c>
      <c r="BG462" s="2">
        <v>162</v>
      </c>
      <c r="BH462" s="2">
        <v>9.1</v>
      </c>
      <c r="BI462" s="2">
        <v>9.1999999999999993</v>
      </c>
      <c r="BJ462" s="2">
        <v>18.3</v>
      </c>
      <c r="BK462" s="2">
        <v>0.34</v>
      </c>
      <c r="BL462" s="2">
        <v>7.3</v>
      </c>
      <c r="BM462" s="2">
        <v>0.9</v>
      </c>
      <c r="BN462" s="2">
        <v>7.5</v>
      </c>
      <c r="BO462" s="2">
        <v>2.9</v>
      </c>
      <c r="BP462" s="2">
        <f t="shared" si="14"/>
        <v>8.4928778688767803</v>
      </c>
      <c r="BQ462" s="2">
        <f t="shared" si="15"/>
        <v>27.708488695613379</v>
      </c>
    </row>
    <row r="463" spans="1:69" x14ac:dyDescent="0.2">
      <c r="A463" s="2" t="s">
        <v>2615</v>
      </c>
      <c r="B463" s="2" t="s">
        <v>47</v>
      </c>
      <c r="C463" s="2" t="s">
        <v>1935</v>
      </c>
      <c r="D463" s="2" t="s">
        <v>49</v>
      </c>
      <c r="E463" s="2" t="s">
        <v>2132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89</v>
      </c>
      <c r="L463" s="6" t="s">
        <v>103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2616</v>
      </c>
      <c r="R463" s="2">
        <v>3500000</v>
      </c>
      <c r="S463" s="2">
        <v>0</v>
      </c>
      <c r="T463" s="2" t="s">
        <v>441</v>
      </c>
      <c r="U463" s="2" t="s">
        <v>628</v>
      </c>
      <c r="V463" s="2" t="s">
        <v>56</v>
      </c>
      <c r="W463" s="2" t="s">
        <v>441</v>
      </c>
      <c r="X463" s="2" t="s">
        <v>629</v>
      </c>
      <c r="Y463" s="2">
        <v>1.8963860203370899</v>
      </c>
      <c r="Z463" s="2">
        <v>1896.38602033709</v>
      </c>
      <c r="AA463" s="2">
        <v>4.6250499999999999</v>
      </c>
      <c r="AB463" s="2">
        <v>-74.161333333333303</v>
      </c>
      <c r="AC463" s="2">
        <v>2580</v>
      </c>
      <c r="AD463" s="2">
        <v>3</v>
      </c>
      <c r="AE463" s="2" t="s">
        <v>59</v>
      </c>
      <c r="AF463" s="2" t="s">
        <v>86</v>
      </c>
      <c r="AG463" s="2" t="s">
        <v>61</v>
      </c>
      <c r="AH463" s="2" t="s">
        <v>62</v>
      </c>
      <c r="AI463" s="2" t="s">
        <v>200</v>
      </c>
      <c r="AJ463" s="2">
        <v>0.94428248605089404</v>
      </c>
      <c r="AK463" s="2">
        <v>1.5872820179217499</v>
      </c>
      <c r="AL463" s="2">
        <v>5.29714744941404</v>
      </c>
      <c r="AM463" s="2">
        <v>0.17502974407174399</v>
      </c>
      <c r="AN463" s="2">
        <v>2.5104041938132098</v>
      </c>
      <c r="AO463" s="2">
        <v>6.9301509206790707E-2</v>
      </c>
      <c r="AP463" s="2">
        <v>6.9301509206790707E-2</v>
      </c>
      <c r="AQ463" s="2">
        <v>0</v>
      </c>
      <c r="AR463" s="2">
        <v>1</v>
      </c>
      <c r="AS463" s="2">
        <v>0</v>
      </c>
      <c r="AT463" s="2">
        <v>0</v>
      </c>
      <c r="AU463" s="2">
        <v>0</v>
      </c>
      <c r="AV463" s="2">
        <v>8</v>
      </c>
      <c r="AW463" s="2">
        <v>0</v>
      </c>
      <c r="AX463" s="2">
        <v>0</v>
      </c>
      <c r="AZ463" s="2">
        <v>14.5</v>
      </c>
      <c r="BA463" s="2">
        <v>27.9</v>
      </c>
      <c r="BB463" s="2">
        <v>564</v>
      </c>
      <c r="BC463" s="2">
        <v>65.5</v>
      </c>
      <c r="BD463" s="2">
        <v>1.3</v>
      </c>
      <c r="BE463" s="2">
        <v>189</v>
      </c>
      <c r="BF463" s="2">
        <v>8.8000000000000007</v>
      </c>
      <c r="BG463" s="2">
        <v>167</v>
      </c>
      <c r="BH463" s="2">
        <v>21.9</v>
      </c>
      <c r="BI463" s="2">
        <v>16.3</v>
      </c>
      <c r="BJ463" s="2">
        <v>38.200000000000003</v>
      </c>
      <c r="BK463" s="2">
        <v>1.02</v>
      </c>
      <c r="BL463" s="2">
        <v>7.4</v>
      </c>
      <c r="BM463" s="2">
        <v>2.1</v>
      </c>
      <c r="BN463" s="2">
        <v>7.4</v>
      </c>
      <c r="BO463" s="2">
        <v>4.8</v>
      </c>
      <c r="BP463" s="2">
        <f t="shared" si="14"/>
        <v>13.200801420450835</v>
      </c>
      <c r="BQ463" s="2">
        <f t="shared" si="15"/>
        <v>26.658643296155766</v>
      </c>
    </row>
    <row r="464" spans="1:69" x14ac:dyDescent="0.2">
      <c r="A464" s="2" t="s">
        <v>2705</v>
      </c>
      <c r="B464" s="2" t="s">
        <v>47</v>
      </c>
      <c r="C464" s="2" t="s">
        <v>1935</v>
      </c>
      <c r="D464" s="2" t="s">
        <v>49</v>
      </c>
      <c r="E464" s="2" t="s">
        <v>2706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89</v>
      </c>
      <c r="L464" s="6" t="s">
        <v>141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2707</v>
      </c>
      <c r="R464" s="2">
        <v>2708333.3330000001</v>
      </c>
      <c r="S464" s="2">
        <v>0</v>
      </c>
      <c r="T464" s="2" t="s">
        <v>441</v>
      </c>
      <c r="U464" s="2" t="s">
        <v>628</v>
      </c>
      <c r="V464" s="2" t="s">
        <v>56</v>
      </c>
      <c r="W464" s="2" t="s">
        <v>441</v>
      </c>
      <c r="X464" s="2" t="s">
        <v>629</v>
      </c>
      <c r="Y464" s="2">
        <v>0.79400204786749196</v>
      </c>
      <c r="Z464" s="2">
        <v>794.00204786749202</v>
      </c>
      <c r="AA464" s="2">
        <v>4.6250499999999999</v>
      </c>
      <c r="AB464" s="2">
        <v>-74.161333333333303</v>
      </c>
      <c r="AC464" s="2">
        <v>2580</v>
      </c>
      <c r="AD464" s="2">
        <v>3</v>
      </c>
      <c r="AE464" s="2" t="s">
        <v>59</v>
      </c>
      <c r="AF464" s="2" t="s">
        <v>86</v>
      </c>
      <c r="AG464" s="2" t="s">
        <v>61</v>
      </c>
      <c r="AH464" s="2" t="s">
        <v>62</v>
      </c>
      <c r="AI464" s="2" t="s">
        <v>200</v>
      </c>
      <c r="AJ464" s="2">
        <v>1.5975747627025001</v>
      </c>
      <c r="AK464" s="2">
        <v>3.7885787531775699</v>
      </c>
      <c r="AL464" s="2">
        <v>3.96249033131217</v>
      </c>
      <c r="AM464" s="2">
        <v>7.5069233306339994E-2</v>
      </c>
      <c r="AN464" s="2">
        <v>0.48339575737034002</v>
      </c>
      <c r="AO464" s="2">
        <v>9.3972890709748107E-3</v>
      </c>
      <c r="AP464" s="2">
        <v>9.3972890709748107E-3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14</v>
      </c>
      <c r="AW464" s="2">
        <v>1</v>
      </c>
      <c r="AX464" s="2">
        <v>0</v>
      </c>
      <c r="AZ464" s="2">
        <v>14.5</v>
      </c>
      <c r="BA464" s="2">
        <v>27.9</v>
      </c>
      <c r="BB464" s="2">
        <v>564</v>
      </c>
      <c r="BC464" s="2">
        <v>65.5</v>
      </c>
      <c r="BD464" s="2">
        <v>1.3</v>
      </c>
      <c r="BE464" s="2">
        <v>189</v>
      </c>
      <c r="BF464" s="2">
        <v>8.8000000000000007</v>
      </c>
      <c r="BG464" s="2">
        <v>167</v>
      </c>
      <c r="BH464" s="2">
        <v>21.9</v>
      </c>
      <c r="BI464" s="2">
        <v>16.3</v>
      </c>
      <c r="BJ464" s="2">
        <v>38.200000000000003</v>
      </c>
      <c r="BK464" s="2">
        <v>1.02</v>
      </c>
      <c r="BL464" s="2">
        <v>7.4</v>
      </c>
      <c r="BM464" s="2">
        <v>2.1</v>
      </c>
      <c r="BN464" s="2">
        <v>7.4</v>
      </c>
      <c r="BO464" s="2">
        <v>4.8</v>
      </c>
      <c r="BP464" s="2">
        <f t="shared" si="14"/>
        <v>13.9411590577654</v>
      </c>
      <c r="BQ464" s="2">
        <f t="shared" si="15"/>
        <v>27.373369909492908</v>
      </c>
    </row>
    <row r="465" spans="1:69" x14ac:dyDescent="0.2">
      <c r="A465" s="2" t="s">
        <v>2390</v>
      </c>
      <c r="B465" s="2" t="s">
        <v>47</v>
      </c>
      <c r="C465" s="2" t="s">
        <v>1935</v>
      </c>
      <c r="D465" s="2" t="s">
        <v>49</v>
      </c>
      <c r="E465" s="2" t="s">
        <v>2391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89</v>
      </c>
      <c r="L465" s="6" t="s">
        <v>90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2392</v>
      </c>
      <c r="R465" s="2">
        <v>3333333.3330000001</v>
      </c>
      <c r="S465" s="2">
        <v>0</v>
      </c>
      <c r="T465" s="2" t="s">
        <v>441</v>
      </c>
      <c r="U465" s="2" t="s">
        <v>628</v>
      </c>
      <c r="V465" s="2" t="s">
        <v>56</v>
      </c>
      <c r="W465" s="2" t="s">
        <v>441</v>
      </c>
      <c r="X465" s="2" t="s">
        <v>629</v>
      </c>
      <c r="Y465" s="2">
        <v>1.7383998849759801</v>
      </c>
      <c r="Z465" s="2">
        <v>1738.3998849759801</v>
      </c>
      <c r="AA465" s="2">
        <v>4.6250499999999999</v>
      </c>
      <c r="AB465" s="2">
        <v>-74.161333333333303</v>
      </c>
      <c r="AC465" s="2">
        <v>2580</v>
      </c>
      <c r="AD465" s="2">
        <v>3</v>
      </c>
      <c r="AE465" s="2" t="s">
        <v>59</v>
      </c>
      <c r="AF465" s="2" t="s">
        <v>86</v>
      </c>
      <c r="AG465" s="2" t="s">
        <v>61</v>
      </c>
      <c r="AH465" s="2" t="s">
        <v>62</v>
      </c>
      <c r="AI465" s="2" t="s">
        <v>200</v>
      </c>
      <c r="AJ465" s="2">
        <v>0.36335373370093799</v>
      </c>
      <c r="AK465" s="2">
        <v>3.6905247614861301</v>
      </c>
      <c r="AL465" s="2">
        <v>2.9659849957287698</v>
      </c>
      <c r="AM465" s="2">
        <v>0.121456872206294</v>
      </c>
      <c r="AN465" s="2">
        <v>1.7763997724859799</v>
      </c>
      <c r="AO465" s="2">
        <v>0.307761245360546</v>
      </c>
      <c r="AP465" s="2">
        <v>0.307761245360546</v>
      </c>
      <c r="AQ465" s="2">
        <v>1</v>
      </c>
      <c r="AR465" s="2">
        <v>3</v>
      </c>
      <c r="AS465" s="2">
        <v>0</v>
      </c>
      <c r="AT465" s="2">
        <v>0</v>
      </c>
      <c r="AU465" s="2">
        <v>0</v>
      </c>
      <c r="AV465" s="2">
        <v>31</v>
      </c>
      <c r="AW465" s="2">
        <v>0</v>
      </c>
      <c r="AX465" s="2">
        <v>0</v>
      </c>
      <c r="AZ465" s="2">
        <v>14.5</v>
      </c>
      <c r="BA465" s="2">
        <v>27.9</v>
      </c>
      <c r="BB465" s="2">
        <v>564</v>
      </c>
      <c r="BC465" s="2">
        <v>65.5</v>
      </c>
      <c r="BD465" s="2">
        <v>1.3</v>
      </c>
      <c r="BE465" s="2">
        <v>189</v>
      </c>
      <c r="BF465" s="2">
        <v>8.8000000000000007</v>
      </c>
      <c r="BG465" s="2">
        <v>167</v>
      </c>
      <c r="BH465" s="2">
        <v>21.9</v>
      </c>
      <c r="BI465" s="2">
        <v>16.3</v>
      </c>
      <c r="BJ465" s="2">
        <v>38.200000000000003</v>
      </c>
      <c r="BK465" s="2">
        <v>1.02</v>
      </c>
      <c r="BL465" s="2">
        <v>7.4</v>
      </c>
      <c r="BM465" s="2">
        <v>2.1</v>
      </c>
      <c r="BN465" s="2">
        <v>7.4</v>
      </c>
      <c r="BO465" s="2">
        <v>4.8</v>
      </c>
      <c r="BP465" s="2">
        <f t="shared" si="14"/>
        <v>13.304440545700386</v>
      </c>
      <c r="BQ465" s="2">
        <f t="shared" si="15"/>
        <v>26.759915875465996</v>
      </c>
    </row>
    <row r="466" spans="1:69" x14ac:dyDescent="0.2">
      <c r="A466" s="2" t="s">
        <v>2590</v>
      </c>
      <c r="B466" s="2" t="s">
        <v>47</v>
      </c>
      <c r="C466" s="2" t="s">
        <v>1935</v>
      </c>
      <c r="D466" s="2" t="s">
        <v>49</v>
      </c>
      <c r="E466" s="2" t="s">
        <v>2591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89</v>
      </c>
      <c r="L466" s="6" t="s">
        <v>112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2592</v>
      </c>
      <c r="R466" s="2">
        <v>2225000</v>
      </c>
      <c r="S466" s="2">
        <v>0</v>
      </c>
      <c r="T466" s="2" t="s">
        <v>441</v>
      </c>
      <c r="U466" s="2" t="s">
        <v>628</v>
      </c>
      <c r="V466" s="2" t="s">
        <v>56</v>
      </c>
      <c r="W466" s="2" t="s">
        <v>441</v>
      </c>
      <c r="X466" s="2" t="s">
        <v>629</v>
      </c>
      <c r="Y466" s="2">
        <v>2.2971318854484402</v>
      </c>
      <c r="Z466" s="2">
        <v>2297.1318854484398</v>
      </c>
      <c r="AA466" s="2">
        <v>4.6250499999999999</v>
      </c>
      <c r="AB466" s="2">
        <v>-74.161333333333303</v>
      </c>
      <c r="AC466" s="2">
        <v>2580</v>
      </c>
      <c r="AD466" s="2">
        <v>3</v>
      </c>
      <c r="AE466" s="2" t="s">
        <v>59</v>
      </c>
      <c r="AF466" s="2" t="s">
        <v>86</v>
      </c>
      <c r="AG466" s="2" t="s">
        <v>61</v>
      </c>
      <c r="AH466" s="2" t="s">
        <v>62</v>
      </c>
      <c r="AI466" s="2" t="s">
        <v>200</v>
      </c>
      <c r="AJ466" s="2">
        <v>0.79039309148998704</v>
      </c>
      <c r="AK466" s="2">
        <v>2.7266014322106802</v>
      </c>
      <c r="AL466" s="2">
        <v>2.5737009527644501</v>
      </c>
      <c r="AM466" s="2">
        <v>0.36992686272043201</v>
      </c>
      <c r="AN466" s="2">
        <v>2.6008992235497801</v>
      </c>
      <c r="AO466" s="2">
        <v>4.3272468409234301E-2</v>
      </c>
      <c r="AP466" s="2">
        <v>4.3272468409234301E-2</v>
      </c>
      <c r="AQ466" s="2">
        <v>0</v>
      </c>
      <c r="AR466" s="2">
        <v>3</v>
      </c>
      <c r="AS466" s="2">
        <v>0</v>
      </c>
      <c r="AT466" s="2">
        <v>0</v>
      </c>
      <c r="AU466" s="2">
        <v>0</v>
      </c>
      <c r="AV466" s="2">
        <v>15</v>
      </c>
      <c r="AW466" s="2">
        <v>0</v>
      </c>
      <c r="AX466" s="2">
        <v>0</v>
      </c>
      <c r="AZ466" s="2">
        <v>14.5</v>
      </c>
      <c r="BA466" s="2">
        <v>27.9</v>
      </c>
      <c r="BB466" s="2">
        <v>564</v>
      </c>
      <c r="BC466" s="2">
        <v>65.5</v>
      </c>
      <c r="BD466" s="2">
        <v>1.3</v>
      </c>
      <c r="BE466" s="2">
        <v>189</v>
      </c>
      <c r="BF466" s="2">
        <v>8.8000000000000007</v>
      </c>
      <c r="BG466" s="2">
        <v>167</v>
      </c>
      <c r="BH466" s="2">
        <v>21.9</v>
      </c>
      <c r="BI466" s="2">
        <v>16.3</v>
      </c>
      <c r="BJ466" s="2">
        <v>38.200000000000003</v>
      </c>
      <c r="BK466" s="2">
        <v>1.02</v>
      </c>
      <c r="BL466" s="2">
        <v>7.4</v>
      </c>
      <c r="BM466" s="2">
        <v>2.1</v>
      </c>
      <c r="BN466" s="2">
        <v>7.4</v>
      </c>
      <c r="BO466" s="2">
        <v>4.8</v>
      </c>
      <c r="BP466" s="2">
        <f t="shared" si="14"/>
        <v>12.941518365466253</v>
      </c>
      <c r="BQ466" s="2">
        <f t="shared" si="15"/>
        <v>26.403472182715486</v>
      </c>
    </row>
    <row r="467" spans="1:69" x14ac:dyDescent="0.2">
      <c r="A467" s="2" t="s">
        <v>2131</v>
      </c>
      <c r="B467" s="2" t="s">
        <v>47</v>
      </c>
      <c r="C467" s="2" t="s">
        <v>1935</v>
      </c>
      <c r="D467" s="2" t="s">
        <v>49</v>
      </c>
      <c r="E467" s="2" t="s">
        <v>2132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89</v>
      </c>
      <c r="L467" s="6" t="s">
        <v>112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2133</v>
      </c>
      <c r="R467" s="2">
        <v>5810810.8109999998</v>
      </c>
      <c r="S467" s="2">
        <v>0</v>
      </c>
      <c r="T467" s="2" t="s">
        <v>441</v>
      </c>
      <c r="U467" s="2" t="s">
        <v>628</v>
      </c>
      <c r="V467" s="2" t="s">
        <v>56</v>
      </c>
      <c r="W467" s="2" t="s">
        <v>441</v>
      </c>
      <c r="X467" s="2" t="s">
        <v>629</v>
      </c>
      <c r="Y467" s="2">
        <v>1.8963860203370899</v>
      </c>
      <c r="Z467" s="2">
        <v>1896.38602033709</v>
      </c>
      <c r="AA467" s="2">
        <v>4.6250499999999999</v>
      </c>
      <c r="AB467" s="2">
        <v>-74.161333333333303</v>
      </c>
      <c r="AC467" s="2">
        <v>2580</v>
      </c>
      <c r="AD467" s="2">
        <v>3</v>
      </c>
      <c r="AE467" s="2" t="s">
        <v>59</v>
      </c>
      <c r="AF467" s="2" t="s">
        <v>86</v>
      </c>
      <c r="AG467" s="2" t="s">
        <v>61</v>
      </c>
      <c r="AH467" s="2" t="s">
        <v>62</v>
      </c>
      <c r="AI467" s="2" t="s">
        <v>200</v>
      </c>
      <c r="AJ467" s="2">
        <v>0.94428248605089404</v>
      </c>
      <c r="AK467" s="2">
        <v>1.5872820179217499</v>
      </c>
      <c r="AL467" s="2">
        <v>5.29714744941404</v>
      </c>
      <c r="AM467" s="2">
        <v>0.17502974407174399</v>
      </c>
      <c r="AN467" s="2">
        <v>2.5104041938132098</v>
      </c>
      <c r="AO467" s="2">
        <v>6.9301509206790707E-2</v>
      </c>
      <c r="AP467" s="2">
        <v>6.9301509206790707E-2</v>
      </c>
      <c r="AQ467" s="2">
        <v>0</v>
      </c>
      <c r="AR467" s="2">
        <v>1</v>
      </c>
      <c r="AS467" s="2">
        <v>0</v>
      </c>
      <c r="AT467" s="2">
        <v>0</v>
      </c>
      <c r="AU467" s="2">
        <v>0</v>
      </c>
      <c r="AV467" s="2">
        <v>8</v>
      </c>
      <c r="AW467" s="2">
        <v>0</v>
      </c>
      <c r="AX467" s="2">
        <v>0</v>
      </c>
      <c r="AZ467" s="2">
        <v>14.5</v>
      </c>
      <c r="BA467" s="2">
        <v>27.9</v>
      </c>
      <c r="BB467" s="2">
        <v>564</v>
      </c>
      <c r="BC467" s="2">
        <v>65.5</v>
      </c>
      <c r="BD467" s="2">
        <v>1.3</v>
      </c>
      <c r="BE467" s="2">
        <v>189</v>
      </c>
      <c r="BF467" s="2">
        <v>8.8000000000000007</v>
      </c>
      <c r="BG467" s="2">
        <v>167</v>
      </c>
      <c r="BH467" s="2">
        <v>21.9</v>
      </c>
      <c r="BI467" s="2">
        <v>16.3</v>
      </c>
      <c r="BJ467" s="2">
        <v>38.200000000000003</v>
      </c>
      <c r="BK467" s="2">
        <v>1.02</v>
      </c>
      <c r="BL467" s="2">
        <v>7.4</v>
      </c>
      <c r="BM467" s="2">
        <v>2.1</v>
      </c>
      <c r="BN467" s="2">
        <v>7.4</v>
      </c>
      <c r="BO467" s="2">
        <v>4.8</v>
      </c>
      <c r="BP467" s="2">
        <f t="shared" si="14"/>
        <v>13.200801420450835</v>
      </c>
      <c r="BQ467" s="2">
        <f t="shared" si="15"/>
        <v>26.658643296155766</v>
      </c>
    </row>
    <row r="468" spans="1:69" x14ac:dyDescent="0.2">
      <c r="A468" s="2" t="s">
        <v>2879</v>
      </c>
      <c r="B468" s="2" t="s">
        <v>47</v>
      </c>
      <c r="C468" s="2" t="s">
        <v>1935</v>
      </c>
      <c r="D468" s="2" t="s">
        <v>49</v>
      </c>
      <c r="E468" s="2" t="s">
        <v>1605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89</v>
      </c>
      <c r="L468" s="6" t="s">
        <v>103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2880</v>
      </c>
      <c r="R468" s="2">
        <v>2638888.889</v>
      </c>
      <c r="S468" s="2">
        <v>0</v>
      </c>
      <c r="T468" s="2" t="s">
        <v>441</v>
      </c>
      <c r="U468" s="2" t="s">
        <v>628</v>
      </c>
      <c r="V468" s="2" t="s">
        <v>56</v>
      </c>
      <c r="W468" s="2" t="s">
        <v>441</v>
      </c>
      <c r="X468" s="2" t="s">
        <v>629</v>
      </c>
      <c r="Y468" s="2">
        <v>0.79004392884102403</v>
      </c>
      <c r="Z468" s="2">
        <v>790.04392884102401</v>
      </c>
      <c r="AA468" s="2">
        <v>4.6250499999999999</v>
      </c>
      <c r="AB468" s="2">
        <v>-74.161333333333303</v>
      </c>
      <c r="AC468" s="2">
        <v>2580</v>
      </c>
      <c r="AD468" s="2">
        <v>3</v>
      </c>
      <c r="AE468" s="2" t="s">
        <v>59</v>
      </c>
      <c r="AF468" s="2" t="s">
        <v>86</v>
      </c>
      <c r="AG468" s="2" t="s">
        <v>61</v>
      </c>
      <c r="AH468" s="2" t="s">
        <v>62</v>
      </c>
      <c r="AI468" s="2" t="s">
        <v>200</v>
      </c>
      <c r="AJ468" s="2">
        <v>0.89302219256329596</v>
      </c>
      <c r="AK468" s="2">
        <v>3.0918580999625198</v>
      </c>
      <c r="AL468" s="2">
        <v>4.6690624164798598</v>
      </c>
      <c r="AM468" s="2">
        <v>7.7504216714099503E-2</v>
      </c>
      <c r="AN468" s="2">
        <v>1.02324836679255</v>
      </c>
      <c r="AO468" s="2">
        <v>0.20127463448975</v>
      </c>
      <c r="AP468" s="2">
        <v>0.20127463448975</v>
      </c>
      <c r="AQ468" s="2">
        <v>0</v>
      </c>
      <c r="AR468" s="2">
        <v>1</v>
      </c>
      <c r="AS468" s="2">
        <v>0</v>
      </c>
      <c r="AT468" s="2">
        <v>0</v>
      </c>
      <c r="AU468" s="2">
        <v>0</v>
      </c>
      <c r="AV468" s="2">
        <v>8</v>
      </c>
      <c r="AW468" s="2">
        <v>0</v>
      </c>
      <c r="AX468" s="2">
        <v>0</v>
      </c>
      <c r="AZ468" s="2">
        <v>14.5</v>
      </c>
      <c r="BA468" s="2">
        <v>27.9</v>
      </c>
      <c r="BB468" s="2">
        <v>564</v>
      </c>
      <c r="BC468" s="2">
        <v>65.5</v>
      </c>
      <c r="BD468" s="2">
        <v>1.3</v>
      </c>
      <c r="BE468" s="2">
        <v>189</v>
      </c>
      <c r="BF468" s="2">
        <v>8.8000000000000007</v>
      </c>
      <c r="BG468" s="2">
        <v>167</v>
      </c>
      <c r="BH468" s="2">
        <v>21.9</v>
      </c>
      <c r="BI468" s="2">
        <v>16.3</v>
      </c>
      <c r="BJ468" s="2">
        <v>38.200000000000003</v>
      </c>
      <c r="BK468" s="2">
        <v>1.02</v>
      </c>
      <c r="BL468" s="2">
        <v>7.4</v>
      </c>
      <c r="BM468" s="2">
        <v>2.1</v>
      </c>
      <c r="BN468" s="2">
        <v>7.4</v>
      </c>
      <c r="BO468" s="2">
        <v>4.8</v>
      </c>
      <c r="BP468" s="2">
        <f t="shared" si="14"/>
        <v>13.94389077332735</v>
      </c>
      <c r="BQ468" s="2">
        <f t="shared" si="15"/>
        <v>27.37597036235595</v>
      </c>
    </row>
    <row r="469" spans="1:69" x14ac:dyDescent="0.2">
      <c r="A469" s="2" t="s">
        <v>3266</v>
      </c>
      <c r="B469" s="2" t="s">
        <v>47</v>
      </c>
      <c r="C469" s="2" t="s">
        <v>1935</v>
      </c>
      <c r="D469" s="2" t="s">
        <v>49</v>
      </c>
      <c r="E469" s="2" t="s">
        <v>2149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89</v>
      </c>
      <c r="L469" s="6" t="s">
        <v>141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3267</v>
      </c>
      <c r="R469" s="2">
        <v>1440972.2220000001</v>
      </c>
      <c r="S469" s="2">
        <v>0</v>
      </c>
      <c r="T469" s="2" t="s">
        <v>441</v>
      </c>
      <c r="U469" s="2" t="s">
        <v>628</v>
      </c>
      <c r="V469" s="2" t="s">
        <v>56</v>
      </c>
      <c r="W469" s="2" t="s">
        <v>441</v>
      </c>
      <c r="X469" s="2" t="s">
        <v>629</v>
      </c>
      <c r="Y469" s="2">
        <v>2.9652593475807199</v>
      </c>
      <c r="Z469" s="2">
        <v>2965.2593475807198</v>
      </c>
      <c r="AA469" s="2">
        <v>4.6250499999999999</v>
      </c>
      <c r="AB469" s="2">
        <v>-74.161333333333303</v>
      </c>
      <c r="AC469" s="2">
        <v>2580</v>
      </c>
      <c r="AD469" s="2">
        <v>3</v>
      </c>
      <c r="AE469" s="2" t="s">
        <v>59</v>
      </c>
      <c r="AF469" s="2" t="s">
        <v>86</v>
      </c>
      <c r="AG469" s="2" t="s">
        <v>61</v>
      </c>
      <c r="AH469" s="2" t="s">
        <v>62</v>
      </c>
      <c r="AI469" s="2" t="s">
        <v>200</v>
      </c>
      <c r="AJ469" s="2">
        <v>1.9903778903970699</v>
      </c>
      <c r="AK469" s="2">
        <v>0.56097297581693695</v>
      </c>
      <c r="AL469" s="2">
        <v>5.48736216578894</v>
      </c>
      <c r="AM469" s="2">
        <v>0.70294213866284905</v>
      </c>
      <c r="AN469" s="2">
        <v>3.55288794426788</v>
      </c>
      <c r="AO469" s="2">
        <v>3.8596058442655297E-2</v>
      </c>
      <c r="AP469" s="2">
        <v>3.8596058442655297E-2</v>
      </c>
      <c r="AQ469" s="2">
        <v>0</v>
      </c>
      <c r="AR469" s="2">
        <v>0</v>
      </c>
      <c r="AS469" s="2">
        <v>0</v>
      </c>
      <c r="AT469" s="2">
        <v>10</v>
      </c>
      <c r="AU469" s="2">
        <v>0</v>
      </c>
      <c r="AV469" s="2">
        <v>1</v>
      </c>
      <c r="AW469" s="2">
        <v>0</v>
      </c>
      <c r="AX469" s="2">
        <v>0</v>
      </c>
      <c r="AZ469" s="2">
        <v>14.5</v>
      </c>
      <c r="BA469" s="2">
        <v>27.9</v>
      </c>
      <c r="BB469" s="2">
        <v>564</v>
      </c>
      <c r="BC469" s="2">
        <v>65.5</v>
      </c>
      <c r="BD469" s="2">
        <v>1.3</v>
      </c>
      <c r="BE469" s="2">
        <v>189</v>
      </c>
      <c r="BF469" s="2">
        <v>8.8000000000000007</v>
      </c>
      <c r="BG469" s="2">
        <v>167</v>
      </c>
      <c r="BH469" s="2">
        <v>21.9</v>
      </c>
      <c r="BI469" s="2">
        <v>16.3</v>
      </c>
      <c r="BJ469" s="2">
        <v>38.200000000000003</v>
      </c>
      <c r="BK469" s="2">
        <v>1.02</v>
      </c>
      <c r="BL469" s="2">
        <v>7.4</v>
      </c>
      <c r="BM469" s="2">
        <v>2.1</v>
      </c>
      <c r="BN469" s="2">
        <v>7.4</v>
      </c>
      <c r="BO469" s="2">
        <v>4.8</v>
      </c>
      <c r="BP469" s="2">
        <f t="shared" si="14"/>
        <v>12.520512655033148</v>
      </c>
      <c r="BQ469" s="2">
        <f t="shared" si="15"/>
        <v>25.983467346610478</v>
      </c>
    </row>
    <row r="470" spans="1:69" x14ac:dyDescent="0.2">
      <c r="A470" s="2" t="s">
        <v>3082</v>
      </c>
      <c r="B470" s="2" t="s">
        <v>47</v>
      </c>
      <c r="C470" s="2" t="s">
        <v>1935</v>
      </c>
      <c r="D470" s="2" t="s">
        <v>49</v>
      </c>
      <c r="E470" s="2" t="s">
        <v>3083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89</v>
      </c>
      <c r="L470" s="6" t="s">
        <v>141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3084</v>
      </c>
      <c r="R470" s="2">
        <v>2691645.1340000001</v>
      </c>
      <c r="S470" s="2">
        <v>0</v>
      </c>
      <c r="T470" s="2" t="s">
        <v>439</v>
      </c>
      <c r="U470" s="2" t="s">
        <v>440</v>
      </c>
      <c r="V470" s="2" t="s">
        <v>56</v>
      </c>
      <c r="W470" s="2" t="s">
        <v>441</v>
      </c>
      <c r="X470" s="2" t="s">
        <v>442</v>
      </c>
      <c r="Y470" s="2">
        <v>0.62936857954977199</v>
      </c>
      <c r="Z470" s="2">
        <v>629.36857954977199</v>
      </c>
      <c r="AA470" s="2">
        <v>4.5958333333333297</v>
      </c>
      <c r="AB470" s="2">
        <v>-74.148499999999999</v>
      </c>
      <c r="AC470" s="2">
        <v>2563</v>
      </c>
      <c r="AD470" s="2">
        <v>3</v>
      </c>
      <c r="AE470" s="2" t="s">
        <v>59</v>
      </c>
      <c r="AF470" s="2" t="s">
        <v>79</v>
      </c>
      <c r="AG470" s="2" t="s">
        <v>61</v>
      </c>
      <c r="AH470" s="2" t="s">
        <v>62</v>
      </c>
      <c r="AI470" s="2" t="s">
        <v>200</v>
      </c>
      <c r="AJ470" s="2">
        <v>0.40463704864268701</v>
      </c>
      <c r="AK470" s="2">
        <v>4.4891999747743396</v>
      </c>
      <c r="AL470" s="2">
        <v>0.89651094034834899</v>
      </c>
      <c r="AM470" s="2">
        <v>0.24658160722351</v>
      </c>
      <c r="AN470" s="2">
        <v>1.8477275881083099</v>
      </c>
      <c r="AO470" s="2">
        <v>6.2960870647216602E-2</v>
      </c>
      <c r="AP470" s="2">
        <v>6.2960870647216602E-2</v>
      </c>
      <c r="AQ470" s="2">
        <v>1</v>
      </c>
      <c r="AR470" s="2">
        <v>2</v>
      </c>
      <c r="AS470" s="2">
        <v>0</v>
      </c>
      <c r="AT470" s="2">
        <v>0</v>
      </c>
      <c r="AU470" s="2">
        <v>1</v>
      </c>
      <c r="AV470" s="2">
        <v>18</v>
      </c>
      <c r="AW470" s="2">
        <v>0</v>
      </c>
      <c r="AX470" s="2">
        <v>0</v>
      </c>
      <c r="AZ470" s="2">
        <v>14.5</v>
      </c>
      <c r="BA470" s="2">
        <v>27.9</v>
      </c>
      <c r="BB470" s="2">
        <v>564</v>
      </c>
      <c r="BC470" s="2">
        <v>65.5</v>
      </c>
      <c r="BD470" s="2">
        <v>1.3</v>
      </c>
      <c r="BE470" s="2">
        <v>189</v>
      </c>
      <c r="BF470" s="2">
        <v>8.8000000000000007</v>
      </c>
      <c r="BG470" s="2">
        <v>167</v>
      </c>
      <c r="BH470" s="2">
        <v>21.9</v>
      </c>
      <c r="BI470" s="2">
        <v>16.3</v>
      </c>
      <c r="BJ470" s="2">
        <v>38.200000000000003</v>
      </c>
      <c r="BK470" s="2">
        <v>1.02</v>
      </c>
      <c r="BL470" s="2">
        <v>7.4</v>
      </c>
      <c r="BM470" s="2">
        <v>2.1</v>
      </c>
      <c r="BN470" s="2">
        <v>7.4</v>
      </c>
      <c r="BO470" s="2">
        <v>4.8</v>
      </c>
      <c r="BP470" s="2">
        <f t="shared" si="14"/>
        <v>14.055234725805395</v>
      </c>
      <c r="BQ470" s="2">
        <f t="shared" si="15"/>
        <v>27.481741615685436</v>
      </c>
    </row>
    <row r="471" spans="1:69" x14ac:dyDescent="0.2">
      <c r="A471" s="2" t="s">
        <v>1971</v>
      </c>
      <c r="B471" s="2" t="s">
        <v>47</v>
      </c>
      <c r="C471" s="2" t="s">
        <v>1935</v>
      </c>
      <c r="D471" s="2" t="s">
        <v>49</v>
      </c>
      <c r="E471" s="2" t="s">
        <v>1551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89</v>
      </c>
      <c r="L471" s="6" t="s">
        <v>141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1972</v>
      </c>
      <c r="R471" s="2">
        <v>2164986.9350000001</v>
      </c>
      <c r="S471" s="2">
        <v>0</v>
      </c>
      <c r="T471" s="2" t="s">
        <v>441</v>
      </c>
      <c r="U471" s="2" t="s">
        <v>628</v>
      </c>
      <c r="V471" s="2" t="s">
        <v>56</v>
      </c>
      <c r="W471" s="2" t="s">
        <v>441</v>
      </c>
      <c r="X471" s="2" t="s">
        <v>629</v>
      </c>
      <c r="Y471" s="2">
        <v>1.34413102457444</v>
      </c>
      <c r="Z471" s="2">
        <v>1344.1310245744401</v>
      </c>
      <c r="AA471" s="2">
        <v>4.6250499999999999</v>
      </c>
      <c r="AB471" s="2">
        <v>-74.161333333333303</v>
      </c>
      <c r="AC471" s="2">
        <v>2580</v>
      </c>
      <c r="AD471" s="2">
        <v>3</v>
      </c>
      <c r="AE471" s="2" t="s">
        <v>59</v>
      </c>
      <c r="AF471" s="2" t="s">
        <v>86</v>
      </c>
      <c r="AG471" s="2" t="s">
        <v>61</v>
      </c>
      <c r="AH471" s="2" t="s">
        <v>62</v>
      </c>
      <c r="AI471" s="2" t="s">
        <v>200</v>
      </c>
      <c r="AJ471" s="2">
        <v>0.80912437982313101</v>
      </c>
      <c r="AK471" s="2">
        <v>2.9201042600799698</v>
      </c>
      <c r="AL471" s="2">
        <v>4.9975283706757603</v>
      </c>
      <c r="AM471" s="2">
        <v>0.139780782272239</v>
      </c>
      <c r="AN471" s="2">
        <v>1.5222744843651601</v>
      </c>
      <c r="AO471" s="2">
        <v>4.7418755998295002E-2</v>
      </c>
      <c r="AP471" s="2">
        <v>4.7418755998295002E-2</v>
      </c>
      <c r="AQ471" s="2">
        <v>0</v>
      </c>
      <c r="AR471" s="2">
        <v>1</v>
      </c>
      <c r="AS471" s="2">
        <v>0</v>
      </c>
      <c r="AT471" s="2">
        <v>0</v>
      </c>
      <c r="AU471" s="2">
        <v>0</v>
      </c>
      <c r="AV471" s="2">
        <v>14</v>
      </c>
      <c r="AW471" s="2">
        <v>0</v>
      </c>
      <c r="AX471" s="2">
        <v>0</v>
      </c>
      <c r="AZ471" s="2">
        <v>14.5</v>
      </c>
      <c r="BA471" s="2">
        <v>27.9</v>
      </c>
      <c r="BB471" s="2">
        <v>564</v>
      </c>
      <c r="BC471" s="2">
        <v>65.5</v>
      </c>
      <c r="BD471" s="2">
        <v>1.3</v>
      </c>
      <c r="BE471" s="2">
        <v>189</v>
      </c>
      <c r="BF471" s="2">
        <v>8.8000000000000007</v>
      </c>
      <c r="BG471" s="2">
        <v>167</v>
      </c>
      <c r="BH471" s="2">
        <v>21.9</v>
      </c>
      <c r="BI471" s="2">
        <v>16.3</v>
      </c>
      <c r="BJ471" s="2">
        <v>38.200000000000003</v>
      </c>
      <c r="BK471" s="2">
        <v>1.02</v>
      </c>
      <c r="BL471" s="2">
        <v>7.4</v>
      </c>
      <c r="BM471" s="2">
        <v>2.1</v>
      </c>
      <c r="BN471" s="2">
        <v>7.4</v>
      </c>
      <c r="BO471" s="2">
        <v>4.8</v>
      </c>
      <c r="BP471" s="2">
        <f t="shared" si="14"/>
        <v>13.566644416397223</v>
      </c>
      <c r="BQ471" s="2">
        <f t="shared" si="15"/>
        <v>27.014332114830854</v>
      </c>
    </row>
    <row r="472" spans="1:69" x14ac:dyDescent="0.2">
      <c r="A472" s="2" t="s">
        <v>2876</v>
      </c>
      <c r="B472" s="2" t="s">
        <v>47</v>
      </c>
      <c r="C472" s="2" t="s">
        <v>1935</v>
      </c>
      <c r="D472" s="2" t="s">
        <v>49</v>
      </c>
      <c r="E472" s="2" t="s">
        <v>2877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89</v>
      </c>
      <c r="L472" s="6" t="s">
        <v>94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2878</v>
      </c>
      <c r="R472" s="2">
        <v>3807692.3080000002</v>
      </c>
      <c r="S472" s="2">
        <v>0</v>
      </c>
      <c r="T472" s="2" t="s">
        <v>441</v>
      </c>
      <c r="U472" s="2" t="s">
        <v>628</v>
      </c>
      <c r="V472" s="2" t="s">
        <v>56</v>
      </c>
      <c r="W472" s="2" t="s">
        <v>441</v>
      </c>
      <c r="X472" s="2" t="s">
        <v>629</v>
      </c>
      <c r="Y472" s="2">
        <v>2.3511450483400802</v>
      </c>
      <c r="Z472" s="2">
        <v>2351.1450483400799</v>
      </c>
      <c r="AA472" s="2">
        <v>4.6250499999999999</v>
      </c>
      <c r="AB472" s="2">
        <v>-74.161333333333303</v>
      </c>
      <c r="AC472" s="2">
        <v>2580</v>
      </c>
      <c r="AD472" s="2">
        <v>3</v>
      </c>
      <c r="AE472" s="2" t="s">
        <v>59</v>
      </c>
      <c r="AF472" s="2" t="s">
        <v>86</v>
      </c>
      <c r="AG472" s="2" t="s">
        <v>61</v>
      </c>
      <c r="AH472" s="2" t="s">
        <v>62</v>
      </c>
      <c r="AI472" s="2" t="s">
        <v>200</v>
      </c>
      <c r="AJ472" s="2">
        <v>0.41448956417820698</v>
      </c>
      <c r="AK472" s="2">
        <v>4.0869932037278698</v>
      </c>
      <c r="AL472" s="2">
        <v>2.4816185053845601</v>
      </c>
      <c r="AM472" s="2">
        <v>0.110998113834988</v>
      </c>
      <c r="AN472" s="2">
        <v>2.3047479451937001</v>
      </c>
      <c r="AO472" s="2">
        <v>8.21199593020535E-2</v>
      </c>
      <c r="AP472" s="2">
        <v>8.21199593020535E-2</v>
      </c>
      <c r="AQ472" s="2">
        <v>1</v>
      </c>
      <c r="AR472" s="2">
        <v>3</v>
      </c>
      <c r="AS472" s="2">
        <v>0</v>
      </c>
      <c r="AT472" s="2">
        <v>0</v>
      </c>
      <c r="AU472" s="2">
        <v>0</v>
      </c>
      <c r="AV472" s="2">
        <v>40</v>
      </c>
      <c r="AW472" s="2">
        <v>0</v>
      </c>
      <c r="AX472" s="2">
        <v>0</v>
      </c>
      <c r="AZ472" s="2">
        <v>14.5</v>
      </c>
      <c r="BA472" s="2">
        <v>27.9</v>
      </c>
      <c r="BB472" s="2">
        <v>564</v>
      </c>
      <c r="BC472" s="2">
        <v>65.5</v>
      </c>
      <c r="BD472" s="2">
        <v>1.3</v>
      </c>
      <c r="BE472" s="2">
        <v>189</v>
      </c>
      <c r="BF472" s="2">
        <v>8.8000000000000007</v>
      </c>
      <c r="BG472" s="2">
        <v>167</v>
      </c>
      <c r="BH472" s="2">
        <v>21.9</v>
      </c>
      <c r="BI472" s="2">
        <v>16.3</v>
      </c>
      <c r="BJ472" s="2">
        <v>38.200000000000003</v>
      </c>
      <c r="BK472" s="2">
        <v>1.02</v>
      </c>
      <c r="BL472" s="2">
        <v>7.4</v>
      </c>
      <c r="BM472" s="2">
        <v>2.1</v>
      </c>
      <c r="BN472" s="2">
        <v>7.4</v>
      </c>
      <c r="BO472" s="2">
        <v>4.8</v>
      </c>
      <c r="BP472" s="2">
        <f t="shared" si="14"/>
        <v>12.90696346911977</v>
      </c>
      <c r="BQ472" s="2">
        <f t="shared" si="15"/>
        <v>26.369267116737205</v>
      </c>
    </row>
    <row r="473" spans="1:69" x14ac:dyDescent="0.2">
      <c r="A473" s="2" t="s">
        <v>2321</v>
      </c>
      <c r="B473" s="2" t="s">
        <v>47</v>
      </c>
      <c r="C473" s="2" t="s">
        <v>1935</v>
      </c>
      <c r="D473" s="2" t="s">
        <v>49</v>
      </c>
      <c r="E473" s="2" t="s">
        <v>2322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89</v>
      </c>
      <c r="L473" s="6" t="s">
        <v>141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2323</v>
      </c>
      <c r="R473" s="2">
        <v>2800000</v>
      </c>
      <c r="S473" s="2">
        <v>0</v>
      </c>
      <c r="T473" s="2" t="s">
        <v>439</v>
      </c>
      <c r="U473" s="2" t="s">
        <v>440</v>
      </c>
      <c r="V473" s="2" t="s">
        <v>56</v>
      </c>
      <c r="W473" s="2" t="s">
        <v>441</v>
      </c>
      <c r="X473" s="2" t="s">
        <v>442</v>
      </c>
      <c r="Y473" s="2">
        <v>0.45256137309727801</v>
      </c>
      <c r="Z473" s="2">
        <v>452.56137309727802</v>
      </c>
      <c r="AA473" s="2">
        <v>4.5958333333333297</v>
      </c>
      <c r="AB473" s="2">
        <v>-74.148499999999999</v>
      </c>
      <c r="AC473" s="2">
        <v>2563</v>
      </c>
      <c r="AD473" s="2">
        <v>3</v>
      </c>
      <c r="AE473" s="2" t="s">
        <v>59</v>
      </c>
      <c r="AF473" s="2" t="s">
        <v>79</v>
      </c>
      <c r="AG473" s="2" t="s">
        <v>61</v>
      </c>
      <c r="AH473" s="2" t="s">
        <v>62</v>
      </c>
      <c r="AI473" s="2" t="s">
        <v>200</v>
      </c>
      <c r="AJ473" s="2">
        <v>0.52014311916561895</v>
      </c>
      <c r="AK473" s="2">
        <v>4.2517894032213199</v>
      </c>
      <c r="AL473" s="2">
        <v>1.25659839052218</v>
      </c>
      <c r="AM473" s="2">
        <v>0.110529786193702</v>
      </c>
      <c r="AN473" s="2">
        <v>2.19884880774734</v>
      </c>
      <c r="AO473" s="2">
        <v>5.8256862217501898E-2</v>
      </c>
      <c r="AP473" s="2">
        <v>5.8256862217501898E-2</v>
      </c>
      <c r="AQ473" s="2">
        <v>0</v>
      </c>
      <c r="AR473" s="2">
        <v>2</v>
      </c>
      <c r="AS473" s="2">
        <v>0</v>
      </c>
      <c r="AT473" s="2">
        <v>0</v>
      </c>
      <c r="AU473" s="2">
        <v>0</v>
      </c>
      <c r="AV473" s="2">
        <v>12</v>
      </c>
      <c r="AW473" s="2">
        <v>0</v>
      </c>
      <c r="AX473" s="2">
        <v>0</v>
      </c>
      <c r="AZ473" s="2">
        <v>14.5</v>
      </c>
      <c r="BA473" s="2">
        <v>27.9</v>
      </c>
      <c r="BB473" s="2">
        <v>564</v>
      </c>
      <c r="BC473" s="2">
        <v>65.5</v>
      </c>
      <c r="BD473" s="2">
        <v>1.3</v>
      </c>
      <c r="BE473" s="2">
        <v>189</v>
      </c>
      <c r="BF473" s="2">
        <v>8.8000000000000007</v>
      </c>
      <c r="BG473" s="2">
        <v>167</v>
      </c>
      <c r="BH473" s="2">
        <v>21.9</v>
      </c>
      <c r="BI473" s="2">
        <v>16.3</v>
      </c>
      <c r="BJ473" s="2">
        <v>38.200000000000003</v>
      </c>
      <c r="BK473" s="2">
        <v>1.02</v>
      </c>
      <c r="BL473" s="2">
        <v>7.4</v>
      </c>
      <c r="BM473" s="2">
        <v>2.1</v>
      </c>
      <c r="BN473" s="2">
        <v>7.4</v>
      </c>
      <c r="BO473" s="2">
        <v>4.8</v>
      </c>
      <c r="BP473" s="2">
        <f t="shared" si="14"/>
        <v>14.17878539824493</v>
      </c>
      <c r="BQ473" s="2">
        <f t="shared" si="15"/>
        <v>27.59860466620885</v>
      </c>
    </row>
    <row r="474" spans="1:69" x14ac:dyDescent="0.2">
      <c r="A474" s="2" t="s">
        <v>2262</v>
      </c>
      <c r="B474" s="2" t="s">
        <v>47</v>
      </c>
      <c r="C474" s="2" t="s">
        <v>1935</v>
      </c>
      <c r="D474" s="2" t="s">
        <v>49</v>
      </c>
      <c r="E474" s="2" t="s">
        <v>2263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89</v>
      </c>
      <c r="L474" s="6" t="s">
        <v>141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2264</v>
      </c>
      <c r="R474" s="2">
        <v>2049180.328</v>
      </c>
      <c r="S474" s="2">
        <v>0</v>
      </c>
      <c r="T474" s="2" t="s">
        <v>439</v>
      </c>
      <c r="U474" s="2" t="s">
        <v>440</v>
      </c>
      <c r="V474" s="2" t="s">
        <v>56</v>
      </c>
      <c r="W474" s="2" t="s">
        <v>441</v>
      </c>
      <c r="X474" s="2" t="s">
        <v>442</v>
      </c>
      <c r="Y474" s="2">
        <v>1.7135466376684001</v>
      </c>
      <c r="Z474" s="2">
        <v>1713.5466376684001</v>
      </c>
      <c r="AA474" s="2">
        <v>4.5958333333333297</v>
      </c>
      <c r="AB474" s="2">
        <v>-74.148499999999999</v>
      </c>
      <c r="AC474" s="2">
        <v>2563</v>
      </c>
      <c r="AD474" s="2">
        <v>3</v>
      </c>
      <c r="AE474" s="2" t="s">
        <v>59</v>
      </c>
      <c r="AF474" s="2" t="s">
        <v>79</v>
      </c>
      <c r="AG474" s="2" t="s">
        <v>61</v>
      </c>
      <c r="AH474" s="2" t="s">
        <v>62</v>
      </c>
      <c r="AI474" s="2" t="s">
        <v>200</v>
      </c>
      <c r="AJ474" s="2">
        <v>1.6675067159508601</v>
      </c>
      <c r="AK474" s="2">
        <v>5.42108265473128</v>
      </c>
      <c r="AL474" s="2">
        <v>2.06710313405853</v>
      </c>
      <c r="AM474" s="2">
        <v>0.29229126975004899</v>
      </c>
      <c r="AN474" s="2">
        <v>1.9833858611853401</v>
      </c>
      <c r="AO474" s="2">
        <v>0.14530574821098799</v>
      </c>
      <c r="AP474" s="2">
        <v>0.14530574821098799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8</v>
      </c>
      <c r="AW474" s="2">
        <v>0</v>
      </c>
      <c r="AX474" s="2">
        <v>0</v>
      </c>
      <c r="AZ474" s="2">
        <v>14.5</v>
      </c>
      <c r="BA474" s="2">
        <v>27.9</v>
      </c>
      <c r="BB474" s="2">
        <v>564</v>
      </c>
      <c r="BC474" s="2">
        <v>65.5</v>
      </c>
      <c r="BD474" s="2">
        <v>1.3</v>
      </c>
      <c r="BE474" s="2">
        <v>189</v>
      </c>
      <c r="BF474" s="2">
        <v>8.8000000000000007</v>
      </c>
      <c r="BG474" s="2">
        <v>167</v>
      </c>
      <c r="BH474" s="2">
        <v>21.9</v>
      </c>
      <c r="BI474" s="2">
        <v>16.3</v>
      </c>
      <c r="BJ474" s="2">
        <v>38.200000000000003</v>
      </c>
      <c r="BK474" s="2">
        <v>1.02</v>
      </c>
      <c r="BL474" s="2">
        <v>7.4</v>
      </c>
      <c r="BM474" s="2">
        <v>2.1</v>
      </c>
      <c r="BN474" s="2">
        <v>7.4</v>
      </c>
      <c r="BO474" s="2">
        <v>4.8</v>
      </c>
      <c r="BP474" s="2">
        <f t="shared" si="14"/>
        <v>13.320818216115514</v>
      </c>
      <c r="BQ474" s="2">
        <f t="shared" si="15"/>
        <v>26.775882336185763</v>
      </c>
    </row>
    <row r="475" spans="1:69" x14ac:dyDescent="0.2">
      <c r="A475" s="2" t="s">
        <v>2610</v>
      </c>
      <c r="B475" s="2" t="s">
        <v>47</v>
      </c>
      <c r="C475" s="2" t="s">
        <v>1935</v>
      </c>
      <c r="D475" s="2" t="s">
        <v>49</v>
      </c>
      <c r="E475" s="2" t="s">
        <v>2611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89</v>
      </c>
      <c r="L475" s="6" t="s">
        <v>141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2612</v>
      </c>
      <c r="R475" s="2">
        <v>2375000</v>
      </c>
      <c r="S475" s="2">
        <v>0</v>
      </c>
      <c r="T475" s="2" t="s">
        <v>441</v>
      </c>
      <c r="U475" s="2" t="s">
        <v>628</v>
      </c>
      <c r="V475" s="2" t="s">
        <v>56</v>
      </c>
      <c r="W475" s="2" t="s">
        <v>441</v>
      </c>
      <c r="X475" s="2" t="s">
        <v>629</v>
      </c>
      <c r="Y475" s="2">
        <v>2.3455506237380201</v>
      </c>
      <c r="Z475" s="2">
        <v>2345.55062373802</v>
      </c>
      <c r="AA475" s="2">
        <v>4.6250499999999999</v>
      </c>
      <c r="AB475" s="2">
        <v>-74.161333333333303</v>
      </c>
      <c r="AC475" s="2">
        <v>2580</v>
      </c>
      <c r="AD475" s="2">
        <v>3</v>
      </c>
      <c r="AE475" s="2" t="s">
        <v>59</v>
      </c>
      <c r="AF475" s="2" t="s">
        <v>86</v>
      </c>
      <c r="AG475" s="2" t="s">
        <v>61</v>
      </c>
      <c r="AH475" s="2" t="s">
        <v>62</v>
      </c>
      <c r="AI475" s="2" t="s">
        <v>200</v>
      </c>
      <c r="AJ475" s="2">
        <v>1.4665157007374601</v>
      </c>
      <c r="AK475" s="2">
        <v>4.0828113089940699</v>
      </c>
      <c r="AL475" s="2">
        <v>4.3899160283814602</v>
      </c>
      <c r="AM475" s="2">
        <v>0.27216734222963901</v>
      </c>
      <c r="AN475" s="2">
        <v>1.63210657713203</v>
      </c>
      <c r="AO475" s="2">
        <v>0.107752157468507</v>
      </c>
      <c r="AP475" s="2">
        <v>0.107752157468507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12</v>
      </c>
      <c r="AW475" s="2">
        <v>0</v>
      </c>
      <c r="AX475" s="2">
        <v>0</v>
      </c>
      <c r="AZ475" s="2">
        <v>14.5</v>
      </c>
      <c r="BA475" s="2">
        <v>27.9</v>
      </c>
      <c r="BB475" s="2">
        <v>564</v>
      </c>
      <c r="BC475" s="2">
        <v>65.5</v>
      </c>
      <c r="BD475" s="2">
        <v>1.3</v>
      </c>
      <c r="BE475" s="2">
        <v>189</v>
      </c>
      <c r="BF475" s="2">
        <v>8.8000000000000007</v>
      </c>
      <c r="BG475" s="2">
        <v>167</v>
      </c>
      <c r="BH475" s="2">
        <v>21.9</v>
      </c>
      <c r="BI475" s="2">
        <v>16.3</v>
      </c>
      <c r="BJ475" s="2">
        <v>38.200000000000003</v>
      </c>
      <c r="BK475" s="2">
        <v>1.02</v>
      </c>
      <c r="BL475" s="2">
        <v>7.4</v>
      </c>
      <c r="BM475" s="2">
        <v>2.1</v>
      </c>
      <c r="BN475" s="2">
        <v>7.4</v>
      </c>
      <c r="BO475" s="2">
        <v>4.8</v>
      </c>
      <c r="BP475" s="2">
        <f t="shared" si="14"/>
        <v>12.910538212244532</v>
      </c>
      <c r="BQ475" s="2">
        <f t="shared" si="15"/>
        <v>26.372807855473344</v>
      </c>
    </row>
    <row r="476" spans="1:69" x14ac:dyDescent="0.2">
      <c r="A476" s="2" t="s">
        <v>3242</v>
      </c>
      <c r="B476" s="2" t="s">
        <v>47</v>
      </c>
      <c r="C476" s="2" t="s">
        <v>1935</v>
      </c>
      <c r="D476" s="2" t="s">
        <v>49</v>
      </c>
      <c r="E476" s="2" t="s">
        <v>3243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89</v>
      </c>
      <c r="L476" s="6" t="s">
        <v>141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3244</v>
      </c>
      <c r="R476" s="2">
        <v>3658536.585</v>
      </c>
      <c r="S476" s="2">
        <v>0</v>
      </c>
      <c r="T476" s="2" t="s">
        <v>441</v>
      </c>
      <c r="U476" s="2" t="s">
        <v>628</v>
      </c>
      <c r="V476" s="2" t="s">
        <v>56</v>
      </c>
      <c r="W476" s="2" t="s">
        <v>441</v>
      </c>
      <c r="X476" s="2" t="s">
        <v>629</v>
      </c>
      <c r="Y476" s="2">
        <v>2.2581999304118199</v>
      </c>
      <c r="Z476" s="2">
        <v>2258.1999304118199</v>
      </c>
      <c r="AA476" s="2">
        <v>4.6250499999999999</v>
      </c>
      <c r="AB476" s="2">
        <v>-74.161333333333303</v>
      </c>
      <c r="AC476" s="2">
        <v>2580</v>
      </c>
      <c r="AD476" s="2">
        <v>3</v>
      </c>
      <c r="AE476" s="2" t="s">
        <v>59</v>
      </c>
      <c r="AF476" s="2" t="s">
        <v>86</v>
      </c>
      <c r="AG476" s="2" t="s">
        <v>61</v>
      </c>
      <c r="AH476" s="2" t="s">
        <v>62</v>
      </c>
      <c r="AI476" s="2" t="s">
        <v>200</v>
      </c>
      <c r="AJ476" s="2">
        <v>0.59044706573874395</v>
      </c>
      <c r="AK476" s="2">
        <v>4.2078241928200999</v>
      </c>
      <c r="AL476" s="2">
        <v>2.6640003403031201</v>
      </c>
      <c r="AM476" s="2">
        <v>0.19746904082212</v>
      </c>
      <c r="AN476" s="2">
        <v>2.1642148977050799</v>
      </c>
      <c r="AO476" s="2">
        <v>0.19890002664787701</v>
      </c>
      <c r="AP476" s="2">
        <v>0.19890002664787701</v>
      </c>
      <c r="AQ476" s="2">
        <v>0</v>
      </c>
      <c r="AR476" s="2">
        <v>3</v>
      </c>
      <c r="AS476" s="2">
        <v>0</v>
      </c>
      <c r="AT476" s="2">
        <v>0</v>
      </c>
      <c r="AU476" s="2">
        <v>0</v>
      </c>
      <c r="AV476" s="2">
        <v>51</v>
      </c>
      <c r="AW476" s="2">
        <v>0</v>
      </c>
      <c r="AX476" s="2">
        <v>0</v>
      </c>
      <c r="AZ476" s="2">
        <v>14.5</v>
      </c>
      <c r="BA476" s="2">
        <v>27.9</v>
      </c>
      <c r="BB476" s="2">
        <v>564</v>
      </c>
      <c r="BC476" s="2">
        <v>65.5</v>
      </c>
      <c r="BD476" s="2">
        <v>1.3</v>
      </c>
      <c r="BE476" s="2">
        <v>189</v>
      </c>
      <c r="BF476" s="2">
        <v>8.8000000000000007</v>
      </c>
      <c r="BG476" s="2">
        <v>167</v>
      </c>
      <c r="BH476" s="2">
        <v>21.9</v>
      </c>
      <c r="BI476" s="2">
        <v>16.3</v>
      </c>
      <c r="BJ476" s="2">
        <v>38.200000000000003</v>
      </c>
      <c r="BK476" s="2">
        <v>1.02</v>
      </c>
      <c r="BL476" s="2">
        <v>7.4</v>
      </c>
      <c r="BM476" s="2">
        <v>2.1</v>
      </c>
      <c r="BN476" s="2">
        <v>7.4</v>
      </c>
      <c r="BO476" s="2">
        <v>4.8</v>
      </c>
      <c r="BP476" s="2">
        <f t="shared" si="14"/>
        <v>12.966482423504889</v>
      </c>
      <c r="BQ476" s="2">
        <f t="shared" si="15"/>
        <v>26.428154242973982</v>
      </c>
    </row>
    <row r="477" spans="1:69" x14ac:dyDescent="0.2">
      <c r="A477" s="2" t="s">
        <v>2090</v>
      </c>
      <c r="B477" s="2" t="s">
        <v>47</v>
      </c>
      <c r="C477" s="2" t="s">
        <v>1935</v>
      </c>
      <c r="D477" s="2" t="s">
        <v>49</v>
      </c>
      <c r="E477" s="2" t="s">
        <v>2091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89</v>
      </c>
      <c r="L477" s="6" t="s">
        <v>103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2092</v>
      </c>
      <c r="R477" s="2">
        <v>2653061.2239999999</v>
      </c>
      <c r="S477" s="2">
        <v>0</v>
      </c>
      <c r="T477" s="2" t="s">
        <v>439</v>
      </c>
      <c r="U477" s="2" t="s">
        <v>440</v>
      </c>
      <c r="V477" s="2" t="s">
        <v>56</v>
      </c>
      <c r="W477" s="2" t="s">
        <v>441</v>
      </c>
      <c r="X477" s="2" t="s">
        <v>442</v>
      </c>
      <c r="Y477" s="2">
        <v>1.20922062590285</v>
      </c>
      <c r="Z477" s="2">
        <v>1209.2206259028501</v>
      </c>
      <c r="AA477" s="2">
        <v>4.5958333333333297</v>
      </c>
      <c r="AB477" s="2">
        <v>-74.148499999999999</v>
      </c>
      <c r="AC477" s="2">
        <v>2563</v>
      </c>
      <c r="AD477" s="2">
        <v>3</v>
      </c>
      <c r="AE477" s="2" t="s">
        <v>59</v>
      </c>
      <c r="AF477" s="2" t="s">
        <v>79</v>
      </c>
      <c r="AG477" s="2" t="s">
        <v>61</v>
      </c>
      <c r="AH477" s="2" t="s">
        <v>62</v>
      </c>
      <c r="AI477" s="2" t="s">
        <v>347</v>
      </c>
      <c r="AJ477" s="2">
        <v>0.50634807541483895</v>
      </c>
      <c r="AK477" s="2">
        <v>3.6452957883316599</v>
      </c>
      <c r="AL477" s="2">
        <v>2.3280960350487701</v>
      </c>
      <c r="AM477" s="2">
        <v>0.38053750043020002</v>
      </c>
      <c r="AN477" s="2">
        <v>2.0945825108317799</v>
      </c>
      <c r="AO477" s="2">
        <v>8.6205459218335001E-2</v>
      </c>
      <c r="AP477" s="2">
        <v>8.6205459218335001E-2</v>
      </c>
      <c r="AQ477" s="2">
        <v>0</v>
      </c>
      <c r="AR477" s="2">
        <v>2</v>
      </c>
      <c r="AS477" s="2">
        <v>0</v>
      </c>
      <c r="AT477" s="2">
        <v>0</v>
      </c>
      <c r="AU477" s="2">
        <v>0</v>
      </c>
      <c r="AV477" s="2">
        <v>6</v>
      </c>
      <c r="AW477" s="2">
        <v>0</v>
      </c>
      <c r="AX477" s="2">
        <v>0</v>
      </c>
      <c r="AZ477" s="2">
        <v>14.5</v>
      </c>
      <c r="BA477" s="2">
        <v>27.9</v>
      </c>
      <c r="BB477" s="2">
        <v>564</v>
      </c>
      <c r="BC477" s="2">
        <v>65.5</v>
      </c>
      <c r="BD477" s="2">
        <v>1.3</v>
      </c>
      <c r="BE477" s="2">
        <v>189</v>
      </c>
      <c r="BF477" s="2">
        <v>8.8000000000000007</v>
      </c>
      <c r="BG477" s="2">
        <v>167</v>
      </c>
      <c r="BH477" s="2">
        <v>21.9</v>
      </c>
      <c r="BI477" s="2">
        <v>16.3</v>
      </c>
      <c r="BJ477" s="2">
        <v>38.200000000000003</v>
      </c>
      <c r="BK477" s="2">
        <v>1.02</v>
      </c>
      <c r="BL477" s="2">
        <v>7.4</v>
      </c>
      <c r="BM477" s="2">
        <v>2.1</v>
      </c>
      <c r="BN477" s="2">
        <v>7.4</v>
      </c>
      <c r="BO477" s="2">
        <v>4.8</v>
      </c>
      <c r="BP477" s="2">
        <f t="shared" si="14"/>
        <v>13.657546533320565</v>
      </c>
      <c r="BQ477" s="2">
        <f t="shared" si="15"/>
        <v>27.101942216026416</v>
      </c>
    </row>
    <row r="478" spans="1:69" x14ac:dyDescent="0.2">
      <c r="A478" s="2" t="s">
        <v>1947</v>
      </c>
      <c r="B478" s="2" t="s">
        <v>47</v>
      </c>
      <c r="C478" s="2" t="s">
        <v>1935</v>
      </c>
      <c r="D478" s="2" t="s">
        <v>49</v>
      </c>
      <c r="E478" s="2" t="s">
        <v>1948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89</v>
      </c>
      <c r="L478" s="6" t="s">
        <v>141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1949</v>
      </c>
      <c r="R478" s="2">
        <v>3741496.5989999999</v>
      </c>
      <c r="S478" s="2">
        <v>0</v>
      </c>
      <c r="T478" s="2" t="s">
        <v>439</v>
      </c>
      <c r="U478" s="2" t="s">
        <v>440</v>
      </c>
      <c r="V478" s="2" t="s">
        <v>56</v>
      </c>
      <c r="W478" s="2" t="s">
        <v>441</v>
      </c>
      <c r="X478" s="2" t="s">
        <v>442</v>
      </c>
      <c r="Y478" s="2">
        <v>1.06955571791098</v>
      </c>
      <c r="Z478" s="2">
        <v>1069.5557179109801</v>
      </c>
      <c r="AA478" s="2">
        <v>4.5958333333333297</v>
      </c>
      <c r="AB478" s="2">
        <v>-74.148499999999999</v>
      </c>
      <c r="AC478" s="2">
        <v>2563</v>
      </c>
      <c r="AD478" s="2">
        <v>3</v>
      </c>
      <c r="AE478" s="2" t="s">
        <v>59</v>
      </c>
      <c r="AF478" s="2" t="s">
        <v>79</v>
      </c>
      <c r="AG478" s="2" t="s">
        <v>61</v>
      </c>
      <c r="AH478" s="2" t="s">
        <v>62</v>
      </c>
      <c r="AI478" s="2" t="s">
        <v>1950</v>
      </c>
      <c r="AJ478" s="2">
        <v>0.97986442047340705</v>
      </c>
      <c r="AK478" s="2">
        <v>3.2850937779736502</v>
      </c>
      <c r="AL478" s="2">
        <v>1.21768965413387</v>
      </c>
      <c r="AM478" s="2">
        <v>0.73007174658396701</v>
      </c>
      <c r="AN478" s="2">
        <v>1.6072556253571599</v>
      </c>
      <c r="AO478" s="2">
        <v>7.9466528075080103E-3</v>
      </c>
      <c r="AP478" s="2">
        <v>7.9466528075080103E-3</v>
      </c>
      <c r="AQ478" s="2">
        <v>0</v>
      </c>
      <c r="AR478" s="2">
        <v>1</v>
      </c>
      <c r="AS478" s="2">
        <v>0</v>
      </c>
      <c r="AT478" s="2">
        <v>0</v>
      </c>
      <c r="AU478" s="2">
        <v>0</v>
      </c>
      <c r="AV478" s="2">
        <v>14</v>
      </c>
      <c r="AW478" s="2">
        <v>0</v>
      </c>
      <c r="AX478" s="2">
        <v>0</v>
      </c>
      <c r="AZ478" s="2">
        <v>14.5</v>
      </c>
      <c r="BA478" s="2">
        <v>27.9</v>
      </c>
      <c r="BB478" s="2">
        <v>564</v>
      </c>
      <c r="BC478" s="2">
        <v>65.5</v>
      </c>
      <c r="BD478" s="2">
        <v>1.3</v>
      </c>
      <c r="BE478" s="2">
        <v>189</v>
      </c>
      <c r="BF478" s="2">
        <v>8.8000000000000007</v>
      </c>
      <c r="BG478" s="2">
        <v>167</v>
      </c>
      <c r="BH478" s="2">
        <v>21.9</v>
      </c>
      <c r="BI478" s="2">
        <v>16.3</v>
      </c>
      <c r="BJ478" s="2">
        <v>38.200000000000003</v>
      </c>
      <c r="BK478" s="2">
        <v>1.02</v>
      </c>
      <c r="BL478" s="2">
        <v>7.4</v>
      </c>
      <c r="BM478" s="2">
        <v>2.1</v>
      </c>
      <c r="BN478" s="2">
        <v>7.4</v>
      </c>
      <c r="BO478" s="2">
        <v>4.8</v>
      </c>
      <c r="BP478" s="2">
        <f t="shared" si="14"/>
        <v>13.752293928891797</v>
      </c>
      <c r="BQ478" s="2">
        <f t="shared" si="15"/>
        <v>27.192939206245047</v>
      </c>
    </row>
    <row r="479" spans="1:69" x14ac:dyDescent="0.2">
      <c r="A479" s="2" t="s">
        <v>2766</v>
      </c>
      <c r="B479" s="2" t="s">
        <v>47</v>
      </c>
      <c r="C479" s="2" t="s">
        <v>1935</v>
      </c>
      <c r="D479" s="2" t="s">
        <v>49</v>
      </c>
      <c r="E479" s="2" t="s">
        <v>2767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89</v>
      </c>
      <c r="L479" s="6" t="s">
        <v>90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2768</v>
      </c>
      <c r="R479" s="2">
        <v>8391608.3920000009</v>
      </c>
      <c r="S479" s="2">
        <v>0</v>
      </c>
      <c r="T479" s="2" t="s">
        <v>439</v>
      </c>
      <c r="U479" s="2" t="s">
        <v>440</v>
      </c>
      <c r="V479" s="2" t="s">
        <v>56</v>
      </c>
      <c r="W479" s="2" t="s">
        <v>441</v>
      </c>
      <c r="X479" s="2" t="s">
        <v>442</v>
      </c>
      <c r="Y479" s="2">
        <v>1.55874836410323</v>
      </c>
      <c r="Z479" s="2">
        <v>1558.74836410323</v>
      </c>
      <c r="AA479" s="2">
        <v>4.5958333333333297</v>
      </c>
      <c r="AB479" s="2">
        <v>-74.148499999999999</v>
      </c>
      <c r="AC479" s="2">
        <v>2563</v>
      </c>
      <c r="AD479" s="2">
        <v>3</v>
      </c>
      <c r="AE479" s="2" t="s">
        <v>59</v>
      </c>
      <c r="AF479" s="2" t="s">
        <v>79</v>
      </c>
      <c r="AG479" s="2" t="s">
        <v>61</v>
      </c>
      <c r="AH479" s="2" t="s">
        <v>62</v>
      </c>
      <c r="AI479" s="2" t="s">
        <v>267</v>
      </c>
      <c r="AJ479" s="2">
        <v>4.8901564534738498E-2</v>
      </c>
      <c r="AK479" s="2">
        <v>5.0276675815629499</v>
      </c>
      <c r="AL479" s="2">
        <v>0.53178529368613303</v>
      </c>
      <c r="AM479" s="2">
        <v>7.7400407290946396E-2</v>
      </c>
      <c r="AN479" s="2">
        <v>0.95883733491544498</v>
      </c>
      <c r="AO479" s="2">
        <v>0.198885297845206</v>
      </c>
      <c r="AP479" s="2">
        <v>0.198885297845206</v>
      </c>
      <c r="AQ479" s="2">
        <v>1</v>
      </c>
      <c r="AR479" s="2">
        <v>3</v>
      </c>
      <c r="AS479" s="2">
        <v>0</v>
      </c>
      <c r="AT479" s="2">
        <v>0</v>
      </c>
      <c r="AU479" s="2">
        <v>1</v>
      </c>
      <c r="AV479" s="2">
        <v>25</v>
      </c>
      <c r="AW479" s="2">
        <v>1</v>
      </c>
      <c r="AX479" s="2">
        <v>0</v>
      </c>
      <c r="AZ479" s="2">
        <v>14.5</v>
      </c>
      <c r="BA479" s="2">
        <v>27.9</v>
      </c>
      <c r="BB479" s="2">
        <v>564</v>
      </c>
      <c r="BC479" s="2">
        <v>65.5</v>
      </c>
      <c r="BD479" s="2">
        <v>1.3</v>
      </c>
      <c r="BE479" s="2">
        <v>189</v>
      </c>
      <c r="BF479" s="2">
        <v>8.8000000000000007</v>
      </c>
      <c r="BG479" s="2">
        <v>167</v>
      </c>
      <c r="BH479" s="2">
        <v>21.9</v>
      </c>
      <c r="BI479" s="2">
        <v>16.3</v>
      </c>
      <c r="BJ479" s="2">
        <v>38.200000000000003</v>
      </c>
      <c r="BK479" s="2">
        <v>1.02</v>
      </c>
      <c r="BL479" s="2">
        <v>7.4</v>
      </c>
      <c r="BM479" s="2">
        <v>2.1</v>
      </c>
      <c r="BN479" s="2">
        <v>7.4</v>
      </c>
      <c r="BO479" s="2">
        <v>4.8</v>
      </c>
      <c r="BP479" s="2">
        <f t="shared" si="14"/>
        <v>13.423281240272026</v>
      </c>
      <c r="BQ479" s="2">
        <f t="shared" si="15"/>
        <v>26.875543999607995</v>
      </c>
    </row>
    <row r="480" spans="1:69" x14ac:dyDescent="0.2">
      <c r="A480" s="2" t="s">
        <v>2242</v>
      </c>
      <c r="B480" s="2" t="s">
        <v>47</v>
      </c>
      <c r="C480" s="2" t="s">
        <v>1935</v>
      </c>
      <c r="D480" s="2" t="s">
        <v>49</v>
      </c>
      <c r="E480" s="2" t="s">
        <v>2243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89</v>
      </c>
      <c r="L480" s="6" t="s">
        <v>94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2244</v>
      </c>
      <c r="R480" s="2">
        <v>5214285.7139999997</v>
      </c>
      <c r="S480" s="2">
        <v>0</v>
      </c>
      <c r="T480" s="2" t="s">
        <v>441</v>
      </c>
      <c r="U480" s="2" t="s">
        <v>628</v>
      </c>
      <c r="V480" s="2" t="s">
        <v>56</v>
      </c>
      <c r="W480" s="2" t="s">
        <v>441</v>
      </c>
      <c r="X480" s="2" t="s">
        <v>629</v>
      </c>
      <c r="Y480" s="2">
        <v>2.3817579616470499</v>
      </c>
      <c r="Z480" s="2">
        <v>2381.7579616470498</v>
      </c>
      <c r="AA480" s="2">
        <v>4.6250499999999999</v>
      </c>
      <c r="AB480" s="2">
        <v>-74.161333333333303</v>
      </c>
      <c r="AC480" s="2">
        <v>2580</v>
      </c>
      <c r="AD480" s="2">
        <v>3</v>
      </c>
      <c r="AE480" s="2" t="s">
        <v>59</v>
      </c>
      <c r="AF480" s="2" t="s">
        <v>86</v>
      </c>
      <c r="AG480" s="2" t="s">
        <v>61</v>
      </c>
      <c r="AH480" s="2" t="s">
        <v>62</v>
      </c>
      <c r="AI480" s="2" t="s">
        <v>200</v>
      </c>
      <c r="AJ480" s="2">
        <v>0.456223195849634</v>
      </c>
      <c r="AK480" s="2">
        <v>4.13303183269299</v>
      </c>
      <c r="AL480" s="2">
        <v>2.4751969636792501</v>
      </c>
      <c r="AM480" s="2">
        <v>0.149521918134498</v>
      </c>
      <c r="AN480" s="2">
        <v>2.3245282409077301</v>
      </c>
      <c r="AO480" s="2">
        <v>0.12788879213631099</v>
      </c>
      <c r="AP480" s="2">
        <v>0.12788879213631099</v>
      </c>
      <c r="AQ480" s="2">
        <v>1</v>
      </c>
      <c r="AR480" s="2">
        <v>3</v>
      </c>
      <c r="AS480" s="2">
        <v>0</v>
      </c>
      <c r="AT480" s="2">
        <v>0</v>
      </c>
      <c r="AU480" s="2">
        <v>0</v>
      </c>
      <c r="AV480" s="2">
        <v>39</v>
      </c>
      <c r="AW480" s="2">
        <v>0</v>
      </c>
      <c r="AX480" s="2">
        <v>0</v>
      </c>
      <c r="AZ480" s="2">
        <v>14.5</v>
      </c>
      <c r="BA480" s="2">
        <v>27.9</v>
      </c>
      <c r="BB480" s="2">
        <v>564</v>
      </c>
      <c r="BC480" s="2">
        <v>65.5</v>
      </c>
      <c r="BD480" s="2">
        <v>1.3</v>
      </c>
      <c r="BE480" s="2">
        <v>189</v>
      </c>
      <c r="BF480" s="2">
        <v>8.8000000000000007</v>
      </c>
      <c r="BG480" s="2">
        <v>167</v>
      </c>
      <c r="BH480" s="2">
        <v>21.9</v>
      </c>
      <c r="BI480" s="2">
        <v>16.3</v>
      </c>
      <c r="BJ480" s="2">
        <v>38.200000000000003</v>
      </c>
      <c r="BK480" s="2">
        <v>1.02</v>
      </c>
      <c r="BL480" s="2">
        <v>7.4</v>
      </c>
      <c r="BM480" s="2">
        <v>2.1</v>
      </c>
      <c r="BN480" s="2">
        <v>7.4</v>
      </c>
      <c r="BO480" s="2">
        <v>4.8</v>
      </c>
      <c r="BP480" s="2">
        <f t="shared" si="14"/>
        <v>12.887419852653732</v>
      </c>
      <c r="BQ480" s="2">
        <f t="shared" si="15"/>
        <v>26.349900469925025</v>
      </c>
    </row>
    <row r="481" spans="1:69" x14ac:dyDescent="0.2">
      <c r="A481" s="2" t="s">
        <v>3130</v>
      </c>
      <c r="B481" s="2" t="s">
        <v>47</v>
      </c>
      <c r="C481" s="2" t="s">
        <v>1935</v>
      </c>
      <c r="D481" s="2" t="s">
        <v>49</v>
      </c>
      <c r="E481" s="2" t="s">
        <v>2591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89</v>
      </c>
      <c r="L481" s="6" t="s">
        <v>103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3131</v>
      </c>
      <c r="R481" s="2">
        <v>5970149.2539999997</v>
      </c>
      <c r="S481" s="2">
        <v>0</v>
      </c>
      <c r="T481" s="2" t="s">
        <v>441</v>
      </c>
      <c r="U481" s="2" t="s">
        <v>628</v>
      </c>
      <c r="V481" s="2" t="s">
        <v>56</v>
      </c>
      <c r="W481" s="2" t="s">
        <v>441</v>
      </c>
      <c r="X481" s="2" t="s">
        <v>629</v>
      </c>
      <c r="Y481" s="2">
        <v>2.30673127800278</v>
      </c>
      <c r="Z481" s="2">
        <v>2306.7312780027801</v>
      </c>
      <c r="AA481" s="2">
        <v>4.6250499999999999</v>
      </c>
      <c r="AB481" s="2">
        <v>-74.161333333333303</v>
      </c>
      <c r="AC481" s="2">
        <v>2580</v>
      </c>
      <c r="AD481" s="2">
        <v>3</v>
      </c>
      <c r="AE481" s="2" t="s">
        <v>59</v>
      </c>
      <c r="AF481" s="2" t="s">
        <v>86</v>
      </c>
      <c r="AG481" s="2" t="s">
        <v>61</v>
      </c>
      <c r="AH481" s="2" t="s">
        <v>62</v>
      </c>
      <c r="AI481" s="2" t="s">
        <v>200</v>
      </c>
      <c r="AJ481" s="2">
        <v>0.80122787852753896</v>
      </c>
      <c r="AK481" s="2">
        <v>2.7192321113570901</v>
      </c>
      <c r="AL481" s="2">
        <v>2.56922033672803</v>
      </c>
      <c r="AM481" s="2">
        <v>0.35983872689649599</v>
      </c>
      <c r="AN481" s="2">
        <v>2.6115374991356299</v>
      </c>
      <c r="AO481" s="2">
        <v>5.4132061991807298E-2</v>
      </c>
      <c r="AP481" s="2">
        <v>5.4132061991807298E-2</v>
      </c>
      <c r="AQ481" s="2">
        <v>0</v>
      </c>
      <c r="AR481" s="2">
        <v>3</v>
      </c>
      <c r="AS481" s="2">
        <v>0</v>
      </c>
      <c r="AT481" s="2">
        <v>0</v>
      </c>
      <c r="AU481" s="2">
        <v>0</v>
      </c>
      <c r="AV481" s="2">
        <v>15</v>
      </c>
      <c r="AW481" s="2">
        <v>0</v>
      </c>
      <c r="AX481" s="2">
        <v>0</v>
      </c>
      <c r="AZ481" s="2">
        <v>14.5</v>
      </c>
      <c r="BA481" s="2">
        <v>27.9</v>
      </c>
      <c r="BB481" s="2">
        <v>564</v>
      </c>
      <c r="BC481" s="2">
        <v>65.5</v>
      </c>
      <c r="BD481" s="2">
        <v>1.3</v>
      </c>
      <c r="BE481" s="2">
        <v>189</v>
      </c>
      <c r="BF481" s="2">
        <v>8.8000000000000007</v>
      </c>
      <c r="BG481" s="2">
        <v>167</v>
      </c>
      <c r="BH481" s="2">
        <v>21.9</v>
      </c>
      <c r="BI481" s="2">
        <v>16.3</v>
      </c>
      <c r="BJ481" s="2">
        <v>38.200000000000003</v>
      </c>
      <c r="BK481" s="2">
        <v>1.02</v>
      </c>
      <c r="BL481" s="2">
        <v>7.4</v>
      </c>
      <c r="BM481" s="2">
        <v>2.1</v>
      </c>
      <c r="BN481" s="2">
        <v>7.4</v>
      </c>
      <c r="BO481" s="2">
        <v>4.8</v>
      </c>
      <c r="BP481" s="2">
        <f t="shared" si="14"/>
        <v>12.935370405850261</v>
      </c>
      <c r="BQ481" s="2">
        <f t="shared" si="15"/>
        <v>26.397389908313357</v>
      </c>
    </row>
    <row r="482" spans="1:69" x14ac:dyDescent="0.2">
      <c r="A482" s="2" t="s">
        <v>3154</v>
      </c>
      <c r="B482" s="2" t="s">
        <v>47</v>
      </c>
      <c r="C482" s="2" t="s">
        <v>1935</v>
      </c>
      <c r="D482" s="2" t="s">
        <v>49</v>
      </c>
      <c r="E482" s="2" t="s">
        <v>3155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89</v>
      </c>
      <c r="L482" s="6" t="s">
        <v>141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3156</v>
      </c>
      <c r="R482" s="2">
        <v>6306306.3059999999</v>
      </c>
      <c r="S482" s="2">
        <v>0</v>
      </c>
      <c r="T482" s="2" t="s">
        <v>441</v>
      </c>
      <c r="U482" s="2" t="s">
        <v>628</v>
      </c>
      <c r="V482" s="2" t="s">
        <v>56</v>
      </c>
      <c r="W482" s="2" t="s">
        <v>441</v>
      </c>
      <c r="X482" s="2" t="s">
        <v>629</v>
      </c>
      <c r="Y482" s="2">
        <v>0.80304205882053603</v>
      </c>
      <c r="Z482" s="2">
        <v>803.042058820536</v>
      </c>
      <c r="AA482" s="2">
        <v>4.6250499999999999</v>
      </c>
      <c r="AB482" s="2">
        <v>-74.161333333333303</v>
      </c>
      <c r="AC482" s="2">
        <v>2580</v>
      </c>
      <c r="AD482" s="2">
        <v>3</v>
      </c>
      <c r="AE482" s="2" t="s">
        <v>59</v>
      </c>
      <c r="AF482" s="2" t="s">
        <v>86</v>
      </c>
      <c r="AG482" s="2" t="s">
        <v>61</v>
      </c>
      <c r="AH482" s="2" t="s">
        <v>62</v>
      </c>
      <c r="AI482" s="2" t="s">
        <v>200</v>
      </c>
      <c r="AJ482" s="2">
        <v>1.3097175230675999</v>
      </c>
      <c r="AK482" s="2">
        <v>3.5103380492553802</v>
      </c>
      <c r="AL482" s="2">
        <v>4.26271058771467</v>
      </c>
      <c r="AM482" s="2">
        <v>0.32688440951111197</v>
      </c>
      <c r="AN482" s="2">
        <v>0.73680119262502997</v>
      </c>
      <c r="AO482" s="2">
        <v>0.198557919184534</v>
      </c>
      <c r="AP482" s="2">
        <v>0.198557919184534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12</v>
      </c>
      <c r="AW482" s="2">
        <v>1</v>
      </c>
      <c r="AX482" s="2">
        <v>0</v>
      </c>
      <c r="AZ482" s="2">
        <v>14.5</v>
      </c>
      <c r="BA482" s="2">
        <v>27.9</v>
      </c>
      <c r="BB482" s="2">
        <v>564</v>
      </c>
      <c r="BC482" s="2">
        <v>65.5</v>
      </c>
      <c r="BD482" s="2">
        <v>1.3</v>
      </c>
      <c r="BE482" s="2">
        <v>189</v>
      </c>
      <c r="BF482" s="2">
        <v>8.8000000000000007</v>
      </c>
      <c r="BG482" s="2">
        <v>167</v>
      </c>
      <c r="BH482" s="2">
        <v>21.9</v>
      </c>
      <c r="BI482" s="2">
        <v>16.3</v>
      </c>
      <c r="BJ482" s="2">
        <v>38.200000000000003</v>
      </c>
      <c r="BK482" s="2">
        <v>1.02</v>
      </c>
      <c r="BL482" s="2">
        <v>7.4</v>
      </c>
      <c r="BM482" s="2">
        <v>2.1</v>
      </c>
      <c r="BN482" s="2">
        <v>7.4</v>
      </c>
      <c r="BO482" s="2">
        <v>4.8</v>
      </c>
      <c r="BP482" s="2">
        <f t="shared" si="14"/>
        <v>13.934922055924231</v>
      </c>
      <c r="BQ482" s="2">
        <f t="shared" si="15"/>
        <v>27.367431620171324</v>
      </c>
    </row>
    <row r="483" spans="1:69" x14ac:dyDescent="0.2">
      <c r="A483" s="2" t="s">
        <v>3003</v>
      </c>
      <c r="B483" s="2" t="s">
        <v>47</v>
      </c>
      <c r="C483" s="2" t="s">
        <v>1935</v>
      </c>
      <c r="D483" s="2" t="s">
        <v>49</v>
      </c>
      <c r="E483" s="2" t="s">
        <v>3004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89</v>
      </c>
      <c r="L483" s="6" t="s">
        <v>94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3005</v>
      </c>
      <c r="R483" s="2">
        <v>7000000</v>
      </c>
      <c r="S483" s="2">
        <v>0</v>
      </c>
      <c r="T483" s="2" t="s">
        <v>441</v>
      </c>
      <c r="U483" s="2" t="s">
        <v>628</v>
      </c>
      <c r="V483" s="2" t="s">
        <v>56</v>
      </c>
      <c r="W483" s="2" t="s">
        <v>441</v>
      </c>
      <c r="X483" s="2" t="s">
        <v>629</v>
      </c>
      <c r="Y483" s="2">
        <v>2.4555453705886201</v>
      </c>
      <c r="Z483" s="2">
        <v>2455.5453705886198</v>
      </c>
      <c r="AA483" s="2">
        <v>4.6250499999999999</v>
      </c>
      <c r="AB483" s="2">
        <v>-74.161333333333303</v>
      </c>
      <c r="AC483" s="2">
        <v>2580</v>
      </c>
      <c r="AD483" s="2">
        <v>3</v>
      </c>
      <c r="AE483" s="2" t="s">
        <v>59</v>
      </c>
      <c r="AF483" s="2" t="s">
        <v>86</v>
      </c>
      <c r="AG483" s="2" t="s">
        <v>61</v>
      </c>
      <c r="AH483" s="2" t="s">
        <v>62</v>
      </c>
      <c r="AI483" s="2" t="s">
        <v>200</v>
      </c>
      <c r="AJ483" s="2">
        <v>0.97506207013188795</v>
      </c>
      <c r="AK483" s="2">
        <v>4.6096804467836598</v>
      </c>
      <c r="AL483" s="2">
        <v>2.7862313242894001</v>
      </c>
      <c r="AM483" s="2">
        <v>0.32690477767002202</v>
      </c>
      <c r="AN483" s="2">
        <v>2.2587965351936599</v>
      </c>
      <c r="AO483" s="2">
        <v>0.37116599050842097</v>
      </c>
      <c r="AP483" s="2">
        <v>0.37116599050842097</v>
      </c>
      <c r="AQ483" s="2">
        <v>0</v>
      </c>
      <c r="AR483" s="2">
        <v>1</v>
      </c>
      <c r="AS483" s="2">
        <v>0</v>
      </c>
      <c r="AT483" s="2">
        <v>0</v>
      </c>
      <c r="AU483" s="2">
        <v>0</v>
      </c>
      <c r="AV483" s="2">
        <v>51</v>
      </c>
      <c r="AW483" s="2">
        <v>0</v>
      </c>
      <c r="AX483" s="2">
        <v>0</v>
      </c>
      <c r="AZ483" s="2">
        <v>14.5</v>
      </c>
      <c r="BA483" s="2">
        <v>27.9</v>
      </c>
      <c r="BB483" s="2">
        <v>564</v>
      </c>
      <c r="BC483" s="2">
        <v>65.5</v>
      </c>
      <c r="BD483" s="2">
        <v>1.3</v>
      </c>
      <c r="BE483" s="2">
        <v>189</v>
      </c>
      <c r="BF483" s="2">
        <v>8.8000000000000007</v>
      </c>
      <c r="BG483" s="2">
        <v>167</v>
      </c>
      <c r="BH483" s="2">
        <v>21.9</v>
      </c>
      <c r="BI483" s="2">
        <v>16.3</v>
      </c>
      <c r="BJ483" s="2">
        <v>38.200000000000003</v>
      </c>
      <c r="BK483" s="2">
        <v>1.02</v>
      </c>
      <c r="BL483" s="2">
        <v>7.4</v>
      </c>
      <c r="BM483" s="2">
        <v>2.1</v>
      </c>
      <c r="BN483" s="2">
        <v>7.4</v>
      </c>
      <c r="BO483" s="2">
        <v>4.8</v>
      </c>
      <c r="BP483" s="2">
        <f t="shared" si="14"/>
        <v>12.840434709674783</v>
      </c>
      <c r="BQ483" s="2">
        <f t="shared" si="15"/>
        <v>26.303278782074639</v>
      </c>
    </row>
    <row r="484" spans="1:69" x14ac:dyDescent="0.2">
      <c r="A484" s="2" t="s">
        <v>2812</v>
      </c>
      <c r="B484" s="2" t="s">
        <v>47</v>
      </c>
      <c r="C484" s="2" t="s">
        <v>1935</v>
      </c>
      <c r="D484" s="2" t="s">
        <v>49</v>
      </c>
      <c r="E484" s="2" t="s">
        <v>2813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89</v>
      </c>
      <c r="L484" s="6" t="s">
        <v>141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2814</v>
      </c>
      <c r="R484" s="2">
        <v>4613733.9060000004</v>
      </c>
      <c r="S484" s="2">
        <v>0</v>
      </c>
      <c r="T484" s="2" t="s">
        <v>439</v>
      </c>
      <c r="U484" s="2" t="s">
        <v>440</v>
      </c>
      <c r="V484" s="2" t="s">
        <v>56</v>
      </c>
      <c r="W484" s="2" t="s">
        <v>441</v>
      </c>
      <c r="X484" s="2" t="s">
        <v>442</v>
      </c>
      <c r="Y484" s="2">
        <v>0.60685453267989797</v>
      </c>
      <c r="Z484" s="2">
        <v>606.85453267989806</v>
      </c>
      <c r="AA484" s="2">
        <v>4.5958333333333297</v>
      </c>
      <c r="AB484" s="2">
        <v>-74.148499999999999</v>
      </c>
      <c r="AC484" s="2">
        <v>2563</v>
      </c>
      <c r="AD484" s="2">
        <v>3</v>
      </c>
      <c r="AE484" s="2" t="s">
        <v>59</v>
      </c>
      <c r="AF484" s="2" t="s">
        <v>79</v>
      </c>
      <c r="AG484" s="2" t="s">
        <v>61</v>
      </c>
      <c r="AH484" s="2" t="s">
        <v>62</v>
      </c>
      <c r="AI484" s="2" t="s">
        <v>1950</v>
      </c>
      <c r="AJ484" s="2">
        <v>0.53222787736935595</v>
      </c>
      <c r="AK484" s="2">
        <v>3.4892114607826001</v>
      </c>
      <c r="AL484" s="2">
        <v>1.0813020283378201</v>
      </c>
      <c r="AM484" s="2">
        <v>0.690107326857893</v>
      </c>
      <c r="AN484" s="2">
        <v>1.73407399843087</v>
      </c>
      <c r="AO484" s="2">
        <v>3.8706095215883703E-2</v>
      </c>
      <c r="AP484" s="2">
        <v>3.8706095215883703E-2</v>
      </c>
      <c r="AQ484" s="2">
        <v>0</v>
      </c>
      <c r="AR484" s="2">
        <v>2</v>
      </c>
      <c r="AS484" s="2">
        <v>0</v>
      </c>
      <c r="AT484" s="2">
        <v>0</v>
      </c>
      <c r="AU484" s="2">
        <v>0</v>
      </c>
      <c r="AV484" s="2">
        <v>10</v>
      </c>
      <c r="AW484" s="2">
        <v>0</v>
      </c>
      <c r="AX484" s="2">
        <v>0</v>
      </c>
      <c r="AZ484" s="2">
        <v>14.5</v>
      </c>
      <c r="BA484" s="2">
        <v>27.9</v>
      </c>
      <c r="BB484" s="2">
        <v>564</v>
      </c>
      <c r="BC484" s="2">
        <v>65.5</v>
      </c>
      <c r="BD484" s="2">
        <v>1.3</v>
      </c>
      <c r="BE484" s="2">
        <v>189</v>
      </c>
      <c r="BF484" s="2">
        <v>8.8000000000000007</v>
      </c>
      <c r="BG484" s="2">
        <v>167</v>
      </c>
      <c r="BH484" s="2">
        <v>21.9</v>
      </c>
      <c r="BI484" s="2">
        <v>16.3</v>
      </c>
      <c r="BJ484" s="2">
        <v>38.200000000000003</v>
      </c>
      <c r="BK484" s="2">
        <v>1.02</v>
      </c>
      <c r="BL484" s="2">
        <v>7.4</v>
      </c>
      <c r="BM484" s="2">
        <v>2.1</v>
      </c>
      <c r="BN484" s="2">
        <v>7.4</v>
      </c>
      <c r="BO484" s="2">
        <v>4.8</v>
      </c>
      <c r="BP484" s="2">
        <f t="shared" si="14"/>
        <v>14.070907247830217</v>
      </c>
      <c r="BQ484" s="2">
        <f t="shared" si="15"/>
        <v>27.496595033501819</v>
      </c>
    </row>
    <row r="485" spans="1:69" x14ac:dyDescent="0.2">
      <c r="A485" s="2" t="s">
        <v>625</v>
      </c>
      <c r="B485" s="2" t="s">
        <v>47</v>
      </c>
      <c r="C485" s="2" t="s">
        <v>48</v>
      </c>
      <c r="D485" s="2" t="s">
        <v>49</v>
      </c>
      <c r="E485" s="2" t="s">
        <v>626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89</v>
      </c>
      <c r="L485" s="6" t="s">
        <v>141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627</v>
      </c>
      <c r="R485" s="2">
        <v>3187500</v>
      </c>
      <c r="S485" s="2">
        <v>0</v>
      </c>
      <c r="T485" s="2" t="s">
        <v>441</v>
      </c>
      <c r="U485" s="2" t="s">
        <v>628</v>
      </c>
      <c r="V485" s="2" t="s">
        <v>56</v>
      </c>
      <c r="W485" s="2" t="s">
        <v>441</v>
      </c>
      <c r="X485" s="2" t="s">
        <v>629</v>
      </c>
      <c r="Y485" s="2">
        <v>2.33960267832824</v>
      </c>
      <c r="Z485" s="2">
        <v>2339.60267832824</v>
      </c>
      <c r="AA485" s="2">
        <v>4.6250499999999999</v>
      </c>
      <c r="AB485" s="2">
        <v>-74.161333333333303</v>
      </c>
      <c r="AC485" s="2">
        <v>2580</v>
      </c>
      <c r="AD485" s="2">
        <v>3</v>
      </c>
      <c r="AE485" s="2" t="s">
        <v>59</v>
      </c>
      <c r="AF485" s="2" t="s">
        <v>86</v>
      </c>
      <c r="AG485" s="2" t="s">
        <v>61</v>
      </c>
      <c r="AH485" s="2" t="s">
        <v>62</v>
      </c>
      <c r="AI485" s="2" t="s">
        <v>200</v>
      </c>
      <c r="AJ485" s="2">
        <v>1.8398516154334099</v>
      </c>
      <c r="AK485" s="2">
        <v>3.6324562136967198</v>
      </c>
      <c r="AL485" s="2">
        <v>4.9932710914957701</v>
      </c>
      <c r="AM485" s="2">
        <v>0.11633278345114</v>
      </c>
      <c r="AN485" s="2">
        <v>1.70408752463367</v>
      </c>
      <c r="AO485" s="2">
        <v>3.9487245835878098E-3</v>
      </c>
      <c r="AP485" s="2">
        <v>3.9487245835878098E-3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15</v>
      </c>
      <c r="AW485" s="2">
        <v>0</v>
      </c>
      <c r="AX485" s="2">
        <v>0</v>
      </c>
      <c r="AZ485" s="2">
        <v>14.5</v>
      </c>
      <c r="BA485" s="2">
        <v>27.9</v>
      </c>
      <c r="BB485" s="2">
        <v>564</v>
      </c>
      <c r="BC485" s="2">
        <v>65.5</v>
      </c>
      <c r="BD485" s="2">
        <v>1.3</v>
      </c>
      <c r="BE485" s="2">
        <v>189</v>
      </c>
      <c r="BF485" s="2">
        <v>8.8000000000000007</v>
      </c>
      <c r="BG485" s="2">
        <v>167</v>
      </c>
      <c r="BH485" s="2">
        <v>21.9</v>
      </c>
      <c r="BI485" s="2">
        <v>16.3</v>
      </c>
      <c r="BJ485" s="2">
        <v>38.200000000000003</v>
      </c>
      <c r="BK485" s="2">
        <v>1.02</v>
      </c>
      <c r="BL485" s="2">
        <v>7.4</v>
      </c>
      <c r="BM485" s="2">
        <v>2.1</v>
      </c>
      <c r="BN485" s="2">
        <v>7.4</v>
      </c>
      <c r="BO485" s="2">
        <v>4.8</v>
      </c>
      <c r="BP485" s="2">
        <f t="shared" si="14"/>
        <v>12.914339935111579</v>
      </c>
      <c r="BQ485" s="2">
        <f t="shared" si="15"/>
        <v>26.376572860709746</v>
      </c>
    </row>
    <row r="486" spans="1:69" x14ac:dyDescent="0.2">
      <c r="A486" s="2" t="s">
        <v>2148</v>
      </c>
      <c r="B486" s="2" t="s">
        <v>47</v>
      </c>
      <c r="C486" s="2" t="s">
        <v>1935</v>
      </c>
      <c r="D486" s="2" t="s">
        <v>49</v>
      </c>
      <c r="E486" s="2" t="s">
        <v>2149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89</v>
      </c>
      <c r="L486" s="6" t="s">
        <v>141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2150</v>
      </c>
      <c r="R486" s="2">
        <v>6397435.8969999999</v>
      </c>
      <c r="S486" s="2">
        <v>0</v>
      </c>
      <c r="T486" s="2" t="s">
        <v>441</v>
      </c>
      <c r="U486" s="2" t="s">
        <v>628</v>
      </c>
      <c r="V486" s="2" t="s">
        <v>56</v>
      </c>
      <c r="W486" s="2" t="s">
        <v>441</v>
      </c>
      <c r="X486" s="2" t="s">
        <v>629</v>
      </c>
      <c r="Y486" s="2">
        <v>3.042566245353</v>
      </c>
      <c r="Z486" s="2">
        <v>3042.5662453529999</v>
      </c>
      <c r="AA486" s="2">
        <v>4.6250499999999999</v>
      </c>
      <c r="AB486" s="2">
        <v>-74.161333333333303</v>
      </c>
      <c r="AC486" s="2">
        <v>2580</v>
      </c>
      <c r="AD486" s="2">
        <v>3</v>
      </c>
      <c r="AE486" s="2" t="s">
        <v>59</v>
      </c>
      <c r="AF486" s="2" t="s">
        <v>86</v>
      </c>
      <c r="AG486" s="2" t="s">
        <v>61</v>
      </c>
      <c r="AH486" s="2" t="s">
        <v>62</v>
      </c>
      <c r="AI486" s="2" t="s">
        <v>200</v>
      </c>
      <c r="AJ486" s="2">
        <v>2.0574928838727198</v>
      </c>
      <c r="AK486" s="2">
        <v>0.48260876349065501</v>
      </c>
      <c r="AL486" s="2">
        <v>5.3978663409003902</v>
      </c>
      <c r="AM486" s="2">
        <v>0.676081961732792</v>
      </c>
      <c r="AN486" s="2">
        <v>3.4695470188079698</v>
      </c>
      <c r="AO486" s="2">
        <v>9.9842638214025295E-2</v>
      </c>
      <c r="AP486" s="2">
        <v>9.9842638214025295E-2</v>
      </c>
      <c r="AQ486" s="2">
        <v>0</v>
      </c>
      <c r="AR486" s="2">
        <v>0</v>
      </c>
      <c r="AS486" s="2">
        <v>3</v>
      </c>
      <c r="AT486" s="2">
        <v>11</v>
      </c>
      <c r="AU486" s="2">
        <v>0</v>
      </c>
      <c r="AV486" s="2">
        <v>1</v>
      </c>
      <c r="AW486" s="2">
        <v>0</v>
      </c>
      <c r="AX486" s="2">
        <v>0</v>
      </c>
      <c r="AZ486" s="2">
        <v>14.5</v>
      </c>
      <c r="BA486" s="2">
        <v>27.9</v>
      </c>
      <c r="BB486" s="2">
        <v>564</v>
      </c>
      <c r="BC486" s="2">
        <v>65.5</v>
      </c>
      <c r="BD486" s="2">
        <v>1.3</v>
      </c>
      <c r="BE486" s="2">
        <v>189</v>
      </c>
      <c r="BF486" s="2">
        <v>8.8000000000000007</v>
      </c>
      <c r="BG486" s="2">
        <v>167</v>
      </c>
      <c r="BH486" s="2">
        <v>21.9</v>
      </c>
      <c r="BI486" s="2">
        <v>16.3</v>
      </c>
      <c r="BJ486" s="2">
        <v>38.200000000000003</v>
      </c>
      <c r="BK486" s="2">
        <v>1.02</v>
      </c>
      <c r="BL486" s="2">
        <v>7.4</v>
      </c>
      <c r="BM486" s="2">
        <v>2.1</v>
      </c>
      <c r="BN486" s="2">
        <v>7.4</v>
      </c>
      <c r="BO486" s="2">
        <v>4.8</v>
      </c>
      <c r="BP486" s="2">
        <f t="shared" si="14"/>
        <v>12.472692072098122</v>
      </c>
      <c r="BQ486" s="2">
        <f t="shared" si="15"/>
        <v>25.935303211371224</v>
      </c>
    </row>
    <row r="487" spans="1:69" x14ac:dyDescent="0.2">
      <c r="A487" s="2" t="s">
        <v>1892</v>
      </c>
      <c r="B487" s="2" t="s">
        <v>47</v>
      </c>
      <c r="C487" s="2" t="s">
        <v>48</v>
      </c>
      <c r="D487" s="2" t="s">
        <v>49</v>
      </c>
      <c r="E487" s="2" t="s">
        <v>1132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89</v>
      </c>
      <c r="L487" s="6" t="s">
        <v>103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1893</v>
      </c>
      <c r="R487" s="2">
        <v>6567164.1789999995</v>
      </c>
      <c r="S487" s="2">
        <v>0</v>
      </c>
      <c r="T487" s="2" t="s">
        <v>441</v>
      </c>
      <c r="U487" s="2" t="s">
        <v>628</v>
      </c>
      <c r="V487" s="2" t="s">
        <v>56</v>
      </c>
      <c r="W487" s="2" t="s">
        <v>441</v>
      </c>
      <c r="X487" s="2" t="s">
        <v>629</v>
      </c>
      <c r="Y487" s="2">
        <v>2.4609363423924702</v>
      </c>
      <c r="Z487" s="2">
        <v>2460.9363423924701</v>
      </c>
      <c r="AA487" s="2">
        <v>4.6250499999999999</v>
      </c>
      <c r="AB487" s="2">
        <v>-74.161333333333303</v>
      </c>
      <c r="AC487" s="2">
        <v>2580</v>
      </c>
      <c r="AD487" s="2">
        <v>3</v>
      </c>
      <c r="AE487" s="2" t="s">
        <v>59</v>
      </c>
      <c r="AF487" s="2" t="s">
        <v>86</v>
      </c>
      <c r="AG487" s="2" t="s">
        <v>61</v>
      </c>
      <c r="AH487" s="2" t="s">
        <v>62</v>
      </c>
      <c r="AI487" s="2" t="s">
        <v>200</v>
      </c>
      <c r="AJ487" s="2">
        <v>1.0102877444744001</v>
      </c>
      <c r="AK487" s="2">
        <v>2.5332608015620699</v>
      </c>
      <c r="AL487" s="2">
        <v>2.5533747743431698</v>
      </c>
      <c r="AM487" s="2">
        <v>0.25075407471969802</v>
      </c>
      <c r="AN487" s="2">
        <v>2.7955700556865102</v>
      </c>
      <c r="AO487" s="2">
        <v>1.20068688997917E-2</v>
      </c>
      <c r="AP487" s="2">
        <v>1.20068688997917E-2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10</v>
      </c>
      <c r="AW487" s="2">
        <v>0</v>
      </c>
      <c r="AX487" s="2">
        <v>0</v>
      </c>
      <c r="AZ487" s="2">
        <v>14.5</v>
      </c>
      <c r="BA487" s="2">
        <v>27.9</v>
      </c>
      <c r="BB487" s="2">
        <v>564</v>
      </c>
      <c r="BC487" s="2">
        <v>65.5</v>
      </c>
      <c r="BD487" s="2">
        <v>1.3</v>
      </c>
      <c r="BE487" s="2">
        <v>189</v>
      </c>
      <c r="BF487" s="2">
        <v>8.8000000000000007</v>
      </c>
      <c r="BG487" s="2">
        <v>167</v>
      </c>
      <c r="BH487" s="2">
        <v>21.9</v>
      </c>
      <c r="BI487" s="2">
        <v>16.3</v>
      </c>
      <c r="BJ487" s="2">
        <v>38.200000000000003</v>
      </c>
      <c r="BK487" s="2">
        <v>1.02</v>
      </c>
      <c r="BL487" s="2">
        <v>7.4</v>
      </c>
      <c r="BM487" s="2">
        <v>2.1</v>
      </c>
      <c r="BN487" s="2">
        <v>7.4</v>
      </c>
      <c r="BO487" s="2">
        <v>4.8</v>
      </c>
      <c r="BP487" s="2">
        <f t="shared" si="14"/>
        <v>12.837008656958799</v>
      </c>
      <c r="BQ487" s="2">
        <f t="shared" si="15"/>
        <v>26.29987579660186</v>
      </c>
    </row>
    <row r="488" spans="1:69" x14ac:dyDescent="0.2">
      <c r="A488" s="2" t="s">
        <v>2967</v>
      </c>
      <c r="B488" s="2" t="s">
        <v>47</v>
      </c>
      <c r="C488" s="2" t="s">
        <v>1935</v>
      </c>
      <c r="D488" s="2" t="s">
        <v>49</v>
      </c>
      <c r="E488" s="2" t="s">
        <v>2968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89</v>
      </c>
      <c r="L488" s="6" t="s">
        <v>94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2969</v>
      </c>
      <c r="R488" s="2">
        <v>5979073.2439999999</v>
      </c>
      <c r="S488" s="2">
        <v>0</v>
      </c>
      <c r="T488" s="2" t="s">
        <v>441</v>
      </c>
      <c r="U488" s="2" t="s">
        <v>628</v>
      </c>
      <c r="V488" s="2" t="s">
        <v>56</v>
      </c>
      <c r="W488" s="2" t="s">
        <v>441</v>
      </c>
      <c r="X488" s="2" t="s">
        <v>629</v>
      </c>
      <c r="Y488" s="2">
        <v>2.96511861375591</v>
      </c>
      <c r="Z488" s="2">
        <v>2965.1186137559098</v>
      </c>
      <c r="AA488" s="2">
        <v>4.6250499999999999</v>
      </c>
      <c r="AB488" s="2">
        <v>-74.161333333333303</v>
      </c>
      <c r="AC488" s="2">
        <v>2580</v>
      </c>
      <c r="AD488" s="2">
        <v>3</v>
      </c>
      <c r="AE488" s="2" t="s">
        <v>59</v>
      </c>
      <c r="AF488" s="2" t="s">
        <v>86</v>
      </c>
      <c r="AG488" s="2" t="s">
        <v>61</v>
      </c>
      <c r="AH488" s="2" t="s">
        <v>62</v>
      </c>
      <c r="AI488" s="2" t="s">
        <v>347</v>
      </c>
      <c r="AJ488" s="2">
        <v>0.86462917127385597</v>
      </c>
      <c r="AK488" s="2">
        <v>3.4717994806609802</v>
      </c>
      <c r="AL488" s="2">
        <v>4.3746910814725801</v>
      </c>
      <c r="AM488" s="2">
        <v>0.57305573173958102</v>
      </c>
      <c r="AN488" s="2">
        <v>1.1592644683670399</v>
      </c>
      <c r="AO488" s="2">
        <v>0.15143418648503901</v>
      </c>
      <c r="AP488" s="2">
        <v>0.15143418648503901</v>
      </c>
      <c r="AQ488" s="2">
        <v>0</v>
      </c>
      <c r="AR488" s="2">
        <v>1</v>
      </c>
      <c r="AS488" s="2">
        <v>0</v>
      </c>
      <c r="AT488" s="2">
        <v>0</v>
      </c>
      <c r="AU488" s="2">
        <v>0</v>
      </c>
      <c r="AV488" s="2">
        <v>14</v>
      </c>
      <c r="AW488" s="2">
        <v>0</v>
      </c>
      <c r="AX488" s="2">
        <v>0</v>
      </c>
      <c r="AZ488" s="2">
        <v>14.5</v>
      </c>
      <c r="BA488" s="2">
        <v>27.9</v>
      </c>
      <c r="BB488" s="2">
        <v>564</v>
      </c>
      <c r="BC488" s="2">
        <v>65.5</v>
      </c>
      <c r="BD488" s="2">
        <v>1.3</v>
      </c>
      <c r="BE488" s="2">
        <v>189</v>
      </c>
      <c r="BF488" s="2">
        <v>8.8000000000000007</v>
      </c>
      <c r="BG488" s="2">
        <v>167</v>
      </c>
      <c r="BH488" s="2">
        <v>21.9</v>
      </c>
      <c r="BI488" s="2">
        <v>16.3</v>
      </c>
      <c r="BJ488" s="2">
        <v>38.200000000000003</v>
      </c>
      <c r="BK488" s="2">
        <v>1.02</v>
      </c>
      <c r="BL488" s="2">
        <v>7.4</v>
      </c>
      <c r="BM488" s="2">
        <v>2.1</v>
      </c>
      <c r="BN488" s="2">
        <v>7.4</v>
      </c>
      <c r="BO488" s="2">
        <v>4.8</v>
      </c>
      <c r="BP488" s="2">
        <f t="shared" si="14"/>
        <v>12.520599877288864</v>
      </c>
      <c r="BQ488" s="2">
        <f t="shared" si="15"/>
        <v>25.98355510882449</v>
      </c>
    </row>
    <row r="489" spans="1:69" x14ac:dyDescent="0.2">
      <c r="A489" s="2" t="s">
        <v>1131</v>
      </c>
      <c r="B489" s="2" t="s">
        <v>47</v>
      </c>
      <c r="C489" s="2" t="s">
        <v>48</v>
      </c>
      <c r="D489" s="2" t="s">
        <v>49</v>
      </c>
      <c r="E489" s="2" t="s">
        <v>1132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89</v>
      </c>
      <c r="L489" s="6" t="s">
        <v>112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1133</v>
      </c>
      <c r="R489" s="2">
        <v>6666666.6670000004</v>
      </c>
      <c r="S489" s="2">
        <v>0</v>
      </c>
      <c r="T489" s="2" t="s">
        <v>441</v>
      </c>
      <c r="U489" s="2" t="s">
        <v>628</v>
      </c>
      <c r="V489" s="2" t="s">
        <v>56</v>
      </c>
      <c r="W489" s="2" t="s">
        <v>441</v>
      </c>
      <c r="X489" s="2" t="s">
        <v>629</v>
      </c>
      <c r="Y489" s="2">
        <v>2.4609363423924702</v>
      </c>
      <c r="Z489" s="2">
        <v>2460.9363423924701</v>
      </c>
      <c r="AA489" s="2">
        <v>4.6250499999999999</v>
      </c>
      <c r="AB489" s="2">
        <v>-74.161333333333303</v>
      </c>
      <c r="AC489" s="2">
        <v>2580</v>
      </c>
      <c r="AD489" s="2">
        <v>3</v>
      </c>
      <c r="AE489" s="2" t="s">
        <v>59</v>
      </c>
      <c r="AF489" s="2" t="s">
        <v>86</v>
      </c>
      <c r="AG489" s="2" t="s">
        <v>61</v>
      </c>
      <c r="AH489" s="2" t="s">
        <v>62</v>
      </c>
      <c r="AI489" s="2" t="s">
        <v>200</v>
      </c>
      <c r="AJ489" s="2">
        <v>1.0102877444744001</v>
      </c>
      <c r="AK489" s="2">
        <v>2.5332608015620699</v>
      </c>
      <c r="AL489" s="2">
        <v>2.5533747743431698</v>
      </c>
      <c r="AM489" s="2">
        <v>0.25075407471969802</v>
      </c>
      <c r="AN489" s="2">
        <v>2.7955700556865102</v>
      </c>
      <c r="AO489" s="2">
        <v>1.20068688997917E-2</v>
      </c>
      <c r="AP489" s="2">
        <v>1.20068688997917E-2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10</v>
      </c>
      <c r="AW489" s="2">
        <v>0</v>
      </c>
      <c r="AX489" s="2">
        <v>0</v>
      </c>
      <c r="AZ489" s="2">
        <v>14.5</v>
      </c>
      <c r="BA489" s="2">
        <v>27.9</v>
      </c>
      <c r="BB489" s="2">
        <v>564</v>
      </c>
      <c r="BC489" s="2">
        <v>65.5</v>
      </c>
      <c r="BD489" s="2">
        <v>1.3</v>
      </c>
      <c r="BE489" s="2">
        <v>189</v>
      </c>
      <c r="BF489" s="2">
        <v>8.8000000000000007</v>
      </c>
      <c r="BG489" s="2">
        <v>167</v>
      </c>
      <c r="BH489" s="2">
        <v>21.9</v>
      </c>
      <c r="BI489" s="2">
        <v>16.3</v>
      </c>
      <c r="BJ489" s="2">
        <v>38.200000000000003</v>
      </c>
      <c r="BK489" s="2">
        <v>1.02</v>
      </c>
      <c r="BL489" s="2">
        <v>7.4</v>
      </c>
      <c r="BM489" s="2">
        <v>2.1</v>
      </c>
      <c r="BN489" s="2">
        <v>7.4</v>
      </c>
      <c r="BO489" s="2">
        <v>4.8</v>
      </c>
      <c r="BP489" s="2">
        <f t="shared" si="14"/>
        <v>12.837008656958799</v>
      </c>
      <c r="BQ489" s="2">
        <f t="shared" si="15"/>
        <v>26.29987579660186</v>
      </c>
    </row>
    <row r="490" spans="1:69" x14ac:dyDescent="0.2">
      <c r="A490" s="2" t="s">
        <v>1248</v>
      </c>
      <c r="B490" s="2" t="s">
        <v>47</v>
      </c>
      <c r="C490" s="2" t="s">
        <v>48</v>
      </c>
      <c r="D490" s="2" t="s">
        <v>49</v>
      </c>
      <c r="E490" s="2" t="s">
        <v>437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89</v>
      </c>
      <c r="L490" s="6" t="s">
        <v>141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1249</v>
      </c>
      <c r="R490" s="2">
        <v>4150769.2310000001</v>
      </c>
      <c r="S490" s="2">
        <v>0</v>
      </c>
      <c r="T490" s="2" t="s">
        <v>439</v>
      </c>
      <c r="U490" s="2" t="s">
        <v>440</v>
      </c>
      <c r="V490" s="2" t="s">
        <v>56</v>
      </c>
      <c r="W490" s="2" t="s">
        <v>441</v>
      </c>
      <c r="X490" s="2" t="s">
        <v>442</v>
      </c>
      <c r="Y490" s="2">
        <v>0.95812146365717199</v>
      </c>
      <c r="Z490" s="2">
        <v>958.12146365717194</v>
      </c>
      <c r="AA490" s="2">
        <v>4.5958333333333297</v>
      </c>
      <c r="AB490" s="2">
        <v>-74.148499999999999</v>
      </c>
      <c r="AC490" s="2">
        <v>2563</v>
      </c>
      <c r="AD490" s="2">
        <v>3</v>
      </c>
      <c r="AE490" s="2" t="s">
        <v>59</v>
      </c>
      <c r="AF490" s="2" t="s">
        <v>79</v>
      </c>
      <c r="AG490" s="2" t="s">
        <v>61</v>
      </c>
      <c r="AH490" s="2" t="s">
        <v>62</v>
      </c>
      <c r="AI490" s="2" t="s">
        <v>443</v>
      </c>
      <c r="AJ490" s="2">
        <v>8.5472112065983694E-2</v>
      </c>
      <c r="AK490" s="2">
        <v>3.2268534187114901</v>
      </c>
      <c r="AL490" s="2">
        <v>2.0520318250217802</v>
      </c>
      <c r="AM490" s="2">
        <v>3.05193296636126E-2</v>
      </c>
      <c r="AN490" s="2">
        <v>2.1646082366621999</v>
      </c>
      <c r="AO490" s="2">
        <v>0.104004529862885</v>
      </c>
      <c r="AP490" s="2">
        <v>0.104004529862885</v>
      </c>
      <c r="AQ490" s="2">
        <v>1</v>
      </c>
      <c r="AR490" s="2">
        <v>2</v>
      </c>
      <c r="AS490" s="2">
        <v>0</v>
      </c>
      <c r="AT490" s="2">
        <v>0</v>
      </c>
      <c r="AU490" s="2">
        <v>0</v>
      </c>
      <c r="AV490" s="2">
        <v>4</v>
      </c>
      <c r="AW490" s="2">
        <v>0</v>
      </c>
      <c r="AX490" s="2">
        <v>0</v>
      </c>
      <c r="AZ490" s="2">
        <v>14.5</v>
      </c>
      <c r="BA490" s="2">
        <v>27.9</v>
      </c>
      <c r="BB490" s="2">
        <v>564</v>
      </c>
      <c r="BC490" s="2">
        <v>65.5</v>
      </c>
      <c r="BD490" s="2">
        <v>1.3</v>
      </c>
      <c r="BE490" s="2">
        <v>189</v>
      </c>
      <c r="BF490" s="2">
        <v>8.8000000000000007</v>
      </c>
      <c r="BG490" s="2">
        <v>167</v>
      </c>
      <c r="BH490" s="2">
        <v>21.9</v>
      </c>
      <c r="BI490" s="2">
        <v>16.3</v>
      </c>
      <c r="BJ490" s="2">
        <v>38.200000000000003</v>
      </c>
      <c r="BK490" s="2">
        <v>1.02</v>
      </c>
      <c r="BL490" s="2">
        <v>7.4</v>
      </c>
      <c r="BM490" s="2">
        <v>2.1</v>
      </c>
      <c r="BN490" s="2">
        <v>7.4</v>
      </c>
      <c r="BO490" s="2">
        <v>4.8</v>
      </c>
      <c r="BP490" s="2">
        <f t="shared" si="14"/>
        <v>13.828361121775426</v>
      </c>
      <c r="BQ490" s="2">
        <f t="shared" si="15"/>
        <v>27.265761939837599</v>
      </c>
    </row>
    <row r="491" spans="1:69" x14ac:dyDescent="0.2">
      <c r="A491" s="2" t="s">
        <v>436</v>
      </c>
      <c r="B491" s="2" t="s">
        <v>47</v>
      </c>
      <c r="C491" s="2" t="s">
        <v>48</v>
      </c>
      <c r="D491" s="2" t="s">
        <v>49</v>
      </c>
      <c r="E491" s="2" t="s">
        <v>437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89</v>
      </c>
      <c r="L491" s="6" t="s">
        <v>112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438</v>
      </c>
      <c r="R491" s="2">
        <v>6015625</v>
      </c>
      <c r="S491" s="2">
        <v>0</v>
      </c>
      <c r="T491" s="2" t="s">
        <v>439</v>
      </c>
      <c r="U491" s="2" t="s">
        <v>440</v>
      </c>
      <c r="V491" s="2" t="s">
        <v>56</v>
      </c>
      <c r="W491" s="2" t="s">
        <v>441</v>
      </c>
      <c r="X491" s="2" t="s">
        <v>442</v>
      </c>
      <c r="Y491" s="2">
        <v>0.88321448978875905</v>
      </c>
      <c r="Z491" s="2">
        <v>883.21448978875901</v>
      </c>
      <c r="AA491" s="2">
        <v>4.5958333333333297</v>
      </c>
      <c r="AB491" s="2">
        <v>-74.148499999999999</v>
      </c>
      <c r="AC491" s="2">
        <v>2563</v>
      </c>
      <c r="AD491" s="2">
        <v>3</v>
      </c>
      <c r="AE491" s="2" t="s">
        <v>59</v>
      </c>
      <c r="AF491" s="2" t="s">
        <v>79</v>
      </c>
      <c r="AG491" s="2" t="s">
        <v>61</v>
      </c>
      <c r="AH491" s="2" t="s">
        <v>62</v>
      </c>
      <c r="AI491" s="2" t="s">
        <v>443</v>
      </c>
      <c r="AJ491" s="2">
        <v>0.33282779167633902</v>
      </c>
      <c r="AK491" s="2">
        <v>3.1039567293966601</v>
      </c>
      <c r="AL491" s="2">
        <v>1.91075001642386</v>
      </c>
      <c r="AM491" s="2">
        <v>0.27811700589799299</v>
      </c>
      <c r="AN491" s="2">
        <v>1.99904995616013</v>
      </c>
      <c r="AO491" s="2">
        <v>0.19620586444628099</v>
      </c>
      <c r="AP491" s="2">
        <v>0.19620586444628099</v>
      </c>
      <c r="AQ491" s="2">
        <v>1</v>
      </c>
      <c r="AR491" s="2">
        <v>2</v>
      </c>
      <c r="AS491" s="2">
        <v>0</v>
      </c>
      <c r="AT491" s="2">
        <v>0</v>
      </c>
      <c r="AU491" s="2">
        <v>0</v>
      </c>
      <c r="AV491" s="2">
        <v>3</v>
      </c>
      <c r="AW491" s="2">
        <v>0</v>
      </c>
      <c r="AX491" s="2">
        <v>0</v>
      </c>
      <c r="AZ491" s="2">
        <v>14.5</v>
      </c>
      <c r="BA491" s="2">
        <v>27.9</v>
      </c>
      <c r="BB491" s="2">
        <v>564</v>
      </c>
      <c r="BC491" s="2">
        <v>65.5</v>
      </c>
      <c r="BD491" s="2">
        <v>1.3</v>
      </c>
      <c r="BE491" s="2">
        <v>189</v>
      </c>
      <c r="BF491" s="2">
        <v>8.8000000000000007</v>
      </c>
      <c r="BG491" s="2">
        <v>167</v>
      </c>
      <c r="BH491" s="2">
        <v>21.9</v>
      </c>
      <c r="BI491" s="2">
        <v>16.3</v>
      </c>
      <c r="BJ491" s="2">
        <v>38.200000000000003</v>
      </c>
      <c r="BK491" s="2">
        <v>1.02</v>
      </c>
      <c r="BL491" s="2">
        <v>7.4</v>
      </c>
      <c r="BM491" s="2">
        <v>2.1</v>
      </c>
      <c r="BN491" s="2">
        <v>7.4</v>
      </c>
      <c r="BO491" s="2">
        <v>4.8</v>
      </c>
      <c r="BP491" s="2">
        <f t="shared" si="14"/>
        <v>13.879730412812265</v>
      </c>
      <c r="BQ491" s="2">
        <f t="shared" si="15"/>
        <v>27.314823524493004</v>
      </c>
    </row>
    <row r="492" spans="1:69" x14ac:dyDescent="0.2">
      <c r="A492" s="2" t="s">
        <v>1152</v>
      </c>
      <c r="B492" s="2" t="s">
        <v>47</v>
      </c>
      <c r="C492" s="2" t="s">
        <v>48</v>
      </c>
      <c r="D492" s="2" t="s">
        <v>49</v>
      </c>
      <c r="E492" s="2" t="s">
        <v>1153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89</v>
      </c>
      <c r="L492" s="6" t="s">
        <v>141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1154</v>
      </c>
      <c r="R492" s="2">
        <v>5322580.6449999996</v>
      </c>
      <c r="S492" s="2">
        <v>0</v>
      </c>
      <c r="T492" s="2" t="s">
        <v>441</v>
      </c>
      <c r="U492" s="2" t="s">
        <v>628</v>
      </c>
      <c r="V492" s="2" t="s">
        <v>56</v>
      </c>
      <c r="W492" s="2" t="s">
        <v>441</v>
      </c>
      <c r="X492" s="2" t="s">
        <v>629</v>
      </c>
      <c r="Y492" s="2">
        <v>1.6880013408468399</v>
      </c>
      <c r="Z492" s="2">
        <v>1688.0013408468401</v>
      </c>
      <c r="AA492" s="2">
        <v>4.6250499999999999</v>
      </c>
      <c r="AB492" s="2">
        <v>-74.161333333333303</v>
      </c>
      <c r="AC492" s="2">
        <v>2580</v>
      </c>
      <c r="AD492" s="2">
        <v>3</v>
      </c>
      <c r="AE492" s="2" t="s">
        <v>59</v>
      </c>
      <c r="AF492" s="2" t="s">
        <v>86</v>
      </c>
      <c r="AG492" s="2" t="s">
        <v>61</v>
      </c>
      <c r="AH492" s="2" t="s">
        <v>62</v>
      </c>
      <c r="AI492" s="2" t="s">
        <v>200</v>
      </c>
      <c r="AJ492" s="2">
        <v>0.52847811022324298</v>
      </c>
      <c r="AK492" s="2">
        <v>2.1858507639799498</v>
      </c>
      <c r="AL492" s="2">
        <v>3.5728104275829899</v>
      </c>
      <c r="AM492" s="2">
        <v>0.51076873376831</v>
      </c>
      <c r="AN492" s="2">
        <v>2.1822243201049001</v>
      </c>
      <c r="AO492" s="2">
        <v>0.127724702319996</v>
      </c>
      <c r="AP492" s="2">
        <v>0.127724702319996</v>
      </c>
      <c r="AQ492" s="2">
        <v>0</v>
      </c>
      <c r="AR492" s="2">
        <v>2</v>
      </c>
      <c r="AS492" s="2">
        <v>0</v>
      </c>
      <c r="AT492" s="2">
        <v>0</v>
      </c>
      <c r="AU492" s="2">
        <v>0</v>
      </c>
      <c r="AV492" s="2">
        <v>8</v>
      </c>
      <c r="AW492" s="2">
        <v>0</v>
      </c>
      <c r="AX492" s="2">
        <v>0</v>
      </c>
      <c r="AZ492" s="2">
        <v>14.5</v>
      </c>
      <c r="BA492" s="2">
        <v>27.9</v>
      </c>
      <c r="BB492" s="2">
        <v>564</v>
      </c>
      <c r="BC492" s="2">
        <v>65.5</v>
      </c>
      <c r="BD492" s="2">
        <v>1.3</v>
      </c>
      <c r="BE492" s="2">
        <v>189</v>
      </c>
      <c r="BF492" s="2">
        <v>8.8000000000000007</v>
      </c>
      <c r="BG492" s="2">
        <v>167</v>
      </c>
      <c r="BH492" s="2">
        <v>21.9</v>
      </c>
      <c r="BI492" s="2">
        <v>16.3</v>
      </c>
      <c r="BJ492" s="2">
        <v>38.200000000000003</v>
      </c>
      <c r="BK492" s="2">
        <v>1.02</v>
      </c>
      <c r="BL492" s="2">
        <v>7.4</v>
      </c>
      <c r="BM492" s="2">
        <v>2.1</v>
      </c>
      <c r="BN492" s="2">
        <v>7.4</v>
      </c>
      <c r="BO492" s="2">
        <v>4.8</v>
      </c>
      <c r="BP492" s="2">
        <f t="shared" si="14"/>
        <v>13.337672940837834</v>
      </c>
      <c r="BQ492" s="2">
        <f t="shared" si="15"/>
        <v>26.792303318104185</v>
      </c>
    </row>
    <row r="493" spans="1:69" x14ac:dyDescent="0.2">
      <c r="A493" s="2" t="s">
        <v>1157</v>
      </c>
      <c r="B493" s="2" t="s">
        <v>47</v>
      </c>
      <c r="C493" s="2" t="s">
        <v>48</v>
      </c>
      <c r="D493" s="2" t="s">
        <v>49</v>
      </c>
      <c r="E493" s="2" t="s">
        <v>1153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89</v>
      </c>
      <c r="L493" s="6" t="s">
        <v>103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1158</v>
      </c>
      <c r="R493" s="2">
        <v>5314516.1289999997</v>
      </c>
      <c r="S493" s="2">
        <v>0</v>
      </c>
      <c r="T493" s="2" t="s">
        <v>441</v>
      </c>
      <c r="U493" s="2" t="s">
        <v>628</v>
      </c>
      <c r="V493" s="2" t="s">
        <v>56</v>
      </c>
      <c r="W493" s="2" t="s">
        <v>441</v>
      </c>
      <c r="X493" s="2" t="s">
        <v>629</v>
      </c>
      <c r="Y493" s="2">
        <v>1.70417875018545</v>
      </c>
      <c r="Z493" s="2">
        <v>1704.1787501854501</v>
      </c>
      <c r="AA493" s="2">
        <v>4.6250499999999999</v>
      </c>
      <c r="AB493" s="2">
        <v>-74.161333333333303</v>
      </c>
      <c r="AC493" s="2">
        <v>2580</v>
      </c>
      <c r="AD493" s="2">
        <v>3</v>
      </c>
      <c r="AE493" s="2" t="s">
        <v>59</v>
      </c>
      <c r="AF493" s="2" t="s">
        <v>86</v>
      </c>
      <c r="AG493" s="2" t="s">
        <v>61</v>
      </c>
      <c r="AH493" s="2" t="s">
        <v>62</v>
      </c>
      <c r="AI493" s="2" t="s">
        <v>200</v>
      </c>
      <c r="AJ493" s="2">
        <v>0.53242730835956598</v>
      </c>
      <c r="AK493" s="2">
        <v>2.1713973973529801</v>
      </c>
      <c r="AL493" s="2">
        <v>3.57072807507125</v>
      </c>
      <c r="AM493" s="2">
        <v>0.52352516365180701</v>
      </c>
      <c r="AN493" s="2">
        <v>2.1993230917619</v>
      </c>
      <c r="AO493" s="2">
        <v>0.141300467735548</v>
      </c>
      <c r="AP493" s="2">
        <v>0.141300467735548</v>
      </c>
      <c r="AQ493" s="2">
        <v>0</v>
      </c>
      <c r="AR493" s="2">
        <v>2</v>
      </c>
      <c r="AS493" s="2">
        <v>0</v>
      </c>
      <c r="AT493" s="2">
        <v>0</v>
      </c>
      <c r="AU493" s="2">
        <v>0</v>
      </c>
      <c r="AV493" s="2">
        <v>8</v>
      </c>
      <c r="AW493" s="2">
        <v>0</v>
      </c>
      <c r="AX493" s="2">
        <v>0</v>
      </c>
      <c r="AZ493" s="2">
        <v>14.5</v>
      </c>
      <c r="BA493" s="2">
        <v>27.9</v>
      </c>
      <c r="BB493" s="2">
        <v>564</v>
      </c>
      <c r="BC493" s="2">
        <v>65.5</v>
      </c>
      <c r="BD493" s="2">
        <v>1.3</v>
      </c>
      <c r="BE493" s="2">
        <v>189</v>
      </c>
      <c r="BF493" s="2">
        <v>8.8000000000000007</v>
      </c>
      <c r="BG493" s="2">
        <v>167</v>
      </c>
      <c r="BH493" s="2">
        <v>21.9</v>
      </c>
      <c r="BI493" s="2">
        <v>16.3</v>
      </c>
      <c r="BJ493" s="2">
        <v>38.200000000000003</v>
      </c>
      <c r="BK493" s="2">
        <v>1.02</v>
      </c>
      <c r="BL493" s="2">
        <v>7.4</v>
      </c>
      <c r="BM493" s="2">
        <v>2.1</v>
      </c>
      <c r="BN493" s="2">
        <v>7.4</v>
      </c>
      <c r="BO493" s="2">
        <v>4.8</v>
      </c>
      <c r="BP493" s="2">
        <f t="shared" si="14"/>
        <v>13.326996650855476</v>
      </c>
      <c r="BQ493" s="2">
        <f t="shared" si="15"/>
        <v>26.781903015844566</v>
      </c>
    </row>
    <row r="494" spans="1:69" x14ac:dyDescent="0.2">
      <c r="A494" s="2" t="s">
        <v>1110</v>
      </c>
      <c r="B494" s="2" t="s">
        <v>47</v>
      </c>
      <c r="C494" s="2" t="s">
        <v>48</v>
      </c>
      <c r="D494" s="2" t="s">
        <v>49</v>
      </c>
      <c r="E494" s="2" t="s">
        <v>1111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89</v>
      </c>
      <c r="L494" s="6" t="s">
        <v>94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1112</v>
      </c>
      <c r="R494" s="2">
        <v>4271186.4409999996</v>
      </c>
      <c r="S494" s="2">
        <v>0</v>
      </c>
      <c r="T494" s="2" t="s">
        <v>441</v>
      </c>
      <c r="U494" s="2" t="s">
        <v>628</v>
      </c>
      <c r="V494" s="2" t="s">
        <v>56</v>
      </c>
      <c r="W494" s="2" t="s">
        <v>441</v>
      </c>
      <c r="X494" s="2" t="s">
        <v>629</v>
      </c>
      <c r="Y494" s="2">
        <v>1.8441301949830899</v>
      </c>
      <c r="Z494" s="2">
        <v>1844.13019498309</v>
      </c>
      <c r="AA494" s="2">
        <v>4.6250499999999999</v>
      </c>
      <c r="AB494" s="2">
        <v>-74.161333333333303</v>
      </c>
      <c r="AC494" s="2">
        <v>2580</v>
      </c>
      <c r="AD494" s="2">
        <v>3</v>
      </c>
      <c r="AE494" s="2" t="s">
        <v>59</v>
      </c>
      <c r="AF494" s="2" t="s">
        <v>86</v>
      </c>
      <c r="AG494" s="2" t="s">
        <v>61</v>
      </c>
      <c r="AH494" s="2" t="s">
        <v>62</v>
      </c>
      <c r="AI494" s="2" t="s">
        <v>200</v>
      </c>
      <c r="AJ494" s="2">
        <v>1.40672742483381</v>
      </c>
      <c r="AK494" s="2">
        <v>4.3448153502231301</v>
      </c>
      <c r="AL494" s="2">
        <v>2.96456687320656</v>
      </c>
      <c r="AM494" s="2">
        <v>0.51942709086725103</v>
      </c>
      <c r="AN494" s="2">
        <v>1.2239017167925501</v>
      </c>
      <c r="AO494" s="2">
        <v>1.26679402295305E-2</v>
      </c>
      <c r="AP494" s="2">
        <v>1.26679402295305E-2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7</v>
      </c>
      <c r="AW494" s="2">
        <v>0</v>
      </c>
      <c r="AX494" s="2">
        <v>0</v>
      </c>
      <c r="AZ494" s="2">
        <v>14.5</v>
      </c>
      <c r="BA494" s="2">
        <v>27.9</v>
      </c>
      <c r="BB494" s="2">
        <v>564</v>
      </c>
      <c r="BC494" s="2">
        <v>65.5</v>
      </c>
      <c r="BD494" s="2">
        <v>1.3</v>
      </c>
      <c r="BE494" s="2">
        <v>189</v>
      </c>
      <c r="BF494" s="2">
        <v>8.8000000000000007</v>
      </c>
      <c r="BG494" s="2">
        <v>167</v>
      </c>
      <c r="BH494" s="2">
        <v>21.9</v>
      </c>
      <c r="BI494" s="2">
        <v>16.3</v>
      </c>
      <c r="BJ494" s="2">
        <v>38.200000000000003</v>
      </c>
      <c r="BK494" s="2">
        <v>1.02</v>
      </c>
      <c r="BL494" s="2">
        <v>7.4</v>
      </c>
      <c r="BM494" s="2">
        <v>2.1</v>
      </c>
      <c r="BN494" s="2">
        <v>7.4</v>
      </c>
      <c r="BO494" s="2">
        <v>4.8</v>
      </c>
      <c r="BP494" s="2">
        <f t="shared" si="14"/>
        <v>13.234991649985563</v>
      </c>
      <c r="BQ494" s="2">
        <f t="shared" si="15"/>
        <v>26.692097935966778</v>
      </c>
    </row>
    <row r="495" spans="1:69" x14ac:dyDescent="0.2">
      <c r="A495" s="2" t="s">
        <v>1461</v>
      </c>
      <c r="B495" s="2" t="s">
        <v>47</v>
      </c>
      <c r="C495" s="2" t="s">
        <v>48</v>
      </c>
      <c r="D495" s="2" t="s">
        <v>49</v>
      </c>
      <c r="E495" s="2" t="s">
        <v>1462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89</v>
      </c>
      <c r="L495" s="6" t="s">
        <v>103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1463</v>
      </c>
      <c r="R495" s="2">
        <v>5190311.4189999998</v>
      </c>
      <c r="S495" s="2">
        <v>0</v>
      </c>
      <c r="T495" s="2" t="s">
        <v>439</v>
      </c>
      <c r="U495" s="2" t="s">
        <v>440</v>
      </c>
      <c r="V495" s="2" t="s">
        <v>56</v>
      </c>
      <c r="W495" s="2" t="s">
        <v>441</v>
      </c>
      <c r="X495" s="2" t="s">
        <v>442</v>
      </c>
      <c r="Y495" s="2">
        <v>1.3350855459831501</v>
      </c>
      <c r="Z495" s="2">
        <v>1335.08554598315</v>
      </c>
      <c r="AA495" s="2">
        <v>4.5958333333333297</v>
      </c>
      <c r="AB495" s="2">
        <v>-74.148499999999999</v>
      </c>
      <c r="AC495" s="2">
        <v>2563</v>
      </c>
      <c r="AD495" s="2">
        <v>3</v>
      </c>
      <c r="AE495" s="2" t="s">
        <v>59</v>
      </c>
      <c r="AF495" s="2" t="s">
        <v>79</v>
      </c>
      <c r="AG495" s="2" t="s">
        <v>61</v>
      </c>
      <c r="AH495" s="2" t="s">
        <v>62</v>
      </c>
      <c r="AI495" s="2" t="s">
        <v>443</v>
      </c>
      <c r="AJ495" s="2">
        <v>0.96696402481113397</v>
      </c>
      <c r="AK495" s="2">
        <v>2.5400133528514601</v>
      </c>
      <c r="AL495" s="2">
        <v>2.1094157428463398</v>
      </c>
      <c r="AM495" s="2">
        <v>0.63225354933574995</v>
      </c>
      <c r="AN495" s="2">
        <v>1.3863755288345401</v>
      </c>
      <c r="AO495" s="2">
        <v>1.74512150729111E-2</v>
      </c>
      <c r="AP495" s="2">
        <v>1.74512150729111E-2</v>
      </c>
      <c r="AQ495" s="2">
        <v>0</v>
      </c>
      <c r="AR495" s="2">
        <v>1</v>
      </c>
      <c r="AS495" s="2">
        <v>0</v>
      </c>
      <c r="AT495" s="2">
        <v>0</v>
      </c>
      <c r="AU495" s="2">
        <v>0</v>
      </c>
      <c r="AV495" s="2">
        <v>14</v>
      </c>
      <c r="AW495" s="2">
        <v>0</v>
      </c>
      <c r="AX495" s="2">
        <v>0</v>
      </c>
      <c r="AZ495" s="2">
        <v>14.5</v>
      </c>
      <c r="BA495" s="2">
        <v>27.9</v>
      </c>
      <c r="BB495" s="2">
        <v>564</v>
      </c>
      <c r="BC495" s="2">
        <v>65.5</v>
      </c>
      <c r="BD495" s="2">
        <v>1.3</v>
      </c>
      <c r="BE495" s="2">
        <v>189</v>
      </c>
      <c r="BF495" s="2">
        <v>8.8000000000000007</v>
      </c>
      <c r="BG495" s="2">
        <v>167</v>
      </c>
      <c r="BH495" s="2">
        <v>21.9</v>
      </c>
      <c r="BI495" s="2">
        <v>16.3</v>
      </c>
      <c r="BJ495" s="2">
        <v>38.200000000000003</v>
      </c>
      <c r="BK495" s="2">
        <v>1.02</v>
      </c>
      <c r="BL495" s="2">
        <v>7.4</v>
      </c>
      <c r="BM495" s="2">
        <v>2.1</v>
      </c>
      <c r="BN495" s="2">
        <v>7.4</v>
      </c>
      <c r="BO495" s="2">
        <v>4.8</v>
      </c>
      <c r="BP495" s="2">
        <f t="shared" si="14"/>
        <v>13.572720257713701</v>
      </c>
      <c r="BQ495" s="2">
        <f t="shared" si="15"/>
        <v>27.02019733295954</v>
      </c>
    </row>
    <row r="496" spans="1:69" x14ac:dyDescent="0.2">
      <c r="A496" s="2" t="s">
        <v>1006</v>
      </c>
      <c r="B496" s="2" t="s">
        <v>47</v>
      </c>
      <c r="C496" s="2" t="s">
        <v>48</v>
      </c>
      <c r="D496" s="2" t="s">
        <v>49</v>
      </c>
      <c r="E496" s="2" t="s">
        <v>349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89</v>
      </c>
      <c r="L496" s="6" t="s">
        <v>103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1007</v>
      </c>
      <c r="R496" s="2">
        <v>4925925.926</v>
      </c>
      <c r="S496" s="2">
        <v>0</v>
      </c>
      <c r="T496" s="2" t="s">
        <v>441</v>
      </c>
      <c r="U496" s="2" t="s">
        <v>628</v>
      </c>
      <c r="V496" s="2" t="s">
        <v>56</v>
      </c>
      <c r="W496" s="2" t="s">
        <v>441</v>
      </c>
      <c r="X496" s="2" t="s">
        <v>629</v>
      </c>
      <c r="Y496" s="2">
        <v>2.34881510920283</v>
      </c>
      <c r="Z496" s="2">
        <v>2348.8151092028302</v>
      </c>
      <c r="AA496" s="2">
        <v>4.6250499999999999</v>
      </c>
      <c r="AB496" s="2">
        <v>-74.161333333333303</v>
      </c>
      <c r="AC496" s="2">
        <v>2580</v>
      </c>
      <c r="AD496" s="2">
        <v>3</v>
      </c>
      <c r="AE496" s="2" t="s">
        <v>59</v>
      </c>
      <c r="AF496" s="2" t="s">
        <v>86</v>
      </c>
      <c r="AG496" s="2" t="s">
        <v>61</v>
      </c>
      <c r="AH496" s="2" t="s">
        <v>62</v>
      </c>
      <c r="AI496" s="2" t="s">
        <v>200</v>
      </c>
      <c r="AJ496" s="2">
        <v>0.98828239475253199</v>
      </c>
      <c r="AK496" s="2">
        <v>2.0450261227931499</v>
      </c>
      <c r="AL496" s="2">
        <v>3.0625966857671401</v>
      </c>
      <c r="AM496" s="2">
        <v>0.78299434947311497</v>
      </c>
      <c r="AN496" s="2">
        <v>2.7427885288237102</v>
      </c>
      <c r="AO496" s="2">
        <v>0.33441648993280199</v>
      </c>
      <c r="AP496" s="2">
        <v>0.33441648993280199</v>
      </c>
      <c r="AQ496" s="2">
        <v>0</v>
      </c>
      <c r="AR496" s="2">
        <v>1</v>
      </c>
      <c r="AS496" s="2">
        <v>0</v>
      </c>
      <c r="AT496" s="2">
        <v>0</v>
      </c>
      <c r="AU496" s="2">
        <v>0</v>
      </c>
      <c r="AV496" s="2">
        <v>6</v>
      </c>
      <c r="AW496" s="2">
        <v>0</v>
      </c>
      <c r="AX496" s="2">
        <v>0</v>
      </c>
      <c r="AZ496" s="2">
        <v>14.5</v>
      </c>
      <c r="BA496" s="2">
        <v>27.9</v>
      </c>
      <c r="BB496" s="2">
        <v>564</v>
      </c>
      <c r="BC496" s="2">
        <v>65.5</v>
      </c>
      <c r="BD496" s="2">
        <v>1.3</v>
      </c>
      <c r="BE496" s="2">
        <v>189</v>
      </c>
      <c r="BF496" s="2">
        <v>8.8000000000000007</v>
      </c>
      <c r="BG496" s="2">
        <v>167</v>
      </c>
      <c r="BH496" s="2">
        <v>21.9</v>
      </c>
      <c r="BI496" s="2">
        <v>16.3</v>
      </c>
      <c r="BJ496" s="2">
        <v>38.200000000000003</v>
      </c>
      <c r="BK496" s="2">
        <v>1.02</v>
      </c>
      <c r="BL496" s="2">
        <v>7.4</v>
      </c>
      <c r="BM496" s="2">
        <v>2.1</v>
      </c>
      <c r="BN496" s="2">
        <v>7.4</v>
      </c>
      <c r="BO496" s="2">
        <v>4.8</v>
      </c>
      <c r="BP496" s="2">
        <f t="shared" si="14"/>
        <v>12.90845214071067</v>
      </c>
      <c r="BQ496" s="2">
        <f t="shared" si="15"/>
        <v>26.3707416888642</v>
      </c>
    </row>
    <row r="497" spans="1:69" x14ac:dyDescent="0.2">
      <c r="A497" s="2" t="s">
        <v>1134</v>
      </c>
      <c r="B497" s="2" t="s">
        <v>47</v>
      </c>
      <c r="C497" s="2" t="s">
        <v>48</v>
      </c>
      <c r="D497" s="2" t="s">
        <v>49</v>
      </c>
      <c r="E497" s="2" t="s">
        <v>349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89</v>
      </c>
      <c r="L497" s="6" t="s">
        <v>103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1135</v>
      </c>
      <c r="R497" s="2">
        <v>4814814.8150000004</v>
      </c>
      <c r="S497" s="2">
        <v>0</v>
      </c>
      <c r="T497" s="2" t="s">
        <v>441</v>
      </c>
      <c r="U497" s="2" t="s">
        <v>628</v>
      </c>
      <c r="V497" s="2" t="s">
        <v>56</v>
      </c>
      <c r="W497" s="2" t="s">
        <v>441</v>
      </c>
      <c r="X497" s="2" t="s">
        <v>629</v>
      </c>
      <c r="Y497" s="2">
        <v>2.34881510920283</v>
      </c>
      <c r="Z497" s="2">
        <v>2348.8151092028302</v>
      </c>
      <c r="AA497" s="2">
        <v>4.6250499999999999</v>
      </c>
      <c r="AB497" s="2">
        <v>-74.161333333333303</v>
      </c>
      <c r="AC497" s="2">
        <v>2580</v>
      </c>
      <c r="AD497" s="2">
        <v>3</v>
      </c>
      <c r="AE497" s="2" t="s">
        <v>59</v>
      </c>
      <c r="AF497" s="2" t="s">
        <v>86</v>
      </c>
      <c r="AG497" s="2" t="s">
        <v>61</v>
      </c>
      <c r="AH497" s="2" t="s">
        <v>62</v>
      </c>
      <c r="AI497" s="2" t="s">
        <v>200</v>
      </c>
      <c r="AJ497" s="2">
        <v>0.98828239475253199</v>
      </c>
      <c r="AK497" s="2">
        <v>2.0450261227931499</v>
      </c>
      <c r="AL497" s="2">
        <v>3.0625966857671401</v>
      </c>
      <c r="AM497" s="2">
        <v>0.78299434947311497</v>
      </c>
      <c r="AN497" s="2">
        <v>2.7427885288237102</v>
      </c>
      <c r="AO497" s="2">
        <v>0.33441648993280199</v>
      </c>
      <c r="AP497" s="2">
        <v>0.33441648993280199</v>
      </c>
      <c r="AQ497" s="2">
        <v>0</v>
      </c>
      <c r="AR497" s="2">
        <v>1</v>
      </c>
      <c r="AS497" s="2">
        <v>0</v>
      </c>
      <c r="AT497" s="2">
        <v>0</v>
      </c>
      <c r="AU497" s="2">
        <v>0</v>
      </c>
      <c r="AV497" s="2">
        <v>6</v>
      </c>
      <c r="AW497" s="2">
        <v>0</v>
      </c>
      <c r="AX497" s="2">
        <v>0</v>
      </c>
      <c r="AZ497" s="2">
        <v>14.5</v>
      </c>
      <c r="BA497" s="2">
        <v>27.9</v>
      </c>
      <c r="BB497" s="2">
        <v>564</v>
      </c>
      <c r="BC497" s="2">
        <v>65.5</v>
      </c>
      <c r="BD497" s="2">
        <v>1.3</v>
      </c>
      <c r="BE497" s="2">
        <v>189</v>
      </c>
      <c r="BF497" s="2">
        <v>8.8000000000000007</v>
      </c>
      <c r="BG497" s="2">
        <v>167</v>
      </c>
      <c r="BH497" s="2">
        <v>21.9</v>
      </c>
      <c r="BI497" s="2">
        <v>16.3</v>
      </c>
      <c r="BJ497" s="2">
        <v>38.200000000000003</v>
      </c>
      <c r="BK497" s="2">
        <v>1.02</v>
      </c>
      <c r="BL497" s="2">
        <v>7.4</v>
      </c>
      <c r="BM497" s="2">
        <v>2.1</v>
      </c>
      <c r="BN497" s="2">
        <v>7.4</v>
      </c>
      <c r="BO497" s="2">
        <v>4.8</v>
      </c>
      <c r="BP497" s="2">
        <f t="shared" si="14"/>
        <v>12.90845214071067</v>
      </c>
      <c r="BQ497" s="2">
        <f t="shared" si="15"/>
        <v>26.3707416888642</v>
      </c>
    </row>
    <row r="498" spans="1:69" x14ac:dyDescent="0.2">
      <c r="A498" s="2" t="s">
        <v>1304</v>
      </c>
      <c r="B498" s="2" t="s">
        <v>47</v>
      </c>
      <c r="C498" s="2" t="s">
        <v>48</v>
      </c>
      <c r="D498" s="2" t="s">
        <v>49</v>
      </c>
      <c r="E498" s="2" t="s">
        <v>1305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89</v>
      </c>
      <c r="L498" s="6" t="s">
        <v>103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1306</v>
      </c>
      <c r="R498" s="2">
        <v>3956250</v>
      </c>
      <c r="S498" s="2">
        <v>0</v>
      </c>
      <c r="T498" s="2" t="s">
        <v>441</v>
      </c>
      <c r="U498" s="2" t="s">
        <v>628</v>
      </c>
      <c r="V498" s="2" t="s">
        <v>56</v>
      </c>
      <c r="W498" s="2" t="s">
        <v>441</v>
      </c>
      <c r="X498" s="2" t="s">
        <v>629</v>
      </c>
      <c r="Y498" s="2">
        <v>2.2295339759850399</v>
      </c>
      <c r="Z498" s="2">
        <v>2229.5339759850399</v>
      </c>
      <c r="AA498" s="2">
        <v>4.6250499999999999</v>
      </c>
      <c r="AB498" s="2">
        <v>-74.161333333333303</v>
      </c>
      <c r="AC498" s="2">
        <v>2580</v>
      </c>
      <c r="AD498" s="2">
        <v>3</v>
      </c>
      <c r="AE498" s="2" t="s">
        <v>59</v>
      </c>
      <c r="AF498" s="2" t="s">
        <v>86</v>
      </c>
      <c r="AG498" s="2" t="s">
        <v>61</v>
      </c>
      <c r="AH498" s="2" t="s">
        <v>62</v>
      </c>
      <c r="AI498" s="2" t="s">
        <v>347</v>
      </c>
      <c r="AJ498" s="2">
        <v>1.2401042710022601</v>
      </c>
      <c r="AK498" s="2">
        <v>2.69072055385399</v>
      </c>
      <c r="AL498" s="2">
        <v>5.6778257786342197</v>
      </c>
      <c r="AM498" s="2">
        <v>0.31507274313449501</v>
      </c>
      <c r="AN498" s="2">
        <v>2.4013859168141498</v>
      </c>
      <c r="AO498" s="2">
        <v>0.286007418074464</v>
      </c>
      <c r="AP498" s="2">
        <v>0.286007418074464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6</v>
      </c>
      <c r="AW498" s="2">
        <v>0</v>
      </c>
      <c r="AX498" s="2">
        <v>0</v>
      </c>
      <c r="AZ498" s="2">
        <v>14.5</v>
      </c>
      <c r="BA498" s="2">
        <v>27.9</v>
      </c>
      <c r="BB498" s="2">
        <v>564</v>
      </c>
      <c r="BC498" s="2">
        <v>65.5</v>
      </c>
      <c r="BD498" s="2">
        <v>1.3</v>
      </c>
      <c r="BE498" s="2">
        <v>189</v>
      </c>
      <c r="BF498" s="2">
        <v>8.8000000000000007</v>
      </c>
      <c r="BG498" s="2">
        <v>167</v>
      </c>
      <c r="BH498" s="2">
        <v>21.9</v>
      </c>
      <c r="BI498" s="2">
        <v>16.3</v>
      </c>
      <c r="BJ498" s="2">
        <v>38.200000000000003</v>
      </c>
      <c r="BK498" s="2">
        <v>1.02</v>
      </c>
      <c r="BL498" s="2">
        <v>7.4</v>
      </c>
      <c r="BM498" s="2">
        <v>2.1</v>
      </c>
      <c r="BN498" s="2">
        <v>7.4</v>
      </c>
      <c r="BO498" s="2">
        <v>4.8</v>
      </c>
      <c r="BP498" s="2">
        <f t="shared" si="14"/>
        <v>12.984894464848608</v>
      </c>
      <c r="BQ498" s="2">
        <f t="shared" si="15"/>
        <v>26.446342617264584</v>
      </c>
    </row>
    <row r="499" spans="1:69" x14ac:dyDescent="0.2">
      <c r="A499" s="2" t="s">
        <v>1799</v>
      </c>
      <c r="B499" s="2" t="s">
        <v>47</v>
      </c>
      <c r="C499" s="2" t="s">
        <v>48</v>
      </c>
      <c r="D499" s="2" t="s">
        <v>49</v>
      </c>
      <c r="E499" s="2" t="s">
        <v>1800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89</v>
      </c>
      <c r="L499" s="6" t="s">
        <v>141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1801</v>
      </c>
      <c r="R499" s="2">
        <v>3895833.3330000001</v>
      </c>
      <c r="S499" s="2">
        <v>0</v>
      </c>
      <c r="T499" s="2" t="s">
        <v>441</v>
      </c>
      <c r="U499" s="2" t="s">
        <v>628</v>
      </c>
      <c r="V499" s="2" t="s">
        <v>56</v>
      </c>
      <c r="W499" s="2" t="s">
        <v>441</v>
      </c>
      <c r="X499" s="2" t="s">
        <v>629</v>
      </c>
      <c r="Y499" s="2">
        <v>1.35914350770116</v>
      </c>
      <c r="Z499" s="2">
        <v>1359.1435077011599</v>
      </c>
      <c r="AA499" s="2">
        <v>4.6250499999999999</v>
      </c>
      <c r="AB499" s="2">
        <v>-74.161333333333303</v>
      </c>
      <c r="AC499" s="2">
        <v>2580</v>
      </c>
      <c r="AD499" s="2">
        <v>3</v>
      </c>
      <c r="AE499" s="2" t="s">
        <v>59</v>
      </c>
      <c r="AF499" s="2" t="s">
        <v>86</v>
      </c>
      <c r="AG499" s="2" t="s">
        <v>61</v>
      </c>
      <c r="AH499" s="2" t="s">
        <v>62</v>
      </c>
      <c r="AI499" s="2" t="s">
        <v>200</v>
      </c>
      <c r="AJ499" s="2">
        <v>1.57266132903945</v>
      </c>
      <c r="AK499" s="2">
        <v>3.7398977360136398</v>
      </c>
      <c r="AL499" s="2">
        <v>4.2209009381524698</v>
      </c>
      <c r="AM499" s="2">
        <v>0.39460852516151002</v>
      </c>
      <c r="AN499" s="2">
        <v>1.1496449369330399</v>
      </c>
      <c r="AO499" s="2">
        <v>6.7924006972207698E-2</v>
      </c>
      <c r="AP499" s="2">
        <v>6.7924006972207698E-2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16</v>
      </c>
      <c r="AW499" s="2">
        <v>0</v>
      </c>
      <c r="AX499" s="2">
        <v>0</v>
      </c>
      <c r="AZ499" s="2">
        <v>14.5</v>
      </c>
      <c r="BA499" s="2">
        <v>27.9</v>
      </c>
      <c r="BB499" s="2">
        <v>564</v>
      </c>
      <c r="BC499" s="2">
        <v>65.5</v>
      </c>
      <c r="BD499" s="2">
        <v>1.3</v>
      </c>
      <c r="BE499" s="2">
        <v>189</v>
      </c>
      <c r="BF499" s="2">
        <v>8.8000000000000007</v>
      </c>
      <c r="BG499" s="2">
        <v>167</v>
      </c>
      <c r="BH499" s="2">
        <v>21.9</v>
      </c>
      <c r="BI499" s="2">
        <v>16.3</v>
      </c>
      <c r="BJ499" s="2">
        <v>38.200000000000003</v>
      </c>
      <c r="BK499" s="2">
        <v>1.02</v>
      </c>
      <c r="BL499" s="2">
        <v>7.4</v>
      </c>
      <c r="BM499" s="2">
        <v>2.1</v>
      </c>
      <c r="BN499" s="2">
        <v>7.4</v>
      </c>
      <c r="BO499" s="2">
        <v>4.8</v>
      </c>
      <c r="BP499" s="2">
        <f t="shared" si="14"/>
        <v>13.556566544875253</v>
      </c>
      <c r="BQ499" s="2">
        <f t="shared" si="15"/>
        <v>27.004600615142543</v>
      </c>
    </row>
    <row r="500" spans="1:69" x14ac:dyDescent="0.2">
      <c r="A500" s="2" t="s">
        <v>986</v>
      </c>
      <c r="B500" s="2" t="s">
        <v>47</v>
      </c>
      <c r="C500" s="2" t="s">
        <v>48</v>
      </c>
      <c r="D500" s="2" t="s">
        <v>49</v>
      </c>
      <c r="E500" s="2" t="s">
        <v>349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89</v>
      </c>
      <c r="L500" s="6" t="s">
        <v>103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987</v>
      </c>
      <c r="R500" s="2">
        <v>4936170.2130000005</v>
      </c>
      <c r="S500" s="2">
        <v>0</v>
      </c>
      <c r="T500" s="2" t="s">
        <v>441</v>
      </c>
      <c r="U500" s="2" t="s">
        <v>628</v>
      </c>
      <c r="V500" s="2" t="s">
        <v>56</v>
      </c>
      <c r="W500" s="2" t="s">
        <v>441</v>
      </c>
      <c r="X500" s="2" t="s">
        <v>629</v>
      </c>
      <c r="Y500" s="2">
        <v>2.34881510920283</v>
      </c>
      <c r="Z500" s="2">
        <v>2348.8151092028302</v>
      </c>
      <c r="AA500" s="2">
        <v>4.6250499999999999</v>
      </c>
      <c r="AB500" s="2">
        <v>-74.161333333333303</v>
      </c>
      <c r="AC500" s="2">
        <v>2580</v>
      </c>
      <c r="AD500" s="2">
        <v>3</v>
      </c>
      <c r="AE500" s="2" t="s">
        <v>59</v>
      </c>
      <c r="AF500" s="2" t="s">
        <v>86</v>
      </c>
      <c r="AG500" s="2" t="s">
        <v>61</v>
      </c>
      <c r="AH500" s="2" t="s">
        <v>62</v>
      </c>
      <c r="AI500" s="2" t="s">
        <v>200</v>
      </c>
      <c r="AJ500" s="2">
        <v>0.98828239475253199</v>
      </c>
      <c r="AK500" s="2">
        <v>2.0450261227931499</v>
      </c>
      <c r="AL500" s="2">
        <v>3.0625966857671401</v>
      </c>
      <c r="AM500" s="2">
        <v>0.78299434947311497</v>
      </c>
      <c r="AN500" s="2">
        <v>2.7427885288237102</v>
      </c>
      <c r="AO500" s="2">
        <v>0.33441648993280199</v>
      </c>
      <c r="AP500" s="2">
        <v>0.33441648993280199</v>
      </c>
      <c r="AQ500" s="2">
        <v>0</v>
      </c>
      <c r="AR500" s="2">
        <v>1</v>
      </c>
      <c r="AS500" s="2">
        <v>0</v>
      </c>
      <c r="AT500" s="2">
        <v>0</v>
      </c>
      <c r="AU500" s="2">
        <v>0</v>
      </c>
      <c r="AV500" s="2">
        <v>6</v>
      </c>
      <c r="AW500" s="2">
        <v>0</v>
      </c>
      <c r="AX500" s="2">
        <v>0</v>
      </c>
      <c r="AZ500" s="2">
        <v>14.5</v>
      </c>
      <c r="BA500" s="2">
        <v>27.9</v>
      </c>
      <c r="BB500" s="2">
        <v>564</v>
      </c>
      <c r="BC500" s="2">
        <v>65.5</v>
      </c>
      <c r="BD500" s="2">
        <v>1.3</v>
      </c>
      <c r="BE500" s="2">
        <v>189</v>
      </c>
      <c r="BF500" s="2">
        <v>8.8000000000000007</v>
      </c>
      <c r="BG500" s="2">
        <v>167</v>
      </c>
      <c r="BH500" s="2">
        <v>21.9</v>
      </c>
      <c r="BI500" s="2">
        <v>16.3</v>
      </c>
      <c r="BJ500" s="2">
        <v>38.200000000000003</v>
      </c>
      <c r="BK500" s="2">
        <v>1.02</v>
      </c>
      <c r="BL500" s="2">
        <v>7.4</v>
      </c>
      <c r="BM500" s="2">
        <v>2.1</v>
      </c>
      <c r="BN500" s="2">
        <v>7.4</v>
      </c>
      <c r="BO500" s="2">
        <v>4.8</v>
      </c>
      <c r="BP500" s="2">
        <f t="shared" si="14"/>
        <v>12.90845214071067</v>
      </c>
      <c r="BQ500" s="2">
        <f t="shared" si="15"/>
        <v>26.3707416888642</v>
      </c>
    </row>
    <row r="501" spans="1:69" x14ac:dyDescent="0.2">
      <c r="A501" s="2" t="s">
        <v>1550</v>
      </c>
      <c r="B501" s="2" t="s">
        <v>47</v>
      </c>
      <c r="C501" s="2" t="s">
        <v>48</v>
      </c>
      <c r="D501" s="2" t="s">
        <v>49</v>
      </c>
      <c r="E501" s="2" t="s">
        <v>1551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89</v>
      </c>
      <c r="L501" s="6" t="s">
        <v>112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1552</v>
      </c>
      <c r="R501" s="2">
        <v>4019565.2170000002</v>
      </c>
      <c r="S501" s="2">
        <v>0</v>
      </c>
      <c r="T501" s="2" t="s">
        <v>441</v>
      </c>
      <c r="U501" s="2" t="s">
        <v>628</v>
      </c>
      <c r="V501" s="2" t="s">
        <v>56</v>
      </c>
      <c r="W501" s="2" t="s">
        <v>441</v>
      </c>
      <c r="X501" s="2" t="s">
        <v>629</v>
      </c>
      <c r="Y501" s="2">
        <v>2.0154299624032102</v>
      </c>
      <c r="Z501" s="2">
        <v>2015.4299624032101</v>
      </c>
      <c r="AA501" s="2">
        <v>4.6250499999999999</v>
      </c>
      <c r="AB501" s="2">
        <v>-74.161333333333303</v>
      </c>
      <c r="AC501" s="2">
        <v>2580</v>
      </c>
      <c r="AD501" s="2">
        <v>3</v>
      </c>
      <c r="AE501" s="2" t="s">
        <v>59</v>
      </c>
      <c r="AF501" s="2" t="s">
        <v>86</v>
      </c>
      <c r="AG501" s="2" t="s">
        <v>61</v>
      </c>
      <c r="AH501" s="2" t="s">
        <v>62</v>
      </c>
      <c r="AI501" s="2" t="s">
        <v>200</v>
      </c>
      <c r="AJ501" s="2">
        <v>1.39752956343478</v>
      </c>
      <c r="AK501" s="2">
        <v>3.1844502916477699</v>
      </c>
      <c r="AL501" s="2">
        <v>5.1460771943004104</v>
      </c>
      <c r="AM501" s="2">
        <v>0.29852732357842299</v>
      </c>
      <c r="AN501" s="2">
        <v>2.0473785757643901</v>
      </c>
      <c r="AO501" s="2">
        <v>0.11303168329852301</v>
      </c>
      <c r="AP501" s="2">
        <v>0.11303168329852301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13</v>
      </c>
      <c r="AW501" s="2">
        <v>0</v>
      </c>
      <c r="AX501" s="2">
        <v>0</v>
      </c>
      <c r="AZ501" s="2">
        <v>14.5</v>
      </c>
      <c r="BA501" s="2">
        <v>27.9</v>
      </c>
      <c r="BB501" s="2">
        <v>564</v>
      </c>
      <c r="BC501" s="2">
        <v>65.5</v>
      </c>
      <c r="BD501" s="2">
        <v>1.3</v>
      </c>
      <c r="BE501" s="2">
        <v>189</v>
      </c>
      <c r="BF501" s="2">
        <v>8.8000000000000007</v>
      </c>
      <c r="BG501" s="2">
        <v>167</v>
      </c>
      <c r="BH501" s="2">
        <v>21.9</v>
      </c>
      <c r="BI501" s="2">
        <v>16.3</v>
      </c>
      <c r="BJ501" s="2">
        <v>38.200000000000003</v>
      </c>
      <c r="BK501" s="2">
        <v>1.02</v>
      </c>
      <c r="BL501" s="2">
        <v>7.4</v>
      </c>
      <c r="BM501" s="2">
        <v>2.1</v>
      </c>
      <c r="BN501" s="2">
        <v>7.4</v>
      </c>
      <c r="BO501" s="2">
        <v>4.8</v>
      </c>
      <c r="BP501" s="2">
        <f t="shared" si="14"/>
        <v>13.123242126484048</v>
      </c>
      <c r="BQ501" s="2">
        <f t="shared" si="15"/>
        <v>26.582586796962868</v>
      </c>
    </row>
    <row r="502" spans="1:69" x14ac:dyDescent="0.2">
      <c r="A502" s="2" t="s">
        <v>1439</v>
      </c>
      <c r="B502" s="2" t="s">
        <v>47</v>
      </c>
      <c r="C502" s="2" t="s">
        <v>48</v>
      </c>
      <c r="D502" s="2" t="s">
        <v>49</v>
      </c>
      <c r="E502" s="2" t="s">
        <v>1305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89</v>
      </c>
      <c r="L502" s="6" t="s">
        <v>103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1440</v>
      </c>
      <c r="R502" s="2">
        <v>4077777.7779999999</v>
      </c>
      <c r="S502" s="2">
        <v>0</v>
      </c>
      <c r="T502" s="2" t="s">
        <v>441</v>
      </c>
      <c r="U502" s="2" t="s">
        <v>628</v>
      </c>
      <c r="V502" s="2" t="s">
        <v>56</v>
      </c>
      <c r="W502" s="2" t="s">
        <v>441</v>
      </c>
      <c r="X502" s="2" t="s">
        <v>629</v>
      </c>
      <c r="Y502" s="2">
        <v>2.32404720396995</v>
      </c>
      <c r="Z502" s="2">
        <v>2324.0472039699498</v>
      </c>
      <c r="AA502" s="2">
        <v>4.6250499999999999</v>
      </c>
      <c r="AB502" s="2">
        <v>-74.161333333333303</v>
      </c>
      <c r="AC502" s="2">
        <v>2580</v>
      </c>
      <c r="AD502" s="2">
        <v>3</v>
      </c>
      <c r="AE502" s="2" t="s">
        <v>59</v>
      </c>
      <c r="AF502" s="2" t="s">
        <v>86</v>
      </c>
      <c r="AG502" s="2" t="s">
        <v>61</v>
      </c>
      <c r="AH502" s="2" t="s">
        <v>62</v>
      </c>
      <c r="AI502" s="2" t="s">
        <v>347</v>
      </c>
      <c r="AJ502" s="2">
        <v>1.4605609225059599</v>
      </c>
      <c r="AK502" s="2">
        <v>2.95139453833912</v>
      </c>
      <c r="AL502" s="2">
        <v>5.55939621508593</v>
      </c>
      <c r="AM502" s="2">
        <v>0.55013747983457895</v>
      </c>
      <c r="AN502" s="2">
        <v>2.18484103435277</v>
      </c>
      <c r="AO502" s="2">
        <v>1.6200191053390201E-2</v>
      </c>
      <c r="AP502" s="2">
        <v>1.6200191053390201E-2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9</v>
      </c>
      <c r="AW502" s="2">
        <v>0</v>
      </c>
      <c r="AX502" s="2">
        <v>0</v>
      </c>
      <c r="AZ502" s="2">
        <v>14.5</v>
      </c>
      <c r="BA502" s="2">
        <v>27.9</v>
      </c>
      <c r="BB502" s="2">
        <v>564</v>
      </c>
      <c r="BC502" s="2">
        <v>65.5</v>
      </c>
      <c r="BD502" s="2">
        <v>1.3</v>
      </c>
      <c r="BE502" s="2">
        <v>189</v>
      </c>
      <c r="BF502" s="2">
        <v>8.8000000000000007</v>
      </c>
      <c r="BG502" s="2">
        <v>167</v>
      </c>
      <c r="BH502" s="2">
        <v>21.9</v>
      </c>
      <c r="BI502" s="2">
        <v>16.3</v>
      </c>
      <c r="BJ502" s="2">
        <v>38.200000000000003</v>
      </c>
      <c r="BK502" s="2">
        <v>1.02</v>
      </c>
      <c r="BL502" s="2">
        <v>7.4</v>
      </c>
      <c r="BM502" s="2">
        <v>2.1</v>
      </c>
      <c r="BN502" s="2">
        <v>7.4</v>
      </c>
      <c r="BO502" s="2">
        <v>4.8</v>
      </c>
      <c r="BP502" s="2">
        <f t="shared" si="14"/>
        <v>12.924287754354381</v>
      </c>
      <c r="BQ502" s="2">
        <f t="shared" si="15"/>
        <v>26.386421901540441</v>
      </c>
    </row>
    <row r="503" spans="1:69" x14ac:dyDescent="0.2">
      <c r="A503" s="2" t="s">
        <v>1927</v>
      </c>
      <c r="B503" s="2" t="s">
        <v>47</v>
      </c>
      <c r="C503" s="2" t="s">
        <v>48</v>
      </c>
      <c r="D503" s="2" t="s">
        <v>49</v>
      </c>
      <c r="E503" s="2" t="s">
        <v>1928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89</v>
      </c>
      <c r="L503" s="6" t="s">
        <v>141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1929</v>
      </c>
      <c r="R503" s="2">
        <v>4000000</v>
      </c>
      <c r="S503" s="2">
        <v>0</v>
      </c>
      <c r="T503" s="2" t="s">
        <v>441</v>
      </c>
      <c r="U503" s="2" t="s">
        <v>628</v>
      </c>
      <c r="V503" s="2" t="s">
        <v>56</v>
      </c>
      <c r="W503" s="2" t="s">
        <v>441</v>
      </c>
      <c r="X503" s="2" t="s">
        <v>629</v>
      </c>
      <c r="Y503" s="2">
        <v>1.5685084151959701</v>
      </c>
      <c r="Z503" s="2">
        <v>1568.50841519597</v>
      </c>
      <c r="AA503" s="2">
        <v>4.6250499999999999</v>
      </c>
      <c r="AB503" s="2">
        <v>-74.161333333333303</v>
      </c>
      <c r="AC503" s="2">
        <v>2580</v>
      </c>
      <c r="AD503" s="2">
        <v>3</v>
      </c>
      <c r="AE503" s="2" t="s">
        <v>59</v>
      </c>
      <c r="AF503" s="2" t="s">
        <v>86</v>
      </c>
      <c r="AG503" s="2" t="s">
        <v>61</v>
      </c>
      <c r="AH503" s="2" t="s">
        <v>62</v>
      </c>
      <c r="AI503" s="2" t="s">
        <v>200</v>
      </c>
      <c r="AJ503" s="2">
        <v>0.44818416356320701</v>
      </c>
      <c r="AK503" s="2">
        <v>3.6471623851843802</v>
      </c>
      <c r="AL503" s="2">
        <v>3.1321067157454201</v>
      </c>
      <c r="AM503" s="2">
        <v>0.28111350364968601</v>
      </c>
      <c r="AN503" s="2">
        <v>1.6134485920300801</v>
      </c>
      <c r="AO503" s="2">
        <v>0.200296882579172</v>
      </c>
      <c r="AP503" s="2">
        <v>0.200296882579172</v>
      </c>
      <c r="AQ503" s="2">
        <v>1</v>
      </c>
      <c r="AR503" s="2">
        <v>3</v>
      </c>
      <c r="AS503" s="2">
        <v>0</v>
      </c>
      <c r="AT503" s="2">
        <v>0</v>
      </c>
      <c r="AU503" s="2">
        <v>0</v>
      </c>
      <c r="AV503" s="2">
        <v>32</v>
      </c>
      <c r="AW503" s="2">
        <v>0</v>
      </c>
      <c r="AX503" s="2">
        <v>0</v>
      </c>
      <c r="AZ503" s="2">
        <v>14.5</v>
      </c>
      <c r="BA503" s="2">
        <v>27.9</v>
      </c>
      <c r="BB503" s="2">
        <v>564</v>
      </c>
      <c r="BC503" s="2">
        <v>65.5</v>
      </c>
      <c r="BD503" s="2">
        <v>1.3</v>
      </c>
      <c r="BE503" s="2">
        <v>189</v>
      </c>
      <c r="BF503" s="2">
        <v>8.8000000000000007</v>
      </c>
      <c r="BG503" s="2">
        <v>167</v>
      </c>
      <c r="BH503" s="2">
        <v>21.9</v>
      </c>
      <c r="BI503" s="2">
        <v>16.3</v>
      </c>
      <c r="BJ503" s="2">
        <v>38.200000000000003</v>
      </c>
      <c r="BK503" s="2">
        <v>1.02</v>
      </c>
      <c r="BL503" s="2">
        <v>7.4</v>
      </c>
      <c r="BM503" s="2">
        <v>2.1</v>
      </c>
      <c r="BN503" s="2">
        <v>7.4</v>
      </c>
      <c r="BO503" s="2">
        <v>4.8</v>
      </c>
      <c r="BP503" s="2">
        <f t="shared" si="14"/>
        <v>13.416797716984723</v>
      </c>
      <c r="BQ503" s="2">
        <f t="shared" si="15"/>
        <v>26.869249376484944</v>
      </c>
    </row>
    <row r="504" spans="1:69" x14ac:dyDescent="0.2">
      <c r="A504" s="2" t="s">
        <v>2861</v>
      </c>
      <c r="B504" s="2" t="s">
        <v>47</v>
      </c>
      <c r="C504" s="2" t="s">
        <v>1935</v>
      </c>
      <c r="D504" s="2" t="s">
        <v>49</v>
      </c>
      <c r="E504" s="2" t="s">
        <v>2862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89</v>
      </c>
      <c r="L504" s="6" t="s">
        <v>141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2863</v>
      </c>
      <c r="R504" s="2">
        <v>824561.40350000001</v>
      </c>
      <c r="S504" s="2">
        <v>0</v>
      </c>
      <c r="T504" s="2" t="s">
        <v>2084</v>
      </c>
      <c r="U504" s="2" t="s">
        <v>2085</v>
      </c>
      <c r="V504" s="2" t="s">
        <v>56</v>
      </c>
      <c r="W504" s="2" t="s">
        <v>2084</v>
      </c>
      <c r="X504" s="2" t="s">
        <v>2086</v>
      </c>
      <c r="Y504" s="2">
        <v>3.1829751334748999</v>
      </c>
      <c r="Z504" s="2">
        <v>3182.9751334748998</v>
      </c>
      <c r="AA504" s="2">
        <v>4.5320555555555604</v>
      </c>
      <c r="AB504" s="2">
        <v>-74.117138888888903</v>
      </c>
      <c r="AC504" s="2">
        <v>2593</v>
      </c>
      <c r="AD504" s="2">
        <v>0</v>
      </c>
      <c r="AE504" s="2" t="s">
        <v>59</v>
      </c>
      <c r="AF504" s="2" t="s">
        <v>486</v>
      </c>
      <c r="AG504" s="2" t="s">
        <v>61</v>
      </c>
      <c r="AH504" s="2" t="s">
        <v>62</v>
      </c>
      <c r="AI504" s="2" t="s">
        <v>443</v>
      </c>
      <c r="AJ504" s="2">
        <v>2.4436243001892102</v>
      </c>
      <c r="AK504" s="2">
        <v>3.87284973022245</v>
      </c>
      <c r="AL504" s="2">
        <v>4.7272413240385101</v>
      </c>
      <c r="AM504" s="2">
        <v>0.351678011852395</v>
      </c>
      <c r="AN504" s="2">
        <v>4.3541792439176303</v>
      </c>
      <c r="AO504" s="2">
        <v>5.8281449092788097E-3</v>
      </c>
      <c r="AP504" s="2">
        <v>5.8281449092788097E-3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5</v>
      </c>
      <c r="AW504" s="2">
        <v>0</v>
      </c>
      <c r="AX504" s="2">
        <v>0</v>
      </c>
      <c r="AY504" s="2">
        <v>15.7</v>
      </c>
      <c r="AZ504" s="2">
        <v>6.8</v>
      </c>
      <c r="BA504" s="2">
        <v>24.7</v>
      </c>
      <c r="BB504" s="2">
        <v>563</v>
      </c>
      <c r="BC504" s="2">
        <v>68</v>
      </c>
      <c r="BD504" s="2">
        <v>1.5</v>
      </c>
      <c r="BE504" s="2">
        <v>135</v>
      </c>
      <c r="BF504" s="2">
        <v>24.5</v>
      </c>
      <c r="BG504" s="2">
        <v>150</v>
      </c>
      <c r="BH504" s="2">
        <v>9.6999999999999993</v>
      </c>
      <c r="BI504" s="2">
        <v>9.9</v>
      </c>
      <c r="BJ504" s="2">
        <v>19.600000000000001</v>
      </c>
      <c r="BK504" s="2">
        <v>0.37</v>
      </c>
      <c r="BL504" s="2">
        <v>10.7</v>
      </c>
      <c r="BM504" s="2">
        <v>3.8</v>
      </c>
      <c r="BN504" s="2">
        <v>7.5</v>
      </c>
      <c r="BO504" s="2">
        <v>2.9</v>
      </c>
      <c r="BP504" s="2">
        <f t="shared" si="14"/>
        <v>5.8087496611059315</v>
      </c>
      <c r="BQ504" s="2">
        <f t="shared" si="15"/>
        <v>22.883401912146812</v>
      </c>
    </row>
    <row r="505" spans="1:69" x14ac:dyDescent="0.2">
      <c r="A505" s="2" t="s">
        <v>2081</v>
      </c>
      <c r="B505" s="2" t="s">
        <v>47</v>
      </c>
      <c r="C505" s="2" t="s">
        <v>1935</v>
      </c>
      <c r="D505" s="2" t="s">
        <v>49</v>
      </c>
      <c r="E505" s="2" t="s">
        <v>2082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89</v>
      </c>
      <c r="L505" s="6" t="s">
        <v>141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2083</v>
      </c>
      <c r="R505" s="2">
        <v>914285.71429999999</v>
      </c>
      <c r="S505" s="2">
        <v>0</v>
      </c>
      <c r="T505" s="2" t="s">
        <v>2084</v>
      </c>
      <c r="U505" s="2" t="s">
        <v>2085</v>
      </c>
      <c r="V505" s="2" t="s">
        <v>56</v>
      </c>
      <c r="W505" s="2" t="s">
        <v>2084</v>
      </c>
      <c r="X505" s="2" t="s">
        <v>2086</v>
      </c>
      <c r="Y505" s="2">
        <v>3.1835193791048999</v>
      </c>
      <c r="Z505" s="2">
        <v>3183.5193791049001</v>
      </c>
      <c r="AA505" s="2">
        <v>4.5320555555555604</v>
      </c>
      <c r="AB505" s="2">
        <v>-74.117138888888903</v>
      </c>
      <c r="AC505" s="2">
        <v>2593</v>
      </c>
      <c r="AD505" s="2">
        <v>0</v>
      </c>
      <c r="AE505" s="2" t="s">
        <v>59</v>
      </c>
      <c r="AF505" s="2" t="s">
        <v>486</v>
      </c>
      <c r="AG505" s="2" t="s">
        <v>61</v>
      </c>
      <c r="AH505" s="2" t="s">
        <v>62</v>
      </c>
      <c r="AI505" s="2" t="s">
        <v>443</v>
      </c>
      <c r="AJ505" s="2">
        <v>2.4456870960883101</v>
      </c>
      <c r="AK505" s="2">
        <v>3.8730068673523501</v>
      </c>
      <c r="AL505" s="2">
        <v>4.7309822236676604</v>
      </c>
      <c r="AM505" s="2">
        <v>0.34975573786605102</v>
      </c>
      <c r="AN505" s="2">
        <v>4.35565162544684</v>
      </c>
      <c r="AO505" s="2">
        <v>2.8935057064230401E-3</v>
      </c>
      <c r="AP505" s="2">
        <v>2.8935057064230401E-3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5</v>
      </c>
      <c r="AW505" s="2">
        <v>0</v>
      </c>
      <c r="AX505" s="2">
        <v>0</v>
      </c>
      <c r="AY505" s="2">
        <v>15.7</v>
      </c>
      <c r="AZ505" s="2">
        <v>6.8</v>
      </c>
      <c r="BA505" s="2">
        <v>24.7</v>
      </c>
      <c r="BB505" s="2">
        <v>563</v>
      </c>
      <c r="BC505" s="2">
        <v>68</v>
      </c>
      <c r="BD505" s="2">
        <v>1.5</v>
      </c>
      <c r="BE505" s="2">
        <v>135</v>
      </c>
      <c r="BF505" s="2">
        <v>24.5</v>
      </c>
      <c r="BG505" s="2">
        <v>150</v>
      </c>
      <c r="BH505" s="2">
        <v>9.6999999999999993</v>
      </c>
      <c r="BI505" s="2">
        <v>9.9</v>
      </c>
      <c r="BJ505" s="2">
        <v>19.600000000000001</v>
      </c>
      <c r="BK505" s="2">
        <v>0.37</v>
      </c>
      <c r="BL505" s="2">
        <v>10.7</v>
      </c>
      <c r="BM505" s="2">
        <v>3.8</v>
      </c>
      <c r="BN505" s="2">
        <v>7.5</v>
      </c>
      <c r="BO505" s="2">
        <v>2.9</v>
      </c>
      <c r="BP505" s="2">
        <f t="shared" si="14"/>
        <v>5.8085931745761954</v>
      </c>
      <c r="BQ505" s="2">
        <f t="shared" si="15"/>
        <v>22.883103013503142</v>
      </c>
    </row>
    <row r="506" spans="1:69" x14ac:dyDescent="0.2">
      <c r="A506" s="2" t="s">
        <v>2783</v>
      </c>
      <c r="B506" s="2" t="s">
        <v>47</v>
      </c>
      <c r="C506" s="2" t="s">
        <v>1935</v>
      </c>
      <c r="D506" s="2" t="s">
        <v>49</v>
      </c>
      <c r="E506" s="2" t="s">
        <v>2784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89</v>
      </c>
      <c r="L506" s="6" t="s">
        <v>103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2785</v>
      </c>
      <c r="R506" s="2">
        <v>3142857.1430000002</v>
      </c>
      <c r="S506" s="2">
        <v>0</v>
      </c>
      <c r="T506" s="2" t="s">
        <v>2084</v>
      </c>
      <c r="U506" s="2" t="s">
        <v>2085</v>
      </c>
      <c r="V506" s="2" t="s">
        <v>56</v>
      </c>
      <c r="W506" s="2" t="s">
        <v>2084</v>
      </c>
      <c r="X506" s="2" t="s">
        <v>2086</v>
      </c>
      <c r="Y506" s="2">
        <v>1.3600348809032099</v>
      </c>
      <c r="Z506" s="2">
        <v>1360.03488090321</v>
      </c>
      <c r="AA506" s="2">
        <v>4.5320555555555604</v>
      </c>
      <c r="AB506" s="2">
        <v>-74.117138888888903</v>
      </c>
      <c r="AC506" s="2">
        <v>2593</v>
      </c>
      <c r="AD506" s="2">
        <v>0</v>
      </c>
      <c r="AE506" s="2" t="s">
        <v>59</v>
      </c>
      <c r="AF506" s="2" t="s">
        <v>486</v>
      </c>
      <c r="AG506" s="2" t="s">
        <v>61</v>
      </c>
      <c r="AH506" s="2" t="s">
        <v>62</v>
      </c>
      <c r="AI506" s="2" t="s">
        <v>1826</v>
      </c>
      <c r="AJ506" s="2">
        <v>1.07049096242398</v>
      </c>
      <c r="AK506" s="2">
        <v>3.4543536900183498</v>
      </c>
      <c r="AL506" s="2">
        <v>4.5895102818467404</v>
      </c>
      <c r="AM506" s="2">
        <v>0.27017459593024201</v>
      </c>
      <c r="AN506" s="2">
        <v>4.1225027767180302</v>
      </c>
      <c r="AO506" s="2">
        <v>3.08706771728013E-2</v>
      </c>
      <c r="AP506" s="2">
        <v>3.08706771728013E-2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3</v>
      </c>
      <c r="AW506" s="2">
        <v>0</v>
      </c>
      <c r="AX506" s="2">
        <v>0</v>
      </c>
      <c r="AY506" s="2">
        <v>15.7</v>
      </c>
      <c r="AZ506" s="2">
        <v>6.8</v>
      </c>
      <c r="BA506" s="2">
        <v>24.7</v>
      </c>
      <c r="BB506" s="2">
        <v>563</v>
      </c>
      <c r="BC506" s="2">
        <v>68</v>
      </c>
      <c r="BD506" s="2">
        <v>1.5</v>
      </c>
      <c r="BE506" s="2">
        <v>135</v>
      </c>
      <c r="BF506" s="2">
        <v>24.5</v>
      </c>
      <c r="BG506" s="2">
        <v>150</v>
      </c>
      <c r="BH506" s="2">
        <v>9.6999999999999993</v>
      </c>
      <c r="BI506" s="2">
        <v>9.9</v>
      </c>
      <c r="BJ506" s="2">
        <v>19.600000000000001</v>
      </c>
      <c r="BK506" s="2">
        <v>0.37</v>
      </c>
      <c r="BL506" s="2">
        <v>10.7</v>
      </c>
      <c r="BM506" s="2">
        <v>3.8</v>
      </c>
      <c r="BN506" s="2">
        <v>7.5</v>
      </c>
      <c r="BO506" s="2">
        <v>2.9</v>
      </c>
      <c r="BP506" s="2">
        <f t="shared" si="14"/>
        <v>6.3572817333727523</v>
      </c>
      <c r="BQ506" s="2">
        <f t="shared" si="15"/>
        <v>23.906787310133922</v>
      </c>
    </row>
    <row r="507" spans="1:69" x14ac:dyDescent="0.2">
      <c r="A507" s="2" t="s">
        <v>3023</v>
      </c>
      <c r="B507" s="2" t="s">
        <v>47</v>
      </c>
      <c r="C507" s="2" t="s">
        <v>1935</v>
      </c>
      <c r="D507" s="2" t="s">
        <v>49</v>
      </c>
      <c r="E507" s="2" t="s">
        <v>3024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89</v>
      </c>
      <c r="L507" s="6" t="s">
        <v>103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3025</v>
      </c>
      <c r="R507" s="2">
        <v>4435836.6109999996</v>
      </c>
      <c r="S507" s="2">
        <v>0</v>
      </c>
      <c r="T507" s="2" t="s">
        <v>2084</v>
      </c>
      <c r="U507" s="2" t="s">
        <v>2085</v>
      </c>
      <c r="V507" s="2" t="s">
        <v>56</v>
      </c>
      <c r="W507" s="2" t="s">
        <v>2084</v>
      </c>
      <c r="X507" s="2" t="s">
        <v>2086</v>
      </c>
      <c r="Y507" s="2">
        <v>4.0750473468640998</v>
      </c>
      <c r="Z507" s="2">
        <v>4075.0473468640998</v>
      </c>
      <c r="AA507" s="2">
        <v>4.5320555555555604</v>
      </c>
      <c r="AB507" s="2">
        <v>-74.117138888888903</v>
      </c>
      <c r="AC507" s="2">
        <v>2593</v>
      </c>
      <c r="AD507" s="2">
        <v>0</v>
      </c>
      <c r="AE507" s="2" t="s">
        <v>59</v>
      </c>
      <c r="AF507" s="2" t="s">
        <v>486</v>
      </c>
      <c r="AG507" s="2" t="s">
        <v>61</v>
      </c>
      <c r="AH507" s="2" t="s">
        <v>62</v>
      </c>
      <c r="AI507" s="2" t="s">
        <v>2347</v>
      </c>
      <c r="AJ507" s="2">
        <v>4.0659902737260598</v>
      </c>
      <c r="AK507" s="2">
        <v>2.5418534333722702</v>
      </c>
      <c r="AL507" s="2">
        <v>8.9245494807381096</v>
      </c>
      <c r="AM507" s="2">
        <v>0.49278684900021602</v>
      </c>
      <c r="AN507" s="2">
        <v>1.0093746387803699</v>
      </c>
      <c r="AO507" s="2">
        <v>0.184535170278985</v>
      </c>
      <c r="AP507" s="2">
        <v>0.184535170278985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2</v>
      </c>
      <c r="AW507" s="2">
        <v>0</v>
      </c>
      <c r="AX507" s="2">
        <v>0</v>
      </c>
      <c r="AY507" s="2">
        <v>15.7</v>
      </c>
      <c r="AZ507" s="2">
        <v>6.8</v>
      </c>
      <c r="BA507" s="2">
        <v>24.7</v>
      </c>
      <c r="BB507" s="2">
        <v>563</v>
      </c>
      <c r="BC507" s="2">
        <v>68</v>
      </c>
      <c r="BD507" s="2">
        <v>1.5</v>
      </c>
      <c r="BE507" s="2">
        <v>135</v>
      </c>
      <c r="BF507" s="2">
        <v>24.5</v>
      </c>
      <c r="BG507" s="2">
        <v>150</v>
      </c>
      <c r="BH507" s="2">
        <v>9.6999999999999993</v>
      </c>
      <c r="BI507" s="2">
        <v>9.9</v>
      </c>
      <c r="BJ507" s="2">
        <v>19.600000000000001</v>
      </c>
      <c r="BK507" s="2">
        <v>0.37</v>
      </c>
      <c r="BL507" s="2">
        <v>10.7</v>
      </c>
      <c r="BM507" s="2">
        <v>3.8</v>
      </c>
      <c r="BN507" s="2">
        <v>7.5</v>
      </c>
      <c r="BO507" s="2">
        <v>2.9</v>
      </c>
      <c r="BP507" s="2">
        <f t="shared" si="14"/>
        <v>5.5578301345087997</v>
      </c>
      <c r="BQ507" s="2">
        <f t="shared" si="15"/>
        <v>22.398681764030151</v>
      </c>
    </row>
    <row r="508" spans="1:69" x14ac:dyDescent="0.2">
      <c r="A508" s="2" t="s">
        <v>2247</v>
      </c>
      <c r="B508" s="2" t="s">
        <v>47</v>
      </c>
      <c r="C508" s="2" t="s">
        <v>1935</v>
      </c>
      <c r="D508" s="2" t="s">
        <v>49</v>
      </c>
      <c r="E508" s="2" t="s">
        <v>546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89</v>
      </c>
      <c r="L508" s="6" t="s">
        <v>103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2248</v>
      </c>
      <c r="R508" s="2">
        <v>5759373.3799999999</v>
      </c>
      <c r="S508" s="2">
        <v>0</v>
      </c>
      <c r="T508" s="2" t="s">
        <v>957</v>
      </c>
      <c r="U508" s="2" t="s">
        <v>958</v>
      </c>
      <c r="V508" s="2" t="s">
        <v>56</v>
      </c>
      <c r="W508" s="2" t="s">
        <v>957</v>
      </c>
      <c r="X508" s="2" t="s">
        <v>959</v>
      </c>
      <c r="Y508" s="2">
        <v>1.65877756783756</v>
      </c>
      <c r="Z508" s="2">
        <v>1658.7775678375599</v>
      </c>
      <c r="AA508" s="2">
        <v>4.5778055555555603</v>
      </c>
      <c r="AB508" s="2">
        <v>-74.166277777777793</v>
      </c>
      <c r="AC508" s="2">
        <v>2661</v>
      </c>
      <c r="AD508" s="2">
        <v>0</v>
      </c>
      <c r="AE508" s="2" t="s">
        <v>59</v>
      </c>
      <c r="AF508" s="2" t="s">
        <v>486</v>
      </c>
      <c r="AG508" s="2" t="s">
        <v>61</v>
      </c>
      <c r="AH508" s="2" t="s">
        <v>62</v>
      </c>
      <c r="AI508" s="2" t="s">
        <v>443</v>
      </c>
      <c r="AJ508" s="2">
        <v>1.3975826172467001</v>
      </c>
      <c r="AK508" s="2">
        <v>1.45807919808432</v>
      </c>
      <c r="AL508" s="2">
        <v>4.6230817642700801</v>
      </c>
      <c r="AM508" s="2">
        <v>0.75116816134348097</v>
      </c>
      <c r="AN508" s="2">
        <v>1.83368223828967</v>
      </c>
      <c r="AO508" s="2">
        <v>8.1963112879960595E-2</v>
      </c>
      <c r="AP508" s="2">
        <v>8.1963112879960595E-2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1</v>
      </c>
      <c r="AW508" s="2">
        <v>0</v>
      </c>
      <c r="AX508" s="2">
        <v>0</v>
      </c>
      <c r="AY508" s="2">
        <v>15.4</v>
      </c>
      <c r="AZ508" s="2">
        <v>7</v>
      </c>
      <c r="BA508" s="2">
        <v>23.6</v>
      </c>
      <c r="BB508" s="2">
        <v>558</v>
      </c>
      <c r="BC508" s="2">
        <v>68</v>
      </c>
      <c r="BD508" s="2">
        <v>2.7</v>
      </c>
      <c r="BE508" s="2">
        <v>182</v>
      </c>
      <c r="BF508" s="2">
        <v>22.2</v>
      </c>
      <c r="BG508" s="2">
        <v>128</v>
      </c>
      <c r="BH508" s="2">
        <v>8.8000000000000007</v>
      </c>
      <c r="BI508" s="2">
        <v>8.3000000000000007</v>
      </c>
      <c r="BJ508" s="2">
        <v>16.899999999999999</v>
      </c>
      <c r="BK508" s="2">
        <v>0.33</v>
      </c>
      <c r="BL508" s="2">
        <v>8.1999999999999993</v>
      </c>
      <c r="BM508" s="2">
        <v>0.9</v>
      </c>
      <c r="BN508" s="2">
        <v>12.2</v>
      </c>
      <c r="BO508" s="2">
        <v>1.6</v>
      </c>
      <c r="BP508" s="2">
        <f t="shared" si="14"/>
        <v>6.4481976615886047</v>
      </c>
      <c r="BQ508" s="2">
        <f t="shared" si="15"/>
        <v>22.678924348124372</v>
      </c>
    </row>
    <row r="509" spans="1:69" x14ac:dyDescent="0.2">
      <c r="A509" s="2" t="s">
        <v>1773</v>
      </c>
      <c r="B509" s="2" t="s">
        <v>47</v>
      </c>
      <c r="C509" s="2" t="s">
        <v>48</v>
      </c>
      <c r="D509" s="2" t="s">
        <v>49</v>
      </c>
      <c r="E509" s="2" t="s">
        <v>688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89</v>
      </c>
      <c r="L509" s="6" t="s">
        <v>112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1774</v>
      </c>
      <c r="R509" s="2">
        <v>8296132.4220000003</v>
      </c>
      <c r="S509" s="2">
        <v>0</v>
      </c>
      <c r="T509" s="2" t="s">
        <v>957</v>
      </c>
      <c r="U509" s="2" t="s">
        <v>958</v>
      </c>
      <c r="V509" s="2" t="s">
        <v>56</v>
      </c>
      <c r="W509" s="2" t="s">
        <v>957</v>
      </c>
      <c r="X509" s="2" t="s">
        <v>959</v>
      </c>
      <c r="Y509" s="2">
        <v>1.89682758477526</v>
      </c>
      <c r="Z509" s="2">
        <v>1896.82758477526</v>
      </c>
      <c r="AA509" s="2">
        <v>4.5778055555555603</v>
      </c>
      <c r="AB509" s="2">
        <v>-74.166277777777793</v>
      </c>
      <c r="AC509" s="2">
        <v>2661</v>
      </c>
      <c r="AD509" s="2">
        <v>0</v>
      </c>
      <c r="AE509" s="2" t="s">
        <v>59</v>
      </c>
      <c r="AF509" s="2" t="s">
        <v>486</v>
      </c>
      <c r="AG509" s="2" t="s">
        <v>61</v>
      </c>
      <c r="AH509" s="2" t="s">
        <v>62</v>
      </c>
      <c r="AI509" s="2" t="s">
        <v>443</v>
      </c>
      <c r="AJ509" s="2">
        <v>0.55316797947801299</v>
      </c>
      <c r="AK509" s="2">
        <v>2.38800241014183</v>
      </c>
      <c r="AL509" s="2">
        <v>3.7793700338844798</v>
      </c>
      <c r="AM509" s="2">
        <v>0.196619503110049</v>
      </c>
      <c r="AN509" s="2">
        <v>1.70406947474591</v>
      </c>
      <c r="AO509" s="2">
        <v>0.17663246071983801</v>
      </c>
      <c r="AP509" s="2">
        <v>0.17663246071983801</v>
      </c>
      <c r="AQ509" s="2">
        <v>0</v>
      </c>
      <c r="AR509" s="2">
        <v>3</v>
      </c>
      <c r="AS509" s="2">
        <v>0</v>
      </c>
      <c r="AT509" s="2">
        <v>0</v>
      </c>
      <c r="AU509" s="2">
        <v>0</v>
      </c>
      <c r="AV509" s="2">
        <v>12</v>
      </c>
      <c r="AW509" s="2">
        <v>0</v>
      </c>
      <c r="AX509" s="2">
        <v>0</v>
      </c>
      <c r="AY509" s="2">
        <v>15.4</v>
      </c>
      <c r="AZ509" s="2">
        <v>7</v>
      </c>
      <c r="BA509" s="2">
        <v>23.6</v>
      </c>
      <c r="BB509" s="2">
        <v>558</v>
      </c>
      <c r="BC509" s="2">
        <v>68</v>
      </c>
      <c r="BD509" s="2">
        <v>2.7</v>
      </c>
      <c r="BE509" s="2">
        <v>182</v>
      </c>
      <c r="BF509" s="2">
        <v>22.2</v>
      </c>
      <c r="BG509" s="2">
        <v>128</v>
      </c>
      <c r="BH509" s="2">
        <v>8.8000000000000007</v>
      </c>
      <c r="BI509" s="2">
        <v>8.3000000000000007</v>
      </c>
      <c r="BJ509" s="2">
        <v>16.899999999999999</v>
      </c>
      <c r="BK509" s="2">
        <v>0.33</v>
      </c>
      <c r="BL509" s="2">
        <v>8.1999999999999993</v>
      </c>
      <c r="BM509" s="2">
        <v>0.9</v>
      </c>
      <c r="BN509" s="2">
        <v>12.2</v>
      </c>
      <c r="BO509" s="2">
        <v>1.6</v>
      </c>
      <c r="BP509" s="2">
        <f t="shared" si="14"/>
        <v>6.372661394150529</v>
      </c>
      <c r="BQ509" s="2">
        <f t="shared" si="15"/>
        <v>22.549724531971062</v>
      </c>
    </row>
    <row r="510" spans="1:69" x14ac:dyDescent="0.2">
      <c r="A510" s="2" t="s">
        <v>954</v>
      </c>
      <c r="B510" s="2" t="s">
        <v>47</v>
      </c>
      <c r="C510" s="2" t="s">
        <v>48</v>
      </c>
      <c r="D510" s="2" t="s">
        <v>49</v>
      </c>
      <c r="E510" s="2" t="s">
        <v>955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89</v>
      </c>
      <c r="L510" s="6" t="s">
        <v>112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956</v>
      </c>
      <c r="R510" s="2">
        <v>4426229.5080000004</v>
      </c>
      <c r="S510" s="2">
        <v>0</v>
      </c>
      <c r="T510" s="2" t="s">
        <v>957</v>
      </c>
      <c r="U510" s="2" t="s">
        <v>958</v>
      </c>
      <c r="V510" s="2" t="s">
        <v>56</v>
      </c>
      <c r="W510" s="2" t="s">
        <v>957</v>
      </c>
      <c r="X510" s="2" t="s">
        <v>959</v>
      </c>
      <c r="Y510" s="2">
        <v>1.05393951008576</v>
      </c>
      <c r="Z510" s="2">
        <v>1053.93951008576</v>
      </c>
      <c r="AA510" s="2">
        <v>4.5778055555555603</v>
      </c>
      <c r="AB510" s="2">
        <v>-74.166277777777793</v>
      </c>
      <c r="AC510" s="2">
        <v>2661</v>
      </c>
      <c r="AD510" s="2">
        <v>0</v>
      </c>
      <c r="AE510" s="2" t="s">
        <v>59</v>
      </c>
      <c r="AF510" s="2" t="s">
        <v>486</v>
      </c>
      <c r="AG510" s="2" t="s">
        <v>61</v>
      </c>
      <c r="AH510" s="2" t="s">
        <v>62</v>
      </c>
      <c r="AI510" s="2" t="s">
        <v>443</v>
      </c>
      <c r="AJ510" s="2">
        <v>1.10517031166941</v>
      </c>
      <c r="AK510" s="2">
        <v>2.07909995126104</v>
      </c>
      <c r="AL510" s="2">
        <v>2.6594873899805198</v>
      </c>
      <c r="AM510" s="2">
        <v>0.39962346268355903</v>
      </c>
      <c r="AN510" s="2">
        <v>1.01375767288408</v>
      </c>
      <c r="AO510" s="2">
        <v>0.181380293977844</v>
      </c>
      <c r="AP510" s="2">
        <v>0.181380293977844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15</v>
      </c>
      <c r="AW510" s="2">
        <v>0</v>
      </c>
      <c r="AX510" s="2">
        <v>0</v>
      </c>
      <c r="AY510" s="2">
        <v>15.4</v>
      </c>
      <c r="AZ510" s="2">
        <v>7</v>
      </c>
      <c r="BA510" s="2">
        <v>23.6</v>
      </c>
      <c r="BB510" s="2">
        <v>558</v>
      </c>
      <c r="BC510" s="2">
        <v>68</v>
      </c>
      <c r="BD510" s="2">
        <v>2.7</v>
      </c>
      <c r="BE510" s="2">
        <v>182</v>
      </c>
      <c r="BF510" s="2">
        <v>22.2</v>
      </c>
      <c r="BG510" s="2">
        <v>128</v>
      </c>
      <c r="BH510" s="2">
        <v>8.8000000000000007</v>
      </c>
      <c r="BI510" s="2">
        <v>8.3000000000000007</v>
      </c>
      <c r="BJ510" s="2">
        <v>16.899999999999999</v>
      </c>
      <c r="BK510" s="2">
        <v>0.33</v>
      </c>
      <c r="BL510" s="2">
        <v>8.1999999999999993</v>
      </c>
      <c r="BM510" s="2">
        <v>0.9</v>
      </c>
      <c r="BN510" s="2">
        <v>12.2</v>
      </c>
      <c r="BO510" s="2">
        <v>1.6</v>
      </c>
      <c r="BP510" s="2">
        <f t="shared" si="14"/>
        <v>6.6441724243688816</v>
      </c>
      <c r="BQ510" s="2">
        <f t="shared" si="15"/>
        <v>23.010535212893185</v>
      </c>
    </row>
    <row r="511" spans="1:69" x14ac:dyDescent="0.2">
      <c r="A511" s="2" t="s">
        <v>3234</v>
      </c>
      <c r="B511" s="2" t="s">
        <v>47</v>
      </c>
      <c r="C511" s="2" t="s">
        <v>1935</v>
      </c>
      <c r="D511" s="2" t="s">
        <v>49</v>
      </c>
      <c r="E511" s="2" t="s">
        <v>3235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89</v>
      </c>
      <c r="L511" s="6" t="s">
        <v>141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3236</v>
      </c>
      <c r="R511" s="2">
        <v>4416666.6670000004</v>
      </c>
      <c r="S511" s="2">
        <v>0</v>
      </c>
      <c r="T511" s="2" t="s">
        <v>957</v>
      </c>
      <c r="U511" s="2" t="s">
        <v>958</v>
      </c>
      <c r="V511" s="2" t="s">
        <v>56</v>
      </c>
      <c r="W511" s="2" t="s">
        <v>957</v>
      </c>
      <c r="X511" s="2" t="s">
        <v>959</v>
      </c>
      <c r="Y511" s="2">
        <v>1.09227939535421</v>
      </c>
      <c r="Z511" s="2">
        <v>1092.27939535421</v>
      </c>
      <c r="AA511" s="2">
        <v>4.5778055555555603</v>
      </c>
      <c r="AB511" s="2">
        <v>-74.166277777777793</v>
      </c>
      <c r="AC511" s="2">
        <v>2661</v>
      </c>
      <c r="AD511" s="2">
        <v>0</v>
      </c>
      <c r="AE511" s="2" t="s">
        <v>59</v>
      </c>
      <c r="AF511" s="2" t="s">
        <v>486</v>
      </c>
      <c r="AG511" s="2" t="s">
        <v>61</v>
      </c>
      <c r="AH511" s="2" t="s">
        <v>62</v>
      </c>
      <c r="AI511" s="2" t="s">
        <v>443</v>
      </c>
      <c r="AJ511" s="2">
        <v>3.0708896410076201</v>
      </c>
      <c r="AK511" s="2">
        <v>0.37219787806992599</v>
      </c>
      <c r="AL511" s="2">
        <v>4.2364868682809496</v>
      </c>
      <c r="AM511" s="2">
        <v>3.5239333886591402E-2</v>
      </c>
      <c r="AN511" s="2">
        <v>1.10173077771141</v>
      </c>
      <c r="AO511" s="2">
        <v>1.8991803037302201E-2</v>
      </c>
      <c r="AP511" s="2">
        <v>1.8991803037302201E-2</v>
      </c>
      <c r="AQ511" s="2">
        <v>0</v>
      </c>
      <c r="AR511" s="2">
        <v>0</v>
      </c>
      <c r="AS511" s="2">
        <v>3</v>
      </c>
      <c r="AT511" s="2">
        <v>6</v>
      </c>
      <c r="AU511" s="2">
        <v>0</v>
      </c>
      <c r="AV511" s="2">
        <v>2</v>
      </c>
      <c r="AW511" s="2">
        <v>0</v>
      </c>
      <c r="AX511" s="2">
        <v>0</v>
      </c>
      <c r="AY511" s="2">
        <v>15.4</v>
      </c>
      <c r="AZ511" s="2">
        <v>7</v>
      </c>
      <c r="BA511" s="2">
        <v>23.6</v>
      </c>
      <c r="BB511" s="2">
        <v>558</v>
      </c>
      <c r="BC511" s="2">
        <v>68</v>
      </c>
      <c r="BD511" s="2">
        <v>2.7</v>
      </c>
      <c r="BE511" s="2">
        <v>182</v>
      </c>
      <c r="BF511" s="2">
        <v>22.2</v>
      </c>
      <c r="BG511" s="2">
        <v>128</v>
      </c>
      <c r="BH511" s="2">
        <v>8.8000000000000007</v>
      </c>
      <c r="BI511" s="2">
        <v>8.3000000000000007</v>
      </c>
      <c r="BJ511" s="2">
        <v>16.899999999999999</v>
      </c>
      <c r="BK511" s="2">
        <v>0.33</v>
      </c>
      <c r="BL511" s="2">
        <v>8.1999999999999993</v>
      </c>
      <c r="BM511" s="2">
        <v>0.9</v>
      </c>
      <c r="BN511" s="2">
        <v>12.2</v>
      </c>
      <c r="BO511" s="2">
        <v>1.6</v>
      </c>
      <c r="BP511" s="2">
        <f t="shared" si="14"/>
        <v>6.6315749100659938</v>
      </c>
      <c r="BQ511" s="2">
        <f t="shared" si="15"/>
        <v>22.989371640572976</v>
      </c>
    </row>
    <row r="512" spans="1:69" x14ac:dyDescent="0.2">
      <c r="A512" s="2" t="s">
        <v>1018</v>
      </c>
      <c r="B512" s="2" t="s">
        <v>47</v>
      </c>
      <c r="C512" s="2" t="s">
        <v>48</v>
      </c>
      <c r="D512" s="2" t="s">
        <v>49</v>
      </c>
      <c r="E512" s="2" t="s">
        <v>1019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89</v>
      </c>
      <c r="L512" s="6" t="s">
        <v>141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1020</v>
      </c>
      <c r="R512" s="2">
        <v>4491525.4239999996</v>
      </c>
      <c r="S512" s="2">
        <v>0</v>
      </c>
      <c r="T512" s="2" t="s">
        <v>957</v>
      </c>
      <c r="U512" s="2" t="s">
        <v>958</v>
      </c>
      <c r="V512" s="2" t="s">
        <v>56</v>
      </c>
      <c r="W512" s="2" t="s">
        <v>957</v>
      </c>
      <c r="X512" s="2" t="s">
        <v>959</v>
      </c>
      <c r="Y512" s="2">
        <v>1.2152903492268701</v>
      </c>
      <c r="Z512" s="2">
        <v>1215.2903492268699</v>
      </c>
      <c r="AA512" s="2">
        <v>4.5778055555555603</v>
      </c>
      <c r="AB512" s="2">
        <v>-74.166277777777793</v>
      </c>
      <c r="AC512" s="2">
        <v>2661</v>
      </c>
      <c r="AD512" s="2">
        <v>0</v>
      </c>
      <c r="AE512" s="2" t="s">
        <v>59</v>
      </c>
      <c r="AF512" s="2" t="s">
        <v>486</v>
      </c>
      <c r="AG512" s="2" t="s">
        <v>61</v>
      </c>
      <c r="AH512" s="2" t="s">
        <v>62</v>
      </c>
      <c r="AI512" s="2" t="s">
        <v>443</v>
      </c>
      <c r="AJ512" s="2">
        <v>0.93166612641464996</v>
      </c>
      <c r="AK512" s="2">
        <v>2.2188659880483099</v>
      </c>
      <c r="AL512" s="2">
        <v>2.62601400613321</v>
      </c>
      <c r="AM512" s="2">
        <v>0.37330731013264101</v>
      </c>
      <c r="AN512" s="2">
        <v>1.18518034994471</v>
      </c>
      <c r="AO512" s="2">
        <v>0.141305591528849</v>
      </c>
      <c r="AP512" s="2">
        <v>0.141305591528849</v>
      </c>
      <c r="AQ512" s="2">
        <v>0</v>
      </c>
      <c r="AR512" s="2">
        <v>1</v>
      </c>
      <c r="AS512" s="2">
        <v>0</v>
      </c>
      <c r="AT512" s="2">
        <v>0</v>
      </c>
      <c r="AU512" s="2">
        <v>0</v>
      </c>
      <c r="AV512" s="2">
        <v>13</v>
      </c>
      <c r="AW512" s="2">
        <v>0</v>
      </c>
      <c r="AX512" s="2">
        <v>0</v>
      </c>
      <c r="AY512" s="2">
        <v>15.4</v>
      </c>
      <c r="AZ512" s="2">
        <v>7</v>
      </c>
      <c r="BA512" s="2">
        <v>23.6</v>
      </c>
      <c r="BB512" s="2">
        <v>558</v>
      </c>
      <c r="BC512" s="2">
        <v>68</v>
      </c>
      <c r="BD512" s="2">
        <v>2.7</v>
      </c>
      <c r="BE512" s="2">
        <v>182</v>
      </c>
      <c r="BF512" s="2">
        <v>22.2</v>
      </c>
      <c r="BG512" s="2">
        <v>128</v>
      </c>
      <c r="BH512" s="2">
        <v>8.8000000000000007</v>
      </c>
      <c r="BI512" s="2">
        <v>8.3000000000000007</v>
      </c>
      <c r="BJ512" s="2">
        <v>16.899999999999999</v>
      </c>
      <c r="BK512" s="2">
        <v>0.33</v>
      </c>
      <c r="BL512" s="2">
        <v>8.1999999999999993</v>
      </c>
      <c r="BM512" s="2">
        <v>0.9</v>
      </c>
      <c r="BN512" s="2">
        <v>12.2</v>
      </c>
      <c r="BO512" s="2">
        <v>1.6</v>
      </c>
      <c r="BP512" s="2">
        <f t="shared" si="14"/>
        <v>6.5913176589091966</v>
      </c>
      <c r="BQ512" s="2">
        <f t="shared" si="15"/>
        <v>22.92160105925586</v>
      </c>
    </row>
    <row r="513" spans="1:69" x14ac:dyDescent="0.2">
      <c r="A513" s="2" t="s">
        <v>1526</v>
      </c>
      <c r="B513" s="2" t="s">
        <v>47</v>
      </c>
      <c r="C513" s="2" t="s">
        <v>48</v>
      </c>
      <c r="D513" s="2" t="s">
        <v>49</v>
      </c>
      <c r="E513" s="2" t="s">
        <v>1019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89</v>
      </c>
      <c r="L513" s="6" t="s">
        <v>103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1527</v>
      </c>
      <c r="R513" s="2">
        <v>3915254.2370000002</v>
      </c>
      <c r="S513" s="2">
        <v>0</v>
      </c>
      <c r="T513" s="2" t="s">
        <v>957</v>
      </c>
      <c r="U513" s="2" t="s">
        <v>958</v>
      </c>
      <c r="V513" s="2" t="s">
        <v>56</v>
      </c>
      <c r="W513" s="2" t="s">
        <v>957</v>
      </c>
      <c r="X513" s="2" t="s">
        <v>959</v>
      </c>
      <c r="Y513" s="2">
        <v>1.2349183277448901</v>
      </c>
      <c r="Z513" s="2">
        <v>1234.9183277448899</v>
      </c>
      <c r="AA513" s="2">
        <v>4.5778055555555603</v>
      </c>
      <c r="AB513" s="2">
        <v>-74.166277777777793</v>
      </c>
      <c r="AC513" s="2">
        <v>2661</v>
      </c>
      <c r="AD513" s="2">
        <v>0</v>
      </c>
      <c r="AE513" s="2" t="s">
        <v>59</v>
      </c>
      <c r="AF513" s="2" t="s">
        <v>486</v>
      </c>
      <c r="AG513" s="2" t="s">
        <v>61</v>
      </c>
      <c r="AH513" s="2" t="s">
        <v>62</v>
      </c>
      <c r="AI513" s="2" t="s">
        <v>443</v>
      </c>
      <c r="AJ513" s="2">
        <v>0.90990059553175695</v>
      </c>
      <c r="AK513" s="2">
        <v>2.2355270963725502</v>
      </c>
      <c r="AL513" s="2">
        <v>2.6243665592835201</v>
      </c>
      <c r="AM513" s="2">
        <v>0.37433742277905202</v>
      </c>
      <c r="AN513" s="2">
        <v>1.2060735638657001</v>
      </c>
      <c r="AO513" s="2">
        <v>0.132046426262039</v>
      </c>
      <c r="AP513" s="2">
        <v>0.132046426262039</v>
      </c>
      <c r="AQ513" s="2">
        <v>0</v>
      </c>
      <c r="AR513" s="2">
        <v>1</v>
      </c>
      <c r="AS513" s="2">
        <v>0</v>
      </c>
      <c r="AT513" s="2">
        <v>0</v>
      </c>
      <c r="AU513" s="2">
        <v>0</v>
      </c>
      <c r="AV513" s="2">
        <v>13</v>
      </c>
      <c r="AW513" s="2">
        <v>0</v>
      </c>
      <c r="AX513" s="2">
        <v>0</v>
      </c>
      <c r="AY513" s="2">
        <v>15.4</v>
      </c>
      <c r="AZ513" s="2">
        <v>7</v>
      </c>
      <c r="BA513" s="2">
        <v>23.6</v>
      </c>
      <c r="BB513" s="2">
        <v>558</v>
      </c>
      <c r="BC513" s="2">
        <v>68</v>
      </c>
      <c r="BD513" s="2">
        <v>2.7</v>
      </c>
      <c r="BE513" s="2">
        <v>182</v>
      </c>
      <c r="BF513" s="2">
        <v>22.2</v>
      </c>
      <c r="BG513" s="2">
        <v>128</v>
      </c>
      <c r="BH513" s="2">
        <v>8.8000000000000007</v>
      </c>
      <c r="BI513" s="2">
        <v>8.3000000000000007</v>
      </c>
      <c r="BJ513" s="2">
        <v>16.899999999999999</v>
      </c>
      <c r="BK513" s="2">
        <v>0.33</v>
      </c>
      <c r="BL513" s="2">
        <v>8.1999999999999993</v>
      </c>
      <c r="BM513" s="2">
        <v>0.9</v>
      </c>
      <c r="BN513" s="2">
        <v>12.2</v>
      </c>
      <c r="BO513" s="2">
        <v>1.6</v>
      </c>
      <c r="BP513" s="2">
        <f t="shared" si="14"/>
        <v>6.584916743978968</v>
      </c>
      <c r="BQ513" s="2">
        <f t="shared" si="15"/>
        <v>22.910805889467262</v>
      </c>
    </row>
    <row r="514" spans="1:69" x14ac:dyDescent="0.2">
      <c r="A514" s="2" t="s">
        <v>1275</v>
      </c>
      <c r="B514" s="2" t="s">
        <v>47</v>
      </c>
      <c r="C514" s="2" t="s">
        <v>48</v>
      </c>
      <c r="D514" s="2" t="s">
        <v>49</v>
      </c>
      <c r="E514" s="2" t="s">
        <v>1276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89</v>
      </c>
      <c r="L514" s="6" t="s">
        <v>94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1277</v>
      </c>
      <c r="R514" s="2">
        <v>4666666.6670000004</v>
      </c>
      <c r="S514" s="2">
        <v>0</v>
      </c>
      <c r="T514" s="2" t="s">
        <v>957</v>
      </c>
      <c r="U514" s="2" t="s">
        <v>958</v>
      </c>
      <c r="V514" s="2" t="s">
        <v>56</v>
      </c>
      <c r="W514" s="2" t="s">
        <v>957</v>
      </c>
      <c r="X514" s="2" t="s">
        <v>959</v>
      </c>
      <c r="Y514" s="2">
        <v>1.22987331642359</v>
      </c>
      <c r="Z514" s="2">
        <v>1229.87331642359</v>
      </c>
      <c r="AA514" s="2">
        <v>4.5778055555555603</v>
      </c>
      <c r="AB514" s="2">
        <v>-74.166277777777793</v>
      </c>
      <c r="AC514" s="2">
        <v>2661</v>
      </c>
      <c r="AD514" s="2">
        <v>0</v>
      </c>
      <c r="AE514" s="2" t="s">
        <v>59</v>
      </c>
      <c r="AF514" s="2" t="s">
        <v>486</v>
      </c>
      <c r="AG514" s="2" t="s">
        <v>61</v>
      </c>
      <c r="AH514" s="2" t="s">
        <v>62</v>
      </c>
      <c r="AI514" s="2" t="s">
        <v>443</v>
      </c>
      <c r="AJ514" s="2">
        <v>0.92030448700993195</v>
      </c>
      <c r="AK514" s="2">
        <v>2.23277369554238</v>
      </c>
      <c r="AL514" s="2">
        <v>2.6188728275957498</v>
      </c>
      <c r="AM514" s="2">
        <v>0.37990894170775302</v>
      </c>
      <c r="AN514" s="2">
        <v>1.1996821189312401</v>
      </c>
      <c r="AO514" s="2">
        <v>0.14144735990694099</v>
      </c>
      <c r="AP514" s="2">
        <v>0.14144735990694099</v>
      </c>
      <c r="AQ514" s="2">
        <v>0</v>
      </c>
      <c r="AR514" s="2">
        <v>1</v>
      </c>
      <c r="AS514" s="2">
        <v>0</v>
      </c>
      <c r="AT514" s="2">
        <v>0</v>
      </c>
      <c r="AU514" s="2">
        <v>0</v>
      </c>
      <c r="AV514" s="2">
        <v>13</v>
      </c>
      <c r="AW514" s="2">
        <v>0</v>
      </c>
      <c r="AX514" s="2">
        <v>0</v>
      </c>
      <c r="AY514" s="2">
        <v>15.4</v>
      </c>
      <c r="AZ514" s="2">
        <v>7</v>
      </c>
      <c r="BA514" s="2">
        <v>23.6</v>
      </c>
      <c r="BB514" s="2">
        <v>558</v>
      </c>
      <c r="BC514" s="2">
        <v>68</v>
      </c>
      <c r="BD514" s="2">
        <v>2.7</v>
      </c>
      <c r="BE514" s="2">
        <v>182</v>
      </c>
      <c r="BF514" s="2">
        <v>22.2</v>
      </c>
      <c r="BG514" s="2">
        <v>128</v>
      </c>
      <c r="BH514" s="2">
        <v>8.8000000000000007</v>
      </c>
      <c r="BI514" s="2">
        <v>8.3000000000000007</v>
      </c>
      <c r="BJ514" s="2">
        <v>16.899999999999999</v>
      </c>
      <c r="BK514" s="2">
        <v>0.33</v>
      </c>
      <c r="BL514" s="2">
        <v>8.1999999999999993</v>
      </c>
      <c r="BM514" s="2">
        <v>0.9</v>
      </c>
      <c r="BN514" s="2">
        <v>12.2</v>
      </c>
      <c r="BO514" s="2">
        <v>1.6</v>
      </c>
      <c r="BP514" s="2">
        <f t="shared" ref="BP514:BP577" si="16">+AZ514*EXP(-0.0495*Y514)</f>
        <v>6.5865613878136768</v>
      </c>
      <c r="BQ514" s="2">
        <f t="shared" ref="BQ514:BQ577" si="17">+BA514*EXP(-0.024*Y514)</f>
        <v>22.91358010401742</v>
      </c>
    </row>
    <row r="515" spans="1:69" x14ac:dyDescent="0.2">
      <c r="A515" s="2" t="s">
        <v>4652</v>
      </c>
      <c r="B515" s="2" t="s">
        <v>47</v>
      </c>
      <c r="C515" s="2" t="s">
        <v>3273</v>
      </c>
      <c r="D515" s="2" t="s">
        <v>49</v>
      </c>
      <c r="E515" s="2" t="s">
        <v>913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89</v>
      </c>
      <c r="L515" s="6" t="s">
        <v>90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4653</v>
      </c>
      <c r="R515" s="2">
        <v>6780195.5219999999</v>
      </c>
      <c r="S515" s="2">
        <v>0</v>
      </c>
      <c r="T515" s="2" t="s">
        <v>957</v>
      </c>
      <c r="U515" s="2" t="s">
        <v>958</v>
      </c>
      <c r="V515" s="2" t="s">
        <v>56</v>
      </c>
      <c r="W515" s="2" t="s">
        <v>957</v>
      </c>
      <c r="X515" s="2" t="s">
        <v>959</v>
      </c>
      <c r="Y515" s="2">
        <v>1.9751381336368801</v>
      </c>
      <c r="Z515" s="2">
        <v>1975.13813363688</v>
      </c>
      <c r="AA515" s="2">
        <v>4.5778055555555603</v>
      </c>
      <c r="AB515" s="2">
        <v>-74.166277777777793</v>
      </c>
      <c r="AC515" s="2">
        <v>2661</v>
      </c>
      <c r="AD515" s="2">
        <v>0</v>
      </c>
      <c r="AE515" s="2" t="s">
        <v>59</v>
      </c>
      <c r="AF515" s="2" t="s">
        <v>486</v>
      </c>
      <c r="AG515" s="2" t="s">
        <v>61</v>
      </c>
      <c r="AH515" s="2" t="s">
        <v>62</v>
      </c>
      <c r="AI515" s="2" t="s">
        <v>443</v>
      </c>
      <c r="AJ515" s="2">
        <v>0.21070596630020799</v>
      </c>
      <c r="AK515" s="2">
        <v>2.61915078006813</v>
      </c>
      <c r="AL515" s="2">
        <v>3.4628564524207999</v>
      </c>
      <c r="AM515" s="2">
        <v>0.17402495314361999</v>
      </c>
      <c r="AN515" s="2">
        <v>1.9439599602617701</v>
      </c>
      <c r="AO515" s="2">
        <v>3.1595399878037301E-3</v>
      </c>
      <c r="AP515" s="2">
        <v>3.1595399878037301E-3</v>
      </c>
      <c r="AQ515" s="2">
        <v>1</v>
      </c>
      <c r="AR515" s="2">
        <v>2</v>
      </c>
      <c r="AS515" s="2">
        <v>0</v>
      </c>
      <c r="AT515" s="2">
        <v>0</v>
      </c>
      <c r="AU515" s="2">
        <v>0</v>
      </c>
      <c r="AV515" s="2">
        <v>11</v>
      </c>
      <c r="AW515" s="2">
        <v>0</v>
      </c>
      <c r="AX515" s="2">
        <v>0</v>
      </c>
      <c r="AY515" s="2">
        <v>15.4</v>
      </c>
      <c r="AZ515" s="2">
        <v>7</v>
      </c>
      <c r="BA515" s="2">
        <v>23.6</v>
      </c>
      <c r="BB515" s="2">
        <v>558</v>
      </c>
      <c r="BC515" s="2">
        <v>68</v>
      </c>
      <c r="BD515" s="2">
        <v>2.7</v>
      </c>
      <c r="BE515" s="2">
        <v>182</v>
      </c>
      <c r="BF515" s="2">
        <v>22.2</v>
      </c>
      <c r="BG515" s="2">
        <v>128</v>
      </c>
      <c r="BH515" s="2">
        <v>8.8000000000000007</v>
      </c>
      <c r="BI515" s="2">
        <v>8.3000000000000007</v>
      </c>
      <c r="BJ515" s="2">
        <v>16.899999999999999</v>
      </c>
      <c r="BK515" s="2">
        <v>0.33</v>
      </c>
      <c r="BL515" s="2">
        <v>8.1999999999999993</v>
      </c>
      <c r="BM515" s="2">
        <v>0.9</v>
      </c>
      <c r="BN515" s="2">
        <v>12.2</v>
      </c>
      <c r="BO515" s="2">
        <v>1.6</v>
      </c>
      <c r="BP515" s="2">
        <f t="shared" si="16"/>
        <v>6.3480064037140718</v>
      </c>
      <c r="BQ515" s="2">
        <f t="shared" si="17"/>
        <v>22.507383182411981</v>
      </c>
    </row>
    <row r="516" spans="1:69" x14ac:dyDescent="0.2">
      <c r="A516" s="2" t="s">
        <v>3073</v>
      </c>
      <c r="B516" s="2" t="s">
        <v>47</v>
      </c>
      <c r="C516" s="2" t="s">
        <v>1935</v>
      </c>
      <c r="D516" s="2" t="s">
        <v>49</v>
      </c>
      <c r="E516" s="2" t="s">
        <v>3074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89</v>
      </c>
      <c r="L516" s="6" t="s">
        <v>141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3075</v>
      </c>
      <c r="R516" s="2">
        <v>1441647.5970000001</v>
      </c>
      <c r="S516" s="2">
        <v>0</v>
      </c>
      <c r="T516" s="2" t="s">
        <v>77</v>
      </c>
      <c r="U516" s="2" t="s">
        <v>504</v>
      </c>
      <c r="V516" s="2" t="s">
        <v>56</v>
      </c>
      <c r="W516" s="2" t="s">
        <v>77</v>
      </c>
      <c r="X516" s="2" t="s">
        <v>505</v>
      </c>
      <c r="Y516" s="2">
        <v>0.54815539724571305</v>
      </c>
      <c r="Z516" s="2">
        <v>548.15539724571295</v>
      </c>
      <c r="AA516" s="2">
        <v>4.6782416666666702</v>
      </c>
      <c r="AB516" s="2">
        <v>-74.143819444444404</v>
      </c>
      <c r="AC516" s="2">
        <v>2551</v>
      </c>
      <c r="AD516" s="2">
        <v>11</v>
      </c>
      <c r="AE516" s="2" t="s">
        <v>59</v>
      </c>
      <c r="AF516" s="2" t="s">
        <v>60</v>
      </c>
      <c r="AG516" s="2" t="s">
        <v>61</v>
      </c>
      <c r="AH516" s="2" t="s">
        <v>62</v>
      </c>
      <c r="AI516" s="2" t="s">
        <v>71</v>
      </c>
      <c r="AJ516" s="2">
        <v>1.98826594815728</v>
      </c>
      <c r="AK516" s="2">
        <v>2.4791232010890498</v>
      </c>
      <c r="AL516" s="2">
        <v>0.24899229797297101</v>
      </c>
      <c r="AM516" s="2">
        <v>5.7024947187384399E-2</v>
      </c>
      <c r="AN516" s="2">
        <v>1.6557476511878</v>
      </c>
      <c r="AO516" s="2">
        <v>0.12164951402839801</v>
      </c>
      <c r="AP516" s="2">
        <v>0.12164951402839801</v>
      </c>
      <c r="AQ516" s="2">
        <v>0</v>
      </c>
      <c r="AR516" s="2">
        <v>0</v>
      </c>
      <c r="AS516" s="2">
        <v>0</v>
      </c>
      <c r="AT516" s="2">
        <v>0</v>
      </c>
      <c r="AU516" s="2">
        <v>1</v>
      </c>
      <c r="AV516" s="2">
        <v>27</v>
      </c>
      <c r="AW516" s="2">
        <v>0</v>
      </c>
      <c r="AX516" s="2">
        <v>0</v>
      </c>
      <c r="AY516" s="2">
        <v>15.8</v>
      </c>
      <c r="AZ516" s="2">
        <v>17.100000000000001</v>
      </c>
      <c r="BA516" s="2">
        <v>23</v>
      </c>
      <c r="BB516" s="2">
        <v>565</v>
      </c>
      <c r="BC516" s="2">
        <v>68</v>
      </c>
      <c r="BD516" s="2">
        <v>2.2999999999999998</v>
      </c>
      <c r="BE516" s="2">
        <v>68</v>
      </c>
      <c r="BF516" s="2">
        <v>17.600000000000001</v>
      </c>
      <c r="BG516" s="2">
        <v>162</v>
      </c>
      <c r="BH516" s="2">
        <v>19.7</v>
      </c>
      <c r="BI516" s="2">
        <v>16.7</v>
      </c>
      <c r="BJ516" s="2">
        <v>36.4</v>
      </c>
      <c r="BK516" s="2">
        <v>0.66</v>
      </c>
      <c r="BL516" s="2">
        <v>5.6</v>
      </c>
      <c r="BM516" s="2">
        <v>1.5</v>
      </c>
      <c r="BN516" s="2">
        <v>7.5</v>
      </c>
      <c r="BO516" s="2">
        <v>2.9</v>
      </c>
      <c r="BP516" s="2">
        <f t="shared" si="16"/>
        <v>16.642252142633929</v>
      </c>
      <c r="BQ516" s="2">
        <f t="shared" si="17"/>
        <v>22.699399863242498</v>
      </c>
    </row>
    <row r="517" spans="1:69" x14ac:dyDescent="0.2">
      <c r="A517" s="2" t="s">
        <v>2910</v>
      </c>
      <c r="B517" s="2" t="s">
        <v>47</v>
      </c>
      <c r="C517" s="2" t="s">
        <v>1935</v>
      </c>
      <c r="D517" s="2" t="s">
        <v>49</v>
      </c>
      <c r="E517" s="2" t="s">
        <v>2911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89</v>
      </c>
      <c r="L517" s="6" t="s">
        <v>141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2912</v>
      </c>
      <c r="R517" s="2">
        <v>2990654.2059999998</v>
      </c>
      <c r="S517" s="2">
        <v>0</v>
      </c>
      <c r="T517" s="2" t="s">
        <v>77</v>
      </c>
      <c r="U517" s="2" t="s">
        <v>504</v>
      </c>
      <c r="V517" s="2" t="s">
        <v>56</v>
      </c>
      <c r="W517" s="2" t="s">
        <v>77</v>
      </c>
      <c r="X517" s="2" t="s">
        <v>505</v>
      </c>
      <c r="Y517" s="2">
        <v>3.3638231347551701</v>
      </c>
      <c r="Z517" s="2">
        <v>3363.82313475517</v>
      </c>
      <c r="AA517" s="2">
        <v>4.6782416666666702</v>
      </c>
      <c r="AB517" s="2">
        <v>-74.143819444444404</v>
      </c>
      <c r="AC517" s="2">
        <v>2551</v>
      </c>
      <c r="AD517" s="2">
        <v>11</v>
      </c>
      <c r="AE517" s="2" t="s">
        <v>59</v>
      </c>
      <c r="AF517" s="2" t="s">
        <v>60</v>
      </c>
      <c r="AG517" s="2" t="s">
        <v>61</v>
      </c>
      <c r="AH517" s="2" t="s">
        <v>62</v>
      </c>
      <c r="AI517" s="2" t="s">
        <v>391</v>
      </c>
      <c r="AJ517" s="2">
        <v>1.7535856698440999</v>
      </c>
      <c r="AK517" s="2">
        <v>2.6362482055852601</v>
      </c>
      <c r="AL517" s="2">
        <v>1.91658730305886</v>
      </c>
      <c r="AM517" s="2">
        <v>0.34294366644449698</v>
      </c>
      <c r="AN517" s="2">
        <v>2.1410053165120999</v>
      </c>
      <c r="AO517" s="2">
        <v>1.8070956051385902E-2</v>
      </c>
      <c r="AP517" s="2">
        <v>1.8070956051385902E-2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16</v>
      </c>
      <c r="AW517" s="2">
        <v>0</v>
      </c>
      <c r="AX517" s="2">
        <v>0</v>
      </c>
      <c r="AY517" s="2">
        <v>15.8</v>
      </c>
      <c r="AZ517" s="2">
        <v>17.100000000000001</v>
      </c>
      <c r="BA517" s="2">
        <v>23</v>
      </c>
      <c r="BB517" s="2">
        <v>565</v>
      </c>
      <c r="BC517" s="2">
        <v>68</v>
      </c>
      <c r="BD517" s="2">
        <v>2.2999999999999998</v>
      </c>
      <c r="BE517" s="2">
        <v>68</v>
      </c>
      <c r="BF517" s="2">
        <v>17.600000000000001</v>
      </c>
      <c r="BG517" s="2">
        <v>162</v>
      </c>
      <c r="BH517" s="2">
        <v>19.7</v>
      </c>
      <c r="BI517" s="2">
        <v>16.7</v>
      </c>
      <c r="BJ517" s="2">
        <v>36.4</v>
      </c>
      <c r="BK517" s="2">
        <v>0.66</v>
      </c>
      <c r="BL517" s="2">
        <v>5.6</v>
      </c>
      <c r="BM517" s="2">
        <v>1.5</v>
      </c>
      <c r="BN517" s="2">
        <v>7.5</v>
      </c>
      <c r="BO517" s="2">
        <v>2.9</v>
      </c>
      <c r="BP517" s="2">
        <f t="shared" si="16"/>
        <v>14.477116325570261</v>
      </c>
      <c r="BQ517" s="2">
        <f t="shared" si="17"/>
        <v>21.216145259905701</v>
      </c>
    </row>
    <row r="518" spans="1:69" x14ac:dyDescent="0.2">
      <c r="A518" s="2" t="s">
        <v>3205</v>
      </c>
      <c r="B518" s="2" t="s">
        <v>47</v>
      </c>
      <c r="C518" s="2" t="s">
        <v>1935</v>
      </c>
      <c r="D518" s="2" t="s">
        <v>49</v>
      </c>
      <c r="E518" s="2" t="s">
        <v>3206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89</v>
      </c>
      <c r="L518" s="6" t="s">
        <v>90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3207</v>
      </c>
      <c r="R518" s="2">
        <v>1932773.1089999999</v>
      </c>
      <c r="S518" s="2">
        <v>0</v>
      </c>
      <c r="T518" s="2" t="s">
        <v>75</v>
      </c>
      <c r="U518" s="2" t="s">
        <v>76</v>
      </c>
      <c r="V518" s="2" t="s">
        <v>56</v>
      </c>
      <c r="W518" s="2" t="s">
        <v>77</v>
      </c>
      <c r="X518" s="2" t="s">
        <v>78</v>
      </c>
      <c r="Y518" s="2">
        <v>0.443414226381871</v>
      </c>
      <c r="Z518" s="2">
        <v>443.414226381871</v>
      </c>
      <c r="AA518" s="2">
        <v>4.6680000000000001</v>
      </c>
      <c r="AB518" s="2">
        <v>-74.148499999999999</v>
      </c>
      <c r="AC518" s="2">
        <v>2547</v>
      </c>
      <c r="AD518" s="2">
        <v>0</v>
      </c>
      <c r="AE518" s="2" t="s">
        <v>59</v>
      </c>
      <c r="AF518" s="2" t="s">
        <v>79</v>
      </c>
      <c r="AG518" s="2" t="s">
        <v>61</v>
      </c>
      <c r="AH518" s="2" t="s">
        <v>62</v>
      </c>
      <c r="AI518" s="2" t="s">
        <v>71</v>
      </c>
      <c r="AJ518" s="2">
        <v>2.92419276326773</v>
      </c>
      <c r="AK518" s="2">
        <v>1.46977138603262</v>
      </c>
      <c r="AL518" s="2">
        <v>1.5934472279242</v>
      </c>
      <c r="AM518" s="2">
        <v>0.10004530080424801</v>
      </c>
      <c r="AN518" s="2">
        <v>0.477868573224281</v>
      </c>
      <c r="AO518" s="2">
        <v>0.14576193514633501</v>
      </c>
      <c r="AP518" s="2">
        <v>0.14576193514633501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27</v>
      </c>
      <c r="AW518" s="2">
        <v>1</v>
      </c>
      <c r="AX518" s="2">
        <v>0</v>
      </c>
      <c r="AY518" s="2">
        <v>15.8</v>
      </c>
      <c r="AZ518" s="2">
        <v>17.100000000000001</v>
      </c>
      <c r="BA518" s="2">
        <v>23</v>
      </c>
      <c r="BB518" s="2">
        <v>565</v>
      </c>
      <c r="BC518" s="2">
        <v>68</v>
      </c>
      <c r="BD518" s="2">
        <v>2.2999999999999998</v>
      </c>
      <c r="BE518" s="2">
        <v>68</v>
      </c>
      <c r="BF518" s="2">
        <v>17.600000000000001</v>
      </c>
      <c r="BG518" s="2">
        <v>162</v>
      </c>
      <c r="BH518" s="2">
        <v>19.7</v>
      </c>
      <c r="BI518" s="2">
        <v>16.7</v>
      </c>
      <c r="BJ518" s="2">
        <v>36.4</v>
      </c>
      <c r="BK518" s="2">
        <v>0.66</v>
      </c>
      <c r="BL518" s="2">
        <v>5.6</v>
      </c>
      <c r="BM518" s="2">
        <v>1.5</v>
      </c>
      <c r="BN518" s="2">
        <v>7.5</v>
      </c>
      <c r="BO518" s="2">
        <v>2.9</v>
      </c>
      <c r="BP518" s="2">
        <f t="shared" si="16"/>
        <v>16.728761094080156</v>
      </c>
      <c r="BQ518" s="2">
        <f t="shared" si="17"/>
        <v>22.756533124883074</v>
      </c>
    </row>
    <row r="519" spans="1:69" x14ac:dyDescent="0.2">
      <c r="A519" s="2" t="s">
        <v>2617</v>
      </c>
      <c r="B519" s="2" t="s">
        <v>47</v>
      </c>
      <c r="C519" s="2" t="s">
        <v>1935</v>
      </c>
      <c r="D519" s="2" t="s">
        <v>49</v>
      </c>
      <c r="E519" s="2" t="s">
        <v>150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89</v>
      </c>
      <c r="L519" s="6" t="s">
        <v>141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2618</v>
      </c>
      <c r="R519" s="2">
        <v>4259016.3930000002</v>
      </c>
      <c r="S519" s="2">
        <v>0</v>
      </c>
      <c r="T519" s="2" t="s">
        <v>77</v>
      </c>
      <c r="U519" s="2" t="s">
        <v>504</v>
      </c>
      <c r="V519" s="2" t="s">
        <v>56</v>
      </c>
      <c r="W519" s="2" t="s">
        <v>77</v>
      </c>
      <c r="X519" s="2" t="s">
        <v>505</v>
      </c>
      <c r="Y519" s="2">
        <v>3.0086070383389001</v>
      </c>
      <c r="Z519" s="2">
        <v>3008.6070383389001</v>
      </c>
      <c r="AA519" s="2">
        <v>4.6782416666666702</v>
      </c>
      <c r="AB519" s="2">
        <v>-74.143819444444404</v>
      </c>
      <c r="AC519" s="2">
        <v>2551</v>
      </c>
      <c r="AD519" s="2">
        <v>11</v>
      </c>
      <c r="AE519" s="2" t="s">
        <v>59</v>
      </c>
      <c r="AF519" s="2" t="s">
        <v>60</v>
      </c>
      <c r="AG519" s="2" t="s">
        <v>61</v>
      </c>
      <c r="AH519" s="2" t="s">
        <v>62</v>
      </c>
      <c r="AI519" s="2" t="s">
        <v>71</v>
      </c>
      <c r="AJ519" s="2">
        <v>0.48180040807630797</v>
      </c>
      <c r="AK519" s="2">
        <v>4.4553613753153698</v>
      </c>
      <c r="AL519" s="2">
        <v>1.87304164564644</v>
      </c>
      <c r="AM519" s="2">
        <v>0.28532167921382701</v>
      </c>
      <c r="AN519" s="2">
        <v>2.19345785048939</v>
      </c>
      <c r="AO519" s="2">
        <v>0.22908225412501601</v>
      </c>
      <c r="AP519" s="2">
        <v>0.22908225412501601</v>
      </c>
      <c r="AQ519" s="2">
        <v>1</v>
      </c>
      <c r="AR519" s="2">
        <v>2</v>
      </c>
      <c r="AS519" s="2">
        <v>0</v>
      </c>
      <c r="AT519" s="2">
        <v>0</v>
      </c>
      <c r="AU519" s="2">
        <v>0</v>
      </c>
      <c r="AV519" s="2">
        <v>30</v>
      </c>
      <c r="AW519" s="2">
        <v>0</v>
      </c>
      <c r="AX519" s="2">
        <v>0</v>
      </c>
      <c r="AY519" s="2">
        <v>15.8</v>
      </c>
      <c r="AZ519" s="2">
        <v>17.100000000000001</v>
      </c>
      <c r="BA519" s="2">
        <v>23</v>
      </c>
      <c r="BB519" s="2">
        <v>565</v>
      </c>
      <c r="BC519" s="2">
        <v>68</v>
      </c>
      <c r="BD519" s="2">
        <v>2.2999999999999998</v>
      </c>
      <c r="BE519" s="2">
        <v>68</v>
      </c>
      <c r="BF519" s="2">
        <v>17.600000000000001</v>
      </c>
      <c r="BG519" s="2">
        <v>162</v>
      </c>
      <c r="BH519" s="2">
        <v>19.7</v>
      </c>
      <c r="BI519" s="2">
        <v>16.7</v>
      </c>
      <c r="BJ519" s="2">
        <v>36.4</v>
      </c>
      <c r="BK519" s="2">
        <v>0.66</v>
      </c>
      <c r="BL519" s="2">
        <v>5.6</v>
      </c>
      <c r="BM519" s="2">
        <v>1.5</v>
      </c>
      <c r="BN519" s="2">
        <v>7.5</v>
      </c>
      <c r="BO519" s="2">
        <v>2.9</v>
      </c>
      <c r="BP519" s="2">
        <f t="shared" si="16"/>
        <v>14.73392142158063</v>
      </c>
      <c r="BQ519" s="2">
        <f t="shared" si="17"/>
        <v>21.397790028717278</v>
      </c>
    </row>
    <row r="520" spans="1:69" x14ac:dyDescent="0.2">
      <c r="A520" s="2" t="s">
        <v>2641</v>
      </c>
      <c r="B520" s="2" t="s">
        <v>47</v>
      </c>
      <c r="C520" s="2" t="s">
        <v>1935</v>
      </c>
      <c r="D520" s="2" t="s">
        <v>49</v>
      </c>
      <c r="E520" s="2" t="s">
        <v>2642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89</v>
      </c>
      <c r="L520" s="6" t="s">
        <v>141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2643</v>
      </c>
      <c r="R520" s="2">
        <v>2300000</v>
      </c>
      <c r="S520" s="2">
        <v>0</v>
      </c>
      <c r="T520" s="2" t="s">
        <v>77</v>
      </c>
      <c r="U520" s="2" t="s">
        <v>504</v>
      </c>
      <c r="V520" s="2" t="s">
        <v>56</v>
      </c>
      <c r="W520" s="2" t="s">
        <v>77</v>
      </c>
      <c r="X520" s="2" t="s">
        <v>505</v>
      </c>
      <c r="Y520" s="2">
        <v>4.2237305127908202</v>
      </c>
      <c r="Z520" s="2">
        <v>4223.7305127908203</v>
      </c>
      <c r="AA520" s="2">
        <v>4.6782416666666702</v>
      </c>
      <c r="AB520" s="2">
        <v>-74.143819444444404</v>
      </c>
      <c r="AC520" s="2">
        <v>2551</v>
      </c>
      <c r="AD520" s="2">
        <v>11</v>
      </c>
      <c r="AE520" s="2" t="s">
        <v>59</v>
      </c>
      <c r="AF520" s="2" t="s">
        <v>60</v>
      </c>
      <c r="AG520" s="2" t="s">
        <v>61</v>
      </c>
      <c r="AH520" s="2" t="s">
        <v>62</v>
      </c>
      <c r="AI520" s="2" t="s">
        <v>391</v>
      </c>
      <c r="AJ520" s="2">
        <v>1.25843336788802</v>
      </c>
      <c r="AK520" s="2">
        <v>3.8498295426474298</v>
      </c>
      <c r="AL520" s="2">
        <v>0.25842400207664301</v>
      </c>
      <c r="AM520" s="2">
        <v>0.18530012736858301</v>
      </c>
      <c r="AN520" s="2">
        <v>0.88039859883028004</v>
      </c>
      <c r="AO520" s="2">
        <v>6.0527192218848801E-2</v>
      </c>
      <c r="AP520" s="2">
        <v>6.0527192218848801E-2</v>
      </c>
      <c r="AQ520" s="2">
        <v>0</v>
      </c>
      <c r="AR520" s="2">
        <v>0</v>
      </c>
      <c r="AS520" s="2">
        <v>0</v>
      </c>
      <c r="AT520" s="2">
        <v>0</v>
      </c>
      <c r="AU520" s="2">
        <v>1</v>
      </c>
      <c r="AV520" s="2">
        <v>11</v>
      </c>
      <c r="AW520" s="2">
        <v>1</v>
      </c>
      <c r="AX520" s="2">
        <v>0</v>
      </c>
      <c r="AY520" s="2">
        <v>15.8</v>
      </c>
      <c r="AZ520" s="2">
        <v>17.100000000000001</v>
      </c>
      <c r="BA520" s="2">
        <v>23</v>
      </c>
      <c r="BB520" s="2">
        <v>565</v>
      </c>
      <c r="BC520" s="2">
        <v>68</v>
      </c>
      <c r="BD520" s="2">
        <v>2.2999999999999998</v>
      </c>
      <c r="BE520" s="2">
        <v>68</v>
      </c>
      <c r="BF520" s="2">
        <v>17.600000000000001</v>
      </c>
      <c r="BG520" s="2">
        <v>162</v>
      </c>
      <c r="BH520" s="2">
        <v>19.7</v>
      </c>
      <c r="BI520" s="2">
        <v>16.7</v>
      </c>
      <c r="BJ520" s="2">
        <v>36.4</v>
      </c>
      <c r="BK520" s="2">
        <v>0.66</v>
      </c>
      <c r="BL520" s="2">
        <v>5.6</v>
      </c>
      <c r="BM520" s="2">
        <v>1.5</v>
      </c>
      <c r="BN520" s="2">
        <v>7.5</v>
      </c>
      <c r="BO520" s="2">
        <v>2.9</v>
      </c>
      <c r="BP520" s="2">
        <f t="shared" si="16"/>
        <v>13.873822665917899</v>
      </c>
      <c r="BQ520" s="2">
        <f t="shared" si="17"/>
        <v>20.782778429154625</v>
      </c>
    </row>
    <row r="521" spans="1:69" x14ac:dyDescent="0.2">
      <c r="A521" s="2" t="s">
        <v>2458</v>
      </c>
      <c r="B521" s="2" t="s">
        <v>47</v>
      </c>
      <c r="C521" s="2" t="s">
        <v>1935</v>
      </c>
      <c r="D521" s="2" t="s">
        <v>49</v>
      </c>
      <c r="E521" s="2" t="s">
        <v>52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89</v>
      </c>
      <c r="L521" s="6" t="s">
        <v>141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2459</v>
      </c>
      <c r="R521" s="2">
        <v>2300000</v>
      </c>
      <c r="S521" s="2">
        <v>0</v>
      </c>
      <c r="T521" s="2" t="s">
        <v>77</v>
      </c>
      <c r="U521" s="2" t="s">
        <v>504</v>
      </c>
      <c r="V521" s="2" t="s">
        <v>56</v>
      </c>
      <c r="W521" s="2" t="s">
        <v>77</v>
      </c>
      <c r="X521" s="2" t="s">
        <v>505</v>
      </c>
      <c r="Y521" s="2">
        <v>4.2237136181819404</v>
      </c>
      <c r="Z521" s="2">
        <v>4223.7136181819396</v>
      </c>
      <c r="AA521" s="2">
        <v>4.6782416666666702</v>
      </c>
      <c r="AB521" s="2">
        <v>-74.143819444444404</v>
      </c>
      <c r="AC521" s="2">
        <v>2551</v>
      </c>
      <c r="AD521" s="2">
        <v>11</v>
      </c>
      <c r="AE521" s="2" t="s">
        <v>59</v>
      </c>
      <c r="AF521" s="2" t="s">
        <v>60</v>
      </c>
      <c r="AG521" s="2" t="s">
        <v>61</v>
      </c>
      <c r="AH521" s="2" t="s">
        <v>62</v>
      </c>
      <c r="AI521" s="2" t="s">
        <v>391</v>
      </c>
      <c r="AJ521" s="2">
        <v>1.2584225651469401</v>
      </c>
      <c r="AK521" s="2">
        <v>3.84979113757027</v>
      </c>
      <c r="AL521" s="2">
        <v>0.25846378631531702</v>
      </c>
      <c r="AM521" s="2">
        <v>0.185269963206382</v>
      </c>
      <c r="AN521" s="2">
        <v>0.88043895096346603</v>
      </c>
      <c r="AO521" s="2">
        <v>6.0520799989612399E-2</v>
      </c>
      <c r="AP521" s="2">
        <v>6.0520799989612399E-2</v>
      </c>
      <c r="AQ521" s="2">
        <v>0</v>
      </c>
      <c r="AR521" s="2">
        <v>0</v>
      </c>
      <c r="AS521" s="2">
        <v>0</v>
      </c>
      <c r="AT521" s="2">
        <v>0</v>
      </c>
      <c r="AU521" s="2">
        <v>1</v>
      </c>
      <c r="AV521" s="2">
        <v>11</v>
      </c>
      <c r="AW521" s="2">
        <v>1</v>
      </c>
      <c r="AX521" s="2">
        <v>0</v>
      </c>
      <c r="AY521" s="2">
        <v>15.8</v>
      </c>
      <c r="AZ521" s="2">
        <v>17.100000000000001</v>
      </c>
      <c r="BA521" s="2">
        <v>23</v>
      </c>
      <c r="BB521" s="2">
        <v>565</v>
      </c>
      <c r="BC521" s="2">
        <v>68</v>
      </c>
      <c r="BD521" s="2">
        <v>2.2999999999999998</v>
      </c>
      <c r="BE521" s="2">
        <v>68</v>
      </c>
      <c r="BF521" s="2">
        <v>17.600000000000001</v>
      </c>
      <c r="BG521" s="2">
        <v>162</v>
      </c>
      <c r="BH521" s="2">
        <v>19.7</v>
      </c>
      <c r="BI521" s="2">
        <v>16.7</v>
      </c>
      <c r="BJ521" s="2">
        <v>36.4</v>
      </c>
      <c r="BK521" s="2">
        <v>0.66</v>
      </c>
      <c r="BL521" s="2">
        <v>5.6</v>
      </c>
      <c r="BM521" s="2">
        <v>1.5</v>
      </c>
      <c r="BN521" s="2">
        <v>7.5</v>
      </c>
      <c r="BO521" s="2">
        <v>2.9</v>
      </c>
      <c r="BP521" s="2">
        <f t="shared" si="16"/>
        <v>13.873834268366728</v>
      </c>
      <c r="BQ521" s="2">
        <f t="shared" si="17"/>
        <v>20.782786855962247</v>
      </c>
    </row>
    <row r="522" spans="1:69" x14ac:dyDescent="0.2">
      <c r="A522" s="2" t="s">
        <v>2528</v>
      </c>
      <c r="B522" s="2" t="s">
        <v>47</v>
      </c>
      <c r="C522" s="2" t="s">
        <v>1935</v>
      </c>
      <c r="D522" s="2" t="s">
        <v>49</v>
      </c>
      <c r="E522" s="2" t="s">
        <v>2529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89</v>
      </c>
      <c r="L522" s="6" t="s">
        <v>141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2530</v>
      </c>
      <c r="R522" s="2">
        <v>2777777.7779999999</v>
      </c>
      <c r="S522" s="2">
        <v>0</v>
      </c>
      <c r="T522" s="2" t="s">
        <v>77</v>
      </c>
      <c r="U522" s="2" t="s">
        <v>504</v>
      </c>
      <c r="V522" s="2" t="s">
        <v>56</v>
      </c>
      <c r="W522" s="2" t="s">
        <v>77</v>
      </c>
      <c r="X522" s="2" t="s">
        <v>505</v>
      </c>
      <c r="Y522" s="2">
        <v>3.8149618154946201</v>
      </c>
      <c r="Z522" s="2">
        <v>3814.9618154946202</v>
      </c>
      <c r="AA522" s="2">
        <v>4.6782416666666702</v>
      </c>
      <c r="AB522" s="2">
        <v>-74.143819444444404</v>
      </c>
      <c r="AC522" s="2">
        <v>2551</v>
      </c>
      <c r="AD522" s="2">
        <v>11</v>
      </c>
      <c r="AE522" s="2" t="s">
        <v>59</v>
      </c>
      <c r="AF522" s="2" t="s">
        <v>60</v>
      </c>
      <c r="AG522" s="2" t="s">
        <v>61</v>
      </c>
      <c r="AH522" s="2" t="s">
        <v>62</v>
      </c>
      <c r="AI522" s="2" t="s">
        <v>391</v>
      </c>
      <c r="AJ522" s="2">
        <v>1.1127185204499801</v>
      </c>
      <c r="AK522" s="2">
        <v>5.0844437684896597</v>
      </c>
      <c r="AL522" s="2">
        <v>1.2097271765092801</v>
      </c>
      <c r="AM522" s="2">
        <v>0.21668948660232201</v>
      </c>
      <c r="AN522" s="2">
        <v>1.2002609554155299</v>
      </c>
      <c r="AO522" s="2">
        <v>0.214730035871953</v>
      </c>
      <c r="AP522" s="2">
        <v>0.214730035871953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15</v>
      </c>
      <c r="AW522" s="2">
        <v>0</v>
      </c>
      <c r="AX522" s="2">
        <v>0</v>
      </c>
      <c r="AY522" s="2">
        <v>15.8</v>
      </c>
      <c r="AZ522" s="2">
        <v>17.100000000000001</v>
      </c>
      <c r="BA522" s="2">
        <v>23</v>
      </c>
      <c r="BB522" s="2">
        <v>565</v>
      </c>
      <c r="BC522" s="2">
        <v>68</v>
      </c>
      <c r="BD522" s="2">
        <v>2.2999999999999998</v>
      </c>
      <c r="BE522" s="2">
        <v>68</v>
      </c>
      <c r="BF522" s="2">
        <v>17.600000000000001</v>
      </c>
      <c r="BG522" s="2">
        <v>162</v>
      </c>
      <c r="BH522" s="2">
        <v>19.7</v>
      </c>
      <c r="BI522" s="2">
        <v>16.7</v>
      </c>
      <c r="BJ522" s="2">
        <v>36.4</v>
      </c>
      <c r="BK522" s="2">
        <v>0.66</v>
      </c>
      <c r="BL522" s="2">
        <v>5.6</v>
      </c>
      <c r="BM522" s="2">
        <v>1.5</v>
      </c>
      <c r="BN522" s="2">
        <v>7.5</v>
      </c>
      <c r="BO522" s="2">
        <v>2.9</v>
      </c>
      <c r="BP522" s="2">
        <f t="shared" si="16"/>
        <v>14.157405635420933</v>
      </c>
      <c r="BQ522" s="2">
        <f t="shared" si="17"/>
        <v>20.987670208341783</v>
      </c>
    </row>
    <row r="523" spans="1:69" x14ac:dyDescent="0.2">
      <c r="A523" s="2" t="s">
        <v>2298</v>
      </c>
      <c r="B523" s="2" t="s">
        <v>47</v>
      </c>
      <c r="C523" s="2" t="s">
        <v>1935</v>
      </c>
      <c r="D523" s="2" t="s">
        <v>49</v>
      </c>
      <c r="E523" s="2" t="s">
        <v>2299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89</v>
      </c>
      <c r="L523" s="6" t="s">
        <v>141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2300</v>
      </c>
      <c r="R523" s="2">
        <v>3870583.5649999999</v>
      </c>
      <c r="S523" s="2">
        <v>0</v>
      </c>
      <c r="T523" s="2" t="s">
        <v>77</v>
      </c>
      <c r="U523" s="2" t="s">
        <v>504</v>
      </c>
      <c r="V523" s="2" t="s">
        <v>56</v>
      </c>
      <c r="W523" s="2" t="s">
        <v>77</v>
      </c>
      <c r="X523" s="2" t="s">
        <v>505</v>
      </c>
      <c r="Y523" s="2">
        <v>2.68682626044499</v>
      </c>
      <c r="Z523" s="2">
        <v>2686.8262604449901</v>
      </c>
      <c r="AA523" s="2">
        <v>4.6782416666666702</v>
      </c>
      <c r="AB523" s="2">
        <v>-74.143819444444404</v>
      </c>
      <c r="AC523" s="2">
        <v>2551</v>
      </c>
      <c r="AD523" s="2">
        <v>11</v>
      </c>
      <c r="AE523" s="2" t="s">
        <v>59</v>
      </c>
      <c r="AF523" s="2" t="s">
        <v>60</v>
      </c>
      <c r="AG523" s="2" t="s">
        <v>61</v>
      </c>
      <c r="AH523" s="2" t="s">
        <v>62</v>
      </c>
      <c r="AI523" s="2" t="s">
        <v>71</v>
      </c>
      <c r="AJ523" s="2">
        <v>1.13077486135129</v>
      </c>
      <c r="AK523" s="2">
        <v>3.8446715249949199</v>
      </c>
      <c r="AL523" s="2">
        <v>2.0069434210405501</v>
      </c>
      <c r="AM523" s="2">
        <v>0.24090825573283001</v>
      </c>
      <c r="AN523" s="2">
        <v>1.8838881571581501</v>
      </c>
      <c r="AO523" s="2">
        <v>0.21791688120348601</v>
      </c>
      <c r="AP523" s="2">
        <v>0.21791688120348601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29</v>
      </c>
      <c r="AW523" s="2">
        <v>0</v>
      </c>
      <c r="AX523" s="2">
        <v>0</v>
      </c>
      <c r="AY523" s="2">
        <v>15.8</v>
      </c>
      <c r="AZ523" s="2">
        <v>17.100000000000001</v>
      </c>
      <c r="BA523" s="2">
        <v>23</v>
      </c>
      <c r="BB523" s="2">
        <v>565</v>
      </c>
      <c r="BC523" s="2">
        <v>68</v>
      </c>
      <c r="BD523" s="2">
        <v>2.2999999999999998</v>
      </c>
      <c r="BE523" s="2">
        <v>68</v>
      </c>
      <c r="BF523" s="2">
        <v>17.600000000000001</v>
      </c>
      <c r="BG523" s="2">
        <v>162</v>
      </c>
      <c r="BH523" s="2">
        <v>19.7</v>
      </c>
      <c r="BI523" s="2">
        <v>16.7</v>
      </c>
      <c r="BJ523" s="2">
        <v>36.4</v>
      </c>
      <c r="BK523" s="2">
        <v>0.66</v>
      </c>
      <c r="BL523" s="2">
        <v>5.6</v>
      </c>
      <c r="BM523" s="2">
        <v>1.5</v>
      </c>
      <c r="BN523" s="2">
        <v>7.5</v>
      </c>
      <c r="BO523" s="2">
        <v>2.9</v>
      </c>
      <c r="BP523" s="2">
        <f t="shared" si="16"/>
        <v>14.970484514660862</v>
      </c>
      <c r="BQ523" s="2">
        <f t="shared" si="17"/>
        <v>21.563679304496908</v>
      </c>
    </row>
    <row r="524" spans="1:69" x14ac:dyDescent="0.2">
      <c r="A524" s="2" t="s">
        <v>3069</v>
      </c>
      <c r="B524" s="2" t="s">
        <v>47</v>
      </c>
      <c r="C524" s="2" t="s">
        <v>1935</v>
      </c>
      <c r="D524" s="2" t="s">
        <v>49</v>
      </c>
      <c r="E524" s="2" t="s">
        <v>2703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89</v>
      </c>
      <c r="L524" s="6" t="s">
        <v>90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3070</v>
      </c>
      <c r="R524" s="2">
        <v>6320000</v>
      </c>
      <c r="S524" s="2">
        <v>0</v>
      </c>
      <c r="T524" s="2" t="s">
        <v>75</v>
      </c>
      <c r="U524" s="2" t="s">
        <v>76</v>
      </c>
      <c r="V524" s="2" t="s">
        <v>56</v>
      </c>
      <c r="W524" s="2" t="s">
        <v>77</v>
      </c>
      <c r="X524" s="2" t="s">
        <v>78</v>
      </c>
      <c r="Y524" s="2">
        <v>2.3483057717577598</v>
      </c>
      <c r="Z524" s="2">
        <v>2348.3057717577599</v>
      </c>
      <c r="AA524" s="2">
        <v>4.6680000000000001</v>
      </c>
      <c r="AB524" s="2">
        <v>-74.148499999999999</v>
      </c>
      <c r="AC524" s="2">
        <v>2547</v>
      </c>
      <c r="AD524" s="2">
        <v>0</v>
      </c>
      <c r="AE524" s="2" t="s">
        <v>59</v>
      </c>
      <c r="AF524" s="2" t="s">
        <v>79</v>
      </c>
      <c r="AG524" s="2" t="s">
        <v>61</v>
      </c>
      <c r="AH524" s="2" t="s">
        <v>62</v>
      </c>
      <c r="AI524" s="2" t="s">
        <v>71</v>
      </c>
      <c r="AJ524" s="2">
        <v>1.6913924336327399</v>
      </c>
      <c r="AK524" s="2">
        <v>3.3114081232669799</v>
      </c>
      <c r="AL524" s="2">
        <v>2.2757497451890498</v>
      </c>
      <c r="AM524" s="2">
        <v>0.28880218829566301</v>
      </c>
      <c r="AN524" s="2">
        <v>2.03873478280947</v>
      </c>
      <c r="AO524" s="2">
        <v>6.1982828366065598E-2</v>
      </c>
      <c r="AP524" s="2">
        <v>6.1982828366065598E-2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20</v>
      </c>
      <c r="AW524" s="2">
        <v>0</v>
      </c>
      <c r="AX524" s="2">
        <v>0</v>
      </c>
      <c r="AY524" s="2">
        <v>15.8</v>
      </c>
      <c r="AZ524" s="2">
        <v>17.100000000000001</v>
      </c>
      <c r="BA524" s="2">
        <v>23</v>
      </c>
      <c r="BB524" s="2">
        <v>565</v>
      </c>
      <c r="BC524" s="2">
        <v>68</v>
      </c>
      <c r="BD524" s="2">
        <v>2.2999999999999998</v>
      </c>
      <c r="BE524" s="2">
        <v>68</v>
      </c>
      <c r="BF524" s="2">
        <v>17.600000000000001</v>
      </c>
      <c r="BG524" s="2">
        <v>162</v>
      </c>
      <c r="BH524" s="2">
        <v>19.7</v>
      </c>
      <c r="BI524" s="2">
        <v>16.7</v>
      </c>
      <c r="BJ524" s="2">
        <v>36.4</v>
      </c>
      <c r="BK524" s="2">
        <v>0.66</v>
      </c>
      <c r="BL524" s="2">
        <v>5.6</v>
      </c>
      <c r="BM524" s="2">
        <v>1.5</v>
      </c>
      <c r="BN524" s="2">
        <v>7.5</v>
      </c>
      <c r="BO524" s="2">
        <v>2.9</v>
      </c>
      <c r="BP524" s="2">
        <f t="shared" si="16"/>
        <v>15.223454957258328</v>
      </c>
      <c r="BQ524" s="2">
        <f t="shared" si="17"/>
        <v>21.739586850746004</v>
      </c>
    </row>
    <row r="525" spans="1:69" x14ac:dyDescent="0.2">
      <c r="A525" s="2" t="s">
        <v>2214</v>
      </c>
      <c r="B525" s="2" t="s">
        <v>47</v>
      </c>
      <c r="C525" s="2" t="s">
        <v>1935</v>
      </c>
      <c r="D525" s="2" t="s">
        <v>49</v>
      </c>
      <c r="E525" s="2" t="s">
        <v>2215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89</v>
      </c>
      <c r="L525" s="6" t="s">
        <v>141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2216</v>
      </c>
      <c r="R525" s="2">
        <v>5588000</v>
      </c>
      <c r="S525" s="2">
        <v>0</v>
      </c>
      <c r="T525" s="2" t="s">
        <v>77</v>
      </c>
      <c r="U525" s="2" t="s">
        <v>504</v>
      </c>
      <c r="V525" s="2" t="s">
        <v>56</v>
      </c>
      <c r="W525" s="2" t="s">
        <v>77</v>
      </c>
      <c r="X525" s="2" t="s">
        <v>505</v>
      </c>
      <c r="Y525" s="2">
        <v>2.8282450786611002</v>
      </c>
      <c r="Z525" s="2">
        <v>2828.2450786610998</v>
      </c>
      <c r="AA525" s="2">
        <v>4.6782416666666702</v>
      </c>
      <c r="AB525" s="2">
        <v>-74.143819444444404</v>
      </c>
      <c r="AC525" s="2">
        <v>2551</v>
      </c>
      <c r="AD525" s="2">
        <v>11</v>
      </c>
      <c r="AE525" s="2" t="s">
        <v>59</v>
      </c>
      <c r="AF525" s="2" t="s">
        <v>60</v>
      </c>
      <c r="AG525" s="2" t="s">
        <v>61</v>
      </c>
      <c r="AH525" s="2" t="s">
        <v>62</v>
      </c>
      <c r="AI525" s="2" t="s">
        <v>71</v>
      </c>
      <c r="AJ525" s="2">
        <v>1.477017589253</v>
      </c>
      <c r="AK525" s="2">
        <v>3.2464484889171499</v>
      </c>
      <c r="AL525" s="2">
        <v>1.8382949017263499</v>
      </c>
      <c r="AM525" s="2">
        <v>0.42329788250661299</v>
      </c>
      <c r="AN525" s="2">
        <v>1.9314693608814999</v>
      </c>
      <c r="AO525" s="2">
        <v>0.283699423134321</v>
      </c>
      <c r="AP525" s="2">
        <v>0.283699423134321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4</v>
      </c>
      <c r="AW525" s="2">
        <v>0</v>
      </c>
      <c r="AX525" s="2">
        <v>0</v>
      </c>
      <c r="AY525" s="2">
        <v>15.8</v>
      </c>
      <c r="AZ525" s="2">
        <v>17.100000000000001</v>
      </c>
      <c r="BA525" s="2">
        <v>23</v>
      </c>
      <c r="BB525" s="2">
        <v>565</v>
      </c>
      <c r="BC525" s="2">
        <v>68</v>
      </c>
      <c r="BD525" s="2">
        <v>2.2999999999999998</v>
      </c>
      <c r="BE525" s="2">
        <v>68</v>
      </c>
      <c r="BF525" s="2">
        <v>17.600000000000001</v>
      </c>
      <c r="BG525" s="2">
        <v>162</v>
      </c>
      <c r="BH525" s="2">
        <v>19.7</v>
      </c>
      <c r="BI525" s="2">
        <v>16.7</v>
      </c>
      <c r="BJ525" s="2">
        <v>36.4</v>
      </c>
      <c r="BK525" s="2">
        <v>0.66</v>
      </c>
      <c r="BL525" s="2">
        <v>5.6</v>
      </c>
      <c r="BM525" s="2">
        <v>1.5</v>
      </c>
      <c r="BN525" s="2">
        <v>7.5</v>
      </c>
      <c r="BO525" s="2">
        <v>2.9</v>
      </c>
      <c r="BP525" s="2">
        <f t="shared" si="16"/>
        <v>14.866053604094683</v>
      </c>
      <c r="BQ525" s="2">
        <f t="shared" si="17"/>
        <v>21.490615125387155</v>
      </c>
    </row>
    <row r="526" spans="1:69" x14ac:dyDescent="0.2">
      <c r="A526" s="2" t="s">
        <v>2702</v>
      </c>
      <c r="B526" s="2" t="s">
        <v>47</v>
      </c>
      <c r="C526" s="2" t="s">
        <v>1935</v>
      </c>
      <c r="D526" s="2" t="s">
        <v>49</v>
      </c>
      <c r="E526" s="2" t="s">
        <v>2703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89</v>
      </c>
      <c r="L526" s="6" t="s">
        <v>141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2704</v>
      </c>
      <c r="R526" s="2">
        <v>4450000</v>
      </c>
      <c r="S526" s="2">
        <v>0</v>
      </c>
      <c r="T526" s="2" t="s">
        <v>75</v>
      </c>
      <c r="U526" s="2" t="s">
        <v>76</v>
      </c>
      <c r="V526" s="2" t="s">
        <v>56</v>
      </c>
      <c r="W526" s="2" t="s">
        <v>77</v>
      </c>
      <c r="X526" s="2" t="s">
        <v>78</v>
      </c>
      <c r="Y526" s="2">
        <v>2.4247381309621998</v>
      </c>
      <c r="Z526" s="2">
        <v>2424.7381309622001</v>
      </c>
      <c r="AA526" s="2">
        <v>4.6680000000000001</v>
      </c>
      <c r="AB526" s="2">
        <v>-74.148499999999999</v>
      </c>
      <c r="AC526" s="2">
        <v>2547</v>
      </c>
      <c r="AD526" s="2">
        <v>0</v>
      </c>
      <c r="AE526" s="2" t="s">
        <v>59</v>
      </c>
      <c r="AF526" s="2" t="s">
        <v>79</v>
      </c>
      <c r="AG526" s="2" t="s">
        <v>61</v>
      </c>
      <c r="AH526" s="2" t="s">
        <v>62</v>
      </c>
      <c r="AI526" s="2" t="s">
        <v>71</v>
      </c>
      <c r="AJ526" s="2">
        <v>1.6599847292983401</v>
      </c>
      <c r="AK526" s="2">
        <v>3.3739052492994701</v>
      </c>
      <c r="AL526" s="2">
        <v>2.33848322549265</v>
      </c>
      <c r="AM526" s="2">
        <v>0.35241925267041702</v>
      </c>
      <c r="AN526" s="2">
        <v>1.9440735170199801</v>
      </c>
      <c r="AO526" s="2">
        <v>0.15687291479628901</v>
      </c>
      <c r="AP526" s="2">
        <v>0.15687291479628901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20</v>
      </c>
      <c r="AW526" s="2">
        <v>0</v>
      </c>
      <c r="AX526" s="2">
        <v>0</v>
      </c>
      <c r="AY526" s="2">
        <v>15.8</v>
      </c>
      <c r="AZ526" s="2">
        <v>17.100000000000001</v>
      </c>
      <c r="BA526" s="2">
        <v>23</v>
      </c>
      <c r="BB526" s="2">
        <v>565</v>
      </c>
      <c r="BC526" s="2">
        <v>68</v>
      </c>
      <c r="BD526" s="2">
        <v>2.2999999999999998</v>
      </c>
      <c r="BE526" s="2">
        <v>68</v>
      </c>
      <c r="BF526" s="2">
        <v>17.600000000000001</v>
      </c>
      <c r="BG526" s="2">
        <v>162</v>
      </c>
      <c r="BH526" s="2">
        <v>19.7</v>
      </c>
      <c r="BI526" s="2">
        <v>16.7</v>
      </c>
      <c r="BJ526" s="2">
        <v>36.4</v>
      </c>
      <c r="BK526" s="2">
        <v>0.66</v>
      </c>
      <c r="BL526" s="2">
        <v>5.6</v>
      </c>
      <c r="BM526" s="2">
        <v>1.5</v>
      </c>
      <c r="BN526" s="2">
        <v>7.5</v>
      </c>
      <c r="BO526" s="2">
        <v>2.9</v>
      </c>
      <c r="BP526" s="2">
        <f t="shared" si="16"/>
        <v>15.165967328637857</v>
      </c>
      <c r="BQ526" s="2">
        <f t="shared" si="17"/>
        <v>21.699744814700715</v>
      </c>
    </row>
    <row r="527" spans="1:69" x14ac:dyDescent="0.2">
      <c r="A527" s="2" t="s">
        <v>3019</v>
      </c>
      <c r="B527" s="2" t="s">
        <v>47</v>
      </c>
      <c r="C527" s="2" t="s">
        <v>1935</v>
      </c>
      <c r="D527" s="2" t="s">
        <v>49</v>
      </c>
      <c r="E527" s="2" t="s">
        <v>150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89</v>
      </c>
      <c r="L527" s="6" t="s">
        <v>141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3020</v>
      </c>
      <c r="R527" s="2">
        <v>4100000</v>
      </c>
      <c r="S527" s="2">
        <v>0</v>
      </c>
      <c r="T527" s="2" t="s">
        <v>77</v>
      </c>
      <c r="U527" s="2" t="s">
        <v>504</v>
      </c>
      <c r="V527" s="2" t="s">
        <v>56</v>
      </c>
      <c r="W527" s="2" t="s">
        <v>77</v>
      </c>
      <c r="X527" s="2" t="s">
        <v>505</v>
      </c>
      <c r="Y527" s="2">
        <v>2.9437927034342701</v>
      </c>
      <c r="Z527" s="2">
        <v>2943.7927034342702</v>
      </c>
      <c r="AA527" s="2">
        <v>4.6782416666666702</v>
      </c>
      <c r="AB527" s="2">
        <v>-74.143819444444404</v>
      </c>
      <c r="AC527" s="2">
        <v>2551</v>
      </c>
      <c r="AD527" s="2">
        <v>11</v>
      </c>
      <c r="AE527" s="2" t="s">
        <v>59</v>
      </c>
      <c r="AF527" s="2" t="s">
        <v>60</v>
      </c>
      <c r="AG527" s="2" t="s">
        <v>61</v>
      </c>
      <c r="AH527" s="2" t="s">
        <v>62</v>
      </c>
      <c r="AI527" s="2" t="s">
        <v>71</v>
      </c>
      <c r="AJ527" s="2">
        <v>0.41693430957668798</v>
      </c>
      <c r="AK527" s="2">
        <v>4.4168663750516703</v>
      </c>
      <c r="AL527" s="2">
        <v>1.96076222510931</v>
      </c>
      <c r="AM527" s="2">
        <v>0.29190279887174603</v>
      </c>
      <c r="AN527" s="2">
        <v>2.27631537721915</v>
      </c>
      <c r="AO527" s="2">
        <v>0.15639431205704901</v>
      </c>
      <c r="AP527" s="2">
        <v>0.15639431205704901</v>
      </c>
      <c r="AQ527" s="2">
        <v>1</v>
      </c>
      <c r="AR527" s="2">
        <v>2</v>
      </c>
      <c r="AS527" s="2">
        <v>0</v>
      </c>
      <c r="AT527" s="2">
        <v>0</v>
      </c>
      <c r="AU527" s="2">
        <v>0</v>
      </c>
      <c r="AV527" s="2">
        <v>27</v>
      </c>
      <c r="AW527" s="2">
        <v>0</v>
      </c>
      <c r="AX527" s="2">
        <v>0</v>
      </c>
      <c r="AY527" s="2">
        <v>15.8</v>
      </c>
      <c r="AZ527" s="2">
        <v>17.100000000000001</v>
      </c>
      <c r="BA527" s="2">
        <v>23</v>
      </c>
      <c r="BB527" s="2">
        <v>565</v>
      </c>
      <c r="BC527" s="2">
        <v>68</v>
      </c>
      <c r="BD527" s="2">
        <v>2.2999999999999998</v>
      </c>
      <c r="BE527" s="2">
        <v>68</v>
      </c>
      <c r="BF527" s="2">
        <v>17.600000000000001</v>
      </c>
      <c r="BG527" s="2">
        <v>162</v>
      </c>
      <c r="BH527" s="2">
        <v>19.7</v>
      </c>
      <c r="BI527" s="2">
        <v>16.7</v>
      </c>
      <c r="BJ527" s="2">
        <v>36.4</v>
      </c>
      <c r="BK527" s="2">
        <v>0.66</v>
      </c>
      <c r="BL527" s="2">
        <v>5.6</v>
      </c>
      <c r="BM527" s="2">
        <v>1.5</v>
      </c>
      <c r="BN527" s="2">
        <v>7.5</v>
      </c>
      <c r="BO527" s="2">
        <v>2.9</v>
      </c>
      <c r="BP527" s="2">
        <f t="shared" si="16"/>
        <v>14.781268313927052</v>
      </c>
      <c r="BQ527" s="2">
        <f t="shared" si="17"/>
        <v>21.431101135146186</v>
      </c>
    </row>
    <row r="528" spans="1:69" x14ac:dyDescent="0.2">
      <c r="A528" s="2" t="s">
        <v>2226</v>
      </c>
      <c r="B528" s="2" t="s">
        <v>47</v>
      </c>
      <c r="C528" s="2" t="s">
        <v>1935</v>
      </c>
      <c r="D528" s="2" t="s">
        <v>49</v>
      </c>
      <c r="E528" s="2" t="s">
        <v>2227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89</v>
      </c>
      <c r="L528" s="6" t="s">
        <v>141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2228</v>
      </c>
      <c r="R528" s="2">
        <v>2722222.2220000001</v>
      </c>
      <c r="S528" s="2">
        <v>0</v>
      </c>
      <c r="T528" s="2" t="s">
        <v>77</v>
      </c>
      <c r="U528" s="2" t="s">
        <v>504</v>
      </c>
      <c r="V528" s="2" t="s">
        <v>56</v>
      </c>
      <c r="W528" s="2" t="s">
        <v>77</v>
      </c>
      <c r="X528" s="2" t="s">
        <v>505</v>
      </c>
      <c r="Y528" s="2">
        <v>3.4265123251021001</v>
      </c>
      <c r="Z528" s="2">
        <v>3426.5123251021</v>
      </c>
      <c r="AA528" s="2">
        <v>4.6782416666666702</v>
      </c>
      <c r="AB528" s="2">
        <v>-74.143819444444404</v>
      </c>
      <c r="AC528" s="2">
        <v>2551</v>
      </c>
      <c r="AD528" s="2">
        <v>11</v>
      </c>
      <c r="AE528" s="2" t="s">
        <v>59</v>
      </c>
      <c r="AF528" s="2" t="s">
        <v>60</v>
      </c>
      <c r="AG528" s="2" t="s">
        <v>61</v>
      </c>
      <c r="AH528" s="2" t="s">
        <v>62</v>
      </c>
      <c r="AI528" s="2" t="s">
        <v>391</v>
      </c>
      <c r="AJ528" s="2">
        <v>1.58906530990648</v>
      </c>
      <c r="AK528" s="2">
        <v>2.9995104024796801</v>
      </c>
      <c r="AL528" s="2">
        <v>1.47154916301021</v>
      </c>
      <c r="AM528" s="2">
        <v>0.26947243753189298</v>
      </c>
      <c r="AN528" s="2">
        <v>2.1140808955693302</v>
      </c>
      <c r="AO528" s="2">
        <v>0.14554393770333099</v>
      </c>
      <c r="AP528" s="2">
        <v>0.14554393770333099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14</v>
      </c>
      <c r="AW528" s="2">
        <v>0</v>
      </c>
      <c r="AX528" s="2">
        <v>0</v>
      </c>
      <c r="AY528" s="2">
        <v>15.8</v>
      </c>
      <c r="AZ528" s="2">
        <v>17.100000000000001</v>
      </c>
      <c r="BA528" s="2">
        <v>23</v>
      </c>
      <c r="BB528" s="2">
        <v>565</v>
      </c>
      <c r="BC528" s="2">
        <v>68</v>
      </c>
      <c r="BD528" s="2">
        <v>2.2999999999999998</v>
      </c>
      <c r="BE528" s="2">
        <v>68</v>
      </c>
      <c r="BF528" s="2">
        <v>17.600000000000001</v>
      </c>
      <c r="BG528" s="2">
        <v>162</v>
      </c>
      <c r="BH528" s="2">
        <v>19.7</v>
      </c>
      <c r="BI528" s="2">
        <v>16.7</v>
      </c>
      <c r="BJ528" s="2">
        <v>36.4</v>
      </c>
      <c r="BK528" s="2">
        <v>0.66</v>
      </c>
      <c r="BL528" s="2">
        <v>5.6</v>
      </c>
      <c r="BM528" s="2">
        <v>1.5</v>
      </c>
      <c r="BN528" s="2">
        <v>7.5</v>
      </c>
      <c r="BO528" s="2">
        <v>2.9</v>
      </c>
      <c r="BP528" s="2">
        <f t="shared" si="16"/>
        <v>14.432261800237011</v>
      </c>
      <c r="BQ528" s="2">
        <f t="shared" si="17"/>
        <v>21.184248709502569</v>
      </c>
    </row>
    <row r="529" spans="1:69" x14ac:dyDescent="0.2">
      <c r="A529" s="2" t="s">
        <v>2754</v>
      </c>
      <c r="B529" s="2" t="s">
        <v>47</v>
      </c>
      <c r="C529" s="2" t="s">
        <v>1935</v>
      </c>
      <c r="D529" s="2" t="s">
        <v>49</v>
      </c>
      <c r="E529" s="2" t="s">
        <v>1336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89</v>
      </c>
      <c r="L529" s="6" t="s">
        <v>90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2755</v>
      </c>
      <c r="R529" s="2">
        <v>2470588.2349999999</v>
      </c>
      <c r="S529" s="2">
        <v>0</v>
      </c>
      <c r="T529" s="2" t="s">
        <v>75</v>
      </c>
      <c r="U529" s="2" t="s">
        <v>76</v>
      </c>
      <c r="V529" s="2" t="s">
        <v>56</v>
      </c>
      <c r="W529" s="2" t="s">
        <v>77</v>
      </c>
      <c r="X529" s="2" t="s">
        <v>78</v>
      </c>
      <c r="Y529" s="2">
        <v>2.19949364775391</v>
      </c>
      <c r="Z529" s="2">
        <v>2199.49364775391</v>
      </c>
      <c r="AA529" s="2">
        <v>4.6680000000000001</v>
      </c>
      <c r="AB529" s="2">
        <v>-74.148499999999999</v>
      </c>
      <c r="AC529" s="2">
        <v>2547</v>
      </c>
      <c r="AD529" s="2">
        <v>0</v>
      </c>
      <c r="AE529" s="2" t="s">
        <v>59</v>
      </c>
      <c r="AF529" s="2" t="s">
        <v>79</v>
      </c>
      <c r="AG529" s="2" t="s">
        <v>61</v>
      </c>
      <c r="AH529" s="2" t="s">
        <v>62</v>
      </c>
      <c r="AI529" s="2" t="s">
        <v>200</v>
      </c>
      <c r="AJ529" s="2">
        <v>2.11160952099234</v>
      </c>
      <c r="AK529" s="2">
        <v>2.2235053059765799</v>
      </c>
      <c r="AL529" s="2">
        <v>2.2237273982233101</v>
      </c>
      <c r="AM529" s="2">
        <v>0.59256680459234901</v>
      </c>
      <c r="AN529" s="2">
        <v>2.1651419064533401</v>
      </c>
      <c r="AO529" s="2">
        <v>0.16357664492709401</v>
      </c>
      <c r="AP529" s="2">
        <v>0.16357664492709401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2</v>
      </c>
      <c r="AW529" s="2">
        <v>0</v>
      </c>
      <c r="AX529" s="2">
        <v>0</v>
      </c>
      <c r="AY529" s="2">
        <v>15.8</v>
      </c>
      <c r="AZ529" s="2">
        <v>17.100000000000001</v>
      </c>
      <c r="BA529" s="2">
        <v>23</v>
      </c>
      <c r="BB529" s="2">
        <v>565</v>
      </c>
      <c r="BC529" s="2">
        <v>68</v>
      </c>
      <c r="BD529" s="2">
        <v>2.2999999999999998</v>
      </c>
      <c r="BE529" s="2">
        <v>68</v>
      </c>
      <c r="BF529" s="2">
        <v>17.600000000000001</v>
      </c>
      <c r="BG529" s="2">
        <v>162</v>
      </c>
      <c r="BH529" s="2">
        <v>19.7</v>
      </c>
      <c r="BI529" s="2">
        <v>16.7</v>
      </c>
      <c r="BJ529" s="2">
        <v>36.4</v>
      </c>
      <c r="BK529" s="2">
        <v>0.66</v>
      </c>
      <c r="BL529" s="2">
        <v>5.6</v>
      </c>
      <c r="BM529" s="2">
        <v>1.5</v>
      </c>
      <c r="BN529" s="2">
        <v>7.5</v>
      </c>
      <c r="BO529" s="2">
        <v>2.9</v>
      </c>
      <c r="BP529" s="2">
        <f t="shared" si="16"/>
        <v>15.336008008483564</v>
      </c>
      <c r="BQ529" s="2">
        <f t="shared" si="17"/>
        <v>21.817368404387047</v>
      </c>
    </row>
    <row r="530" spans="1:69" x14ac:dyDescent="0.2">
      <c r="A530" s="2" t="s">
        <v>2454</v>
      </c>
      <c r="B530" s="2" t="s">
        <v>47</v>
      </c>
      <c r="C530" s="2" t="s">
        <v>1935</v>
      </c>
      <c r="D530" s="2" t="s">
        <v>49</v>
      </c>
      <c r="E530" s="2" t="s">
        <v>150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89</v>
      </c>
      <c r="L530" s="6" t="s">
        <v>103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2455</v>
      </c>
      <c r="R530" s="2">
        <v>6250000</v>
      </c>
      <c r="S530" s="2">
        <v>0</v>
      </c>
      <c r="T530" s="2" t="s">
        <v>77</v>
      </c>
      <c r="U530" s="2" t="s">
        <v>504</v>
      </c>
      <c r="V530" s="2" t="s">
        <v>56</v>
      </c>
      <c r="W530" s="2" t="s">
        <v>77</v>
      </c>
      <c r="X530" s="2" t="s">
        <v>505</v>
      </c>
      <c r="Y530" s="2">
        <v>3.4177806938029298</v>
      </c>
      <c r="Z530" s="2">
        <v>3417.7806938029298</v>
      </c>
      <c r="AA530" s="2">
        <v>4.6782416666666702</v>
      </c>
      <c r="AB530" s="2">
        <v>-74.143819444444404</v>
      </c>
      <c r="AC530" s="2">
        <v>2551</v>
      </c>
      <c r="AD530" s="2">
        <v>11</v>
      </c>
      <c r="AE530" s="2" t="s">
        <v>59</v>
      </c>
      <c r="AF530" s="2" t="s">
        <v>60</v>
      </c>
      <c r="AG530" s="2" t="s">
        <v>61</v>
      </c>
      <c r="AH530" s="2" t="s">
        <v>62</v>
      </c>
      <c r="AI530" s="2" t="s">
        <v>71</v>
      </c>
      <c r="AJ530" s="2">
        <v>0.55320343135838301</v>
      </c>
      <c r="AK530" s="2">
        <v>4.6034994482287903</v>
      </c>
      <c r="AL530" s="2">
        <v>1.2913844940769801</v>
      </c>
      <c r="AM530" s="2">
        <v>5.86339351141658E-2</v>
      </c>
      <c r="AN530" s="2">
        <v>1.5282580269594199</v>
      </c>
      <c r="AO530" s="2">
        <v>0.37671231297514202</v>
      </c>
      <c r="AP530" s="2">
        <v>0.37671231297514202</v>
      </c>
      <c r="AQ530" s="2">
        <v>0</v>
      </c>
      <c r="AR530" s="2">
        <v>2</v>
      </c>
      <c r="AS530" s="2">
        <v>0</v>
      </c>
      <c r="AT530" s="2">
        <v>0</v>
      </c>
      <c r="AU530" s="2">
        <v>0</v>
      </c>
      <c r="AV530" s="2">
        <v>30</v>
      </c>
      <c r="AW530" s="2">
        <v>0</v>
      </c>
      <c r="AX530" s="2">
        <v>0</v>
      </c>
      <c r="AY530" s="2">
        <v>15.8</v>
      </c>
      <c r="AZ530" s="2">
        <v>17.100000000000001</v>
      </c>
      <c r="BA530" s="2">
        <v>23</v>
      </c>
      <c r="BB530" s="2">
        <v>565</v>
      </c>
      <c r="BC530" s="2">
        <v>68</v>
      </c>
      <c r="BD530" s="2">
        <v>2.2999999999999998</v>
      </c>
      <c r="BE530" s="2">
        <v>68</v>
      </c>
      <c r="BF530" s="2">
        <v>17.600000000000001</v>
      </c>
      <c r="BG530" s="2">
        <v>162</v>
      </c>
      <c r="BH530" s="2">
        <v>19.7</v>
      </c>
      <c r="BI530" s="2">
        <v>16.7</v>
      </c>
      <c r="BJ530" s="2">
        <v>36.4</v>
      </c>
      <c r="BK530" s="2">
        <v>0.66</v>
      </c>
      <c r="BL530" s="2">
        <v>5.6</v>
      </c>
      <c r="BM530" s="2">
        <v>1.5</v>
      </c>
      <c r="BN530" s="2">
        <v>7.5</v>
      </c>
      <c r="BO530" s="2">
        <v>2.9</v>
      </c>
      <c r="BP530" s="2">
        <f t="shared" si="16"/>
        <v>14.438500999328149</v>
      </c>
      <c r="BQ530" s="2">
        <f t="shared" si="17"/>
        <v>21.188688527866553</v>
      </c>
    </row>
    <row r="531" spans="1:69" x14ac:dyDescent="0.2">
      <c r="A531" s="2" t="s">
        <v>3225</v>
      </c>
      <c r="B531" s="2" t="s">
        <v>47</v>
      </c>
      <c r="C531" s="2" t="s">
        <v>1935</v>
      </c>
      <c r="D531" s="2" t="s">
        <v>49</v>
      </c>
      <c r="E531" s="2" t="s">
        <v>3226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89</v>
      </c>
      <c r="L531" s="6" t="s">
        <v>103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3227</v>
      </c>
      <c r="R531" s="2">
        <v>4214285.7139999997</v>
      </c>
      <c r="S531" s="2">
        <v>0</v>
      </c>
      <c r="T531" s="2" t="s">
        <v>77</v>
      </c>
      <c r="U531" s="2" t="s">
        <v>504</v>
      </c>
      <c r="V531" s="2" t="s">
        <v>56</v>
      </c>
      <c r="W531" s="2" t="s">
        <v>77</v>
      </c>
      <c r="X531" s="2" t="s">
        <v>505</v>
      </c>
      <c r="Y531" s="2">
        <v>3.1336152595909499</v>
      </c>
      <c r="Z531" s="2">
        <v>3133.6152595909498</v>
      </c>
      <c r="AA531" s="2">
        <v>4.6782416666666702</v>
      </c>
      <c r="AB531" s="2">
        <v>-74.143819444444404</v>
      </c>
      <c r="AC531" s="2">
        <v>2551</v>
      </c>
      <c r="AD531" s="2">
        <v>11</v>
      </c>
      <c r="AE531" s="2" t="s">
        <v>59</v>
      </c>
      <c r="AF531" s="2" t="s">
        <v>60</v>
      </c>
      <c r="AG531" s="2" t="s">
        <v>61</v>
      </c>
      <c r="AH531" s="2" t="s">
        <v>62</v>
      </c>
      <c r="AI531" s="2" t="s">
        <v>391</v>
      </c>
      <c r="AJ531" s="2">
        <v>0.628911863919839</v>
      </c>
      <c r="AK531" s="2">
        <v>4.8984784812609501</v>
      </c>
      <c r="AL531" s="2">
        <v>1.5135121304509001</v>
      </c>
      <c r="AM531" s="2">
        <v>0.79308469363054201</v>
      </c>
      <c r="AN531" s="2">
        <v>1.7417962138724601</v>
      </c>
      <c r="AO531" s="2">
        <v>0.14971141089172599</v>
      </c>
      <c r="AP531" s="2">
        <v>0.14971141089172599</v>
      </c>
      <c r="AQ531" s="2">
        <v>0</v>
      </c>
      <c r="AR531" s="2">
        <v>2</v>
      </c>
      <c r="AS531" s="2">
        <v>0</v>
      </c>
      <c r="AT531" s="2">
        <v>0</v>
      </c>
      <c r="AU531" s="2">
        <v>0</v>
      </c>
      <c r="AV531" s="2">
        <v>10</v>
      </c>
      <c r="AW531" s="2">
        <v>0</v>
      </c>
      <c r="AX531" s="2">
        <v>0</v>
      </c>
      <c r="AY531" s="2">
        <v>15.8</v>
      </c>
      <c r="AZ531" s="2">
        <v>17.100000000000001</v>
      </c>
      <c r="BA531" s="2">
        <v>23</v>
      </c>
      <c r="BB531" s="2">
        <v>565</v>
      </c>
      <c r="BC531" s="2">
        <v>68</v>
      </c>
      <c r="BD531" s="2">
        <v>2.2999999999999998</v>
      </c>
      <c r="BE531" s="2">
        <v>68</v>
      </c>
      <c r="BF531" s="2">
        <v>17.600000000000001</v>
      </c>
      <c r="BG531" s="2">
        <v>162</v>
      </c>
      <c r="BH531" s="2">
        <v>19.7</v>
      </c>
      <c r="BI531" s="2">
        <v>16.7</v>
      </c>
      <c r="BJ531" s="2">
        <v>36.4</v>
      </c>
      <c r="BK531" s="2">
        <v>0.66</v>
      </c>
      <c r="BL531" s="2">
        <v>5.6</v>
      </c>
      <c r="BM531" s="2">
        <v>1.5</v>
      </c>
      <c r="BN531" s="2">
        <v>7.5</v>
      </c>
      <c r="BO531" s="2">
        <v>2.9</v>
      </c>
      <c r="BP531" s="2">
        <f t="shared" si="16"/>
        <v>14.643030788195388</v>
      </c>
      <c r="BQ531" s="2">
        <f t="shared" si="17"/>
        <v>21.333688643116801</v>
      </c>
    </row>
    <row r="532" spans="1:69" x14ac:dyDescent="0.2">
      <c r="A532" s="2" t="s">
        <v>2653</v>
      </c>
      <c r="B532" s="2" t="s">
        <v>47</v>
      </c>
      <c r="C532" s="2" t="s">
        <v>1935</v>
      </c>
      <c r="D532" s="2" t="s">
        <v>49</v>
      </c>
      <c r="E532" s="2" t="s">
        <v>2654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89</v>
      </c>
      <c r="L532" s="6" t="s">
        <v>141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2655</v>
      </c>
      <c r="R532" s="2">
        <v>5072463.7680000002</v>
      </c>
      <c r="S532" s="2">
        <v>0</v>
      </c>
      <c r="T532" s="2" t="s">
        <v>77</v>
      </c>
      <c r="U532" s="2" t="s">
        <v>504</v>
      </c>
      <c r="V532" s="2" t="s">
        <v>56</v>
      </c>
      <c r="W532" s="2" t="s">
        <v>77</v>
      </c>
      <c r="X532" s="2" t="s">
        <v>505</v>
      </c>
      <c r="Y532" s="2">
        <v>1.8594329634112301</v>
      </c>
      <c r="Z532" s="2">
        <v>1859.43296341123</v>
      </c>
      <c r="AA532" s="2">
        <v>4.6782416666666702</v>
      </c>
      <c r="AB532" s="2">
        <v>-74.143819444444404</v>
      </c>
      <c r="AC532" s="2">
        <v>2551</v>
      </c>
      <c r="AD532" s="2">
        <v>11</v>
      </c>
      <c r="AE532" s="2" t="s">
        <v>59</v>
      </c>
      <c r="AF532" s="2" t="s">
        <v>60</v>
      </c>
      <c r="AG532" s="2" t="s">
        <v>61</v>
      </c>
      <c r="AH532" s="2" t="s">
        <v>62</v>
      </c>
      <c r="AI532" s="2" t="s">
        <v>71</v>
      </c>
      <c r="AJ532" s="2">
        <v>1.6013083388804299</v>
      </c>
      <c r="AK532" s="2">
        <v>3.0749938620921502</v>
      </c>
      <c r="AL532" s="2">
        <v>1.6989205514526</v>
      </c>
      <c r="AM532" s="2">
        <v>0.54586158603437096</v>
      </c>
      <c r="AN532" s="2">
        <v>2.0669511872762798</v>
      </c>
      <c r="AO532" s="2">
        <v>0.496714281020328</v>
      </c>
      <c r="AP532" s="2">
        <v>0.496714281020328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17</v>
      </c>
      <c r="AW532" s="2">
        <v>0</v>
      </c>
      <c r="AX532" s="2">
        <v>0</v>
      </c>
      <c r="AY532" s="2">
        <v>15.8</v>
      </c>
      <c r="AZ532" s="2">
        <v>17.100000000000001</v>
      </c>
      <c r="BA532" s="2">
        <v>23</v>
      </c>
      <c r="BB532" s="2">
        <v>565</v>
      </c>
      <c r="BC532" s="2">
        <v>68</v>
      </c>
      <c r="BD532" s="2">
        <v>2.2999999999999998</v>
      </c>
      <c r="BE532" s="2">
        <v>68</v>
      </c>
      <c r="BF532" s="2">
        <v>17.600000000000001</v>
      </c>
      <c r="BG532" s="2">
        <v>162</v>
      </c>
      <c r="BH532" s="2">
        <v>19.7</v>
      </c>
      <c r="BI532" s="2">
        <v>16.7</v>
      </c>
      <c r="BJ532" s="2">
        <v>36.4</v>
      </c>
      <c r="BK532" s="2">
        <v>0.66</v>
      </c>
      <c r="BL532" s="2">
        <v>5.6</v>
      </c>
      <c r="BM532" s="2">
        <v>1.5</v>
      </c>
      <c r="BN532" s="2">
        <v>7.5</v>
      </c>
      <c r="BO532" s="2">
        <v>2.9</v>
      </c>
      <c r="BP532" s="2">
        <f t="shared" si="16"/>
        <v>15.596344062463075</v>
      </c>
      <c r="BQ532" s="2">
        <f t="shared" si="17"/>
        <v>21.996158507304127</v>
      </c>
    </row>
    <row r="533" spans="1:69" x14ac:dyDescent="0.2">
      <c r="A533" s="2" t="s">
        <v>2634</v>
      </c>
      <c r="B533" s="2" t="s">
        <v>47</v>
      </c>
      <c r="C533" s="2" t="s">
        <v>1935</v>
      </c>
      <c r="D533" s="2" t="s">
        <v>49</v>
      </c>
      <c r="E533" s="2" t="s">
        <v>2635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89</v>
      </c>
      <c r="L533" s="6" t="s">
        <v>90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2636</v>
      </c>
      <c r="R533" s="2">
        <v>2740740.7409999999</v>
      </c>
      <c r="S533" s="2">
        <v>0</v>
      </c>
      <c r="T533" s="2" t="s">
        <v>77</v>
      </c>
      <c r="U533" s="2" t="s">
        <v>504</v>
      </c>
      <c r="V533" s="2" t="s">
        <v>56</v>
      </c>
      <c r="W533" s="2" t="s">
        <v>77</v>
      </c>
      <c r="X533" s="2" t="s">
        <v>505</v>
      </c>
      <c r="Y533" s="2">
        <v>3.3604645729473299</v>
      </c>
      <c r="Z533" s="2">
        <v>3360.46457294733</v>
      </c>
      <c r="AA533" s="2">
        <v>4.6782416666666702</v>
      </c>
      <c r="AB533" s="2">
        <v>-74.143819444444404</v>
      </c>
      <c r="AC533" s="2">
        <v>2551</v>
      </c>
      <c r="AD533" s="2">
        <v>11</v>
      </c>
      <c r="AE533" s="2" t="s">
        <v>59</v>
      </c>
      <c r="AF533" s="2" t="s">
        <v>60</v>
      </c>
      <c r="AG533" s="2" t="s">
        <v>61</v>
      </c>
      <c r="AH533" s="2" t="s">
        <v>62</v>
      </c>
      <c r="AI533" s="2" t="s">
        <v>71</v>
      </c>
      <c r="AJ533" s="2">
        <v>5.5506998345702696</v>
      </c>
      <c r="AK533" s="2">
        <v>6.86927213503849E-2</v>
      </c>
      <c r="AL533" s="2">
        <v>3.78962071593795</v>
      </c>
      <c r="AM533" s="2">
        <v>0.95283916654385203</v>
      </c>
      <c r="AN533" s="2">
        <v>3.1455290343641802</v>
      </c>
      <c r="AO533" s="2">
        <v>0.26708452563705998</v>
      </c>
      <c r="AP533" s="2">
        <v>0.26708452563705998</v>
      </c>
      <c r="AQ533" s="2">
        <v>0</v>
      </c>
      <c r="AR533" s="2">
        <v>0</v>
      </c>
      <c r="AS533" s="2">
        <v>2</v>
      </c>
      <c r="AT533" s="2">
        <v>4</v>
      </c>
      <c r="AU533" s="2">
        <v>0</v>
      </c>
      <c r="AV533" s="2">
        <v>1</v>
      </c>
      <c r="AW533" s="2">
        <v>0</v>
      </c>
      <c r="AX533" s="2">
        <v>0</v>
      </c>
      <c r="AY533" s="2">
        <v>15.8</v>
      </c>
      <c r="AZ533" s="2">
        <v>17.100000000000001</v>
      </c>
      <c r="BA533" s="2">
        <v>23</v>
      </c>
      <c r="BB533" s="2">
        <v>565</v>
      </c>
      <c r="BC533" s="2">
        <v>68</v>
      </c>
      <c r="BD533" s="2">
        <v>2.2999999999999998</v>
      </c>
      <c r="BE533" s="2">
        <v>68</v>
      </c>
      <c r="BF533" s="2">
        <v>17.600000000000001</v>
      </c>
      <c r="BG533" s="2">
        <v>162</v>
      </c>
      <c r="BH533" s="2">
        <v>19.7</v>
      </c>
      <c r="BI533" s="2">
        <v>16.7</v>
      </c>
      <c r="BJ533" s="2">
        <v>36.4</v>
      </c>
      <c r="BK533" s="2">
        <v>0.66</v>
      </c>
      <c r="BL533" s="2">
        <v>5.6</v>
      </c>
      <c r="BM533" s="2">
        <v>1.5</v>
      </c>
      <c r="BN533" s="2">
        <v>7.5</v>
      </c>
      <c r="BO533" s="2">
        <v>2.9</v>
      </c>
      <c r="BP533" s="2">
        <f t="shared" si="16"/>
        <v>14.47952332899939</v>
      </c>
      <c r="BQ533" s="2">
        <f t="shared" si="17"/>
        <v>21.217855466475093</v>
      </c>
    </row>
    <row r="534" spans="1:69" x14ac:dyDescent="0.2">
      <c r="A534" s="2" t="s">
        <v>2575</v>
      </c>
      <c r="B534" s="2" t="s">
        <v>47</v>
      </c>
      <c r="C534" s="2" t="s">
        <v>1935</v>
      </c>
      <c r="D534" s="2" t="s">
        <v>49</v>
      </c>
      <c r="E534" s="2" t="s">
        <v>2576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89</v>
      </c>
      <c r="L534" s="6" t="s">
        <v>141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2577</v>
      </c>
      <c r="R534" s="2">
        <v>3454545.4550000001</v>
      </c>
      <c r="S534" s="2">
        <v>0</v>
      </c>
      <c r="T534" s="2" t="s">
        <v>77</v>
      </c>
      <c r="U534" s="2" t="s">
        <v>504</v>
      </c>
      <c r="V534" s="2" t="s">
        <v>56</v>
      </c>
      <c r="W534" s="2" t="s">
        <v>77</v>
      </c>
      <c r="X534" s="2" t="s">
        <v>505</v>
      </c>
      <c r="Y534" s="2">
        <v>4.8107838678486203</v>
      </c>
      <c r="Z534" s="2">
        <v>4810.7838678486196</v>
      </c>
      <c r="AA534" s="2">
        <v>4.6782416666666702</v>
      </c>
      <c r="AB534" s="2">
        <v>-74.143819444444404</v>
      </c>
      <c r="AC534" s="2">
        <v>2551</v>
      </c>
      <c r="AD534" s="2">
        <v>11</v>
      </c>
      <c r="AE534" s="2" t="s">
        <v>59</v>
      </c>
      <c r="AF534" s="2" t="s">
        <v>60</v>
      </c>
      <c r="AG534" s="2" t="s">
        <v>61</v>
      </c>
      <c r="AH534" s="2" t="s">
        <v>62</v>
      </c>
      <c r="AI534" s="2" t="s">
        <v>391</v>
      </c>
      <c r="AJ534" s="2">
        <v>0.79504371453580802</v>
      </c>
      <c r="AK534" s="2">
        <v>3.9231290626925701</v>
      </c>
      <c r="AL534" s="2">
        <v>0.59683576023654505</v>
      </c>
      <c r="AM534" s="2">
        <v>0.16446442401070799</v>
      </c>
      <c r="AN534" s="2">
        <v>0.77797521632237898</v>
      </c>
      <c r="AO534" s="2">
        <v>0.267473478855626</v>
      </c>
      <c r="AP534" s="2">
        <v>0.267473478855626</v>
      </c>
      <c r="AQ534" s="2">
        <v>0</v>
      </c>
      <c r="AR534" s="2">
        <v>3</v>
      </c>
      <c r="AS534" s="2">
        <v>0</v>
      </c>
      <c r="AT534" s="2">
        <v>0</v>
      </c>
      <c r="AU534" s="2">
        <v>1</v>
      </c>
      <c r="AV534" s="2">
        <v>30</v>
      </c>
      <c r="AW534" s="2">
        <v>1</v>
      </c>
      <c r="AX534" s="2">
        <v>0</v>
      </c>
      <c r="AY534" s="2">
        <v>15.8</v>
      </c>
      <c r="AZ534" s="2">
        <v>17.100000000000001</v>
      </c>
      <c r="BA534" s="2">
        <v>23</v>
      </c>
      <c r="BB534" s="2">
        <v>565</v>
      </c>
      <c r="BC534" s="2">
        <v>68</v>
      </c>
      <c r="BD534" s="2">
        <v>2.2999999999999998</v>
      </c>
      <c r="BE534" s="2">
        <v>68</v>
      </c>
      <c r="BF534" s="2">
        <v>17.600000000000001</v>
      </c>
      <c r="BG534" s="2">
        <v>162</v>
      </c>
      <c r="BH534" s="2">
        <v>19.7</v>
      </c>
      <c r="BI534" s="2">
        <v>16.7</v>
      </c>
      <c r="BJ534" s="2">
        <v>36.4</v>
      </c>
      <c r="BK534" s="2">
        <v>0.66</v>
      </c>
      <c r="BL534" s="2">
        <v>5.6</v>
      </c>
      <c r="BM534" s="2">
        <v>1.5</v>
      </c>
      <c r="BN534" s="2">
        <v>7.5</v>
      </c>
      <c r="BO534" s="2">
        <v>2.9</v>
      </c>
      <c r="BP534" s="2">
        <f t="shared" si="16"/>
        <v>13.476462726696338</v>
      </c>
      <c r="BQ534" s="2">
        <f t="shared" si="17"/>
        <v>20.492017152299439</v>
      </c>
    </row>
    <row r="535" spans="1:69" x14ac:dyDescent="0.2">
      <c r="A535" s="2" t="s">
        <v>3026</v>
      </c>
      <c r="B535" s="2" t="s">
        <v>47</v>
      </c>
      <c r="C535" s="2" t="s">
        <v>1935</v>
      </c>
      <c r="D535" s="2" t="s">
        <v>49</v>
      </c>
      <c r="E535" s="2" t="s">
        <v>3027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89</v>
      </c>
      <c r="L535" s="6" t="s">
        <v>141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3028</v>
      </c>
      <c r="R535" s="2">
        <v>3734061.9309999999</v>
      </c>
      <c r="S535" s="2">
        <v>0</v>
      </c>
      <c r="T535" s="2" t="s">
        <v>77</v>
      </c>
      <c r="U535" s="2" t="s">
        <v>504</v>
      </c>
      <c r="V535" s="2" t="s">
        <v>56</v>
      </c>
      <c r="W535" s="2" t="s">
        <v>77</v>
      </c>
      <c r="X535" s="2" t="s">
        <v>505</v>
      </c>
      <c r="Y535" s="2">
        <v>2.02235788497294E-2</v>
      </c>
      <c r="Z535" s="2">
        <v>20.2235788497294</v>
      </c>
      <c r="AA535" s="2">
        <v>4.6782416666666702</v>
      </c>
      <c r="AB535" s="2">
        <v>-74.143819444444404</v>
      </c>
      <c r="AC535" s="2">
        <v>2551</v>
      </c>
      <c r="AD535" s="2">
        <v>11</v>
      </c>
      <c r="AE535" s="2" t="s">
        <v>59</v>
      </c>
      <c r="AF535" s="2" t="s">
        <v>60</v>
      </c>
      <c r="AG535" s="2" t="s">
        <v>61</v>
      </c>
      <c r="AH535" s="2" t="s">
        <v>62</v>
      </c>
      <c r="AI535" s="2" t="s">
        <v>71</v>
      </c>
      <c r="AJ535" s="2">
        <v>2.49463431516069</v>
      </c>
      <c r="AK535" s="2">
        <v>1.95740879351187</v>
      </c>
      <c r="AL535" s="2">
        <v>0.76053502368320303</v>
      </c>
      <c r="AM535" s="2">
        <v>3.2721931808737101E-2</v>
      </c>
      <c r="AN535" s="2">
        <v>1.2932402494845301</v>
      </c>
      <c r="AO535" s="2">
        <v>0.30778130936017201</v>
      </c>
      <c r="AP535" s="2">
        <v>0.30778130936017201</v>
      </c>
      <c r="AQ535" s="2">
        <v>0</v>
      </c>
      <c r="AR535" s="2">
        <v>0</v>
      </c>
      <c r="AS535" s="2">
        <v>0</v>
      </c>
      <c r="AT535" s="2">
        <v>0</v>
      </c>
      <c r="AU535" s="2">
        <v>1</v>
      </c>
      <c r="AV535" s="2">
        <v>33</v>
      </c>
      <c r="AW535" s="2">
        <v>0</v>
      </c>
      <c r="AX535" s="2">
        <v>0</v>
      </c>
      <c r="AY535" s="2">
        <v>15.8</v>
      </c>
      <c r="AZ535" s="2">
        <v>17.100000000000001</v>
      </c>
      <c r="BA535" s="2">
        <v>23</v>
      </c>
      <c r="BB535" s="2">
        <v>565</v>
      </c>
      <c r="BC535" s="2">
        <v>68</v>
      </c>
      <c r="BD535" s="2">
        <v>2.2999999999999998</v>
      </c>
      <c r="BE535" s="2">
        <v>68</v>
      </c>
      <c r="BF535" s="2">
        <v>17.600000000000001</v>
      </c>
      <c r="BG535" s="2">
        <v>162</v>
      </c>
      <c r="BH535" s="2">
        <v>19.7</v>
      </c>
      <c r="BI535" s="2">
        <v>16.7</v>
      </c>
      <c r="BJ535" s="2">
        <v>36.4</v>
      </c>
      <c r="BK535" s="2">
        <v>0.66</v>
      </c>
      <c r="BL535" s="2">
        <v>5.6</v>
      </c>
      <c r="BM535" s="2">
        <v>1.5</v>
      </c>
      <c r="BN535" s="2">
        <v>7.5</v>
      </c>
      <c r="BO535" s="2">
        <v>2.9</v>
      </c>
      <c r="BP535" s="2">
        <f t="shared" si="16"/>
        <v>17.082890317082285</v>
      </c>
      <c r="BQ535" s="2">
        <f t="shared" si="17"/>
        <v>22.98883929320726</v>
      </c>
    </row>
    <row r="536" spans="1:69" x14ac:dyDescent="0.2">
      <c r="A536" s="2" t="s">
        <v>2066</v>
      </c>
      <c r="B536" s="2" t="s">
        <v>47</v>
      </c>
      <c r="C536" s="2" t="s">
        <v>1935</v>
      </c>
      <c r="D536" s="2" t="s">
        <v>49</v>
      </c>
      <c r="E536" s="2" t="s">
        <v>2067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89</v>
      </c>
      <c r="L536" s="6" t="s">
        <v>103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2068</v>
      </c>
      <c r="R536" s="2">
        <v>5283018.8679999998</v>
      </c>
      <c r="S536" s="2">
        <v>0</v>
      </c>
      <c r="T536" s="2" t="s">
        <v>77</v>
      </c>
      <c r="U536" s="2" t="s">
        <v>504</v>
      </c>
      <c r="V536" s="2" t="s">
        <v>56</v>
      </c>
      <c r="W536" s="2" t="s">
        <v>77</v>
      </c>
      <c r="X536" s="2" t="s">
        <v>505</v>
      </c>
      <c r="Y536" s="2">
        <v>1.6578298125391999</v>
      </c>
      <c r="Z536" s="2">
        <v>1657.8298125392</v>
      </c>
      <c r="AA536" s="2">
        <v>4.6782416666666702</v>
      </c>
      <c r="AB536" s="2">
        <v>-74.143819444444404</v>
      </c>
      <c r="AC536" s="2">
        <v>2551</v>
      </c>
      <c r="AD536" s="2">
        <v>11</v>
      </c>
      <c r="AE536" s="2" t="s">
        <v>59</v>
      </c>
      <c r="AF536" s="2" t="s">
        <v>60</v>
      </c>
      <c r="AG536" s="2" t="s">
        <v>61</v>
      </c>
      <c r="AH536" s="2" t="s">
        <v>62</v>
      </c>
      <c r="AI536" s="2" t="s">
        <v>71</v>
      </c>
      <c r="AJ536" s="2">
        <v>1.43654357021495</v>
      </c>
      <c r="AK536" s="2">
        <v>3.10617672851108</v>
      </c>
      <c r="AL536" s="2">
        <v>1.37570059396282</v>
      </c>
      <c r="AM536" s="2">
        <v>0.57075762897945403</v>
      </c>
      <c r="AN536" s="2">
        <v>2.1099859540862398</v>
      </c>
      <c r="AO536" s="2">
        <v>0.72552339315860503</v>
      </c>
      <c r="AP536" s="2">
        <v>0.72552339315860503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17</v>
      </c>
      <c r="AW536" s="2">
        <v>0</v>
      </c>
      <c r="AX536" s="2">
        <v>0</v>
      </c>
      <c r="AY536" s="2">
        <v>15.8</v>
      </c>
      <c r="AZ536" s="2">
        <v>17.100000000000001</v>
      </c>
      <c r="BA536" s="2">
        <v>23</v>
      </c>
      <c r="BB536" s="2">
        <v>565</v>
      </c>
      <c r="BC536" s="2">
        <v>68</v>
      </c>
      <c r="BD536" s="2">
        <v>2.2999999999999998</v>
      </c>
      <c r="BE536" s="2">
        <v>68</v>
      </c>
      <c r="BF536" s="2">
        <v>17.600000000000001</v>
      </c>
      <c r="BG536" s="2">
        <v>162</v>
      </c>
      <c r="BH536" s="2">
        <v>19.7</v>
      </c>
      <c r="BI536" s="2">
        <v>16.7</v>
      </c>
      <c r="BJ536" s="2">
        <v>36.4</v>
      </c>
      <c r="BK536" s="2">
        <v>0.66</v>
      </c>
      <c r="BL536" s="2">
        <v>5.6</v>
      </c>
      <c r="BM536" s="2">
        <v>1.5</v>
      </c>
      <c r="BN536" s="2">
        <v>7.5</v>
      </c>
      <c r="BO536" s="2">
        <v>2.9</v>
      </c>
      <c r="BP536" s="2">
        <f t="shared" si="16"/>
        <v>15.752764722259844</v>
      </c>
      <c r="BQ536" s="2">
        <f t="shared" si="17"/>
        <v>22.102844274103088</v>
      </c>
    </row>
    <row r="537" spans="1:69" x14ac:dyDescent="0.2">
      <c r="A537" s="2" t="s">
        <v>2841</v>
      </c>
      <c r="B537" s="2" t="s">
        <v>47</v>
      </c>
      <c r="C537" s="2" t="s">
        <v>1935</v>
      </c>
      <c r="D537" s="2" t="s">
        <v>49</v>
      </c>
      <c r="E537" s="2" t="s">
        <v>559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89</v>
      </c>
      <c r="L537" s="6" t="s">
        <v>141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2842</v>
      </c>
      <c r="R537" s="2">
        <v>7603821.4079999998</v>
      </c>
      <c r="S537" s="2">
        <v>0</v>
      </c>
      <c r="T537" s="2" t="s">
        <v>77</v>
      </c>
      <c r="U537" s="2" t="s">
        <v>504</v>
      </c>
      <c r="V537" s="2" t="s">
        <v>56</v>
      </c>
      <c r="W537" s="2" t="s">
        <v>77</v>
      </c>
      <c r="X537" s="2" t="s">
        <v>505</v>
      </c>
      <c r="Y537" s="2">
        <v>2.7729088022003499</v>
      </c>
      <c r="Z537" s="2">
        <v>2772.9088022003498</v>
      </c>
      <c r="AA537" s="2">
        <v>4.6782416666666702</v>
      </c>
      <c r="AB537" s="2">
        <v>-74.143819444444404</v>
      </c>
      <c r="AC537" s="2">
        <v>2551</v>
      </c>
      <c r="AD537" s="2">
        <v>11</v>
      </c>
      <c r="AE537" s="2" t="s">
        <v>59</v>
      </c>
      <c r="AF537" s="2" t="s">
        <v>60</v>
      </c>
      <c r="AG537" s="2" t="s">
        <v>61</v>
      </c>
      <c r="AH537" s="2" t="s">
        <v>62</v>
      </c>
      <c r="AI537" s="2" t="s">
        <v>71</v>
      </c>
      <c r="AJ537" s="2">
        <v>0.44361690435800799</v>
      </c>
      <c r="AK537" s="2">
        <v>4.2618667925977096</v>
      </c>
      <c r="AL537" s="2">
        <v>2.1089146903686098</v>
      </c>
      <c r="AM537" s="2">
        <v>0.193201885174939</v>
      </c>
      <c r="AN537" s="2">
        <v>2.3636690834820202</v>
      </c>
      <c r="AO537" s="2">
        <v>7.6407823448298101E-3</v>
      </c>
      <c r="AP537" s="2">
        <v>7.6407823448298101E-3</v>
      </c>
      <c r="AQ537" s="2">
        <v>1</v>
      </c>
      <c r="AR537" s="2">
        <v>2</v>
      </c>
      <c r="AS537" s="2">
        <v>0</v>
      </c>
      <c r="AT537" s="2">
        <v>0</v>
      </c>
      <c r="AU537" s="2">
        <v>0</v>
      </c>
      <c r="AV537" s="2">
        <v>23</v>
      </c>
      <c r="AW537" s="2">
        <v>0</v>
      </c>
      <c r="AX537" s="2">
        <v>0</v>
      </c>
      <c r="AY537" s="2">
        <v>15.8</v>
      </c>
      <c r="AZ537" s="2">
        <v>17.100000000000001</v>
      </c>
      <c r="BA537" s="2">
        <v>23</v>
      </c>
      <c r="BB537" s="2">
        <v>565</v>
      </c>
      <c r="BC537" s="2">
        <v>68</v>
      </c>
      <c r="BD537" s="2">
        <v>2.2999999999999998</v>
      </c>
      <c r="BE537" s="2">
        <v>68</v>
      </c>
      <c r="BF537" s="2">
        <v>17.600000000000001</v>
      </c>
      <c r="BG537" s="2">
        <v>162</v>
      </c>
      <c r="BH537" s="2">
        <v>19.7</v>
      </c>
      <c r="BI537" s="2">
        <v>16.7</v>
      </c>
      <c r="BJ537" s="2">
        <v>36.4</v>
      </c>
      <c r="BK537" s="2">
        <v>0.66</v>
      </c>
      <c r="BL537" s="2">
        <v>5.6</v>
      </c>
      <c r="BM537" s="2">
        <v>1.5</v>
      </c>
      <c r="BN537" s="2">
        <v>7.5</v>
      </c>
      <c r="BO537" s="2">
        <v>2.9</v>
      </c>
      <c r="BP537" s="2">
        <f t="shared" si="16"/>
        <v>14.906829711028143</v>
      </c>
      <c r="BQ537" s="2">
        <f t="shared" si="17"/>
        <v>21.519175140925725</v>
      </c>
    </row>
    <row r="538" spans="1:69" x14ac:dyDescent="0.2">
      <c r="A538" s="2" t="s">
        <v>277</v>
      </c>
      <c r="B538" s="2" t="s">
        <v>47</v>
      </c>
      <c r="C538" s="2" t="s">
        <v>48</v>
      </c>
      <c r="D538" s="2" t="s">
        <v>49</v>
      </c>
      <c r="E538" s="2" t="s">
        <v>73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51</v>
      </c>
      <c r="L538" s="6" t="s">
        <v>52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278</v>
      </c>
      <c r="R538" s="2">
        <v>11445783.130000001</v>
      </c>
      <c r="S538" s="2">
        <v>0</v>
      </c>
      <c r="T538" s="2" t="s">
        <v>75</v>
      </c>
      <c r="U538" s="2" t="s">
        <v>76</v>
      </c>
      <c r="V538" s="2" t="s">
        <v>56</v>
      </c>
      <c r="W538" s="2" t="s">
        <v>77</v>
      </c>
      <c r="X538" s="2" t="s">
        <v>78</v>
      </c>
      <c r="Y538" s="2">
        <v>2.6157005846235499</v>
      </c>
      <c r="Z538" s="2">
        <v>2615.7005846235502</v>
      </c>
      <c r="AA538" s="2">
        <v>4.6680000000000001</v>
      </c>
      <c r="AB538" s="2">
        <v>-74.148499999999999</v>
      </c>
      <c r="AC538" s="2">
        <v>2547</v>
      </c>
      <c r="AD538" s="2">
        <v>0</v>
      </c>
      <c r="AE538" s="2" t="s">
        <v>59</v>
      </c>
      <c r="AF538" s="2" t="s">
        <v>79</v>
      </c>
      <c r="AG538" s="2" t="s">
        <v>61</v>
      </c>
      <c r="AH538" s="2" t="s">
        <v>62</v>
      </c>
      <c r="AI538" s="2" t="s">
        <v>71</v>
      </c>
      <c r="AJ538" s="2">
        <v>2.31767707106675</v>
      </c>
      <c r="AK538" s="2">
        <v>3.2650120229677202</v>
      </c>
      <c r="AL538" s="2">
        <v>1.7080571710976</v>
      </c>
      <c r="AM538" s="2">
        <v>0.23079639949212499</v>
      </c>
      <c r="AN538" s="2">
        <v>1.64387796355027</v>
      </c>
      <c r="AO538" s="2">
        <v>0.19120396449708599</v>
      </c>
      <c r="AP538" s="2">
        <v>0.19120396449708599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18</v>
      </c>
      <c r="AW538" s="2">
        <v>0</v>
      </c>
      <c r="AX538" s="2">
        <v>0</v>
      </c>
      <c r="AY538" s="2">
        <v>15.8</v>
      </c>
      <c r="AZ538" s="2">
        <v>17.100000000000001</v>
      </c>
      <c r="BA538" s="2">
        <v>23</v>
      </c>
      <c r="BB538" s="2">
        <v>565</v>
      </c>
      <c r="BC538" s="2">
        <v>68</v>
      </c>
      <c r="BD538" s="2">
        <v>2.2999999999999998</v>
      </c>
      <c r="BE538" s="2">
        <v>68</v>
      </c>
      <c r="BF538" s="2">
        <v>17.600000000000001</v>
      </c>
      <c r="BG538" s="2">
        <v>162</v>
      </c>
      <c r="BH538" s="2">
        <v>19.7</v>
      </c>
      <c r="BI538" s="2">
        <v>16.7</v>
      </c>
      <c r="BJ538" s="2">
        <v>36.4</v>
      </c>
      <c r="BK538" s="2">
        <v>0.66</v>
      </c>
      <c r="BL538" s="2">
        <v>5.6</v>
      </c>
      <c r="BM538" s="2">
        <v>1.5</v>
      </c>
      <c r="BN538" s="2">
        <v>7.5</v>
      </c>
      <c r="BO538" s="2">
        <v>2.9</v>
      </c>
      <c r="BP538" s="2">
        <f t="shared" si="16"/>
        <v>15.023284305295343</v>
      </c>
      <c r="BQ538" s="2">
        <f t="shared" si="17"/>
        <v>21.60052028996035</v>
      </c>
    </row>
    <row r="539" spans="1:69" x14ac:dyDescent="0.2">
      <c r="A539" s="2" t="s">
        <v>197</v>
      </c>
      <c r="B539" s="2" t="s">
        <v>47</v>
      </c>
      <c r="C539" s="2" t="s">
        <v>48</v>
      </c>
      <c r="D539" s="2" t="s">
        <v>49</v>
      </c>
      <c r="E539" s="2" t="s">
        <v>198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89</v>
      </c>
      <c r="L539" s="6" t="s">
        <v>112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199</v>
      </c>
      <c r="R539" s="2">
        <v>5913739.9879999999</v>
      </c>
      <c r="S539" s="2">
        <v>0</v>
      </c>
      <c r="T539" s="2" t="s">
        <v>75</v>
      </c>
      <c r="U539" s="2" t="s">
        <v>76</v>
      </c>
      <c r="V539" s="2" t="s">
        <v>56</v>
      </c>
      <c r="W539" s="2" t="s">
        <v>77</v>
      </c>
      <c r="X539" s="2" t="s">
        <v>78</v>
      </c>
      <c r="Y539" s="2">
        <v>2.13127804838724</v>
      </c>
      <c r="Z539" s="2">
        <v>2131.2780483872398</v>
      </c>
      <c r="AA539" s="2">
        <v>4.6680000000000001</v>
      </c>
      <c r="AB539" s="2">
        <v>-74.148499999999999</v>
      </c>
      <c r="AC539" s="2">
        <v>2547</v>
      </c>
      <c r="AD539" s="2">
        <v>0</v>
      </c>
      <c r="AE539" s="2" t="s">
        <v>59</v>
      </c>
      <c r="AF539" s="2" t="s">
        <v>79</v>
      </c>
      <c r="AG539" s="2" t="s">
        <v>61</v>
      </c>
      <c r="AH539" s="2" t="s">
        <v>62</v>
      </c>
      <c r="AI539" s="2" t="s">
        <v>200</v>
      </c>
      <c r="AJ539" s="2">
        <v>1.58308052116895</v>
      </c>
      <c r="AK539" s="2">
        <v>1.47416307247789</v>
      </c>
      <c r="AL539" s="2">
        <v>3.1996024337237801</v>
      </c>
      <c r="AM539" s="2">
        <v>0.34406525069849803</v>
      </c>
      <c r="AN539" s="2">
        <v>2.07955413832648</v>
      </c>
      <c r="AO539" s="2">
        <v>6.0955763350634497E-2</v>
      </c>
      <c r="AP539" s="2">
        <v>6.0955763350634497E-2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1</v>
      </c>
      <c r="AW539" s="2">
        <v>0</v>
      </c>
      <c r="AX539" s="2">
        <v>0</v>
      </c>
      <c r="AY539" s="2">
        <v>15.8</v>
      </c>
      <c r="AZ539" s="2">
        <v>17.100000000000001</v>
      </c>
      <c r="BA539" s="2">
        <v>23</v>
      </c>
      <c r="BB539" s="2">
        <v>565</v>
      </c>
      <c r="BC539" s="2">
        <v>68</v>
      </c>
      <c r="BD539" s="2">
        <v>2.2999999999999998</v>
      </c>
      <c r="BE539" s="2">
        <v>68</v>
      </c>
      <c r="BF539" s="2">
        <v>17.600000000000001</v>
      </c>
      <c r="BG539" s="2">
        <v>162</v>
      </c>
      <c r="BH539" s="2">
        <v>19.7</v>
      </c>
      <c r="BI539" s="2">
        <v>16.7</v>
      </c>
      <c r="BJ539" s="2">
        <v>36.4</v>
      </c>
      <c r="BK539" s="2">
        <v>0.66</v>
      </c>
      <c r="BL539" s="2">
        <v>5.6</v>
      </c>
      <c r="BM539" s="2">
        <v>1.5</v>
      </c>
      <c r="BN539" s="2">
        <v>7.5</v>
      </c>
      <c r="BO539" s="2">
        <v>2.9</v>
      </c>
      <c r="BP539" s="2">
        <f t="shared" si="16"/>
        <v>15.387880208323912</v>
      </c>
      <c r="BQ539" s="2">
        <f t="shared" si="17"/>
        <v>21.85311649602767</v>
      </c>
    </row>
    <row r="540" spans="1:69" x14ac:dyDescent="0.2">
      <c r="A540" s="2" t="s">
        <v>1335</v>
      </c>
      <c r="B540" s="2" t="s">
        <v>47</v>
      </c>
      <c r="C540" s="2" t="s">
        <v>48</v>
      </c>
      <c r="D540" s="2" t="s">
        <v>49</v>
      </c>
      <c r="E540" s="2" t="s">
        <v>1336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89</v>
      </c>
      <c r="L540" s="6" t="s">
        <v>112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1337</v>
      </c>
      <c r="R540" s="2">
        <v>5958904.1100000003</v>
      </c>
      <c r="S540" s="2">
        <v>0</v>
      </c>
      <c r="T540" s="2" t="s">
        <v>75</v>
      </c>
      <c r="U540" s="2" t="s">
        <v>76</v>
      </c>
      <c r="V540" s="2" t="s">
        <v>56</v>
      </c>
      <c r="W540" s="2" t="s">
        <v>77</v>
      </c>
      <c r="X540" s="2" t="s">
        <v>78</v>
      </c>
      <c r="Y540" s="2">
        <v>2.2089237627755902</v>
      </c>
      <c r="Z540" s="2">
        <v>2208.9237627755901</v>
      </c>
      <c r="AA540" s="2">
        <v>4.6680000000000001</v>
      </c>
      <c r="AB540" s="2">
        <v>-74.148499999999999</v>
      </c>
      <c r="AC540" s="2">
        <v>2547</v>
      </c>
      <c r="AD540" s="2">
        <v>0</v>
      </c>
      <c r="AE540" s="2" t="s">
        <v>59</v>
      </c>
      <c r="AF540" s="2" t="s">
        <v>79</v>
      </c>
      <c r="AG540" s="2" t="s">
        <v>61</v>
      </c>
      <c r="AH540" s="2" t="s">
        <v>62</v>
      </c>
      <c r="AI540" s="2" t="s">
        <v>200</v>
      </c>
      <c r="AJ540" s="2">
        <v>1.7749704958241801</v>
      </c>
      <c r="AK540" s="2">
        <v>1.91809471222672</v>
      </c>
      <c r="AL540" s="2">
        <v>2.6094570116436899</v>
      </c>
      <c r="AM540" s="2">
        <v>0.557413833512308</v>
      </c>
      <c r="AN540" s="2">
        <v>2.16454999508333</v>
      </c>
      <c r="AO540" s="2">
        <v>0.126629473869114</v>
      </c>
      <c r="AP540" s="2">
        <v>0.126629473869114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3</v>
      </c>
      <c r="AW540" s="2">
        <v>0</v>
      </c>
      <c r="AX540" s="2">
        <v>0</v>
      </c>
      <c r="AY540" s="2">
        <v>15.8</v>
      </c>
      <c r="AZ540" s="2">
        <v>17.100000000000001</v>
      </c>
      <c r="BA540" s="2">
        <v>23</v>
      </c>
      <c r="BB540" s="2">
        <v>565</v>
      </c>
      <c r="BC540" s="2">
        <v>68</v>
      </c>
      <c r="BD540" s="2">
        <v>2.2999999999999998</v>
      </c>
      <c r="BE540" s="2">
        <v>68</v>
      </c>
      <c r="BF540" s="2">
        <v>17.600000000000001</v>
      </c>
      <c r="BG540" s="2">
        <v>162</v>
      </c>
      <c r="BH540" s="2">
        <v>19.7</v>
      </c>
      <c r="BI540" s="2">
        <v>16.7</v>
      </c>
      <c r="BJ540" s="2">
        <v>36.4</v>
      </c>
      <c r="BK540" s="2">
        <v>0.66</v>
      </c>
      <c r="BL540" s="2">
        <v>5.6</v>
      </c>
      <c r="BM540" s="2">
        <v>1.5</v>
      </c>
      <c r="BN540" s="2">
        <v>7.5</v>
      </c>
      <c r="BO540" s="2">
        <v>2.9</v>
      </c>
      <c r="BP540" s="2">
        <f t="shared" si="16"/>
        <v>15.328850973217323</v>
      </c>
      <c r="BQ540" s="2">
        <f t="shared" si="17"/>
        <v>21.812431196064857</v>
      </c>
    </row>
    <row r="541" spans="1:69" x14ac:dyDescent="0.2">
      <c r="A541" s="2" t="s">
        <v>72</v>
      </c>
      <c r="B541" s="2" t="s">
        <v>47</v>
      </c>
      <c r="C541" s="2" t="s">
        <v>48</v>
      </c>
      <c r="D541" s="2" t="s">
        <v>49</v>
      </c>
      <c r="E541" s="2" t="s">
        <v>73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51</v>
      </c>
      <c r="L541" s="6" t="s">
        <v>52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74</v>
      </c>
      <c r="R541" s="2">
        <v>11388888.890000001</v>
      </c>
      <c r="S541" s="2">
        <v>0</v>
      </c>
      <c r="T541" s="2" t="s">
        <v>75</v>
      </c>
      <c r="U541" s="2" t="s">
        <v>76</v>
      </c>
      <c r="V541" s="2" t="s">
        <v>56</v>
      </c>
      <c r="W541" s="2" t="s">
        <v>77</v>
      </c>
      <c r="X541" s="2" t="s">
        <v>78</v>
      </c>
      <c r="Y541" s="2">
        <v>2.6157005846235499</v>
      </c>
      <c r="Z541" s="2">
        <v>2615.7005846235502</v>
      </c>
      <c r="AA541" s="2">
        <v>4.6680000000000001</v>
      </c>
      <c r="AB541" s="2">
        <v>-74.148499999999999</v>
      </c>
      <c r="AC541" s="2">
        <v>2547</v>
      </c>
      <c r="AD541" s="2">
        <v>0</v>
      </c>
      <c r="AE541" s="2" t="s">
        <v>59</v>
      </c>
      <c r="AF541" s="2" t="s">
        <v>79</v>
      </c>
      <c r="AG541" s="2" t="s">
        <v>61</v>
      </c>
      <c r="AH541" s="2" t="s">
        <v>62</v>
      </c>
      <c r="AI541" s="2" t="s">
        <v>71</v>
      </c>
      <c r="AJ541" s="2">
        <v>2.31767707106675</v>
      </c>
      <c r="AK541" s="2">
        <v>3.2650120229677202</v>
      </c>
      <c r="AL541" s="2">
        <v>1.7080571710976</v>
      </c>
      <c r="AM541" s="2">
        <v>0.23079639949212499</v>
      </c>
      <c r="AN541" s="2">
        <v>1.64387796355027</v>
      </c>
      <c r="AO541" s="2">
        <v>0.19120396449708599</v>
      </c>
      <c r="AP541" s="2">
        <v>0.19120396449708599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18</v>
      </c>
      <c r="AW541" s="2">
        <v>0</v>
      </c>
      <c r="AX541" s="2">
        <v>0</v>
      </c>
      <c r="AY541" s="2">
        <v>15.8</v>
      </c>
      <c r="AZ541" s="2">
        <v>17.100000000000001</v>
      </c>
      <c r="BA541" s="2">
        <v>23</v>
      </c>
      <c r="BB541" s="2">
        <v>565</v>
      </c>
      <c r="BC541" s="2">
        <v>68</v>
      </c>
      <c r="BD541" s="2">
        <v>2.2999999999999998</v>
      </c>
      <c r="BE541" s="2">
        <v>68</v>
      </c>
      <c r="BF541" s="2">
        <v>17.600000000000001</v>
      </c>
      <c r="BG541" s="2">
        <v>162</v>
      </c>
      <c r="BH541" s="2">
        <v>19.7</v>
      </c>
      <c r="BI541" s="2">
        <v>16.7</v>
      </c>
      <c r="BJ541" s="2">
        <v>36.4</v>
      </c>
      <c r="BK541" s="2">
        <v>0.66</v>
      </c>
      <c r="BL541" s="2">
        <v>5.6</v>
      </c>
      <c r="BM541" s="2">
        <v>1.5</v>
      </c>
      <c r="BN541" s="2">
        <v>7.5</v>
      </c>
      <c r="BO541" s="2">
        <v>2.9</v>
      </c>
      <c r="BP541" s="2">
        <f t="shared" si="16"/>
        <v>15.023284305295343</v>
      </c>
      <c r="BQ541" s="2">
        <f t="shared" si="17"/>
        <v>21.60052028996035</v>
      </c>
    </row>
    <row r="542" spans="1:69" x14ac:dyDescent="0.2">
      <c r="A542" s="2" t="s">
        <v>2973</v>
      </c>
      <c r="B542" s="2" t="s">
        <v>47</v>
      </c>
      <c r="C542" s="2" t="s">
        <v>1935</v>
      </c>
      <c r="D542" s="2" t="s">
        <v>49</v>
      </c>
      <c r="E542" s="2" t="s">
        <v>122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89</v>
      </c>
      <c r="L542" s="6" t="s">
        <v>103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2974</v>
      </c>
      <c r="R542" s="2">
        <v>6375000</v>
      </c>
      <c r="S542" s="2">
        <v>0</v>
      </c>
      <c r="T542" s="2" t="s">
        <v>75</v>
      </c>
      <c r="U542" s="2" t="s">
        <v>76</v>
      </c>
      <c r="V542" s="2" t="s">
        <v>56</v>
      </c>
      <c r="W542" s="2" t="s">
        <v>77</v>
      </c>
      <c r="X542" s="2" t="s">
        <v>78</v>
      </c>
      <c r="Y542" s="2">
        <v>2.27765933104267</v>
      </c>
      <c r="Z542" s="2">
        <v>2277.6593310426701</v>
      </c>
      <c r="AA542" s="2">
        <v>4.6680000000000001</v>
      </c>
      <c r="AB542" s="2">
        <v>-74.148499999999999</v>
      </c>
      <c r="AC542" s="2">
        <v>2547</v>
      </c>
      <c r="AD542" s="2">
        <v>0</v>
      </c>
      <c r="AE542" s="2" t="s">
        <v>59</v>
      </c>
      <c r="AF542" s="2" t="s">
        <v>79</v>
      </c>
      <c r="AG542" s="2" t="s">
        <v>61</v>
      </c>
      <c r="AH542" s="2" t="s">
        <v>62</v>
      </c>
      <c r="AI542" s="2" t="s">
        <v>71</v>
      </c>
      <c r="AJ542" s="2">
        <v>1.9268249029163</v>
      </c>
      <c r="AK542" s="2">
        <v>3.17382039942167</v>
      </c>
      <c r="AL542" s="2">
        <v>2.3938608967991399</v>
      </c>
      <c r="AM542" s="2">
        <v>0.27442081801699503</v>
      </c>
      <c r="AN542" s="2">
        <v>1.97703550206567</v>
      </c>
      <c r="AO542" s="2">
        <v>0.156472348299243</v>
      </c>
      <c r="AP542" s="2">
        <v>0.156472348299243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15</v>
      </c>
      <c r="AW542" s="2">
        <v>0</v>
      </c>
      <c r="AX542" s="2">
        <v>0</v>
      </c>
      <c r="AY542" s="2">
        <v>15.8</v>
      </c>
      <c r="AZ542" s="2">
        <v>17.100000000000001</v>
      </c>
      <c r="BA542" s="2">
        <v>23</v>
      </c>
      <c r="BB542" s="2">
        <v>565</v>
      </c>
      <c r="BC542" s="2">
        <v>68</v>
      </c>
      <c r="BD542" s="2">
        <v>2.2999999999999998</v>
      </c>
      <c r="BE542" s="2">
        <v>68</v>
      </c>
      <c r="BF542" s="2">
        <v>17.600000000000001</v>
      </c>
      <c r="BG542" s="2">
        <v>162</v>
      </c>
      <c r="BH542" s="2">
        <v>19.7</v>
      </c>
      <c r="BI542" s="2">
        <v>16.7</v>
      </c>
      <c r="BJ542" s="2">
        <v>36.4</v>
      </c>
      <c r="BK542" s="2">
        <v>0.66</v>
      </c>
      <c r="BL542" s="2">
        <v>5.6</v>
      </c>
      <c r="BM542" s="2">
        <v>1.5</v>
      </c>
      <c r="BN542" s="2">
        <v>7.5</v>
      </c>
      <c r="BO542" s="2">
        <v>2.9</v>
      </c>
      <c r="BP542" s="2">
        <f t="shared" si="16"/>
        <v>15.276784553630483</v>
      </c>
      <c r="BQ542" s="2">
        <f t="shared" si="17"/>
        <v>21.776477902973561</v>
      </c>
    </row>
    <row r="543" spans="1:69" x14ac:dyDescent="0.2">
      <c r="A543" s="2" t="s">
        <v>635</v>
      </c>
      <c r="B543" s="2" t="s">
        <v>47</v>
      </c>
      <c r="C543" s="2" t="s">
        <v>48</v>
      </c>
      <c r="D543" s="2" t="s">
        <v>49</v>
      </c>
      <c r="E543" s="2" t="s">
        <v>122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89</v>
      </c>
      <c r="L543" s="6" t="s">
        <v>112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636</v>
      </c>
      <c r="R543" s="2">
        <v>7605633.8030000003</v>
      </c>
      <c r="S543" s="2">
        <v>0</v>
      </c>
      <c r="T543" s="2" t="s">
        <v>75</v>
      </c>
      <c r="U543" s="2" t="s">
        <v>76</v>
      </c>
      <c r="V543" s="2" t="s">
        <v>56</v>
      </c>
      <c r="W543" s="2" t="s">
        <v>77</v>
      </c>
      <c r="X543" s="2" t="s">
        <v>78</v>
      </c>
      <c r="Y543" s="2">
        <v>2.2525153640490099</v>
      </c>
      <c r="Z543" s="2">
        <v>2252.5153640490098</v>
      </c>
      <c r="AA543" s="2">
        <v>4.6680000000000001</v>
      </c>
      <c r="AB543" s="2">
        <v>-74.148499999999999</v>
      </c>
      <c r="AC543" s="2">
        <v>2547</v>
      </c>
      <c r="AD543" s="2">
        <v>0</v>
      </c>
      <c r="AE543" s="2" t="s">
        <v>59</v>
      </c>
      <c r="AF543" s="2" t="s">
        <v>79</v>
      </c>
      <c r="AG543" s="2" t="s">
        <v>61</v>
      </c>
      <c r="AH543" s="2" t="s">
        <v>62</v>
      </c>
      <c r="AI543" s="2" t="s">
        <v>71</v>
      </c>
      <c r="AJ543" s="2">
        <v>2.2850314385386401</v>
      </c>
      <c r="AK543" s="2">
        <v>3.01226059155979</v>
      </c>
      <c r="AL543" s="2">
        <v>2.1085222664652798</v>
      </c>
      <c r="AM543" s="2">
        <v>0.35716805008795499</v>
      </c>
      <c r="AN543" s="2">
        <v>1.9599010571956199</v>
      </c>
      <c r="AO543" s="2">
        <v>0.12404246251522399</v>
      </c>
      <c r="AP543" s="2">
        <v>0.12404246251522399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17</v>
      </c>
      <c r="AW543" s="2">
        <v>0</v>
      </c>
      <c r="AX543" s="2">
        <v>0</v>
      </c>
      <c r="AY543" s="2">
        <v>15.8</v>
      </c>
      <c r="AZ543" s="2">
        <v>17.100000000000001</v>
      </c>
      <c r="BA543" s="2">
        <v>23</v>
      </c>
      <c r="BB543" s="2">
        <v>565</v>
      </c>
      <c r="BC543" s="2">
        <v>68</v>
      </c>
      <c r="BD543" s="2">
        <v>2.2999999999999998</v>
      </c>
      <c r="BE543" s="2">
        <v>68</v>
      </c>
      <c r="BF543" s="2">
        <v>17.600000000000001</v>
      </c>
      <c r="BG543" s="2">
        <v>162</v>
      </c>
      <c r="BH543" s="2">
        <v>19.7</v>
      </c>
      <c r="BI543" s="2">
        <v>16.7</v>
      </c>
      <c r="BJ543" s="2">
        <v>36.4</v>
      </c>
      <c r="BK543" s="2">
        <v>0.66</v>
      </c>
      <c r="BL543" s="2">
        <v>5.6</v>
      </c>
      <c r="BM543" s="2">
        <v>1.5</v>
      </c>
      <c r="BN543" s="2">
        <v>7.5</v>
      </c>
      <c r="BO543" s="2">
        <v>2.9</v>
      </c>
      <c r="BP543" s="2">
        <f t="shared" si="16"/>
        <v>15.295810279980749</v>
      </c>
      <c r="BQ543" s="2">
        <f t="shared" si="17"/>
        <v>21.789622997811755</v>
      </c>
    </row>
    <row r="544" spans="1:69" x14ac:dyDescent="0.2">
      <c r="A544" s="2" t="s">
        <v>2074</v>
      </c>
      <c r="B544" s="2" t="s">
        <v>47</v>
      </c>
      <c r="C544" s="2" t="s">
        <v>1935</v>
      </c>
      <c r="D544" s="2" t="s">
        <v>49</v>
      </c>
      <c r="E544" s="2" t="s">
        <v>2075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89</v>
      </c>
      <c r="L544" s="6" t="s">
        <v>141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2076</v>
      </c>
      <c r="R544" s="2">
        <v>3623188.406</v>
      </c>
      <c r="S544" s="2">
        <v>0</v>
      </c>
      <c r="T544" s="2" t="s">
        <v>75</v>
      </c>
      <c r="U544" s="2" t="s">
        <v>76</v>
      </c>
      <c r="V544" s="2" t="s">
        <v>56</v>
      </c>
      <c r="W544" s="2" t="s">
        <v>77</v>
      </c>
      <c r="X544" s="2" t="s">
        <v>78</v>
      </c>
      <c r="Y544" s="2">
        <v>0.139605733261989</v>
      </c>
      <c r="Z544" s="2">
        <v>139.605733261989</v>
      </c>
      <c r="AA544" s="2">
        <v>4.6680000000000001</v>
      </c>
      <c r="AB544" s="2">
        <v>-74.148499999999999</v>
      </c>
      <c r="AC544" s="2">
        <v>2547</v>
      </c>
      <c r="AD544" s="2">
        <v>0</v>
      </c>
      <c r="AE544" s="2" t="s">
        <v>59</v>
      </c>
      <c r="AF544" s="2" t="s">
        <v>79</v>
      </c>
      <c r="AG544" s="2" t="s">
        <v>61</v>
      </c>
      <c r="AH544" s="2" t="s">
        <v>62</v>
      </c>
      <c r="AI544" s="2" t="s">
        <v>71</v>
      </c>
      <c r="AJ544" s="2">
        <v>3.3889895908961098</v>
      </c>
      <c r="AK544" s="2">
        <v>0.96711833423230797</v>
      </c>
      <c r="AL544" s="2">
        <v>1.90594844967544</v>
      </c>
      <c r="AM544" s="2">
        <v>0.37066723017313602</v>
      </c>
      <c r="AN544" s="2">
        <v>0.15676767538848399</v>
      </c>
      <c r="AO544" s="2">
        <v>8.6850850598136894E-2</v>
      </c>
      <c r="AP544" s="2">
        <v>8.6850850598136894E-2</v>
      </c>
      <c r="AQ544" s="2">
        <v>0</v>
      </c>
      <c r="AR544" s="2">
        <v>0</v>
      </c>
      <c r="AS544" s="2">
        <v>0</v>
      </c>
      <c r="AT544" s="2">
        <v>1</v>
      </c>
      <c r="AU544" s="2">
        <v>0</v>
      </c>
      <c r="AV544" s="2">
        <v>24</v>
      </c>
      <c r="AW544" s="2">
        <v>1</v>
      </c>
      <c r="AX544" s="2">
        <v>0</v>
      </c>
      <c r="AY544" s="2">
        <v>15.8</v>
      </c>
      <c r="AZ544" s="2">
        <v>17.100000000000001</v>
      </c>
      <c r="BA544" s="2">
        <v>23</v>
      </c>
      <c r="BB544" s="2">
        <v>565</v>
      </c>
      <c r="BC544" s="2">
        <v>68</v>
      </c>
      <c r="BD544" s="2">
        <v>2.2999999999999998</v>
      </c>
      <c r="BE544" s="2">
        <v>68</v>
      </c>
      <c r="BF544" s="2">
        <v>17.600000000000001</v>
      </c>
      <c r="BG544" s="2">
        <v>162</v>
      </c>
      <c r="BH544" s="2">
        <v>19.7</v>
      </c>
      <c r="BI544" s="2">
        <v>16.7</v>
      </c>
      <c r="BJ544" s="2">
        <v>36.4</v>
      </c>
      <c r="BK544" s="2">
        <v>0.66</v>
      </c>
      <c r="BL544" s="2">
        <v>5.6</v>
      </c>
      <c r="BM544" s="2">
        <v>1.5</v>
      </c>
      <c r="BN544" s="2">
        <v>7.5</v>
      </c>
      <c r="BO544" s="2">
        <v>2.9</v>
      </c>
      <c r="BP544" s="2">
        <f t="shared" si="16"/>
        <v>16.982238091601165</v>
      </c>
      <c r="BQ544" s="2">
        <f t="shared" si="17"/>
        <v>22.923066591350352</v>
      </c>
    </row>
    <row r="545" spans="1:69" x14ac:dyDescent="0.2">
      <c r="A545" s="2" t="s">
        <v>2497</v>
      </c>
      <c r="B545" s="2" t="s">
        <v>47</v>
      </c>
      <c r="C545" s="2" t="s">
        <v>1935</v>
      </c>
      <c r="D545" s="2" t="s">
        <v>49</v>
      </c>
      <c r="E545" s="2" t="s">
        <v>1114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89</v>
      </c>
      <c r="L545" s="6" t="s">
        <v>141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2498</v>
      </c>
      <c r="R545" s="2">
        <v>3552238.8059999999</v>
      </c>
      <c r="S545" s="2">
        <v>0</v>
      </c>
      <c r="T545" s="2" t="s">
        <v>75</v>
      </c>
      <c r="U545" s="2" t="s">
        <v>76</v>
      </c>
      <c r="V545" s="2" t="s">
        <v>56</v>
      </c>
      <c r="W545" s="2" t="s">
        <v>77</v>
      </c>
      <c r="X545" s="2" t="s">
        <v>78</v>
      </c>
      <c r="Y545" s="2">
        <v>1.84972627548743</v>
      </c>
      <c r="Z545" s="2">
        <v>1849.72627548743</v>
      </c>
      <c r="AA545" s="2">
        <v>4.6680000000000001</v>
      </c>
      <c r="AB545" s="2">
        <v>-74.148499999999999</v>
      </c>
      <c r="AC545" s="2">
        <v>2547</v>
      </c>
      <c r="AD545" s="2">
        <v>0</v>
      </c>
      <c r="AE545" s="2" t="s">
        <v>59</v>
      </c>
      <c r="AF545" s="2" t="s">
        <v>79</v>
      </c>
      <c r="AG545" s="2" t="s">
        <v>61</v>
      </c>
      <c r="AH545" s="2" t="s">
        <v>62</v>
      </c>
      <c r="AI545" s="2" t="s">
        <v>200</v>
      </c>
      <c r="AJ545" s="2">
        <v>1.7598602944939801</v>
      </c>
      <c r="AK545" s="2">
        <v>1.168076498242</v>
      </c>
      <c r="AL545" s="2">
        <v>3.40156828463935</v>
      </c>
      <c r="AM545" s="2">
        <v>0.282909811287819</v>
      </c>
      <c r="AN545" s="2">
        <v>1.79868116259766</v>
      </c>
      <c r="AO545" s="2">
        <v>8.3521733240493001E-2</v>
      </c>
      <c r="AP545" s="2">
        <v>8.3521733240493001E-2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1</v>
      </c>
      <c r="AW545" s="2">
        <v>0</v>
      </c>
      <c r="AX545" s="2">
        <v>0</v>
      </c>
      <c r="AY545" s="2">
        <v>15.8</v>
      </c>
      <c r="AZ545" s="2">
        <v>17.100000000000001</v>
      </c>
      <c r="BA545" s="2">
        <v>23</v>
      </c>
      <c r="BB545" s="2">
        <v>565</v>
      </c>
      <c r="BC545" s="2">
        <v>68</v>
      </c>
      <c r="BD545" s="2">
        <v>2.2999999999999998</v>
      </c>
      <c r="BE545" s="2">
        <v>68</v>
      </c>
      <c r="BF545" s="2">
        <v>17.600000000000001</v>
      </c>
      <c r="BG545" s="2">
        <v>162</v>
      </c>
      <c r="BH545" s="2">
        <v>19.7</v>
      </c>
      <c r="BI545" s="2">
        <v>16.7</v>
      </c>
      <c r="BJ545" s="2">
        <v>36.4</v>
      </c>
      <c r="BK545" s="2">
        <v>0.66</v>
      </c>
      <c r="BL545" s="2">
        <v>5.6</v>
      </c>
      <c r="BM545" s="2">
        <v>1.5</v>
      </c>
      <c r="BN545" s="2">
        <v>7.5</v>
      </c>
      <c r="BO545" s="2">
        <v>2.9</v>
      </c>
      <c r="BP545" s="2">
        <f t="shared" si="16"/>
        <v>15.603839610859405</v>
      </c>
      <c r="BQ545" s="2">
        <f t="shared" si="17"/>
        <v>22.001283340530499</v>
      </c>
    </row>
    <row r="546" spans="1:69" x14ac:dyDescent="0.2">
      <c r="A546" s="2" t="s">
        <v>872</v>
      </c>
      <c r="B546" s="2" t="s">
        <v>47</v>
      </c>
      <c r="C546" s="2" t="s">
        <v>48</v>
      </c>
      <c r="D546" s="2" t="s">
        <v>49</v>
      </c>
      <c r="E546" s="2" t="s">
        <v>621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89</v>
      </c>
      <c r="L546" s="6" t="s">
        <v>103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873</v>
      </c>
      <c r="R546" s="2">
        <v>6212121.2120000003</v>
      </c>
      <c r="S546" s="2">
        <v>0</v>
      </c>
      <c r="T546" s="2" t="s">
        <v>75</v>
      </c>
      <c r="U546" s="2" t="s">
        <v>76</v>
      </c>
      <c r="V546" s="2" t="s">
        <v>56</v>
      </c>
      <c r="W546" s="2" t="s">
        <v>77</v>
      </c>
      <c r="X546" s="2" t="s">
        <v>78</v>
      </c>
      <c r="Y546" s="2">
        <v>2.1829490628480599</v>
      </c>
      <c r="Z546" s="2">
        <v>2182.9490628480598</v>
      </c>
      <c r="AA546" s="2">
        <v>4.6680000000000001</v>
      </c>
      <c r="AB546" s="2">
        <v>-74.148499999999999</v>
      </c>
      <c r="AC546" s="2">
        <v>2547</v>
      </c>
      <c r="AD546" s="2">
        <v>0</v>
      </c>
      <c r="AE546" s="2" t="s">
        <v>59</v>
      </c>
      <c r="AF546" s="2" t="s">
        <v>79</v>
      </c>
      <c r="AG546" s="2" t="s">
        <v>61</v>
      </c>
      <c r="AH546" s="2" t="s">
        <v>62</v>
      </c>
      <c r="AI546" s="2" t="s">
        <v>71</v>
      </c>
      <c r="AJ546" s="2">
        <v>2.0672043879903699</v>
      </c>
      <c r="AK546" s="2">
        <v>3.0547987361889</v>
      </c>
      <c r="AL546" s="2">
        <v>2.3723324811210902</v>
      </c>
      <c r="AM546" s="2">
        <v>0.236599677913652</v>
      </c>
      <c r="AN546" s="2">
        <v>2.0430388585055002</v>
      </c>
      <c r="AO546" s="2">
        <v>0.117983463940457</v>
      </c>
      <c r="AP546" s="2">
        <v>0.117983463940457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15</v>
      </c>
      <c r="AW546" s="2">
        <v>0</v>
      </c>
      <c r="AX546" s="2">
        <v>0</v>
      </c>
      <c r="AY546" s="2">
        <v>15.8</v>
      </c>
      <c r="AZ546" s="2">
        <v>17.100000000000001</v>
      </c>
      <c r="BA546" s="2">
        <v>23</v>
      </c>
      <c r="BB546" s="2">
        <v>565</v>
      </c>
      <c r="BC546" s="2">
        <v>68</v>
      </c>
      <c r="BD546" s="2">
        <v>2.2999999999999998</v>
      </c>
      <c r="BE546" s="2">
        <v>68</v>
      </c>
      <c r="BF546" s="2">
        <v>17.600000000000001</v>
      </c>
      <c r="BG546" s="2">
        <v>162</v>
      </c>
      <c r="BH546" s="2">
        <v>19.7</v>
      </c>
      <c r="BI546" s="2">
        <v>16.7</v>
      </c>
      <c r="BJ546" s="2">
        <v>36.4</v>
      </c>
      <c r="BK546" s="2">
        <v>0.66</v>
      </c>
      <c r="BL546" s="2">
        <v>5.6</v>
      </c>
      <c r="BM546" s="2">
        <v>1.5</v>
      </c>
      <c r="BN546" s="2">
        <v>7.5</v>
      </c>
      <c r="BO546" s="2">
        <v>2.9</v>
      </c>
      <c r="BP546" s="2">
        <f t="shared" si="16"/>
        <v>15.348572683132497</v>
      </c>
      <c r="BQ546" s="2">
        <f t="shared" si="17"/>
        <v>21.826033147823928</v>
      </c>
    </row>
    <row r="547" spans="1:69" x14ac:dyDescent="0.2">
      <c r="A547" s="2" t="s">
        <v>121</v>
      </c>
      <c r="B547" s="2" t="s">
        <v>47</v>
      </c>
      <c r="C547" s="2" t="s">
        <v>48</v>
      </c>
      <c r="D547" s="2" t="s">
        <v>49</v>
      </c>
      <c r="E547" s="2" t="s">
        <v>122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89</v>
      </c>
      <c r="L547" s="6" t="s">
        <v>103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123</v>
      </c>
      <c r="R547" s="2">
        <v>7384615.3849999998</v>
      </c>
      <c r="S547" s="2">
        <v>0</v>
      </c>
      <c r="T547" s="2" t="s">
        <v>75</v>
      </c>
      <c r="U547" s="2" t="s">
        <v>76</v>
      </c>
      <c r="V547" s="2" t="s">
        <v>56</v>
      </c>
      <c r="W547" s="2" t="s">
        <v>77</v>
      </c>
      <c r="X547" s="2" t="s">
        <v>78</v>
      </c>
      <c r="Y547" s="2">
        <v>2.24688528614469</v>
      </c>
      <c r="Z547" s="2">
        <v>2246.8852861446899</v>
      </c>
      <c r="AA547" s="2">
        <v>4.6680000000000001</v>
      </c>
      <c r="AB547" s="2">
        <v>-74.148499999999999</v>
      </c>
      <c r="AC547" s="2">
        <v>2547</v>
      </c>
      <c r="AD547" s="2">
        <v>0</v>
      </c>
      <c r="AE547" s="2" t="s">
        <v>59</v>
      </c>
      <c r="AF547" s="2" t="s">
        <v>79</v>
      </c>
      <c r="AG547" s="2" t="s">
        <v>61</v>
      </c>
      <c r="AH547" s="2" t="s">
        <v>62</v>
      </c>
      <c r="AI547" s="2" t="s">
        <v>71</v>
      </c>
      <c r="AJ547" s="2">
        <v>2.0198940681111699</v>
      </c>
      <c r="AK547" s="2">
        <v>3.1175640559997602</v>
      </c>
      <c r="AL547" s="2">
        <v>2.3341082719081099</v>
      </c>
      <c r="AM547" s="2">
        <v>0.29682931327228401</v>
      </c>
      <c r="AN547" s="2">
        <v>1.9814955221482899</v>
      </c>
      <c r="AO547" s="2">
        <v>0.17384014810023601</v>
      </c>
      <c r="AP547" s="2">
        <v>0.17384014810023601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15</v>
      </c>
      <c r="AW547" s="2">
        <v>0</v>
      </c>
      <c r="AX547" s="2">
        <v>0</v>
      </c>
      <c r="AY547" s="2">
        <v>15.8</v>
      </c>
      <c r="AZ547" s="2">
        <v>17.100000000000001</v>
      </c>
      <c r="BA547" s="2">
        <v>23</v>
      </c>
      <c r="BB547" s="2">
        <v>565</v>
      </c>
      <c r="BC547" s="2">
        <v>68</v>
      </c>
      <c r="BD547" s="2">
        <v>2.2999999999999998</v>
      </c>
      <c r="BE547" s="2">
        <v>68</v>
      </c>
      <c r="BF547" s="2">
        <v>17.600000000000001</v>
      </c>
      <c r="BG547" s="2">
        <v>162</v>
      </c>
      <c r="BH547" s="2">
        <v>19.7</v>
      </c>
      <c r="BI547" s="2">
        <v>16.7</v>
      </c>
      <c r="BJ547" s="2">
        <v>36.4</v>
      </c>
      <c r="BK547" s="2">
        <v>0.66</v>
      </c>
      <c r="BL547" s="2">
        <v>5.6</v>
      </c>
      <c r="BM547" s="2">
        <v>1.5</v>
      </c>
      <c r="BN547" s="2">
        <v>7.5</v>
      </c>
      <c r="BO547" s="2">
        <v>2.9</v>
      </c>
      <c r="BP547" s="2">
        <f t="shared" si="16"/>
        <v>15.300073645901998</v>
      </c>
      <c r="BQ547" s="2">
        <f t="shared" si="17"/>
        <v>21.792567451336911</v>
      </c>
    </row>
    <row r="548" spans="1:69" x14ac:dyDescent="0.2">
      <c r="A548" s="2" t="s">
        <v>620</v>
      </c>
      <c r="B548" s="2" t="s">
        <v>47</v>
      </c>
      <c r="C548" s="2" t="s">
        <v>48</v>
      </c>
      <c r="D548" s="2" t="s">
        <v>49</v>
      </c>
      <c r="E548" s="2" t="s">
        <v>621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51</v>
      </c>
      <c r="L548" s="6" t="s">
        <v>52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622</v>
      </c>
      <c r="R548" s="2">
        <v>9180572.6600000001</v>
      </c>
      <c r="S548" s="2">
        <v>0</v>
      </c>
      <c r="T548" s="2" t="s">
        <v>75</v>
      </c>
      <c r="U548" s="2" t="s">
        <v>76</v>
      </c>
      <c r="V548" s="2" t="s">
        <v>56</v>
      </c>
      <c r="W548" s="2" t="s">
        <v>77</v>
      </c>
      <c r="X548" s="2" t="s">
        <v>78</v>
      </c>
      <c r="Y548" s="2">
        <v>1.9968437177741001</v>
      </c>
      <c r="Z548" s="2">
        <v>1996.8437177741</v>
      </c>
      <c r="AA548" s="2">
        <v>4.6680000000000001</v>
      </c>
      <c r="AB548" s="2">
        <v>-74.148499999999999</v>
      </c>
      <c r="AC548" s="2">
        <v>2547</v>
      </c>
      <c r="AD548" s="2">
        <v>0</v>
      </c>
      <c r="AE548" s="2" t="s">
        <v>59</v>
      </c>
      <c r="AF548" s="2" t="s">
        <v>79</v>
      </c>
      <c r="AG548" s="2" t="s">
        <v>61</v>
      </c>
      <c r="AH548" s="2" t="s">
        <v>62</v>
      </c>
      <c r="AI548" s="2" t="s">
        <v>71</v>
      </c>
      <c r="AJ548" s="2">
        <v>2.53128333907389</v>
      </c>
      <c r="AK548" s="2">
        <v>2.72100738321737</v>
      </c>
      <c r="AL548" s="2">
        <v>2.26083219664313</v>
      </c>
      <c r="AM548" s="2">
        <v>0.46071011628966502</v>
      </c>
      <c r="AN548" s="2">
        <v>1.9944756207396499</v>
      </c>
      <c r="AO548" s="2">
        <v>0.32445228469366799</v>
      </c>
      <c r="AP548" s="2">
        <v>0.32445228469366799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14</v>
      </c>
      <c r="AW548" s="2">
        <v>0</v>
      </c>
      <c r="AX548" s="2">
        <v>0</v>
      </c>
      <c r="AY548" s="2">
        <v>15.8</v>
      </c>
      <c r="AZ548" s="2">
        <v>17.100000000000001</v>
      </c>
      <c r="BA548" s="2">
        <v>23</v>
      </c>
      <c r="BB548" s="2">
        <v>565</v>
      </c>
      <c r="BC548" s="2">
        <v>68</v>
      </c>
      <c r="BD548" s="2">
        <v>2.2999999999999998</v>
      </c>
      <c r="BE548" s="2">
        <v>68</v>
      </c>
      <c r="BF548" s="2">
        <v>17.600000000000001</v>
      </c>
      <c r="BG548" s="2">
        <v>162</v>
      </c>
      <c r="BH548" s="2">
        <v>19.7</v>
      </c>
      <c r="BI548" s="2">
        <v>16.7</v>
      </c>
      <c r="BJ548" s="2">
        <v>36.4</v>
      </c>
      <c r="BK548" s="2">
        <v>0.66</v>
      </c>
      <c r="BL548" s="2">
        <v>5.6</v>
      </c>
      <c r="BM548" s="2">
        <v>1.5</v>
      </c>
      <c r="BN548" s="2">
        <v>7.5</v>
      </c>
      <c r="BO548" s="2">
        <v>2.9</v>
      </c>
      <c r="BP548" s="2">
        <f t="shared" si="16"/>
        <v>15.490620310244887</v>
      </c>
      <c r="BQ548" s="2">
        <f t="shared" si="17"/>
        <v>21.92373777997615</v>
      </c>
    </row>
    <row r="549" spans="1:69" x14ac:dyDescent="0.2">
      <c r="A549" s="2" t="s">
        <v>301</v>
      </c>
      <c r="B549" s="2" t="s">
        <v>47</v>
      </c>
      <c r="C549" s="2" t="s">
        <v>48</v>
      </c>
      <c r="D549" s="2" t="s">
        <v>49</v>
      </c>
      <c r="E549" s="2" t="s">
        <v>302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89</v>
      </c>
      <c r="L549" s="6" t="s">
        <v>103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303</v>
      </c>
      <c r="R549" s="2">
        <v>5125000</v>
      </c>
      <c r="S549" s="2">
        <v>0</v>
      </c>
      <c r="T549" s="2" t="s">
        <v>75</v>
      </c>
      <c r="U549" s="2" t="s">
        <v>76</v>
      </c>
      <c r="V549" s="2" t="s">
        <v>56</v>
      </c>
      <c r="W549" s="2" t="s">
        <v>77</v>
      </c>
      <c r="X549" s="2" t="s">
        <v>78</v>
      </c>
      <c r="Y549" s="2">
        <v>1.3622472255877001</v>
      </c>
      <c r="Z549" s="2">
        <v>1362.2472255877001</v>
      </c>
      <c r="AA549" s="2">
        <v>4.6680000000000001</v>
      </c>
      <c r="AB549" s="2">
        <v>-74.148499999999999</v>
      </c>
      <c r="AC549" s="2">
        <v>2547</v>
      </c>
      <c r="AD549" s="2">
        <v>0</v>
      </c>
      <c r="AE549" s="2" t="s">
        <v>59</v>
      </c>
      <c r="AF549" s="2" t="s">
        <v>79</v>
      </c>
      <c r="AG549" s="2" t="s">
        <v>61</v>
      </c>
      <c r="AH549" s="2" t="s">
        <v>62</v>
      </c>
      <c r="AI549" s="2" t="s">
        <v>71</v>
      </c>
      <c r="AJ549" s="2">
        <v>2.31361260169753</v>
      </c>
      <c r="AK549" s="2">
        <v>2.3841486566616399</v>
      </c>
      <c r="AL549" s="2">
        <v>1.6891301696622101</v>
      </c>
      <c r="AM549" s="2">
        <v>0.19786088320654599</v>
      </c>
      <c r="AN549" s="2">
        <v>1.38303854475137</v>
      </c>
      <c r="AO549" s="2">
        <v>3.5668064354588497E-2</v>
      </c>
      <c r="AP549" s="2">
        <v>3.5668064354588497E-2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16</v>
      </c>
      <c r="AW549" s="2">
        <v>0</v>
      </c>
      <c r="AX549" s="2">
        <v>0</v>
      </c>
      <c r="AY549" s="2">
        <v>15.8</v>
      </c>
      <c r="AZ549" s="2">
        <v>17.100000000000001</v>
      </c>
      <c r="BA549" s="2">
        <v>23</v>
      </c>
      <c r="BB549" s="2">
        <v>565</v>
      </c>
      <c r="BC549" s="2">
        <v>68</v>
      </c>
      <c r="BD549" s="2">
        <v>2.2999999999999998</v>
      </c>
      <c r="BE549" s="2">
        <v>68</v>
      </c>
      <c r="BF549" s="2">
        <v>17.600000000000001</v>
      </c>
      <c r="BG549" s="2">
        <v>162</v>
      </c>
      <c r="BH549" s="2">
        <v>19.7</v>
      </c>
      <c r="BI549" s="2">
        <v>16.7</v>
      </c>
      <c r="BJ549" s="2">
        <v>36.4</v>
      </c>
      <c r="BK549" s="2">
        <v>0.66</v>
      </c>
      <c r="BL549" s="2">
        <v>5.6</v>
      </c>
      <c r="BM549" s="2">
        <v>1.5</v>
      </c>
      <c r="BN549" s="2">
        <v>7.5</v>
      </c>
      <c r="BO549" s="2">
        <v>2.9</v>
      </c>
      <c r="BP549" s="2">
        <f t="shared" si="16"/>
        <v>15.984943146734645</v>
      </c>
      <c r="BQ549" s="2">
        <f t="shared" si="17"/>
        <v>22.260198931110693</v>
      </c>
    </row>
    <row r="550" spans="1:69" x14ac:dyDescent="0.2">
      <c r="A550" s="2" t="s">
        <v>1513</v>
      </c>
      <c r="B550" s="2" t="s">
        <v>47</v>
      </c>
      <c r="C550" s="2" t="s">
        <v>48</v>
      </c>
      <c r="D550" s="2" t="s">
        <v>49</v>
      </c>
      <c r="E550" s="2" t="s">
        <v>621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51</v>
      </c>
      <c r="L550" s="6" t="s">
        <v>52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1514</v>
      </c>
      <c r="R550" s="2">
        <v>8176221.6540000001</v>
      </c>
      <c r="S550" s="2">
        <v>0</v>
      </c>
      <c r="T550" s="2" t="s">
        <v>75</v>
      </c>
      <c r="U550" s="2" t="s">
        <v>76</v>
      </c>
      <c r="V550" s="2" t="s">
        <v>56</v>
      </c>
      <c r="W550" s="2" t="s">
        <v>77</v>
      </c>
      <c r="X550" s="2" t="s">
        <v>78</v>
      </c>
      <c r="Y550" s="2">
        <v>1.9968437177741001</v>
      </c>
      <c r="Z550" s="2">
        <v>1996.8437177741</v>
      </c>
      <c r="AA550" s="2">
        <v>4.6680000000000001</v>
      </c>
      <c r="AB550" s="2">
        <v>-74.148499999999999</v>
      </c>
      <c r="AC550" s="2">
        <v>2547</v>
      </c>
      <c r="AD550" s="2">
        <v>0</v>
      </c>
      <c r="AE550" s="2" t="s">
        <v>59</v>
      </c>
      <c r="AF550" s="2" t="s">
        <v>79</v>
      </c>
      <c r="AG550" s="2" t="s">
        <v>61</v>
      </c>
      <c r="AH550" s="2" t="s">
        <v>62</v>
      </c>
      <c r="AI550" s="2" t="s">
        <v>71</v>
      </c>
      <c r="AJ550" s="2">
        <v>2.53128333907389</v>
      </c>
      <c r="AK550" s="2">
        <v>2.72100738321737</v>
      </c>
      <c r="AL550" s="2">
        <v>2.26083219664313</v>
      </c>
      <c r="AM550" s="2">
        <v>0.46071011628966502</v>
      </c>
      <c r="AN550" s="2">
        <v>1.9944756207396499</v>
      </c>
      <c r="AO550" s="2">
        <v>0.32445228469366799</v>
      </c>
      <c r="AP550" s="2">
        <v>0.32445228469366799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14</v>
      </c>
      <c r="AW550" s="2">
        <v>0</v>
      </c>
      <c r="AX550" s="2">
        <v>0</v>
      </c>
      <c r="AY550" s="2">
        <v>15.8</v>
      </c>
      <c r="AZ550" s="2">
        <v>17.100000000000001</v>
      </c>
      <c r="BA550" s="2">
        <v>23</v>
      </c>
      <c r="BB550" s="2">
        <v>565</v>
      </c>
      <c r="BC550" s="2">
        <v>68</v>
      </c>
      <c r="BD550" s="2">
        <v>2.2999999999999998</v>
      </c>
      <c r="BE550" s="2">
        <v>68</v>
      </c>
      <c r="BF550" s="2">
        <v>17.600000000000001</v>
      </c>
      <c r="BG550" s="2">
        <v>162</v>
      </c>
      <c r="BH550" s="2">
        <v>19.7</v>
      </c>
      <c r="BI550" s="2">
        <v>16.7</v>
      </c>
      <c r="BJ550" s="2">
        <v>36.4</v>
      </c>
      <c r="BK550" s="2">
        <v>0.66</v>
      </c>
      <c r="BL550" s="2">
        <v>5.6</v>
      </c>
      <c r="BM550" s="2">
        <v>1.5</v>
      </c>
      <c r="BN550" s="2">
        <v>7.5</v>
      </c>
      <c r="BO550" s="2">
        <v>2.9</v>
      </c>
      <c r="BP550" s="2">
        <f t="shared" si="16"/>
        <v>15.490620310244887</v>
      </c>
      <c r="BQ550" s="2">
        <f t="shared" si="17"/>
        <v>21.92373777997615</v>
      </c>
    </row>
    <row r="551" spans="1:69" x14ac:dyDescent="0.2">
      <c r="A551" s="2" t="s">
        <v>1471</v>
      </c>
      <c r="B551" s="2" t="s">
        <v>47</v>
      </c>
      <c r="C551" s="2" t="s">
        <v>48</v>
      </c>
      <c r="D551" s="2" t="s">
        <v>49</v>
      </c>
      <c r="E551" s="2" t="s">
        <v>1114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89</v>
      </c>
      <c r="L551" s="6" t="s">
        <v>112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1472</v>
      </c>
      <c r="R551" s="2">
        <v>5721311.4749999996</v>
      </c>
      <c r="S551" s="2">
        <v>0</v>
      </c>
      <c r="T551" s="2" t="s">
        <v>75</v>
      </c>
      <c r="U551" s="2" t="s">
        <v>76</v>
      </c>
      <c r="V551" s="2" t="s">
        <v>56</v>
      </c>
      <c r="W551" s="2" t="s">
        <v>77</v>
      </c>
      <c r="X551" s="2" t="s">
        <v>78</v>
      </c>
      <c r="Y551" s="2">
        <v>1.54603744403634</v>
      </c>
      <c r="Z551" s="2">
        <v>1546.03744403634</v>
      </c>
      <c r="AA551" s="2">
        <v>4.6680000000000001</v>
      </c>
      <c r="AB551" s="2">
        <v>-74.148499999999999</v>
      </c>
      <c r="AC551" s="2">
        <v>2547</v>
      </c>
      <c r="AD551" s="2">
        <v>0</v>
      </c>
      <c r="AE551" s="2" t="s">
        <v>59</v>
      </c>
      <c r="AF551" s="2" t="s">
        <v>79</v>
      </c>
      <c r="AG551" s="2" t="s">
        <v>61</v>
      </c>
      <c r="AH551" s="2" t="s">
        <v>62</v>
      </c>
      <c r="AI551" s="2" t="s">
        <v>200</v>
      </c>
      <c r="AJ551" s="2">
        <v>2.01286222119619</v>
      </c>
      <c r="AK551" s="2">
        <v>0.61642758825353505</v>
      </c>
      <c r="AL551" s="2">
        <v>3.4560375435519002</v>
      </c>
      <c r="AM551" s="2">
        <v>0.76238652785065197</v>
      </c>
      <c r="AN551" s="2">
        <v>1.49495872142611</v>
      </c>
      <c r="AO551" s="2">
        <v>3.77829052393511E-2</v>
      </c>
      <c r="AP551" s="2">
        <v>3.77829052393511E-2</v>
      </c>
      <c r="AQ551" s="2">
        <v>0</v>
      </c>
      <c r="AR551" s="2">
        <v>0</v>
      </c>
      <c r="AS551" s="2">
        <v>0</v>
      </c>
      <c r="AT551" s="2">
        <v>6</v>
      </c>
      <c r="AU551" s="2">
        <v>0</v>
      </c>
      <c r="AV551" s="2">
        <v>1</v>
      </c>
      <c r="AW551" s="2">
        <v>0</v>
      </c>
      <c r="AX551" s="2">
        <v>0</v>
      </c>
      <c r="AY551" s="2">
        <v>15.8</v>
      </c>
      <c r="AZ551" s="2">
        <v>17.100000000000001</v>
      </c>
      <c r="BA551" s="2">
        <v>23</v>
      </c>
      <c r="BB551" s="2">
        <v>565</v>
      </c>
      <c r="BC551" s="2">
        <v>68</v>
      </c>
      <c r="BD551" s="2">
        <v>2.2999999999999998</v>
      </c>
      <c r="BE551" s="2">
        <v>68</v>
      </c>
      <c r="BF551" s="2">
        <v>17.600000000000001</v>
      </c>
      <c r="BG551" s="2">
        <v>162</v>
      </c>
      <c r="BH551" s="2">
        <v>19.7</v>
      </c>
      <c r="BI551" s="2">
        <v>16.7</v>
      </c>
      <c r="BJ551" s="2">
        <v>36.4</v>
      </c>
      <c r="BK551" s="2">
        <v>0.66</v>
      </c>
      <c r="BL551" s="2">
        <v>5.6</v>
      </c>
      <c r="BM551" s="2">
        <v>1.5</v>
      </c>
      <c r="BN551" s="2">
        <v>7.5</v>
      </c>
      <c r="BO551" s="2">
        <v>2.9</v>
      </c>
      <c r="BP551" s="2">
        <f t="shared" si="16"/>
        <v>15.840177783495452</v>
      </c>
      <c r="BQ551" s="2">
        <f t="shared" si="17"/>
        <v>22.162226203328384</v>
      </c>
    </row>
    <row r="552" spans="1:69" x14ac:dyDescent="0.2">
      <c r="A552" s="2" t="s">
        <v>665</v>
      </c>
      <c r="B552" s="2" t="s">
        <v>47</v>
      </c>
      <c r="C552" s="2" t="s">
        <v>48</v>
      </c>
      <c r="D552" s="2" t="s">
        <v>49</v>
      </c>
      <c r="E552" s="2" t="s">
        <v>122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89</v>
      </c>
      <c r="L552" s="6" t="s">
        <v>103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666</v>
      </c>
      <c r="R552" s="2">
        <v>7463924.3660000004</v>
      </c>
      <c r="S552" s="2">
        <v>0</v>
      </c>
      <c r="T552" s="2" t="s">
        <v>75</v>
      </c>
      <c r="U552" s="2" t="s">
        <v>76</v>
      </c>
      <c r="V552" s="2" t="s">
        <v>56</v>
      </c>
      <c r="W552" s="2" t="s">
        <v>77</v>
      </c>
      <c r="X552" s="2" t="s">
        <v>78</v>
      </c>
      <c r="Y552" s="2">
        <v>1.8625253586691699</v>
      </c>
      <c r="Z552" s="2">
        <v>1862.5253586691699</v>
      </c>
      <c r="AA552" s="2">
        <v>4.6680000000000001</v>
      </c>
      <c r="AB552" s="2">
        <v>-74.148499999999999</v>
      </c>
      <c r="AC552" s="2">
        <v>2547</v>
      </c>
      <c r="AD552" s="2">
        <v>0</v>
      </c>
      <c r="AE552" s="2" t="s">
        <v>59</v>
      </c>
      <c r="AF552" s="2" t="s">
        <v>79</v>
      </c>
      <c r="AG552" s="2" t="s">
        <v>61</v>
      </c>
      <c r="AH552" s="2" t="s">
        <v>62</v>
      </c>
      <c r="AI552" s="2" t="s">
        <v>71</v>
      </c>
      <c r="AJ552" s="2">
        <v>2.2865533359268801</v>
      </c>
      <c r="AK552" s="2">
        <v>2.73742347956117</v>
      </c>
      <c r="AL552" s="2">
        <v>2.29593506034692</v>
      </c>
      <c r="AM552" s="2">
        <v>0.144650787147099</v>
      </c>
      <c r="AN552" s="2">
        <v>1.8704766688527199</v>
      </c>
      <c r="AO552" s="2">
        <v>2.6414868766456798E-2</v>
      </c>
      <c r="AP552" s="2">
        <v>2.6414868766456798E-2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13</v>
      </c>
      <c r="AW552" s="2">
        <v>0</v>
      </c>
      <c r="AX552" s="2">
        <v>0</v>
      </c>
      <c r="AY552" s="2">
        <v>15.8</v>
      </c>
      <c r="AZ552" s="2">
        <v>17.100000000000001</v>
      </c>
      <c r="BA552" s="2">
        <v>23</v>
      </c>
      <c r="BB552" s="2">
        <v>565</v>
      </c>
      <c r="BC552" s="2">
        <v>68</v>
      </c>
      <c r="BD552" s="2">
        <v>2.2999999999999998</v>
      </c>
      <c r="BE552" s="2">
        <v>68</v>
      </c>
      <c r="BF552" s="2">
        <v>17.600000000000001</v>
      </c>
      <c r="BG552" s="2">
        <v>162</v>
      </c>
      <c r="BH552" s="2">
        <v>19.7</v>
      </c>
      <c r="BI552" s="2">
        <v>16.7</v>
      </c>
      <c r="BJ552" s="2">
        <v>36.4</v>
      </c>
      <c r="BK552" s="2">
        <v>0.66</v>
      </c>
      <c r="BL552" s="2">
        <v>5.6</v>
      </c>
      <c r="BM552" s="2">
        <v>1.5</v>
      </c>
      <c r="BN552" s="2">
        <v>7.5</v>
      </c>
      <c r="BO552" s="2">
        <v>2.9</v>
      </c>
      <c r="BP552" s="2">
        <f t="shared" si="16"/>
        <v>15.593956857185958</v>
      </c>
      <c r="BQ552" s="2">
        <f t="shared" si="17"/>
        <v>21.994526068292377</v>
      </c>
    </row>
    <row r="553" spans="1:69" x14ac:dyDescent="0.2">
      <c r="A553" s="2" t="s">
        <v>2046</v>
      </c>
      <c r="B553" s="2" t="s">
        <v>47</v>
      </c>
      <c r="C553" s="2" t="s">
        <v>1935</v>
      </c>
      <c r="D553" s="2" t="s">
        <v>49</v>
      </c>
      <c r="E553" s="2" t="s">
        <v>2047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89</v>
      </c>
      <c r="L553" s="6" t="s">
        <v>112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2048</v>
      </c>
      <c r="R553" s="2">
        <v>3879310.3450000002</v>
      </c>
      <c r="S553" s="2">
        <v>0</v>
      </c>
      <c r="T553" s="2" t="s">
        <v>75</v>
      </c>
      <c r="U553" s="2" t="s">
        <v>76</v>
      </c>
      <c r="V553" s="2" t="s">
        <v>56</v>
      </c>
      <c r="W553" s="2" t="s">
        <v>77</v>
      </c>
      <c r="X553" s="2" t="s">
        <v>78</v>
      </c>
      <c r="Y553" s="2">
        <v>1.5803020071933001</v>
      </c>
      <c r="Z553" s="2">
        <v>1580.3020071932999</v>
      </c>
      <c r="AA553" s="2">
        <v>4.6680000000000001</v>
      </c>
      <c r="AB553" s="2">
        <v>-74.148499999999999</v>
      </c>
      <c r="AC553" s="2">
        <v>2547</v>
      </c>
      <c r="AD553" s="2">
        <v>0</v>
      </c>
      <c r="AE553" s="2" t="s">
        <v>59</v>
      </c>
      <c r="AF553" s="2" t="s">
        <v>79</v>
      </c>
      <c r="AG553" s="2" t="s">
        <v>61</v>
      </c>
      <c r="AH553" s="2" t="s">
        <v>62</v>
      </c>
      <c r="AI553" s="2" t="s">
        <v>200</v>
      </c>
      <c r="AJ553" s="2">
        <v>2.14484260152024</v>
      </c>
      <c r="AK553" s="2">
        <v>0.246180248479277</v>
      </c>
      <c r="AL553" s="2">
        <v>3.51006846651826</v>
      </c>
      <c r="AM553" s="2">
        <v>1.18213585091739</v>
      </c>
      <c r="AN553" s="2">
        <v>1.5310249629691799</v>
      </c>
      <c r="AO553" s="2">
        <v>0.243694528934737</v>
      </c>
      <c r="AP553" s="2">
        <v>0.243694528934737</v>
      </c>
      <c r="AQ553" s="2">
        <v>0</v>
      </c>
      <c r="AR553" s="2">
        <v>0</v>
      </c>
      <c r="AS553" s="2">
        <v>1</v>
      </c>
      <c r="AT553" s="2">
        <v>11</v>
      </c>
      <c r="AU553" s="2">
        <v>0</v>
      </c>
      <c r="AV553" s="2">
        <v>0</v>
      </c>
      <c r="AW553" s="2">
        <v>0</v>
      </c>
      <c r="AX553" s="2">
        <v>0</v>
      </c>
      <c r="AY553" s="2">
        <v>15.8</v>
      </c>
      <c r="AZ553" s="2">
        <v>17.100000000000001</v>
      </c>
      <c r="BA553" s="2">
        <v>23</v>
      </c>
      <c r="BB553" s="2">
        <v>565</v>
      </c>
      <c r="BC553" s="2">
        <v>68</v>
      </c>
      <c r="BD553" s="2">
        <v>2.2999999999999998</v>
      </c>
      <c r="BE553" s="2">
        <v>68</v>
      </c>
      <c r="BF553" s="2">
        <v>17.600000000000001</v>
      </c>
      <c r="BG553" s="2">
        <v>162</v>
      </c>
      <c r="BH553" s="2">
        <v>19.7</v>
      </c>
      <c r="BI553" s="2">
        <v>16.7</v>
      </c>
      <c r="BJ553" s="2">
        <v>36.4</v>
      </c>
      <c r="BK553" s="2">
        <v>0.66</v>
      </c>
      <c r="BL553" s="2">
        <v>5.6</v>
      </c>
      <c r="BM553" s="2">
        <v>1.5</v>
      </c>
      <c r="BN553" s="2">
        <v>7.5</v>
      </c>
      <c r="BO553" s="2">
        <v>2.9</v>
      </c>
      <c r="BP553" s="2">
        <f t="shared" si="16"/>
        <v>15.813334094447834</v>
      </c>
      <c r="BQ553" s="2">
        <f t="shared" si="17"/>
        <v>22.144008598987462</v>
      </c>
    </row>
    <row r="554" spans="1:69" x14ac:dyDescent="0.2">
      <c r="A554" s="2" t="s">
        <v>1613</v>
      </c>
      <c r="B554" s="2" t="s">
        <v>47</v>
      </c>
      <c r="C554" s="2" t="s">
        <v>48</v>
      </c>
      <c r="D554" s="2" t="s">
        <v>49</v>
      </c>
      <c r="E554" s="2" t="s">
        <v>1614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89</v>
      </c>
      <c r="L554" s="6" t="s">
        <v>103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1615</v>
      </c>
      <c r="R554" s="2">
        <v>6315789.4740000004</v>
      </c>
      <c r="S554" s="2">
        <v>0</v>
      </c>
      <c r="T554" s="2" t="s">
        <v>75</v>
      </c>
      <c r="U554" s="2" t="s">
        <v>76</v>
      </c>
      <c r="V554" s="2" t="s">
        <v>56</v>
      </c>
      <c r="W554" s="2" t="s">
        <v>77</v>
      </c>
      <c r="X554" s="2" t="s">
        <v>78</v>
      </c>
      <c r="Y554" s="2">
        <v>1.29678650395194</v>
      </c>
      <c r="Z554" s="2">
        <v>1296.7865039519399</v>
      </c>
      <c r="AA554" s="2">
        <v>4.6680000000000001</v>
      </c>
      <c r="AB554" s="2">
        <v>-74.148499999999999</v>
      </c>
      <c r="AC554" s="2">
        <v>2547</v>
      </c>
      <c r="AD554" s="2">
        <v>0</v>
      </c>
      <c r="AE554" s="2" t="s">
        <v>59</v>
      </c>
      <c r="AF554" s="2" t="s">
        <v>79</v>
      </c>
      <c r="AG554" s="2" t="s">
        <v>61</v>
      </c>
      <c r="AH554" s="2" t="s">
        <v>62</v>
      </c>
      <c r="AI554" s="2" t="s">
        <v>71</v>
      </c>
      <c r="AJ554" s="2">
        <v>2.5922500896491898</v>
      </c>
      <c r="AK554" s="2">
        <v>2.2121278230105998</v>
      </c>
      <c r="AL554" s="2">
        <v>2.0099185513914399</v>
      </c>
      <c r="AM554" s="2">
        <v>0.18081688298949899</v>
      </c>
      <c r="AN554" s="2">
        <v>1.30618135943285</v>
      </c>
      <c r="AO554" s="2">
        <v>0.27945497358733001</v>
      </c>
      <c r="AP554" s="2">
        <v>0.27945497358733001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14</v>
      </c>
      <c r="AW554" s="2">
        <v>0</v>
      </c>
      <c r="AX554" s="2">
        <v>0</v>
      </c>
      <c r="AY554" s="2">
        <v>15.8</v>
      </c>
      <c r="AZ554" s="2">
        <v>17.100000000000001</v>
      </c>
      <c r="BA554" s="2">
        <v>23</v>
      </c>
      <c r="BB554" s="2">
        <v>565</v>
      </c>
      <c r="BC554" s="2">
        <v>68</v>
      </c>
      <c r="BD554" s="2">
        <v>2.2999999999999998</v>
      </c>
      <c r="BE554" s="2">
        <v>68</v>
      </c>
      <c r="BF554" s="2">
        <v>17.600000000000001</v>
      </c>
      <c r="BG554" s="2">
        <v>162</v>
      </c>
      <c r="BH554" s="2">
        <v>19.7</v>
      </c>
      <c r="BI554" s="2">
        <v>16.7</v>
      </c>
      <c r="BJ554" s="2">
        <v>36.4</v>
      </c>
      <c r="BK554" s="2">
        <v>0.66</v>
      </c>
      <c r="BL554" s="2">
        <v>5.6</v>
      </c>
      <c r="BM554" s="2">
        <v>1.5</v>
      </c>
      <c r="BN554" s="2">
        <v>7.5</v>
      </c>
      <c r="BO554" s="2">
        <v>2.9</v>
      </c>
      <c r="BP554" s="2">
        <f t="shared" si="16"/>
        <v>16.036823257779421</v>
      </c>
      <c r="BQ554" s="2">
        <f t="shared" si="17"/>
        <v>22.295198465508019</v>
      </c>
    </row>
    <row r="555" spans="1:69" x14ac:dyDescent="0.2">
      <c r="A555" s="2" t="s">
        <v>874</v>
      </c>
      <c r="B555" s="2" t="s">
        <v>47</v>
      </c>
      <c r="C555" s="2" t="s">
        <v>48</v>
      </c>
      <c r="D555" s="2" t="s">
        <v>49</v>
      </c>
      <c r="E555" s="2" t="s">
        <v>621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89</v>
      </c>
      <c r="L555" s="6" t="s">
        <v>103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875</v>
      </c>
      <c r="R555" s="2">
        <v>6910714.3039999995</v>
      </c>
      <c r="S555" s="2">
        <v>0</v>
      </c>
      <c r="T555" s="2" t="s">
        <v>75</v>
      </c>
      <c r="U555" s="2" t="s">
        <v>76</v>
      </c>
      <c r="V555" s="2" t="s">
        <v>56</v>
      </c>
      <c r="W555" s="2" t="s">
        <v>77</v>
      </c>
      <c r="X555" s="2" t="s">
        <v>78</v>
      </c>
      <c r="Y555" s="2">
        <v>1.3135050093561</v>
      </c>
      <c r="Z555" s="2">
        <v>1313.5050093560999</v>
      </c>
      <c r="AA555" s="2">
        <v>4.6680000000000001</v>
      </c>
      <c r="AB555" s="2">
        <v>-74.148499999999999</v>
      </c>
      <c r="AC555" s="2">
        <v>2547</v>
      </c>
      <c r="AD555" s="2">
        <v>0</v>
      </c>
      <c r="AE555" s="2" t="s">
        <v>59</v>
      </c>
      <c r="AF555" s="2" t="s">
        <v>79</v>
      </c>
      <c r="AG555" s="2" t="s">
        <v>61</v>
      </c>
      <c r="AH555" s="2" t="s">
        <v>62</v>
      </c>
      <c r="AI555" s="2" t="s">
        <v>71</v>
      </c>
      <c r="AJ555" s="2">
        <v>2.5585173230090201</v>
      </c>
      <c r="AK555" s="2">
        <v>2.2390384413871098</v>
      </c>
      <c r="AL555" s="2">
        <v>1.98834310510723</v>
      </c>
      <c r="AM555" s="2">
        <v>0.157920779806448</v>
      </c>
      <c r="AN555" s="2">
        <v>1.3239371012826899</v>
      </c>
      <c r="AO555" s="2">
        <v>0.245080756210485</v>
      </c>
      <c r="AP555" s="2">
        <v>0.245080756210485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14</v>
      </c>
      <c r="AW555" s="2">
        <v>0</v>
      </c>
      <c r="AX555" s="2">
        <v>0</v>
      </c>
      <c r="AY555" s="2">
        <v>15.8</v>
      </c>
      <c r="AZ555" s="2">
        <v>17.100000000000001</v>
      </c>
      <c r="BA555" s="2">
        <v>23</v>
      </c>
      <c r="BB555" s="2">
        <v>565</v>
      </c>
      <c r="BC555" s="2">
        <v>68</v>
      </c>
      <c r="BD555" s="2">
        <v>2.2999999999999998</v>
      </c>
      <c r="BE555" s="2">
        <v>68</v>
      </c>
      <c r="BF555" s="2">
        <v>17.600000000000001</v>
      </c>
      <c r="BG555" s="2">
        <v>162</v>
      </c>
      <c r="BH555" s="2">
        <v>19.7</v>
      </c>
      <c r="BI555" s="2">
        <v>16.7</v>
      </c>
      <c r="BJ555" s="2">
        <v>36.4</v>
      </c>
      <c r="BK555" s="2">
        <v>0.66</v>
      </c>
      <c r="BL555" s="2">
        <v>5.6</v>
      </c>
      <c r="BM555" s="2">
        <v>1.5</v>
      </c>
      <c r="BN555" s="2">
        <v>7.5</v>
      </c>
      <c r="BO555" s="2">
        <v>2.9</v>
      </c>
      <c r="BP555" s="2">
        <f t="shared" si="16"/>
        <v>16.023557217841578</v>
      </c>
      <c r="BQ555" s="2">
        <f t="shared" si="17"/>
        <v>22.2862544424916</v>
      </c>
    </row>
    <row r="556" spans="1:69" x14ac:dyDescent="0.2">
      <c r="A556" s="2" t="s">
        <v>645</v>
      </c>
      <c r="B556" s="2" t="s">
        <v>47</v>
      </c>
      <c r="C556" s="2" t="s">
        <v>48</v>
      </c>
      <c r="D556" s="2" t="s">
        <v>49</v>
      </c>
      <c r="E556" s="2" t="s">
        <v>646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89</v>
      </c>
      <c r="L556" s="6" t="s">
        <v>103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647</v>
      </c>
      <c r="R556" s="2">
        <v>5925925.926</v>
      </c>
      <c r="S556" s="2">
        <v>0</v>
      </c>
      <c r="T556" s="2" t="s">
        <v>75</v>
      </c>
      <c r="U556" s="2" t="s">
        <v>76</v>
      </c>
      <c r="V556" s="2" t="s">
        <v>56</v>
      </c>
      <c r="W556" s="2" t="s">
        <v>77</v>
      </c>
      <c r="X556" s="2" t="s">
        <v>78</v>
      </c>
      <c r="Y556" s="2">
        <v>1.0725496602983899</v>
      </c>
      <c r="Z556" s="2">
        <v>1072.5496602983901</v>
      </c>
      <c r="AA556" s="2">
        <v>4.6680000000000001</v>
      </c>
      <c r="AB556" s="2">
        <v>-74.148499999999999</v>
      </c>
      <c r="AC556" s="2">
        <v>2547</v>
      </c>
      <c r="AD556" s="2">
        <v>0</v>
      </c>
      <c r="AE556" s="2" t="s">
        <v>59</v>
      </c>
      <c r="AF556" s="2" t="s">
        <v>79</v>
      </c>
      <c r="AG556" s="2" t="s">
        <v>61</v>
      </c>
      <c r="AH556" s="2" t="s">
        <v>62</v>
      </c>
      <c r="AI556" s="2" t="s">
        <v>200</v>
      </c>
      <c r="AJ556" s="2">
        <v>2.5035319779227398</v>
      </c>
      <c r="AK556" s="2">
        <v>0.47743449929361298</v>
      </c>
      <c r="AL556" s="2">
        <v>3.0017797563824899</v>
      </c>
      <c r="AM556" s="2">
        <v>0.75347656402439001</v>
      </c>
      <c r="AN556" s="2">
        <v>1.02436820079682</v>
      </c>
      <c r="AO556" s="2">
        <v>0.259330880628586</v>
      </c>
      <c r="AP556" s="2">
        <v>0.259330880628586</v>
      </c>
      <c r="AQ556" s="2">
        <v>0</v>
      </c>
      <c r="AR556" s="2">
        <v>0</v>
      </c>
      <c r="AS556" s="2">
        <v>1</v>
      </c>
      <c r="AT556" s="2">
        <v>10</v>
      </c>
      <c r="AU556" s="2">
        <v>0</v>
      </c>
      <c r="AV556" s="2">
        <v>1</v>
      </c>
      <c r="AW556" s="2">
        <v>0</v>
      </c>
      <c r="AX556" s="2">
        <v>0</v>
      </c>
      <c r="AY556" s="2">
        <v>15.8</v>
      </c>
      <c r="AZ556" s="2">
        <v>17.100000000000001</v>
      </c>
      <c r="BA556" s="2">
        <v>23</v>
      </c>
      <c r="BB556" s="2">
        <v>565</v>
      </c>
      <c r="BC556" s="2">
        <v>68</v>
      </c>
      <c r="BD556" s="2">
        <v>2.2999999999999998</v>
      </c>
      <c r="BE556" s="2">
        <v>68</v>
      </c>
      <c r="BF556" s="2">
        <v>17.600000000000001</v>
      </c>
      <c r="BG556" s="2">
        <v>162</v>
      </c>
      <c r="BH556" s="2">
        <v>19.7</v>
      </c>
      <c r="BI556" s="2">
        <v>16.7</v>
      </c>
      <c r="BJ556" s="2">
        <v>36.4</v>
      </c>
      <c r="BK556" s="2">
        <v>0.66</v>
      </c>
      <c r="BL556" s="2">
        <v>5.6</v>
      </c>
      <c r="BM556" s="2">
        <v>1.5</v>
      </c>
      <c r="BN556" s="2">
        <v>7.5</v>
      </c>
      <c r="BO556" s="2">
        <v>2.9</v>
      </c>
      <c r="BP556" s="2">
        <f t="shared" si="16"/>
        <v>16.215819130568629</v>
      </c>
      <c r="BQ556" s="2">
        <f t="shared" si="17"/>
        <v>22.415507626475787</v>
      </c>
    </row>
    <row r="557" spans="1:69" x14ac:dyDescent="0.2">
      <c r="A557" s="2" t="s">
        <v>1219</v>
      </c>
      <c r="B557" s="2" t="s">
        <v>47</v>
      </c>
      <c r="C557" s="2" t="s">
        <v>48</v>
      </c>
      <c r="D557" s="2" t="s">
        <v>49</v>
      </c>
      <c r="E557" s="2" t="s">
        <v>1220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89</v>
      </c>
      <c r="L557" s="6" t="s">
        <v>141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1221</v>
      </c>
      <c r="R557" s="2">
        <v>5506813.5149999997</v>
      </c>
      <c r="S557" s="2">
        <v>0</v>
      </c>
      <c r="T557" s="2" t="s">
        <v>77</v>
      </c>
      <c r="U557" s="2" t="s">
        <v>504</v>
      </c>
      <c r="V557" s="2" t="s">
        <v>56</v>
      </c>
      <c r="W557" s="2" t="s">
        <v>77</v>
      </c>
      <c r="X557" s="2" t="s">
        <v>505</v>
      </c>
      <c r="Y557" s="2">
        <v>3.96383993757967</v>
      </c>
      <c r="Z557" s="2">
        <v>3963.8399375796698</v>
      </c>
      <c r="AA557" s="2">
        <v>4.6782416666666702</v>
      </c>
      <c r="AB557" s="2">
        <v>-74.143819444444404</v>
      </c>
      <c r="AC557" s="2">
        <v>2551</v>
      </c>
      <c r="AD557" s="2">
        <v>11</v>
      </c>
      <c r="AE557" s="2" t="s">
        <v>59</v>
      </c>
      <c r="AF557" s="2" t="s">
        <v>60</v>
      </c>
      <c r="AG557" s="2" t="s">
        <v>61</v>
      </c>
      <c r="AH557" s="2" t="s">
        <v>62</v>
      </c>
      <c r="AI557" s="2" t="s">
        <v>391</v>
      </c>
      <c r="AJ557" s="2">
        <v>1.0528471532133199</v>
      </c>
      <c r="AK557" s="2">
        <v>2.8722059791107002</v>
      </c>
      <c r="AL557" s="2">
        <v>1.2845315028761199</v>
      </c>
      <c r="AM557" s="2">
        <v>7.3914209807117104E-2</v>
      </c>
      <c r="AN557" s="2">
        <v>1.9013988979410299</v>
      </c>
      <c r="AO557" s="2">
        <v>0.20221264735864</v>
      </c>
      <c r="AP557" s="2">
        <v>0.20221264735864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14</v>
      </c>
      <c r="AW557" s="2">
        <v>0</v>
      </c>
      <c r="AX557" s="2">
        <v>0</v>
      </c>
      <c r="AY557" s="2">
        <v>15.8</v>
      </c>
      <c r="AZ557" s="2">
        <v>17.100000000000001</v>
      </c>
      <c r="BA557" s="2">
        <v>23</v>
      </c>
      <c r="BB557" s="2">
        <v>565</v>
      </c>
      <c r="BC557" s="2">
        <v>68</v>
      </c>
      <c r="BD557" s="2">
        <v>2.2999999999999998</v>
      </c>
      <c r="BE557" s="2">
        <v>68</v>
      </c>
      <c r="BF557" s="2">
        <v>17.600000000000001</v>
      </c>
      <c r="BG557" s="2">
        <v>162</v>
      </c>
      <c r="BH557" s="2">
        <v>19.7</v>
      </c>
      <c r="BI557" s="2">
        <v>16.7</v>
      </c>
      <c r="BJ557" s="2">
        <v>36.4</v>
      </c>
      <c r="BK557" s="2">
        <v>0.66</v>
      </c>
      <c r="BL557" s="2">
        <v>5.6</v>
      </c>
      <c r="BM557" s="2">
        <v>1.5</v>
      </c>
      <c r="BN557" s="2">
        <v>7.5</v>
      </c>
      <c r="BO557" s="2">
        <v>2.9</v>
      </c>
      <c r="BP557" s="2">
        <f t="shared" si="16"/>
        <v>14.05345659613028</v>
      </c>
      <c r="BQ557" s="2">
        <f t="shared" si="17"/>
        <v>20.912813504027582</v>
      </c>
    </row>
    <row r="558" spans="1:69" x14ac:dyDescent="0.2">
      <c r="A558" s="2" t="s">
        <v>2121</v>
      </c>
      <c r="B558" s="2" t="s">
        <v>47</v>
      </c>
      <c r="C558" s="2" t="s">
        <v>1935</v>
      </c>
      <c r="D558" s="2" t="s">
        <v>49</v>
      </c>
      <c r="E558" s="2" t="s">
        <v>2122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89</v>
      </c>
      <c r="L558" s="6" t="s">
        <v>103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2123</v>
      </c>
      <c r="R558" s="2">
        <v>4528301.8870000001</v>
      </c>
      <c r="S558" s="2">
        <v>0</v>
      </c>
      <c r="T558" s="2" t="s">
        <v>75</v>
      </c>
      <c r="U558" s="2" t="s">
        <v>76</v>
      </c>
      <c r="V558" s="2" t="s">
        <v>56</v>
      </c>
      <c r="W558" s="2" t="s">
        <v>77</v>
      </c>
      <c r="X558" s="2" t="s">
        <v>78</v>
      </c>
      <c r="Y558" s="2">
        <v>2.2958205818549202</v>
      </c>
      <c r="Z558" s="2">
        <v>2295.82058185492</v>
      </c>
      <c r="AA558" s="2">
        <v>4.6680000000000001</v>
      </c>
      <c r="AB558" s="2">
        <v>-74.148499999999999</v>
      </c>
      <c r="AC558" s="2">
        <v>2547</v>
      </c>
      <c r="AD558" s="2">
        <v>0</v>
      </c>
      <c r="AE558" s="2" t="s">
        <v>59</v>
      </c>
      <c r="AF558" s="2" t="s">
        <v>79</v>
      </c>
      <c r="AG558" s="2" t="s">
        <v>61</v>
      </c>
      <c r="AH558" s="2" t="s">
        <v>62</v>
      </c>
      <c r="AI558" s="2" t="s">
        <v>200</v>
      </c>
      <c r="AJ558" s="2">
        <v>1.7168943266785801</v>
      </c>
      <c r="AK558" s="2">
        <v>0.35913204590724301</v>
      </c>
      <c r="AL558" s="2">
        <v>4.2185686553393502</v>
      </c>
      <c r="AM558" s="2">
        <v>0.75083378698478698</v>
      </c>
      <c r="AN558" s="2">
        <v>2.2443853944745298</v>
      </c>
      <c r="AO558" s="2">
        <v>0.21249559296550299</v>
      </c>
      <c r="AP558" s="2">
        <v>0.21249559296550299</v>
      </c>
      <c r="AQ558" s="2">
        <v>0</v>
      </c>
      <c r="AR558" s="2">
        <v>0</v>
      </c>
      <c r="AS558" s="2">
        <v>1</v>
      </c>
      <c r="AT558" s="2">
        <v>8</v>
      </c>
      <c r="AU558" s="2">
        <v>0</v>
      </c>
      <c r="AV558" s="2">
        <v>1</v>
      </c>
      <c r="AW558" s="2">
        <v>0</v>
      </c>
      <c r="AX558" s="2">
        <v>0</v>
      </c>
      <c r="AY558" s="2">
        <v>15.8</v>
      </c>
      <c r="AZ558" s="2">
        <v>17.100000000000001</v>
      </c>
      <c r="BA558" s="2">
        <v>23</v>
      </c>
      <c r="BB558" s="2">
        <v>565</v>
      </c>
      <c r="BC558" s="2">
        <v>68</v>
      </c>
      <c r="BD558" s="2">
        <v>2.2999999999999998</v>
      </c>
      <c r="BE558" s="2">
        <v>68</v>
      </c>
      <c r="BF558" s="2">
        <v>17.600000000000001</v>
      </c>
      <c r="BG558" s="2">
        <v>162</v>
      </c>
      <c r="BH558" s="2">
        <v>19.7</v>
      </c>
      <c r="BI558" s="2">
        <v>16.7</v>
      </c>
      <c r="BJ558" s="2">
        <v>36.4</v>
      </c>
      <c r="BK558" s="2">
        <v>0.66</v>
      </c>
      <c r="BL558" s="2">
        <v>5.6</v>
      </c>
      <c r="BM558" s="2">
        <v>1.5</v>
      </c>
      <c r="BN558" s="2">
        <v>7.5</v>
      </c>
      <c r="BO558" s="2">
        <v>2.9</v>
      </c>
      <c r="BP558" s="2">
        <f t="shared" si="16"/>
        <v>15.263057171852749</v>
      </c>
      <c r="BQ558" s="2">
        <f t="shared" si="17"/>
        <v>21.766988257401721</v>
      </c>
    </row>
    <row r="559" spans="1:69" x14ac:dyDescent="0.2">
      <c r="A559" s="2" t="s">
        <v>1420</v>
      </c>
      <c r="B559" s="2" t="s">
        <v>47</v>
      </c>
      <c r="C559" s="2" t="s">
        <v>48</v>
      </c>
      <c r="D559" s="2" t="s">
        <v>49</v>
      </c>
      <c r="E559" s="2" t="s">
        <v>1421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89</v>
      </c>
      <c r="L559" s="6" t="s">
        <v>112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1422</v>
      </c>
      <c r="R559" s="2">
        <v>4349056.6040000003</v>
      </c>
      <c r="S559" s="2">
        <v>0</v>
      </c>
      <c r="T559" s="2" t="s">
        <v>77</v>
      </c>
      <c r="U559" s="2" t="s">
        <v>504</v>
      </c>
      <c r="V559" s="2" t="s">
        <v>56</v>
      </c>
      <c r="W559" s="2" t="s">
        <v>77</v>
      </c>
      <c r="X559" s="2" t="s">
        <v>505</v>
      </c>
      <c r="Y559" s="2">
        <v>2.20307356415343</v>
      </c>
      <c r="Z559" s="2">
        <v>2203.0735641534302</v>
      </c>
      <c r="AA559" s="2">
        <v>4.6782416666666702</v>
      </c>
      <c r="AB559" s="2">
        <v>-74.143819444444404</v>
      </c>
      <c r="AC559" s="2">
        <v>2551</v>
      </c>
      <c r="AD559" s="2">
        <v>11</v>
      </c>
      <c r="AE559" s="2" t="s">
        <v>59</v>
      </c>
      <c r="AF559" s="2" t="s">
        <v>60</v>
      </c>
      <c r="AG559" s="2" t="s">
        <v>61</v>
      </c>
      <c r="AH559" s="2" t="s">
        <v>62</v>
      </c>
      <c r="AI559" s="2" t="s">
        <v>71</v>
      </c>
      <c r="AJ559" s="2">
        <v>4.3176268582664497</v>
      </c>
      <c r="AK559" s="2">
        <v>0.82164688079355397</v>
      </c>
      <c r="AL559" s="2">
        <v>2.56612303561031</v>
      </c>
      <c r="AM559" s="2">
        <v>0.35474225408070298</v>
      </c>
      <c r="AN559" s="2">
        <v>1.9974693536636501</v>
      </c>
      <c r="AO559" s="2">
        <v>1.07268241901297E-2</v>
      </c>
      <c r="AP559" s="2">
        <v>1.07268241901297E-2</v>
      </c>
      <c r="AQ559" s="2">
        <v>0</v>
      </c>
      <c r="AR559" s="2">
        <v>0</v>
      </c>
      <c r="AS559" s="2">
        <v>0</v>
      </c>
      <c r="AT559" s="2">
        <v>1</v>
      </c>
      <c r="AU559" s="2">
        <v>0</v>
      </c>
      <c r="AV559" s="2">
        <v>3</v>
      </c>
      <c r="AW559" s="2">
        <v>0</v>
      </c>
      <c r="AX559" s="2">
        <v>0</v>
      </c>
      <c r="AY559" s="2">
        <v>15.8</v>
      </c>
      <c r="AZ559" s="2">
        <v>17.100000000000001</v>
      </c>
      <c r="BA559" s="2">
        <v>23</v>
      </c>
      <c r="BB559" s="2">
        <v>565</v>
      </c>
      <c r="BC559" s="2">
        <v>68</v>
      </c>
      <c r="BD559" s="2">
        <v>2.2999999999999998</v>
      </c>
      <c r="BE559" s="2">
        <v>68</v>
      </c>
      <c r="BF559" s="2">
        <v>17.600000000000001</v>
      </c>
      <c r="BG559" s="2">
        <v>162</v>
      </c>
      <c r="BH559" s="2">
        <v>19.7</v>
      </c>
      <c r="BI559" s="2">
        <v>16.7</v>
      </c>
      <c r="BJ559" s="2">
        <v>36.4</v>
      </c>
      <c r="BK559" s="2">
        <v>0.66</v>
      </c>
      <c r="BL559" s="2">
        <v>5.6</v>
      </c>
      <c r="BM559" s="2">
        <v>1.5</v>
      </c>
      <c r="BN559" s="2">
        <v>7.5</v>
      </c>
      <c r="BO559" s="2">
        <v>2.9</v>
      </c>
      <c r="BP559" s="2">
        <f t="shared" si="16"/>
        <v>15.333290618744019</v>
      </c>
      <c r="BQ559" s="2">
        <f t="shared" si="17"/>
        <v>21.815493980392887</v>
      </c>
    </row>
    <row r="560" spans="1:69" x14ac:dyDescent="0.2">
      <c r="A560" s="2" t="s">
        <v>2408</v>
      </c>
      <c r="B560" s="2" t="s">
        <v>47</v>
      </c>
      <c r="C560" s="2" t="s">
        <v>1935</v>
      </c>
      <c r="D560" s="2" t="s">
        <v>49</v>
      </c>
      <c r="E560" s="2" t="s">
        <v>1114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89</v>
      </c>
      <c r="L560" s="6" t="s">
        <v>141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2409</v>
      </c>
      <c r="R560" s="2">
        <v>4568627.4510000004</v>
      </c>
      <c r="S560" s="2">
        <v>0</v>
      </c>
      <c r="T560" s="2" t="s">
        <v>75</v>
      </c>
      <c r="U560" s="2" t="s">
        <v>76</v>
      </c>
      <c r="V560" s="2" t="s">
        <v>56</v>
      </c>
      <c r="W560" s="2" t="s">
        <v>77</v>
      </c>
      <c r="X560" s="2" t="s">
        <v>78</v>
      </c>
      <c r="Y560" s="2">
        <v>1.66259340108682</v>
      </c>
      <c r="Z560" s="2">
        <v>1662.59340108682</v>
      </c>
      <c r="AA560" s="2">
        <v>4.6680000000000001</v>
      </c>
      <c r="AB560" s="2">
        <v>-74.148499999999999</v>
      </c>
      <c r="AC560" s="2">
        <v>2547</v>
      </c>
      <c r="AD560" s="2">
        <v>0</v>
      </c>
      <c r="AE560" s="2" t="s">
        <v>59</v>
      </c>
      <c r="AF560" s="2" t="s">
        <v>79</v>
      </c>
      <c r="AG560" s="2" t="s">
        <v>61</v>
      </c>
      <c r="AH560" s="2" t="s">
        <v>62</v>
      </c>
      <c r="AI560" s="2" t="s">
        <v>200</v>
      </c>
      <c r="AJ560" s="2">
        <v>1.97277683330077</v>
      </c>
      <c r="AK560" s="2">
        <v>0.46150719011986602</v>
      </c>
      <c r="AL560" s="2">
        <v>3.5904205893655599</v>
      </c>
      <c r="AM560" s="2">
        <v>0.996659377598482</v>
      </c>
      <c r="AN560" s="2">
        <v>1.61149987906189</v>
      </c>
      <c r="AO560" s="2">
        <v>0.12934801301194199</v>
      </c>
      <c r="AP560" s="2">
        <v>0.12934801301194199</v>
      </c>
      <c r="AQ560" s="2">
        <v>0</v>
      </c>
      <c r="AR560" s="2">
        <v>0</v>
      </c>
      <c r="AS560" s="2">
        <v>1</v>
      </c>
      <c r="AT560" s="2">
        <v>7</v>
      </c>
      <c r="AU560" s="2">
        <v>0</v>
      </c>
      <c r="AV560" s="2">
        <v>1</v>
      </c>
      <c r="AW560" s="2">
        <v>0</v>
      </c>
      <c r="AX560" s="2">
        <v>0</v>
      </c>
      <c r="AY560" s="2">
        <v>15.8</v>
      </c>
      <c r="AZ560" s="2">
        <v>17.100000000000001</v>
      </c>
      <c r="BA560" s="2">
        <v>23</v>
      </c>
      <c r="BB560" s="2">
        <v>565</v>
      </c>
      <c r="BC560" s="2">
        <v>68</v>
      </c>
      <c r="BD560" s="2">
        <v>2.2999999999999998</v>
      </c>
      <c r="BE560" s="2">
        <v>68</v>
      </c>
      <c r="BF560" s="2">
        <v>17.600000000000001</v>
      </c>
      <c r="BG560" s="2">
        <v>162</v>
      </c>
      <c r="BH560" s="2">
        <v>19.7</v>
      </c>
      <c r="BI560" s="2">
        <v>16.7</v>
      </c>
      <c r="BJ560" s="2">
        <v>36.4</v>
      </c>
      <c r="BK560" s="2">
        <v>0.66</v>
      </c>
      <c r="BL560" s="2">
        <v>5.6</v>
      </c>
      <c r="BM560" s="2">
        <v>1.5</v>
      </c>
      <c r="BN560" s="2">
        <v>7.5</v>
      </c>
      <c r="BO560" s="2">
        <v>2.9</v>
      </c>
      <c r="BP560" s="2">
        <f t="shared" si="16"/>
        <v>15.749050695520006</v>
      </c>
      <c r="BQ560" s="2">
        <f t="shared" si="17"/>
        <v>22.100317486004293</v>
      </c>
    </row>
    <row r="561" spans="1:69" x14ac:dyDescent="0.2">
      <c r="A561" s="2" t="s">
        <v>1113</v>
      </c>
      <c r="B561" s="2" t="s">
        <v>47</v>
      </c>
      <c r="C561" s="2" t="s">
        <v>48</v>
      </c>
      <c r="D561" s="2" t="s">
        <v>49</v>
      </c>
      <c r="E561" s="2" t="s">
        <v>1114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89</v>
      </c>
      <c r="L561" s="6" t="s">
        <v>103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1115</v>
      </c>
      <c r="R561" s="2">
        <v>4215686.2750000004</v>
      </c>
      <c r="S561" s="2">
        <v>0</v>
      </c>
      <c r="T561" s="2" t="s">
        <v>75</v>
      </c>
      <c r="U561" s="2" t="s">
        <v>76</v>
      </c>
      <c r="V561" s="2" t="s">
        <v>56</v>
      </c>
      <c r="W561" s="2" t="s">
        <v>77</v>
      </c>
      <c r="X561" s="2" t="s">
        <v>78</v>
      </c>
      <c r="Y561" s="2">
        <v>1.76675727881623</v>
      </c>
      <c r="Z561" s="2">
        <v>1766.7572788162299</v>
      </c>
      <c r="AA561" s="2">
        <v>4.6680000000000001</v>
      </c>
      <c r="AB561" s="2">
        <v>-74.148499999999999</v>
      </c>
      <c r="AC561" s="2">
        <v>2547</v>
      </c>
      <c r="AD561" s="2">
        <v>0</v>
      </c>
      <c r="AE561" s="2" t="s">
        <v>59</v>
      </c>
      <c r="AF561" s="2" t="s">
        <v>79</v>
      </c>
      <c r="AG561" s="2" t="s">
        <v>61</v>
      </c>
      <c r="AH561" s="2" t="s">
        <v>62</v>
      </c>
      <c r="AI561" s="2" t="s">
        <v>200</v>
      </c>
      <c r="AJ561" s="2">
        <v>1.83014593903602</v>
      </c>
      <c r="AK561" s="2">
        <v>0.61871990759384299</v>
      </c>
      <c r="AL561" s="2">
        <v>3.68645603738431</v>
      </c>
      <c r="AM561" s="2">
        <v>0.89093029688855796</v>
      </c>
      <c r="AN561" s="2">
        <v>1.7145908662610001</v>
      </c>
      <c r="AO561" s="2">
        <v>4.9056596374538199E-4</v>
      </c>
      <c r="AP561" s="2">
        <v>4.9056596374538199E-4</v>
      </c>
      <c r="AQ561" s="2">
        <v>0</v>
      </c>
      <c r="AR561" s="2">
        <v>0</v>
      </c>
      <c r="AS561" s="2">
        <v>0</v>
      </c>
      <c r="AT561" s="2">
        <v>6</v>
      </c>
      <c r="AU561" s="2">
        <v>0</v>
      </c>
      <c r="AV561" s="2">
        <v>1</v>
      </c>
      <c r="AW561" s="2">
        <v>0</v>
      </c>
      <c r="AX561" s="2">
        <v>0</v>
      </c>
      <c r="AY561" s="2">
        <v>15.8</v>
      </c>
      <c r="AZ561" s="2">
        <v>17.100000000000001</v>
      </c>
      <c r="BA561" s="2">
        <v>23</v>
      </c>
      <c r="BB561" s="2">
        <v>565</v>
      </c>
      <c r="BC561" s="2">
        <v>68</v>
      </c>
      <c r="BD561" s="2">
        <v>2.2999999999999998</v>
      </c>
      <c r="BE561" s="2">
        <v>68</v>
      </c>
      <c r="BF561" s="2">
        <v>17.600000000000001</v>
      </c>
      <c r="BG561" s="2">
        <v>162</v>
      </c>
      <c r="BH561" s="2">
        <v>19.7</v>
      </c>
      <c r="BI561" s="2">
        <v>16.7</v>
      </c>
      <c r="BJ561" s="2">
        <v>36.4</v>
      </c>
      <c r="BK561" s="2">
        <v>0.66</v>
      </c>
      <c r="BL561" s="2">
        <v>5.6</v>
      </c>
      <c r="BM561" s="2">
        <v>1.5</v>
      </c>
      <c r="BN561" s="2">
        <v>7.5</v>
      </c>
      <c r="BO561" s="2">
        <v>2.9</v>
      </c>
      <c r="BP561" s="2">
        <f t="shared" si="16"/>
        <v>15.668055815839431</v>
      </c>
      <c r="BQ561" s="2">
        <f t="shared" si="17"/>
        <v>22.045137173844523</v>
      </c>
    </row>
    <row r="562" spans="1:69" x14ac:dyDescent="0.2">
      <c r="A562" s="2" t="s">
        <v>1688</v>
      </c>
      <c r="B562" s="2" t="s">
        <v>47</v>
      </c>
      <c r="C562" s="2" t="s">
        <v>48</v>
      </c>
      <c r="D562" s="2" t="s">
        <v>49</v>
      </c>
      <c r="E562" s="2" t="s">
        <v>1689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89</v>
      </c>
      <c r="L562" s="6" t="s">
        <v>90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1690</v>
      </c>
      <c r="R562" s="2">
        <v>10888932.880000001</v>
      </c>
      <c r="S562" s="2">
        <v>0</v>
      </c>
      <c r="T562" s="2" t="s">
        <v>77</v>
      </c>
      <c r="U562" s="2" t="s">
        <v>504</v>
      </c>
      <c r="V562" s="2" t="s">
        <v>56</v>
      </c>
      <c r="W562" s="2" t="s">
        <v>77</v>
      </c>
      <c r="X562" s="2" t="s">
        <v>505</v>
      </c>
      <c r="Y562" s="2">
        <v>1.99520343066376</v>
      </c>
      <c r="Z562" s="2">
        <v>1995.2034306637599</v>
      </c>
      <c r="AA562" s="2">
        <v>4.6782416666666702</v>
      </c>
      <c r="AB562" s="2">
        <v>-74.143819444444404</v>
      </c>
      <c r="AC562" s="2">
        <v>2551</v>
      </c>
      <c r="AD562" s="2">
        <v>11</v>
      </c>
      <c r="AE562" s="2" t="s">
        <v>59</v>
      </c>
      <c r="AF562" s="2" t="s">
        <v>60</v>
      </c>
      <c r="AG562" s="2" t="s">
        <v>61</v>
      </c>
      <c r="AH562" s="2" t="s">
        <v>62</v>
      </c>
      <c r="AI562" s="2" t="s">
        <v>71</v>
      </c>
      <c r="AJ562" s="2">
        <v>0.77264655943489002</v>
      </c>
      <c r="AK562" s="2">
        <v>3.6698938668426</v>
      </c>
      <c r="AL562" s="2">
        <v>1.4573320277645501</v>
      </c>
      <c r="AM562" s="2">
        <v>0.37965798317886701</v>
      </c>
      <c r="AN562" s="2">
        <v>2.7006136041935398</v>
      </c>
      <c r="AO562" s="2">
        <v>0.57637484163340202</v>
      </c>
      <c r="AP562" s="2">
        <v>0.57637484163340202</v>
      </c>
      <c r="AQ562" s="2">
        <v>0</v>
      </c>
      <c r="AR562" s="2">
        <v>2</v>
      </c>
      <c r="AS562" s="2">
        <v>0</v>
      </c>
      <c r="AT562" s="2">
        <v>0</v>
      </c>
      <c r="AU562" s="2">
        <v>0</v>
      </c>
      <c r="AV562" s="2">
        <v>13</v>
      </c>
      <c r="AW562" s="2">
        <v>0</v>
      </c>
      <c r="AX562" s="2">
        <v>0</v>
      </c>
      <c r="AY562" s="2">
        <v>15.8</v>
      </c>
      <c r="AZ562" s="2">
        <v>17.100000000000001</v>
      </c>
      <c r="BA562" s="2">
        <v>23</v>
      </c>
      <c r="BB562" s="2">
        <v>565</v>
      </c>
      <c r="BC562" s="2">
        <v>68</v>
      </c>
      <c r="BD562" s="2">
        <v>2.2999999999999998</v>
      </c>
      <c r="BE562" s="2">
        <v>68</v>
      </c>
      <c r="BF562" s="2">
        <v>17.600000000000001</v>
      </c>
      <c r="BG562" s="2">
        <v>162</v>
      </c>
      <c r="BH562" s="2">
        <v>19.7</v>
      </c>
      <c r="BI562" s="2">
        <v>16.7</v>
      </c>
      <c r="BJ562" s="2">
        <v>36.4</v>
      </c>
      <c r="BK562" s="2">
        <v>0.66</v>
      </c>
      <c r="BL562" s="2">
        <v>5.6</v>
      </c>
      <c r="BM562" s="2">
        <v>1.5</v>
      </c>
      <c r="BN562" s="2">
        <v>7.5</v>
      </c>
      <c r="BO562" s="2">
        <v>2.9</v>
      </c>
      <c r="BP562" s="2">
        <f t="shared" si="16"/>
        <v>15.491878110016119</v>
      </c>
      <c r="BQ562" s="2">
        <f t="shared" si="17"/>
        <v>21.924600866352336</v>
      </c>
    </row>
    <row r="563" spans="1:69" x14ac:dyDescent="0.2">
      <c r="A563" s="2" t="s">
        <v>1639</v>
      </c>
      <c r="B563" s="2" t="s">
        <v>47</v>
      </c>
      <c r="C563" s="2" t="s">
        <v>48</v>
      </c>
      <c r="D563" s="2" t="s">
        <v>49</v>
      </c>
      <c r="E563" s="2" t="s">
        <v>1640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89</v>
      </c>
      <c r="L563" s="6" t="s">
        <v>103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1641</v>
      </c>
      <c r="R563" s="2">
        <v>5680000</v>
      </c>
      <c r="S563" s="2">
        <v>0</v>
      </c>
      <c r="T563" s="2" t="s">
        <v>75</v>
      </c>
      <c r="U563" s="2" t="s">
        <v>76</v>
      </c>
      <c r="V563" s="2" t="s">
        <v>56</v>
      </c>
      <c r="W563" s="2" t="s">
        <v>77</v>
      </c>
      <c r="X563" s="2" t="s">
        <v>78</v>
      </c>
      <c r="Y563" s="2">
        <v>2.53815248047778</v>
      </c>
      <c r="Z563" s="2">
        <v>2538.15248047778</v>
      </c>
      <c r="AA563" s="2">
        <v>4.6680000000000001</v>
      </c>
      <c r="AB563" s="2">
        <v>-74.148499999999999</v>
      </c>
      <c r="AC563" s="2">
        <v>2547</v>
      </c>
      <c r="AD563" s="2">
        <v>0</v>
      </c>
      <c r="AE563" s="2" t="s">
        <v>59</v>
      </c>
      <c r="AF563" s="2" t="s">
        <v>79</v>
      </c>
      <c r="AG563" s="2" t="s">
        <v>61</v>
      </c>
      <c r="AH563" s="2" t="s">
        <v>62</v>
      </c>
      <c r="AI563" s="2" t="s">
        <v>200</v>
      </c>
      <c r="AJ563" s="2">
        <v>1.7841719871312101</v>
      </c>
      <c r="AK563" s="2">
        <v>2.4664160961080102</v>
      </c>
      <c r="AL563" s="2">
        <v>2.02378974470246</v>
      </c>
      <c r="AM563" s="2">
        <v>0.65278360913875999</v>
      </c>
      <c r="AN563" s="2">
        <v>2.5003751551300102</v>
      </c>
      <c r="AO563" s="2">
        <v>9.7198182274510995E-3</v>
      </c>
      <c r="AP563" s="2">
        <v>9.7198182274510995E-3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9</v>
      </c>
      <c r="AW563" s="2">
        <v>0</v>
      </c>
      <c r="AX563" s="2">
        <v>0</v>
      </c>
      <c r="AY563" s="2">
        <v>15.8</v>
      </c>
      <c r="AZ563" s="2">
        <v>17.100000000000001</v>
      </c>
      <c r="BA563" s="2">
        <v>23</v>
      </c>
      <c r="BB563" s="2">
        <v>565</v>
      </c>
      <c r="BC563" s="2">
        <v>68</v>
      </c>
      <c r="BD563" s="2">
        <v>2.2999999999999998</v>
      </c>
      <c r="BE563" s="2">
        <v>68</v>
      </c>
      <c r="BF563" s="2">
        <v>17.600000000000001</v>
      </c>
      <c r="BG563" s="2">
        <v>162</v>
      </c>
      <c r="BH563" s="2">
        <v>19.7</v>
      </c>
      <c r="BI563" s="2">
        <v>16.7</v>
      </c>
      <c r="BJ563" s="2">
        <v>36.4</v>
      </c>
      <c r="BK563" s="2">
        <v>0.66</v>
      </c>
      <c r="BL563" s="2">
        <v>5.6</v>
      </c>
      <c r="BM563" s="2">
        <v>1.5</v>
      </c>
      <c r="BN563" s="2">
        <v>7.5</v>
      </c>
      <c r="BO563" s="2">
        <v>2.9</v>
      </c>
      <c r="BP563" s="2">
        <f t="shared" si="16"/>
        <v>15.081063978962014</v>
      </c>
      <c r="BQ563" s="2">
        <f t="shared" si="17"/>
        <v>21.640759629688208</v>
      </c>
    </row>
    <row r="564" spans="1:69" x14ac:dyDescent="0.2">
      <c r="A564" s="2" t="s">
        <v>1371</v>
      </c>
      <c r="B564" s="2" t="s">
        <v>47</v>
      </c>
      <c r="C564" s="2" t="s">
        <v>48</v>
      </c>
      <c r="D564" s="2" t="s">
        <v>49</v>
      </c>
      <c r="E564" s="2" t="s">
        <v>1372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89</v>
      </c>
      <c r="L564" s="6" t="s">
        <v>103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1373</v>
      </c>
      <c r="R564" s="2">
        <v>3485794.8820000002</v>
      </c>
      <c r="S564" s="2">
        <v>0</v>
      </c>
      <c r="T564" s="2" t="s">
        <v>75</v>
      </c>
      <c r="U564" s="2" t="s">
        <v>76</v>
      </c>
      <c r="V564" s="2" t="s">
        <v>56</v>
      </c>
      <c r="W564" s="2" t="s">
        <v>77</v>
      </c>
      <c r="X564" s="2" t="s">
        <v>78</v>
      </c>
      <c r="Y564" s="2">
        <v>2.9406903209090798</v>
      </c>
      <c r="Z564" s="2">
        <v>2940.6903209090801</v>
      </c>
      <c r="AA564" s="2">
        <v>4.6680000000000001</v>
      </c>
      <c r="AB564" s="2">
        <v>-74.148499999999999</v>
      </c>
      <c r="AC564" s="2">
        <v>2547</v>
      </c>
      <c r="AD564" s="2">
        <v>0</v>
      </c>
      <c r="AE564" s="2" t="s">
        <v>59</v>
      </c>
      <c r="AF564" s="2" t="s">
        <v>79</v>
      </c>
      <c r="AG564" s="2" t="s">
        <v>61</v>
      </c>
      <c r="AH564" s="2" t="s">
        <v>62</v>
      </c>
      <c r="AI564" s="2" t="s">
        <v>200</v>
      </c>
      <c r="AJ564" s="2">
        <v>1.81532575548857</v>
      </c>
      <c r="AK564" s="2">
        <v>0.383717421286359</v>
      </c>
      <c r="AL564" s="2">
        <v>4.8386062396225</v>
      </c>
      <c r="AM564" s="2">
        <v>0.29435177498174298</v>
      </c>
      <c r="AN564" s="2">
        <v>2.8900211612298401</v>
      </c>
      <c r="AO564" s="2">
        <v>0.14618691510259599</v>
      </c>
      <c r="AP564" s="2">
        <v>0.14618691510259599</v>
      </c>
      <c r="AQ564" s="2">
        <v>0</v>
      </c>
      <c r="AR564" s="2">
        <v>0</v>
      </c>
      <c r="AS564" s="2">
        <v>6</v>
      </c>
      <c r="AT564" s="2">
        <v>11</v>
      </c>
      <c r="AU564" s="2">
        <v>0</v>
      </c>
      <c r="AV564" s="2">
        <v>1</v>
      </c>
      <c r="AW564" s="2">
        <v>0</v>
      </c>
      <c r="AX564" s="2">
        <v>0</v>
      </c>
      <c r="AY564" s="2">
        <v>15.8</v>
      </c>
      <c r="AZ564" s="2">
        <v>17.100000000000001</v>
      </c>
      <c r="BA564" s="2">
        <v>23</v>
      </c>
      <c r="BB564" s="2">
        <v>565</v>
      </c>
      <c r="BC564" s="2">
        <v>68</v>
      </c>
      <c r="BD564" s="2">
        <v>2.2999999999999998</v>
      </c>
      <c r="BE564" s="2">
        <v>68</v>
      </c>
      <c r="BF564" s="2">
        <v>17.600000000000001</v>
      </c>
      <c r="BG564" s="2">
        <v>162</v>
      </c>
      <c r="BH564" s="2">
        <v>19.7</v>
      </c>
      <c r="BI564" s="2">
        <v>16.7</v>
      </c>
      <c r="BJ564" s="2">
        <v>36.4</v>
      </c>
      <c r="BK564" s="2">
        <v>0.66</v>
      </c>
      <c r="BL564" s="2">
        <v>5.6</v>
      </c>
      <c r="BM564" s="2">
        <v>1.5</v>
      </c>
      <c r="BN564" s="2">
        <v>7.5</v>
      </c>
      <c r="BO564" s="2">
        <v>2.9</v>
      </c>
      <c r="BP564" s="2">
        <f t="shared" si="16"/>
        <v>14.783538417081724</v>
      </c>
      <c r="BQ564" s="2">
        <f t="shared" si="17"/>
        <v>21.432696893921072</v>
      </c>
    </row>
    <row r="565" spans="1:69" x14ac:dyDescent="0.2">
      <c r="A565" s="2" t="s">
        <v>456</v>
      </c>
      <c r="B565" s="2" t="s">
        <v>47</v>
      </c>
      <c r="C565" s="2" t="s">
        <v>48</v>
      </c>
      <c r="D565" s="2" t="s">
        <v>49</v>
      </c>
      <c r="E565" s="2" t="s">
        <v>457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51</v>
      </c>
      <c r="L565" s="6" t="s">
        <v>52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458</v>
      </c>
      <c r="R565" s="2">
        <v>6266666.6670000004</v>
      </c>
      <c r="S565" s="2">
        <v>0</v>
      </c>
      <c r="T565" s="2" t="s">
        <v>75</v>
      </c>
      <c r="U565" s="2" t="s">
        <v>76</v>
      </c>
      <c r="V565" s="2" t="s">
        <v>56</v>
      </c>
      <c r="W565" s="2" t="s">
        <v>77</v>
      </c>
      <c r="X565" s="2" t="s">
        <v>78</v>
      </c>
      <c r="Y565" s="2">
        <v>1.8739303104424501</v>
      </c>
      <c r="Z565" s="2">
        <v>1873.93031044245</v>
      </c>
      <c r="AA565" s="2">
        <v>4.6680000000000001</v>
      </c>
      <c r="AB565" s="2">
        <v>-74.148499999999999</v>
      </c>
      <c r="AC565" s="2">
        <v>2547</v>
      </c>
      <c r="AD565" s="2">
        <v>0</v>
      </c>
      <c r="AE565" s="2" t="s">
        <v>59</v>
      </c>
      <c r="AF565" s="2" t="s">
        <v>79</v>
      </c>
      <c r="AG565" s="2" t="s">
        <v>61</v>
      </c>
      <c r="AH565" s="2" t="s">
        <v>62</v>
      </c>
      <c r="AI565" s="2" t="s">
        <v>200</v>
      </c>
      <c r="AJ565" s="2">
        <v>1.68469055499353</v>
      </c>
      <c r="AK565" s="2">
        <v>1.03351492778607</v>
      </c>
      <c r="AL565" s="2">
        <v>3.5999379737038799</v>
      </c>
      <c r="AM565" s="2">
        <v>0.48655260633810499</v>
      </c>
      <c r="AN565" s="2">
        <v>1.8214239187933099</v>
      </c>
      <c r="AO565" s="2">
        <v>0.213251667907493</v>
      </c>
      <c r="AP565" s="2">
        <v>0.213251667907493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1</v>
      </c>
      <c r="AW565" s="2">
        <v>0</v>
      </c>
      <c r="AX565" s="2">
        <v>0</v>
      </c>
      <c r="AY565" s="2">
        <v>15.8</v>
      </c>
      <c r="AZ565" s="2">
        <v>17.100000000000001</v>
      </c>
      <c r="BA565" s="2">
        <v>23</v>
      </c>
      <c r="BB565" s="2">
        <v>565</v>
      </c>
      <c r="BC565" s="2">
        <v>68</v>
      </c>
      <c r="BD565" s="2">
        <v>2.2999999999999998</v>
      </c>
      <c r="BE565" s="2">
        <v>68</v>
      </c>
      <c r="BF565" s="2">
        <v>17.600000000000001</v>
      </c>
      <c r="BG565" s="2">
        <v>162</v>
      </c>
      <c r="BH565" s="2">
        <v>19.7</v>
      </c>
      <c r="BI565" s="2">
        <v>16.7</v>
      </c>
      <c r="BJ565" s="2">
        <v>36.4</v>
      </c>
      <c r="BK565" s="2">
        <v>0.66</v>
      </c>
      <c r="BL565" s="2">
        <v>5.6</v>
      </c>
      <c r="BM565" s="2">
        <v>1.5</v>
      </c>
      <c r="BN565" s="2">
        <v>7.5</v>
      </c>
      <c r="BO565" s="2">
        <v>2.9</v>
      </c>
      <c r="BP565" s="2">
        <f t="shared" si="16"/>
        <v>15.58515584957004</v>
      </c>
      <c r="BQ565" s="2">
        <f t="shared" si="17"/>
        <v>21.98850657593616</v>
      </c>
    </row>
    <row r="566" spans="1:69" x14ac:dyDescent="0.2">
      <c r="A566" s="2" t="s">
        <v>1622</v>
      </c>
      <c r="B566" s="2" t="s">
        <v>47</v>
      </c>
      <c r="C566" s="2" t="s">
        <v>48</v>
      </c>
      <c r="D566" s="2" t="s">
        <v>49</v>
      </c>
      <c r="E566" s="2" t="s">
        <v>1379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51</v>
      </c>
      <c r="L566" s="6" t="s">
        <v>52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1623</v>
      </c>
      <c r="R566" s="2">
        <v>4873400.6730000004</v>
      </c>
      <c r="S566" s="2">
        <v>0</v>
      </c>
      <c r="T566" s="2" t="s">
        <v>77</v>
      </c>
      <c r="U566" s="2" t="s">
        <v>504</v>
      </c>
      <c r="V566" s="2" t="s">
        <v>56</v>
      </c>
      <c r="W566" s="2" t="s">
        <v>77</v>
      </c>
      <c r="X566" s="2" t="s">
        <v>505</v>
      </c>
      <c r="Y566" s="2">
        <v>2.9265331013148801</v>
      </c>
      <c r="Z566" s="2">
        <v>2926.5331013148798</v>
      </c>
      <c r="AA566" s="2">
        <v>4.6782416666666702</v>
      </c>
      <c r="AB566" s="2">
        <v>-74.143819444444404</v>
      </c>
      <c r="AC566" s="2">
        <v>2551</v>
      </c>
      <c r="AD566" s="2">
        <v>11</v>
      </c>
      <c r="AE566" s="2" t="s">
        <v>59</v>
      </c>
      <c r="AF566" s="2" t="s">
        <v>60</v>
      </c>
      <c r="AG566" s="2" t="s">
        <v>61</v>
      </c>
      <c r="AH566" s="2" t="s">
        <v>62</v>
      </c>
      <c r="AI566" s="2" t="s">
        <v>71</v>
      </c>
      <c r="AJ566" s="2">
        <v>4.8423098954149797</v>
      </c>
      <c r="AK566" s="2">
        <v>0.66428139805175002</v>
      </c>
      <c r="AL566" s="2">
        <v>3.1830872530870602</v>
      </c>
      <c r="AM566" s="2">
        <v>0.99478315765783198</v>
      </c>
      <c r="AN566" s="2">
        <v>2.28568853195164</v>
      </c>
      <c r="AO566" s="2">
        <v>0.119626150454304</v>
      </c>
      <c r="AP566" s="2">
        <v>0.119626150454304</v>
      </c>
      <c r="AQ566" s="2">
        <v>0</v>
      </c>
      <c r="AR566" s="2">
        <v>0</v>
      </c>
      <c r="AS566" s="2">
        <v>0</v>
      </c>
      <c r="AT566" s="2">
        <v>4</v>
      </c>
      <c r="AU566" s="2">
        <v>0</v>
      </c>
      <c r="AV566" s="2">
        <v>1</v>
      </c>
      <c r="AW566" s="2">
        <v>0</v>
      </c>
      <c r="AX566" s="2">
        <v>0</v>
      </c>
      <c r="AY566" s="2">
        <v>15.8</v>
      </c>
      <c r="AZ566" s="2">
        <v>17.100000000000001</v>
      </c>
      <c r="BA566" s="2">
        <v>23</v>
      </c>
      <c r="BB566" s="2">
        <v>565</v>
      </c>
      <c r="BC566" s="2">
        <v>68</v>
      </c>
      <c r="BD566" s="2">
        <v>2.2999999999999998</v>
      </c>
      <c r="BE566" s="2">
        <v>68</v>
      </c>
      <c r="BF566" s="2">
        <v>17.600000000000001</v>
      </c>
      <c r="BG566" s="2">
        <v>162</v>
      </c>
      <c r="BH566" s="2">
        <v>19.7</v>
      </c>
      <c r="BI566" s="2">
        <v>16.7</v>
      </c>
      <c r="BJ566" s="2">
        <v>36.4</v>
      </c>
      <c r="BK566" s="2">
        <v>0.66</v>
      </c>
      <c r="BL566" s="2">
        <v>5.6</v>
      </c>
      <c r="BM566" s="2">
        <v>1.5</v>
      </c>
      <c r="BN566" s="2">
        <v>7.5</v>
      </c>
      <c r="BO566" s="2">
        <v>2.9</v>
      </c>
      <c r="BP566" s="2">
        <f t="shared" si="16"/>
        <v>14.793902091085229</v>
      </c>
      <c r="BQ566" s="2">
        <f t="shared" si="17"/>
        <v>21.439980388733584</v>
      </c>
    </row>
    <row r="567" spans="1:69" x14ac:dyDescent="0.2">
      <c r="A567" s="2" t="s">
        <v>124</v>
      </c>
      <c r="B567" s="2" t="s">
        <v>47</v>
      </c>
      <c r="C567" s="2" t="s">
        <v>48</v>
      </c>
      <c r="D567" s="2" t="s">
        <v>49</v>
      </c>
      <c r="E567" s="2" t="s">
        <v>125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89</v>
      </c>
      <c r="L567" s="6" t="s">
        <v>90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126</v>
      </c>
      <c r="R567" s="2">
        <v>5116279.07</v>
      </c>
      <c r="S567" s="2">
        <v>0</v>
      </c>
      <c r="T567" s="2" t="s">
        <v>75</v>
      </c>
      <c r="U567" s="2" t="s">
        <v>76</v>
      </c>
      <c r="V567" s="2" t="s">
        <v>56</v>
      </c>
      <c r="W567" s="2" t="s">
        <v>77</v>
      </c>
      <c r="X567" s="2" t="s">
        <v>78</v>
      </c>
      <c r="Y567" s="2">
        <v>0.32499982567282898</v>
      </c>
      <c r="Z567" s="2">
        <v>324.99982567282899</v>
      </c>
      <c r="AA567" s="2">
        <v>4.6680000000000001</v>
      </c>
      <c r="AB567" s="2">
        <v>-74.148499999999999</v>
      </c>
      <c r="AC567" s="2">
        <v>2547</v>
      </c>
      <c r="AD567" s="2">
        <v>0</v>
      </c>
      <c r="AE567" s="2" t="s">
        <v>59</v>
      </c>
      <c r="AF567" s="2" t="s">
        <v>79</v>
      </c>
      <c r="AG567" s="2" t="s">
        <v>61</v>
      </c>
      <c r="AH567" s="2" t="s">
        <v>62</v>
      </c>
      <c r="AI567" s="2" t="s">
        <v>71</v>
      </c>
      <c r="AJ567" s="2">
        <v>3.23235221450149</v>
      </c>
      <c r="AK567" s="2">
        <v>1.1006010146863601</v>
      </c>
      <c r="AL567" s="2">
        <v>1.6959944614316</v>
      </c>
      <c r="AM567" s="2">
        <v>0.27530202413228899</v>
      </c>
      <c r="AN567" s="2">
        <v>0.35774235411664002</v>
      </c>
      <c r="AO567" s="2">
        <v>1.1622553337690401E-2</v>
      </c>
      <c r="AP567" s="2">
        <v>1.1622553337690401E-2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30</v>
      </c>
      <c r="AW567" s="2">
        <v>1</v>
      </c>
      <c r="AX567" s="2">
        <v>0</v>
      </c>
      <c r="AY567" s="2">
        <v>15.8</v>
      </c>
      <c r="AZ567" s="2">
        <v>17.100000000000001</v>
      </c>
      <c r="BA567" s="2">
        <v>23</v>
      </c>
      <c r="BB567" s="2">
        <v>565</v>
      </c>
      <c r="BC567" s="2">
        <v>68</v>
      </c>
      <c r="BD567" s="2">
        <v>2.2999999999999998</v>
      </c>
      <c r="BE567" s="2">
        <v>68</v>
      </c>
      <c r="BF567" s="2">
        <v>17.600000000000001</v>
      </c>
      <c r="BG567" s="2">
        <v>162</v>
      </c>
      <c r="BH567" s="2">
        <v>19.7</v>
      </c>
      <c r="BI567" s="2">
        <v>16.7</v>
      </c>
      <c r="BJ567" s="2">
        <v>36.4</v>
      </c>
      <c r="BK567" s="2">
        <v>0.66</v>
      </c>
      <c r="BL567" s="2">
        <v>5.6</v>
      </c>
      <c r="BM567" s="2">
        <v>1.5</v>
      </c>
      <c r="BN567" s="2">
        <v>7.5</v>
      </c>
      <c r="BO567" s="2">
        <v>2.9</v>
      </c>
      <c r="BP567" s="2">
        <f t="shared" si="16"/>
        <v>16.827104882067129</v>
      </c>
      <c r="BQ567" s="2">
        <f t="shared" si="17"/>
        <v>22.821297939906685</v>
      </c>
    </row>
    <row r="568" spans="1:69" x14ac:dyDescent="0.2">
      <c r="A568" s="2" t="s">
        <v>1378</v>
      </c>
      <c r="B568" s="2" t="s">
        <v>47</v>
      </c>
      <c r="C568" s="2" t="s">
        <v>48</v>
      </c>
      <c r="D568" s="2" t="s">
        <v>49</v>
      </c>
      <c r="E568" s="2" t="s">
        <v>1379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51</v>
      </c>
      <c r="L568" s="6" t="s">
        <v>52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1380</v>
      </c>
      <c r="R568" s="2">
        <v>5026309.3190000001</v>
      </c>
      <c r="S568" s="2">
        <v>0</v>
      </c>
      <c r="T568" s="2" t="s">
        <v>77</v>
      </c>
      <c r="U568" s="2" t="s">
        <v>504</v>
      </c>
      <c r="V568" s="2" t="s">
        <v>56</v>
      </c>
      <c r="W568" s="2" t="s">
        <v>77</v>
      </c>
      <c r="X568" s="2" t="s">
        <v>505</v>
      </c>
      <c r="Y568" s="2">
        <v>2.9901692575456802</v>
      </c>
      <c r="Z568" s="2">
        <v>2990.16925754568</v>
      </c>
      <c r="AA568" s="2">
        <v>4.6782416666666702</v>
      </c>
      <c r="AB568" s="2">
        <v>-74.143819444444404</v>
      </c>
      <c r="AC568" s="2">
        <v>2551</v>
      </c>
      <c r="AD568" s="2">
        <v>11</v>
      </c>
      <c r="AE568" s="2" t="s">
        <v>59</v>
      </c>
      <c r="AF568" s="2" t="s">
        <v>60</v>
      </c>
      <c r="AG568" s="2" t="s">
        <v>61</v>
      </c>
      <c r="AH568" s="2" t="s">
        <v>62</v>
      </c>
      <c r="AI568" s="2" t="s">
        <v>71</v>
      </c>
      <c r="AJ568" s="2">
        <v>4.9040485476309197</v>
      </c>
      <c r="AK568" s="2">
        <v>0.60380484964673198</v>
      </c>
      <c r="AL568" s="2">
        <v>3.2470477176471002</v>
      </c>
      <c r="AM568" s="2">
        <v>1.0288303034660899</v>
      </c>
      <c r="AN568" s="2">
        <v>2.34106844706985</v>
      </c>
      <c r="AO568" s="2">
        <v>0.13031375265860701</v>
      </c>
      <c r="AP568" s="2">
        <v>0.13031375265860701</v>
      </c>
      <c r="AQ568" s="2">
        <v>0</v>
      </c>
      <c r="AR568" s="2">
        <v>0</v>
      </c>
      <c r="AS568" s="2">
        <v>0</v>
      </c>
      <c r="AT568" s="2">
        <v>4</v>
      </c>
      <c r="AU568" s="2">
        <v>0</v>
      </c>
      <c r="AV568" s="2">
        <v>0</v>
      </c>
      <c r="AW568" s="2">
        <v>0</v>
      </c>
      <c r="AX568" s="2">
        <v>0</v>
      </c>
      <c r="AY568" s="2">
        <v>15.8</v>
      </c>
      <c r="AZ568" s="2">
        <v>17.100000000000001</v>
      </c>
      <c r="BA568" s="2">
        <v>23</v>
      </c>
      <c r="BB568" s="2">
        <v>565</v>
      </c>
      <c r="BC568" s="2">
        <v>68</v>
      </c>
      <c r="BD568" s="2">
        <v>2.2999999999999998</v>
      </c>
      <c r="BE568" s="2">
        <v>68</v>
      </c>
      <c r="BF568" s="2">
        <v>17.600000000000001</v>
      </c>
      <c r="BG568" s="2">
        <v>162</v>
      </c>
      <c r="BH568" s="2">
        <v>19.7</v>
      </c>
      <c r="BI568" s="2">
        <v>16.7</v>
      </c>
      <c r="BJ568" s="2">
        <v>36.4</v>
      </c>
      <c r="BK568" s="2">
        <v>0.66</v>
      </c>
      <c r="BL568" s="2">
        <v>5.6</v>
      </c>
      <c r="BM568" s="2">
        <v>1.5</v>
      </c>
      <c r="BN568" s="2">
        <v>7.5</v>
      </c>
      <c r="BO568" s="2">
        <v>2.9</v>
      </c>
      <c r="BP568" s="2">
        <f t="shared" si="16"/>
        <v>14.747374770144686</v>
      </c>
      <c r="BQ568" s="2">
        <f t="shared" si="17"/>
        <v>21.407260790288859</v>
      </c>
    </row>
    <row r="569" spans="1:69" x14ac:dyDescent="0.2">
      <c r="A569" s="2" t="s">
        <v>1183</v>
      </c>
      <c r="B569" s="2" t="s">
        <v>47</v>
      </c>
      <c r="C569" s="2" t="s">
        <v>48</v>
      </c>
      <c r="D569" s="2" t="s">
        <v>49</v>
      </c>
      <c r="E569" s="2" t="s">
        <v>1184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89</v>
      </c>
      <c r="L569" s="6" t="s">
        <v>103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1185</v>
      </c>
      <c r="R569" s="2">
        <v>5600000</v>
      </c>
      <c r="S569" s="2">
        <v>0</v>
      </c>
      <c r="T569" s="2" t="s">
        <v>75</v>
      </c>
      <c r="U569" s="2" t="s">
        <v>76</v>
      </c>
      <c r="V569" s="2" t="s">
        <v>56</v>
      </c>
      <c r="W569" s="2" t="s">
        <v>77</v>
      </c>
      <c r="X569" s="2" t="s">
        <v>78</v>
      </c>
      <c r="Y569" s="2">
        <v>2.7194878535503899</v>
      </c>
      <c r="Z569" s="2">
        <v>2719.4878535503899</v>
      </c>
      <c r="AA569" s="2">
        <v>4.6680000000000001</v>
      </c>
      <c r="AB569" s="2">
        <v>-74.148499999999999</v>
      </c>
      <c r="AC569" s="2">
        <v>2547</v>
      </c>
      <c r="AD569" s="2">
        <v>0</v>
      </c>
      <c r="AE569" s="2" t="s">
        <v>59</v>
      </c>
      <c r="AF569" s="2" t="s">
        <v>79</v>
      </c>
      <c r="AG569" s="2" t="s">
        <v>61</v>
      </c>
      <c r="AH569" s="2" t="s">
        <v>62</v>
      </c>
      <c r="AI569" s="2" t="s">
        <v>200</v>
      </c>
      <c r="AJ569" s="2">
        <v>1.5709480200586801</v>
      </c>
      <c r="AK569" s="2">
        <v>2.5593209636741601</v>
      </c>
      <c r="AL569" s="2">
        <v>2.0081388237925801</v>
      </c>
      <c r="AM569" s="2">
        <v>0.50528285345214197</v>
      </c>
      <c r="AN569" s="2">
        <v>2.6783860691182202</v>
      </c>
      <c r="AO569" s="2">
        <v>1.8299437842310601E-2</v>
      </c>
      <c r="AP569" s="2">
        <v>1.8299437842310601E-2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11</v>
      </c>
      <c r="AW569" s="2">
        <v>0</v>
      </c>
      <c r="AX569" s="2">
        <v>0</v>
      </c>
      <c r="AY569" s="2">
        <v>15.8</v>
      </c>
      <c r="AZ569" s="2">
        <v>17.100000000000001</v>
      </c>
      <c r="BA569" s="2">
        <v>23</v>
      </c>
      <c r="BB569" s="2">
        <v>565</v>
      </c>
      <c r="BC569" s="2">
        <v>68</v>
      </c>
      <c r="BD569" s="2">
        <v>2.2999999999999998</v>
      </c>
      <c r="BE569" s="2">
        <v>68</v>
      </c>
      <c r="BF569" s="2">
        <v>17.600000000000001</v>
      </c>
      <c r="BG569" s="2">
        <v>162</v>
      </c>
      <c r="BH569" s="2">
        <v>19.7</v>
      </c>
      <c r="BI569" s="2">
        <v>16.7</v>
      </c>
      <c r="BJ569" s="2">
        <v>36.4</v>
      </c>
      <c r="BK569" s="2">
        <v>0.66</v>
      </c>
      <c r="BL569" s="2">
        <v>5.6</v>
      </c>
      <c r="BM569" s="2">
        <v>1.5</v>
      </c>
      <c r="BN569" s="2">
        <v>7.5</v>
      </c>
      <c r="BO569" s="2">
        <v>2.9</v>
      </c>
      <c r="BP569" s="2">
        <f t="shared" si="16"/>
        <v>14.946300555869053</v>
      </c>
      <c r="BQ569" s="2">
        <f t="shared" si="17"/>
        <v>21.546782628967026</v>
      </c>
    </row>
    <row r="570" spans="1:69" x14ac:dyDescent="0.2">
      <c r="A570" s="2" t="s">
        <v>501</v>
      </c>
      <c r="B570" s="2" t="s">
        <v>47</v>
      </c>
      <c r="C570" s="2" t="s">
        <v>48</v>
      </c>
      <c r="D570" s="2" t="s">
        <v>49</v>
      </c>
      <c r="E570" s="2" t="s">
        <v>502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89</v>
      </c>
      <c r="L570" s="6" t="s">
        <v>90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503</v>
      </c>
      <c r="R570" s="2">
        <v>5897435.8969999999</v>
      </c>
      <c r="S570" s="2">
        <v>0</v>
      </c>
      <c r="T570" s="2" t="s">
        <v>77</v>
      </c>
      <c r="U570" s="2" t="s">
        <v>504</v>
      </c>
      <c r="V570" s="2" t="s">
        <v>56</v>
      </c>
      <c r="W570" s="2" t="s">
        <v>77</v>
      </c>
      <c r="X570" s="2" t="s">
        <v>505</v>
      </c>
      <c r="Y570" s="2">
        <v>1.5325563723265201</v>
      </c>
      <c r="Z570" s="2">
        <v>1532.55637232652</v>
      </c>
      <c r="AA570" s="2">
        <v>4.6782416666666702</v>
      </c>
      <c r="AB570" s="2">
        <v>-74.143819444444404</v>
      </c>
      <c r="AC570" s="2">
        <v>2551</v>
      </c>
      <c r="AD570" s="2">
        <v>11</v>
      </c>
      <c r="AE570" s="2" t="s">
        <v>59</v>
      </c>
      <c r="AF570" s="2" t="s">
        <v>60</v>
      </c>
      <c r="AG570" s="2" t="s">
        <v>61</v>
      </c>
      <c r="AH570" s="2" t="s">
        <v>62</v>
      </c>
      <c r="AI570" s="2" t="s">
        <v>71</v>
      </c>
      <c r="AJ570" s="2">
        <v>3.6783993932203201</v>
      </c>
      <c r="AK570" s="2">
        <v>1.36393878226527</v>
      </c>
      <c r="AL570" s="2">
        <v>1.9000281037933899</v>
      </c>
      <c r="AM570" s="2">
        <v>0.27809285504889097</v>
      </c>
      <c r="AN570" s="2">
        <v>1.59036055381265</v>
      </c>
      <c r="AO570" s="2">
        <v>0.10576564092219901</v>
      </c>
      <c r="AP570" s="2">
        <v>0.10576564092219901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5</v>
      </c>
      <c r="AW570" s="2">
        <v>0</v>
      </c>
      <c r="AX570" s="2">
        <v>0</v>
      </c>
      <c r="AY570" s="2">
        <v>15.8</v>
      </c>
      <c r="AZ570" s="2">
        <v>17.100000000000001</v>
      </c>
      <c r="BA570" s="2">
        <v>23</v>
      </c>
      <c r="BB570" s="2">
        <v>565</v>
      </c>
      <c r="BC570" s="2">
        <v>68</v>
      </c>
      <c r="BD570" s="2">
        <v>2.2999999999999998</v>
      </c>
      <c r="BE570" s="2">
        <v>68</v>
      </c>
      <c r="BF570" s="2">
        <v>17.600000000000001</v>
      </c>
      <c r="BG570" s="2">
        <v>162</v>
      </c>
      <c r="BH570" s="2">
        <v>19.7</v>
      </c>
      <c r="BI570" s="2">
        <v>16.7</v>
      </c>
      <c r="BJ570" s="2">
        <v>36.4</v>
      </c>
      <c r="BK570" s="2">
        <v>0.66</v>
      </c>
      <c r="BL570" s="2">
        <v>5.6</v>
      </c>
      <c r="BM570" s="2">
        <v>1.5</v>
      </c>
      <c r="BN570" s="2">
        <v>7.5</v>
      </c>
      <c r="BO570" s="2">
        <v>2.9</v>
      </c>
      <c r="BP570" s="2">
        <f t="shared" si="16"/>
        <v>15.85075166849227</v>
      </c>
      <c r="BQ570" s="2">
        <f t="shared" si="17"/>
        <v>22.169397856901448</v>
      </c>
    </row>
    <row r="571" spans="1:69" x14ac:dyDescent="0.2">
      <c r="A571" s="2" t="s">
        <v>951</v>
      </c>
      <c r="B571" s="2" t="s">
        <v>47</v>
      </c>
      <c r="C571" s="2" t="s">
        <v>48</v>
      </c>
      <c r="D571" s="2" t="s">
        <v>49</v>
      </c>
      <c r="E571" s="2" t="s">
        <v>952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89</v>
      </c>
      <c r="L571" s="6" t="s">
        <v>90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953</v>
      </c>
      <c r="R571" s="2">
        <v>6842105.2630000003</v>
      </c>
      <c r="S571" s="2">
        <v>0</v>
      </c>
      <c r="T571" s="2" t="s">
        <v>77</v>
      </c>
      <c r="U571" s="2" t="s">
        <v>504</v>
      </c>
      <c r="V571" s="2" t="s">
        <v>56</v>
      </c>
      <c r="W571" s="2" t="s">
        <v>77</v>
      </c>
      <c r="X571" s="2" t="s">
        <v>505</v>
      </c>
      <c r="Y571" s="2">
        <v>1.25340776593609</v>
      </c>
      <c r="Z571" s="2">
        <v>1253.4077659360901</v>
      </c>
      <c r="AA571" s="2">
        <v>4.6782416666666702</v>
      </c>
      <c r="AB571" s="2">
        <v>-74.143819444444404</v>
      </c>
      <c r="AC571" s="2">
        <v>2551</v>
      </c>
      <c r="AD571" s="2">
        <v>11</v>
      </c>
      <c r="AE571" s="2" t="s">
        <v>59</v>
      </c>
      <c r="AF571" s="2" t="s">
        <v>60</v>
      </c>
      <c r="AG571" s="2" t="s">
        <v>61</v>
      </c>
      <c r="AH571" s="2" t="s">
        <v>62</v>
      </c>
      <c r="AI571" s="2" t="s">
        <v>71</v>
      </c>
      <c r="AJ571" s="2">
        <v>3.4594943658000701</v>
      </c>
      <c r="AK571" s="2">
        <v>1.5734894353009199</v>
      </c>
      <c r="AL571" s="2">
        <v>1.6591661427008899</v>
      </c>
      <c r="AM571" s="2">
        <v>6.07768158931596E-2</v>
      </c>
      <c r="AN571" s="2">
        <v>1.5580878777090701</v>
      </c>
      <c r="AO571" s="2">
        <v>0.174040307773907</v>
      </c>
      <c r="AP571" s="2">
        <v>0.174040307773907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6</v>
      </c>
      <c r="AW571" s="2">
        <v>0</v>
      </c>
      <c r="AX571" s="2">
        <v>0</v>
      </c>
      <c r="AY571" s="2">
        <v>15.8</v>
      </c>
      <c r="AZ571" s="2">
        <v>17.100000000000001</v>
      </c>
      <c r="BA571" s="2">
        <v>23</v>
      </c>
      <c r="BB571" s="2">
        <v>565</v>
      </c>
      <c r="BC571" s="2">
        <v>68</v>
      </c>
      <c r="BD571" s="2">
        <v>2.2999999999999998</v>
      </c>
      <c r="BE571" s="2">
        <v>68</v>
      </c>
      <c r="BF571" s="2">
        <v>17.600000000000001</v>
      </c>
      <c r="BG571" s="2">
        <v>162</v>
      </c>
      <c r="BH571" s="2">
        <v>19.7</v>
      </c>
      <c r="BI571" s="2">
        <v>16.7</v>
      </c>
      <c r="BJ571" s="2">
        <v>36.4</v>
      </c>
      <c r="BK571" s="2">
        <v>0.66</v>
      </c>
      <c r="BL571" s="2">
        <v>5.6</v>
      </c>
      <c r="BM571" s="2">
        <v>1.5</v>
      </c>
      <c r="BN571" s="2">
        <v>7.5</v>
      </c>
      <c r="BO571" s="2">
        <v>2.9</v>
      </c>
      <c r="BP571" s="2">
        <f t="shared" si="16"/>
        <v>16.071295283678687</v>
      </c>
      <c r="BQ571" s="2">
        <f t="shared" si="17"/>
        <v>22.318421853983764</v>
      </c>
    </row>
    <row r="572" spans="1:69" x14ac:dyDescent="0.2">
      <c r="A572" s="2" t="s">
        <v>1445</v>
      </c>
      <c r="B572" s="2" t="s">
        <v>47</v>
      </c>
      <c r="C572" s="2" t="s">
        <v>48</v>
      </c>
      <c r="D572" s="2" t="s">
        <v>49</v>
      </c>
      <c r="E572" s="2" t="s">
        <v>646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89</v>
      </c>
      <c r="L572" s="6" t="s">
        <v>90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1446</v>
      </c>
      <c r="R572" s="2">
        <v>6657894.7369999997</v>
      </c>
      <c r="S572" s="2">
        <v>0</v>
      </c>
      <c r="T572" s="2" t="s">
        <v>75</v>
      </c>
      <c r="U572" s="2" t="s">
        <v>76</v>
      </c>
      <c r="V572" s="2" t="s">
        <v>56</v>
      </c>
      <c r="W572" s="2" t="s">
        <v>77</v>
      </c>
      <c r="X572" s="2" t="s">
        <v>78</v>
      </c>
      <c r="Y572" s="2">
        <v>2.02597795089912</v>
      </c>
      <c r="Z572" s="2">
        <v>2025.9779508991201</v>
      </c>
      <c r="AA572" s="2">
        <v>4.6680000000000001</v>
      </c>
      <c r="AB572" s="2">
        <v>-74.148499999999999</v>
      </c>
      <c r="AC572" s="2">
        <v>2547</v>
      </c>
      <c r="AD572" s="2">
        <v>0</v>
      </c>
      <c r="AE572" s="2" t="s">
        <v>59</v>
      </c>
      <c r="AF572" s="2" t="s">
        <v>79</v>
      </c>
      <c r="AG572" s="2" t="s">
        <v>61</v>
      </c>
      <c r="AH572" s="2" t="s">
        <v>62</v>
      </c>
      <c r="AI572" s="2" t="s">
        <v>71</v>
      </c>
      <c r="AJ572" s="2">
        <v>2.7186220905371599</v>
      </c>
      <c r="AK572" s="2">
        <v>2.6353008457633398</v>
      </c>
      <c r="AL572" s="2">
        <v>2.1631079835831</v>
      </c>
      <c r="AM572" s="2">
        <v>0.420623749448781</v>
      </c>
      <c r="AN572" s="2">
        <v>2.0174953238900901</v>
      </c>
      <c r="AO572" s="2">
        <v>0.33396800448733499</v>
      </c>
      <c r="AP572" s="2">
        <v>0.33396800448733499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13</v>
      </c>
      <c r="AW572" s="2">
        <v>0</v>
      </c>
      <c r="AX572" s="2">
        <v>0</v>
      </c>
      <c r="AY572" s="2">
        <v>15.8</v>
      </c>
      <c r="AZ572" s="2">
        <v>17.100000000000001</v>
      </c>
      <c r="BA572" s="2">
        <v>23</v>
      </c>
      <c r="BB572" s="2">
        <v>565</v>
      </c>
      <c r="BC572" s="2">
        <v>68</v>
      </c>
      <c r="BD572" s="2">
        <v>2.2999999999999998</v>
      </c>
      <c r="BE572" s="2">
        <v>68</v>
      </c>
      <c r="BF572" s="2">
        <v>17.600000000000001</v>
      </c>
      <c r="BG572" s="2">
        <v>162</v>
      </c>
      <c r="BH572" s="2">
        <v>19.7</v>
      </c>
      <c r="BI572" s="2">
        <v>16.7</v>
      </c>
      <c r="BJ572" s="2">
        <v>36.4</v>
      </c>
      <c r="BK572" s="2">
        <v>0.66</v>
      </c>
      <c r="BL572" s="2">
        <v>5.6</v>
      </c>
      <c r="BM572" s="2">
        <v>1.5</v>
      </c>
      <c r="BN572" s="2">
        <v>7.5</v>
      </c>
      <c r="BO572" s="2">
        <v>2.9</v>
      </c>
      <c r="BP572" s="2">
        <f t="shared" si="16"/>
        <v>15.468296697555173</v>
      </c>
      <c r="BQ572" s="2">
        <f t="shared" si="17"/>
        <v>21.908413587204866</v>
      </c>
    </row>
    <row r="573" spans="1:69" x14ac:dyDescent="0.2">
      <c r="A573" s="2" t="s">
        <v>912</v>
      </c>
      <c r="B573" s="2" t="s">
        <v>47</v>
      </c>
      <c r="C573" s="2" t="s">
        <v>48</v>
      </c>
      <c r="D573" s="2" t="s">
        <v>49</v>
      </c>
      <c r="E573" s="2" t="s">
        <v>913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51</v>
      </c>
      <c r="L573" s="6" t="s">
        <v>52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914</v>
      </c>
      <c r="R573" s="2">
        <v>5692500</v>
      </c>
      <c r="S573" s="2">
        <v>0</v>
      </c>
      <c r="T573" s="2" t="s">
        <v>77</v>
      </c>
      <c r="U573" s="2" t="s">
        <v>504</v>
      </c>
      <c r="V573" s="2" t="s">
        <v>56</v>
      </c>
      <c r="W573" s="2" t="s">
        <v>77</v>
      </c>
      <c r="X573" s="2" t="s">
        <v>505</v>
      </c>
      <c r="Y573" s="2">
        <v>2.4941256266604501</v>
      </c>
      <c r="Z573" s="2">
        <v>2494.1256266604501</v>
      </c>
      <c r="AA573" s="2">
        <v>4.6782416666666702</v>
      </c>
      <c r="AB573" s="2">
        <v>-74.143819444444404</v>
      </c>
      <c r="AC573" s="2">
        <v>2551</v>
      </c>
      <c r="AD573" s="2">
        <v>11</v>
      </c>
      <c r="AE573" s="2" t="s">
        <v>59</v>
      </c>
      <c r="AF573" s="2" t="s">
        <v>60</v>
      </c>
      <c r="AG573" s="2" t="s">
        <v>61</v>
      </c>
      <c r="AH573" s="2" t="s">
        <v>62</v>
      </c>
      <c r="AI573" s="2" t="s">
        <v>71</v>
      </c>
      <c r="AJ573" s="2">
        <v>4.7426465940418199</v>
      </c>
      <c r="AK573" s="2">
        <v>0.32056654139808199</v>
      </c>
      <c r="AL573" s="2">
        <v>2.95435289999994</v>
      </c>
      <c r="AM573" s="2">
        <v>0.110041892967467</v>
      </c>
      <c r="AN573" s="2">
        <v>2.4991670456550401</v>
      </c>
      <c r="AO573" s="2">
        <v>0.167554895125858</v>
      </c>
      <c r="AP573" s="2">
        <v>0.167554895125858</v>
      </c>
      <c r="AQ573" s="2">
        <v>0</v>
      </c>
      <c r="AR573" s="2">
        <v>0</v>
      </c>
      <c r="AS573" s="2">
        <v>1</v>
      </c>
      <c r="AT573" s="2">
        <v>2</v>
      </c>
      <c r="AU573" s="2">
        <v>0</v>
      </c>
      <c r="AV573" s="2">
        <v>2</v>
      </c>
      <c r="AW573" s="2">
        <v>0</v>
      </c>
      <c r="AX573" s="2">
        <v>0</v>
      </c>
      <c r="AY573" s="2">
        <v>15.8</v>
      </c>
      <c r="AZ573" s="2">
        <v>17.100000000000001</v>
      </c>
      <c r="BA573" s="2">
        <v>23</v>
      </c>
      <c r="BB573" s="2">
        <v>565</v>
      </c>
      <c r="BC573" s="2">
        <v>68</v>
      </c>
      <c r="BD573" s="2">
        <v>2.2999999999999998</v>
      </c>
      <c r="BE573" s="2">
        <v>68</v>
      </c>
      <c r="BF573" s="2">
        <v>17.600000000000001</v>
      </c>
      <c r="BG573" s="2">
        <v>162</v>
      </c>
      <c r="BH573" s="2">
        <v>19.7</v>
      </c>
      <c r="BI573" s="2">
        <v>16.7</v>
      </c>
      <c r="BJ573" s="2">
        <v>36.4</v>
      </c>
      <c r="BK573" s="2">
        <v>0.66</v>
      </c>
      <c r="BL573" s="2">
        <v>5.6</v>
      </c>
      <c r="BM573" s="2">
        <v>1.5</v>
      </c>
      <c r="BN573" s="2">
        <v>7.5</v>
      </c>
      <c r="BO573" s="2">
        <v>2.9</v>
      </c>
      <c r="BP573" s="2">
        <f t="shared" si="16"/>
        <v>15.11396642262971</v>
      </c>
      <c r="BQ573" s="2">
        <f t="shared" si="17"/>
        <v>21.663638304329403</v>
      </c>
    </row>
    <row r="574" spans="1:69" x14ac:dyDescent="0.2">
      <c r="A574" s="2" t="s">
        <v>4305</v>
      </c>
      <c r="B574" s="2" t="s">
        <v>47</v>
      </c>
      <c r="C574" s="2" t="s">
        <v>3273</v>
      </c>
      <c r="D574" s="2" t="s">
        <v>49</v>
      </c>
      <c r="E574" s="2" t="s">
        <v>646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89</v>
      </c>
      <c r="L574" s="6" t="s">
        <v>90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4306</v>
      </c>
      <c r="R574" s="2">
        <v>6368563.6859999998</v>
      </c>
      <c r="S574" s="2">
        <v>0</v>
      </c>
      <c r="T574" s="2" t="s">
        <v>75</v>
      </c>
      <c r="U574" s="2" t="s">
        <v>76</v>
      </c>
      <c r="V574" s="2" t="s">
        <v>56</v>
      </c>
      <c r="W574" s="2" t="s">
        <v>77</v>
      </c>
      <c r="X574" s="2" t="s">
        <v>78</v>
      </c>
      <c r="Y574" s="2">
        <v>2.0540478287683599</v>
      </c>
      <c r="Z574" s="2">
        <v>2054.04782876836</v>
      </c>
      <c r="AA574" s="2">
        <v>4.6680000000000001</v>
      </c>
      <c r="AB574" s="2">
        <v>-74.148499999999999</v>
      </c>
      <c r="AC574" s="2">
        <v>2547</v>
      </c>
      <c r="AD574" s="2">
        <v>0</v>
      </c>
      <c r="AE574" s="2" t="s">
        <v>59</v>
      </c>
      <c r="AF574" s="2" t="s">
        <v>79</v>
      </c>
      <c r="AG574" s="2" t="s">
        <v>61</v>
      </c>
      <c r="AH574" s="2" t="s">
        <v>62</v>
      </c>
      <c r="AI574" s="2" t="s">
        <v>71</v>
      </c>
      <c r="AJ574" s="2">
        <v>2.75281928600119</v>
      </c>
      <c r="AK574" s="2">
        <v>2.6353548089794399</v>
      </c>
      <c r="AL574" s="2">
        <v>2.1263486013816602</v>
      </c>
      <c r="AM574" s="2">
        <v>0.40905429835483798</v>
      </c>
      <c r="AN574" s="2">
        <v>2.0442081202464899</v>
      </c>
      <c r="AO574" s="2">
        <v>0.29264758189829898</v>
      </c>
      <c r="AP574" s="2">
        <v>0.29264758189829898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13</v>
      </c>
      <c r="AW574" s="2">
        <v>0</v>
      </c>
      <c r="AX574" s="2">
        <v>0</v>
      </c>
      <c r="AY574" s="2">
        <v>15.8</v>
      </c>
      <c r="AZ574" s="2">
        <v>17.100000000000001</v>
      </c>
      <c r="BA574" s="2">
        <v>23</v>
      </c>
      <c r="BB574" s="2">
        <v>565</v>
      </c>
      <c r="BC574" s="2">
        <v>68</v>
      </c>
      <c r="BD574" s="2">
        <v>2.2999999999999998</v>
      </c>
      <c r="BE574" s="2">
        <v>68</v>
      </c>
      <c r="BF574" s="2">
        <v>17.600000000000001</v>
      </c>
      <c r="BG574" s="2">
        <v>162</v>
      </c>
      <c r="BH574" s="2">
        <v>19.7</v>
      </c>
      <c r="BI574" s="2">
        <v>16.7</v>
      </c>
      <c r="BJ574" s="2">
        <v>36.4</v>
      </c>
      <c r="BK574" s="2">
        <v>0.66</v>
      </c>
      <c r="BL574" s="2">
        <v>5.6</v>
      </c>
      <c r="BM574" s="2">
        <v>1.5</v>
      </c>
      <c r="BN574" s="2">
        <v>7.5</v>
      </c>
      <c r="BO574" s="2">
        <v>2.9</v>
      </c>
      <c r="BP574" s="2">
        <f t="shared" si="16"/>
        <v>15.446819058801601</v>
      </c>
      <c r="BQ574" s="2">
        <f t="shared" si="17"/>
        <v>21.893659361705726</v>
      </c>
    </row>
    <row r="575" spans="1:69" x14ac:dyDescent="0.2">
      <c r="A575" s="2" t="s">
        <v>4592</v>
      </c>
      <c r="B575" s="2" t="s">
        <v>47</v>
      </c>
      <c r="C575" s="2" t="s">
        <v>3273</v>
      </c>
      <c r="D575" s="2" t="s">
        <v>49</v>
      </c>
      <c r="E575" s="2" t="s">
        <v>4593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89</v>
      </c>
      <c r="L575" s="6" t="s">
        <v>90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4594</v>
      </c>
      <c r="R575" s="2">
        <v>6767955.801</v>
      </c>
      <c r="S575" s="2">
        <v>0</v>
      </c>
      <c r="T575" s="2" t="s">
        <v>75</v>
      </c>
      <c r="U575" s="2" t="s">
        <v>76</v>
      </c>
      <c r="V575" s="2" t="s">
        <v>56</v>
      </c>
      <c r="W575" s="2" t="s">
        <v>77</v>
      </c>
      <c r="X575" s="2" t="s">
        <v>78</v>
      </c>
      <c r="Y575" s="2">
        <v>0.41782829737251598</v>
      </c>
      <c r="Z575" s="2">
        <v>417.82829737251598</v>
      </c>
      <c r="AA575" s="2">
        <v>4.6680000000000001</v>
      </c>
      <c r="AB575" s="2">
        <v>-74.148499999999999</v>
      </c>
      <c r="AC575" s="2">
        <v>2547</v>
      </c>
      <c r="AD575" s="2">
        <v>0</v>
      </c>
      <c r="AE575" s="2" t="s">
        <v>59</v>
      </c>
      <c r="AF575" s="2" t="s">
        <v>79</v>
      </c>
      <c r="AG575" s="2" t="s">
        <v>61</v>
      </c>
      <c r="AH575" s="2" t="s">
        <v>62</v>
      </c>
      <c r="AI575" s="2" t="s">
        <v>71</v>
      </c>
      <c r="AJ575" s="2">
        <v>3.09594260651324</v>
      </c>
      <c r="AK575" s="2">
        <v>1.41964256706022</v>
      </c>
      <c r="AL575" s="2">
        <v>1.8636559060478599</v>
      </c>
      <c r="AM575" s="2">
        <v>0.32788929129016298</v>
      </c>
      <c r="AN575" s="2">
        <v>0.43007773060749699</v>
      </c>
      <c r="AO575" s="2">
        <v>4.02558368532328E-2</v>
      </c>
      <c r="AP575" s="2">
        <v>4.02558368532328E-2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21</v>
      </c>
      <c r="AW575" s="2">
        <v>1</v>
      </c>
      <c r="AX575" s="2">
        <v>0</v>
      </c>
      <c r="AY575" s="2">
        <v>15.8</v>
      </c>
      <c r="AZ575" s="2">
        <v>17.100000000000001</v>
      </c>
      <c r="BA575" s="2">
        <v>23</v>
      </c>
      <c r="BB575" s="2">
        <v>565</v>
      </c>
      <c r="BC575" s="2">
        <v>68</v>
      </c>
      <c r="BD575" s="2">
        <v>2.2999999999999998</v>
      </c>
      <c r="BE575" s="2">
        <v>68</v>
      </c>
      <c r="BF575" s="2">
        <v>17.600000000000001</v>
      </c>
      <c r="BG575" s="2">
        <v>162</v>
      </c>
      <c r="BH575" s="2">
        <v>19.7</v>
      </c>
      <c r="BI575" s="2">
        <v>16.7</v>
      </c>
      <c r="BJ575" s="2">
        <v>36.4</v>
      </c>
      <c r="BK575" s="2">
        <v>0.66</v>
      </c>
      <c r="BL575" s="2">
        <v>5.6</v>
      </c>
      <c r="BM575" s="2">
        <v>1.5</v>
      </c>
      <c r="BN575" s="2">
        <v>7.5</v>
      </c>
      <c r="BO575" s="2">
        <v>2.9</v>
      </c>
      <c r="BP575" s="2">
        <f t="shared" si="16"/>
        <v>16.749961550713916</v>
      </c>
      <c r="BQ575" s="2">
        <f t="shared" si="17"/>
        <v>22.770511345177642</v>
      </c>
    </row>
    <row r="576" spans="1:69" x14ac:dyDescent="0.2">
      <c r="A576" s="2" t="s">
        <v>2771</v>
      </c>
      <c r="B576" s="2" t="s">
        <v>47</v>
      </c>
      <c r="C576" s="2" t="s">
        <v>1935</v>
      </c>
      <c r="D576" s="2" t="s">
        <v>49</v>
      </c>
      <c r="E576" s="2" t="s">
        <v>2215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89</v>
      </c>
      <c r="L576" s="6" t="s">
        <v>103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2772</v>
      </c>
      <c r="R576" s="2">
        <v>8055555.5559999999</v>
      </c>
      <c r="S576" s="2">
        <v>0</v>
      </c>
      <c r="T576" s="2" t="s">
        <v>77</v>
      </c>
      <c r="U576" s="2" t="s">
        <v>504</v>
      </c>
      <c r="V576" s="2" t="s">
        <v>56</v>
      </c>
      <c r="W576" s="2" t="s">
        <v>77</v>
      </c>
      <c r="X576" s="2" t="s">
        <v>505</v>
      </c>
      <c r="Y576" s="2">
        <v>2.8790120351097799</v>
      </c>
      <c r="Z576" s="2">
        <v>2879.0120351097798</v>
      </c>
      <c r="AA576" s="2">
        <v>4.6782416666666702</v>
      </c>
      <c r="AB576" s="2">
        <v>-74.143819444444404</v>
      </c>
      <c r="AC576" s="2">
        <v>2551</v>
      </c>
      <c r="AD576" s="2">
        <v>11</v>
      </c>
      <c r="AE576" s="2" t="s">
        <v>59</v>
      </c>
      <c r="AF576" s="2" t="s">
        <v>60</v>
      </c>
      <c r="AG576" s="2" t="s">
        <v>61</v>
      </c>
      <c r="AH576" s="2" t="s">
        <v>62</v>
      </c>
      <c r="AI576" s="2" t="s">
        <v>391</v>
      </c>
      <c r="AJ576" s="2">
        <v>1.6275305152771999</v>
      </c>
      <c r="AK576" s="2">
        <v>3.0990301724071099</v>
      </c>
      <c r="AL576" s="2">
        <v>1.9190831841007401</v>
      </c>
      <c r="AM576" s="2">
        <v>0.47249767775058499</v>
      </c>
      <c r="AN576" s="2">
        <v>1.8760794080040499</v>
      </c>
      <c r="AO576" s="2">
        <v>0.14243436204142901</v>
      </c>
      <c r="AP576" s="2">
        <v>0.14243436204142901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5</v>
      </c>
      <c r="AW576" s="2">
        <v>0</v>
      </c>
      <c r="AX576" s="2">
        <v>0</v>
      </c>
      <c r="AY576" s="2">
        <v>15.8</v>
      </c>
      <c r="AZ576" s="2">
        <v>17.100000000000001</v>
      </c>
      <c r="BA576" s="2">
        <v>23</v>
      </c>
      <c r="BB576" s="2">
        <v>565</v>
      </c>
      <c r="BC576" s="2">
        <v>68</v>
      </c>
      <c r="BD576" s="2">
        <v>2.2999999999999998</v>
      </c>
      <c r="BE576" s="2">
        <v>68</v>
      </c>
      <c r="BF576" s="2">
        <v>17.600000000000001</v>
      </c>
      <c r="BG576" s="2">
        <v>162</v>
      </c>
      <c r="BH576" s="2">
        <v>19.7</v>
      </c>
      <c r="BI576" s="2">
        <v>16.7</v>
      </c>
      <c r="BJ576" s="2">
        <v>36.4</v>
      </c>
      <c r="BK576" s="2">
        <v>0.66</v>
      </c>
      <c r="BL576" s="2">
        <v>5.6</v>
      </c>
      <c r="BM576" s="2">
        <v>1.5</v>
      </c>
      <c r="BN576" s="2">
        <v>7.5</v>
      </c>
      <c r="BO576" s="2">
        <v>2.9</v>
      </c>
      <c r="BP576" s="2">
        <f t="shared" si="16"/>
        <v>14.82874264164249</v>
      </c>
      <c r="BQ576" s="2">
        <f t="shared" si="17"/>
        <v>21.464446755555315</v>
      </c>
    </row>
    <row r="577" spans="1:69" x14ac:dyDescent="0.2">
      <c r="A577" s="2" t="s">
        <v>909</v>
      </c>
      <c r="B577" s="2" t="s">
        <v>47</v>
      </c>
      <c r="C577" s="2" t="s">
        <v>48</v>
      </c>
      <c r="D577" s="2" t="s">
        <v>49</v>
      </c>
      <c r="E577" s="2" t="s">
        <v>910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89</v>
      </c>
      <c r="L577" s="6" t="s">
        <v>141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911</v>
      </c>
      <c r="R577" s="2">
        <v>4803616.841</v>
      </c>
      <c r="S577" s="2">
        <v>0</v>
      </c>
      <c r="T577" s="2" t="s">
        <v>77</v>
      </c>
      <c r="U577" s="2" t="s">
        <v>504</v>
      </c>
      <c r="V577" s="2" t="s">
        <v>56</v>
      </c>
      <c r="W577" s="2" t="s">
        <v>77</v>
      </c>
      <c r="X577" s="2" t="s">
        <v>505</v>
      </c>
      <c r="Y577" s="2">
        <v>4.2029129421448603</v>
      </c>
      <c r="Z577" s="2">
        <v>4202.9129421448597</v>
      </c>
      <c r="AA577" s="2">
        <v>4.6782416666666702</v>
      </c>
      <c r="AB577" s="2">
        <v>-74.143819444444404</v>
      </c>
      <c r="AC577" s="2">
        <v>2551</v>
      </c>
      <c r="AD577" s="2">
        <v>11</v>
      </c>
      <c r="AE577" s="2" t="s">
        <v>59</v>
      </c>
      <c r="AF577" s="2" t="s">
        <v>60</v>
      </c>
      <c r="AG577" s="2" t="s">
        <v>61</v>
      </c>
      <c r="AH577" s="2" t="s">
        <v>62</v>
      </c>
      <c r="AI577" s="2" t="s">
        <v>391</v>
      </c>
      <c r="AJ577" s="2">
        <v>0.88066170351808204</v>
      </c>
      <c r="AK577" s="2">
        <v>3.1328673163373999</v>
      </c>
      <c r="AL577" s="2">
        <v>0.97467449588586597</v>
      </c>
      <c r="AM577" s="2">
        <v>0.21263976178871999</v>
      </c>
      <c r="AN577" s="2">
        <v>1.5592532621747699</v>
      </c>
      <c r="AO577" s="2">
        <v>0.26719838360912002</v>
      </c>
      <c r="AP577" s="2">
        <v>0.26719838360912002</v>
      </c>
      <c r="AQ577" s="2">
        <v>0</v>
      </c>
      <c r="AR577" s="2">
        <v>1</v>
      </c>
      <c r="AS577" s="2">
        <v>0</v>
      </c>
      <c r="AT577" s="2">
        <v>0</v>
      </c>
      <c r="AU577" s="2">
        <v>1</v>
      </c>
      <c r="AV577" s="2">
        <v>16</v>
      </c>
      <c r="AW577" s="2">
        <v>0</v>
      </c>
      <c r="AX577" s="2">
        <v>0</v>
      </c>
      <c r="AY577" s="2">
        <v>15.8</v>
      </c>
      <c r="AZ577" s="2">
        <v>17.100000000000001</v>
      </c>
      <c r="BA577" s="2">
        <v>23</v>
      </c>
      <c r="BB577" s="2">
        <v>565</v>
      </c>
      <c r="BC577" s="2">
        <v>68</v>
      </c>
      <c r="BD577" s="2">
        <v>2.2999999999999998</v>
      </c>
      <c r="BE577" s="2">
        <v>68</v>
      </c>
      <c r="BF577" s="2">
        <v>17.600000000000001</v>
      </c>
      <c r="BG577" s="2">
        <v>162</v>
      </c>
      <c r="BH577" s="2">
        <v>19.7</v>
      </c>
      <c r="BI577" s="2">
        <v>16.7</v>
      </c>
      <c r="BJ577" s="2">
        <v>36.4</v>
      </c>
      <c r="BK577" s="2">
        <v>0.66</v>
      </c>
      <c r="BL577" s="2">
        <v>5.6</v>
      </c>
      <c r="BM577" s="2">
        <v>1.5</v>
      </c>
      <c r="BN577" s="2">
        <v>7.5</v>
      </c>
      <c r="BO577" s="2">
        <v>2.9</v>
      </c>
      <c r="BP577" s="2">
        <f t="shared" si="16"/>
        <v>13.888126589064319</v>
      </c>
      <c r="BQ577" s="2">
        <f t="shared" si="17"/>
        <v>20.793164550500393</v>
      </c>
    </row>
    <row r="578" spans="1:69" x14ac:dyDescent="0.2">
      <c r="A578" s="2" t="s">
        <v>1515</v>
      </c>
      <c r="B578" s="2" t="s">
        <v>47</v>
      </c>
      <c r="C578" s="2" t="s">
        <v>48</v>
      </c>
      <c r="D578" s="2" t="s">
        <v>49</v>
      </c>
      <c r="E578" s="2" t="s">
        <v>1516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51</v>
      </c>
      <c r="L578" s="6" t="s">
        <v>52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1517</v>
      </c>
      <c r="R578" s="2">
        <v>10969696.970000001</v>
      </c>
      <c r="S578" s="2">
        <v>0</v>
      </c>
      <c r="T578" s="2" t="s">
        <v>77</v>
      </c>
      <c r="U578" s="2" t="s">
        <v>504</v>
      </c>
      <c r="V578" s="2" t="s">
        <v>56</v>
      </c>
      <c r="W578" s="2" t="s">
        <v>77</v>
      </c>
      <c r="X578" s="2" t="s">
        <v>505</v>
      </c>
      <c r="Y578" s="2">
        <v>3.28857934401135</v>
      </c>
      <c r="Z578" s="2">
        <v>3288.5793440113498</v>
      </c>
      <c r="AA578" s="2">
        <v>4.6782416666666702</v>
      </c>
      <c r="AB578" s="2">
        <v>-74.143819444444404</v>
      </c>
      <c r="AC578" s="2">
        <v>2551</v>
      </c>
      <c r="AD578" s="2">
        <v>11</v>
      </c>
      <c r="AE578" s="2" t="s">
        <v>59</v>
      </c>
      <c r="AF578" s="2" t="s">
        <v>60</v>
      </c>
      <c r="AG578" s="2" t="s">
        <v>61</v>
      </c>
      <c r="AH578" s="2" t="s">
        <v>62</v>
      </c>
      <c r="AI578" s="2" t="s">
        <v>391</v>
      </c>
      <c r="AJ578" s="2">
        <v>0.79586970433375004</v>
      </c>
      <c r="AK578" s="2">
        <v>4.5682287159530404</v>
      </c>
      <c r="AL578" s="2">
        <v>1.16028279646916</v>
      </c>
      <c r="AM578" s="2">
        <v>0.47533682500290603</v>
      </c>
      <c r="AN578" s="2">
        <v>1.4777841980221</v>
      </c>
      <c r="AO578" s="2">
        <v>0.13003522681295299</v>
      </c>
      <c r="AP578" s="2">
        <v>0.13003522681295299</v>
      </c>
      <c r="AQ578" s="2">
        <v>0</v>
      </c>
      <c r="AR578" s="2">
        <v>1</v>
      </c>
      <c r="AS578" s="2">
        <v>0</v>
      </c>
      <c r="AT578" s="2">
        <v>0</v>
      </c>
      <c r="AU578" s="2">
        <v>0</v>
      </c>
      <c r="AV578" s="2">
        <v>7</v>
      </c>
      <c r="AW578" s="2">
        <v>0</v>
      </c>
      <c r="AX578" s="2">
        <v>0</v>
      </c>
      <c r="AY578" s="2">
        <v>15.8</v>
      </c>
      <c r="AZ578" s="2">
        <v>17.100000000000001</v>
      </c>
      <c r="BA578" s="2">
        <v>23</v>
      </c>
      <c r="BB578" s="2">
        <v>565</v>
      </c>
      <c r="BC578" s="2">
        <v>68</v>
      </c>
      <c r="BD578" s="2">
        <v>2.2999999999999998</v>
      </c>
      <c r="BE578" s="2">
        <v>68</v>
      </c>
      <c r="BF578" s="2">
        <v>17.600000000000001</v>
      </c>
      <c r="BG578" s="2">
        <v>162</v>
      </c>
      <c r="BH578" s="2">
        <v>19.7</v>
      </c>
      <c r="BI578" s="2">
        <v>16.7</v>
      </c>
      <c r="BJ578" s="2">
        <v>36.4</v>
      </c>
      <c r="BK578" s="2">
        <v>0.66</v>
      </c>
      <c r="BL578" s="2">
        <v>5.6</v>
      </c>
      <c r="BM578" s="2">
        <v>1.5</v>
      </c>
      <c r="BN578" s="2">
        <v>7.5</v>
      </c>
      <c r="BO578" s="2">
        <v>2.9</v>
      </c>
      <c r="BP578" s="2">
        <f t="shared" ref="BP578:BP641" si="18">+AZ578*EXP(-0.0495*Y578)</f>
        <v>14.531137865572553</v>
      </c>
      <c r="BQ578" s="2">
        <f t="shared" ref="BQ578:BQ641" si="19">+BA578*EXP(-0.024*Y578)</f>
        <v>21.254493071364625</v>
      </c>
    </row>
    <row r="579" spans="1:69" x14ac:dyDescent="0.2">
      <c r="A579" s="2" t="s">
        <v>1722</v>
      </c>
      <c r="B579" s="2" t="s">
        <v>47</v>
      </c>
      <c r="C579" s="2" t="s">
        <v>48</v>
      </c>
      <c r="D579" s="2" t="s">
        <v>49</v>
      </c>
      <c r="E579" s="2" t="s">
        <v>646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89</v>
      </c>
      <c r="L579" s="6" t="s">
        <v>90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1723</v>
      </c>
      <c r="R579" s="2">
        <v>7030303.0300000003</v>
      </c>
      <c r="S579" s="2">
        <v>0</v>
      </c>
      <c r="T579" s="2" t="s">
        <v>75</v>
      </c>
      <c r="U579" s="2" t="s">
        <v>76</v>
      </c>
      <c r="V579" s="2" t="s">
        <v>56</v>
      </c>
      <c r="W579" s="2" t="s">
        <v>77</v>
      </c>
      <c r="X579" s="2" t="s">
        <v>78</v>
      </c>
      <c r="Y579" s="2">
        <v>2.0318726226641601</v>
      </c>
      <c r="Z579" s="2">
        <v>2031.87262266416</v>
      </c>
      <c r="AA579" s="2">
        <v>4.6680000000000001</v>
      </c>
      <c r="AB579" s="2">
        <v>-74.148499999999999</v>
      </c>
      <c r="AC579" s="2">
        <v>2547</v>
      </c>
      <c r="AD579" s="2">
        <v>0</v>
      </c>
      <c r="AE579" s="2" t="s">
        <v>59</v>
      </c>
      <c r="AF579" s="2" t="s">
        <v>79</v>
      </c>
      <c r="AG579" s="2" t="s">
        <v>61</v>
      </c>
      <c r="AH579" s="2" t="s">
        <v>62</v>
      </c>
      <c r="AI579" s="2" t="s">
        <v>71</v>
      </c>
      <c r="AJ579" s="2">
        <v>2.7811283108301201</v>
      </c>
      <c r="AK579" s="2">
        <v>2.6046125292456601</v>
      </c>
      <c r="AL579" s="2">
        <v>2.1441545192556801</v>
      </c>
      <c r="AM579" s="2">
        <v>0.43856536667551399</v>
      </c>
      <c r="AN579" s="2">
        <v>2.02149444107049</v>
      </c>
      <c r="AO579" s="2">
        <v>0.26700731057520599</v>
      </c>
      <c r="AP579" s="2">
        <v>0.26700731057520599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13</v>
      </c>
      <c r="AW579" s="2">
        <v>0</v>
      </c>
      <c r="AX579" s="2">
        <v>0</v>
      </c>
      <c r="AY579" s="2">
        <v>15.8</v>
      </c>
      <c r="AZ579" s="2">
        <v>17.100000000000001</v>
      </c>
      <c r="BA579" s="2">
        <v>23</v>
      </c>
      <c r="BB579" s="2">
        <v>565</v>
      </c>
      <c r="BC579" s="2">
        <v>68</v>
      </c>
      <c r="BD579" s="2">
        <v>2.2999999999999998</v>
      </c>
      <c r="BE579" s="2">
        <v>68</v>
      </c>
      <c r="BF579" s="2">
        <v>17.600000000000001</v>
      </c>
      <c r="BG579" s="2">
        <v>162</v>
      </c>
      <c r="BH579" s="2">
        <v>19.7</v>
      </c>
      <c r="BI579" s="2">
        <v>16.7</v>
      </c>
      <c r="BJ579" s="2">
        <v>36.4</v>
      </c>
      <c r="BK579" s="2">
        <v>0.66</v>
      </c>
      <c r="BL579" s="2">
        <v>5.6</v>
      </c>
      <c r="BM579" s="2">
        <v>1.5</v>
      </c>
      <c r="BN579" s="2">
        <v>7.5</v>
      </c>
      <c r="BO579" s="2">
        <v>2.9</v>
      </c>
      <c r="BP579" s="2">
        <f t="shared" si="18"/>
        <v>15.46378391964655</v>
      </c>
      <c r="BQ579" s="2">
        <f t="shared" si="19"/>
        <v>21.905314376668237</v>
      </c>
    </row>
    <row r="580" spans="1:69" x14ac:dyDescent="0.2">
      <c r="A580" s="2" t="s">
        <v>4086</v>
      </c>
      <c r="B580" s="2" t="s">
        <v>47</v>
      </c>
      <c r="C580" s="2" t="s">
        <v>3273</v>
      </c>
      <c r="D580" s="2" t="s">
        <v>49</v>
      </c>
      <c r="E580" s="2" t="s">
        <v>4087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89</v>
      </c>
      <c r="L580" s="6" t="s">
        <v>90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4088</v>
      </c>
      <c r="R580" s="2">
        <v>8281250</v>
      </c>
      <c r="S580" s="2">
        <v>0</v>
      </c>
      <c r="T580" s="2" t="s">
        <v>77</v>
      </c>
      <c r="U580" s="2" t="s">
        <v>504</v>
      </c>
      <c r="V580" s="2" t="s">
        <v>56</v>
      </c>
      <c r="W580" s="2" t="s">
        <v>77</v>
      </c>
      <c r="X580" s="2" t="s">
        <v>505</v>
      </c>
      <c r="Y580" s="2">
        <v>4.4724153845992802</v>
      </c>
      <c r="Z580" s="2">
        <v>4472.4153845992796</v>
      </c>
      <c r="AA580" s="2">
        <v>4.6782416666666702</v>
      </c>
      <c r="AB580" s="2">
        <v>-74.143819444444404</v>
      </c>
      <c r="AC580" s="2">
        <v>2551</v>
      </c>
      <c r="AD580" s="2">
        <v>11</v>
      </c>
      <c r="AE580" s="2" t="s">
        <v>59</v>
      </c>
      <c r="AF580" s="2" t="s">
        <v>60</v>
      </c>
      <c r="AG580" s="2" t="s">
        <v>61</v>
      </c>
      <c r="AH580" s="2" t="s">
        <v>62</v>
      </c>
      <c r="AI580" s="2" t="s">
        <v>391</v>
      </c>
      <c r="AJ580" s="2">
        <v>1.2090149999071</v>
      </c>
      <c r="AK580" s="2">
        <v>4.0918873106609404</v>
      </c>
      <c r="AL580" s="2">
        <v>0.191434889366289</v>
      </c>
      <c r="AM580" s="2">
        <v>0.26953148568234803</v>
      </c>
      <c r="AN580" s="2">
        <v>0.57708688761399396</v>
      </c>
      <c r="AO580" s="2">
        <v>0.103355155138903</v>
      </c>
      <c r="AP580" s="2">
        <v>0.103355155138903</v>
      </c>
      <c r="AQ580" s="2">
        <v>0</v>
      </c>
      <c r="AR580" s="2">
        <v>0</v>
      </c>
      <c r="AS580" s="2">
        <v>0</v>
      </c>
      <c r="AT580" s="2">
        <v>0</v>
      </c>
      <c r="AU580" s="2">
        <v>1</v>
      </c>
      <c r="AV580" s="2">
        <v>17</v>
      </c>
      <c r="AW580" s="2">
        <v>1</v>
      </c>
      <c r="AX580" s="2">
        <v>0</v>
      </c>
      <c r="AY580" s="2">
        <v>15.8</v>
      </c>
      <c r="AZ580" s="2">
        <v>17.100000000000001</v>
      </c>
      <c r="BA580" s="2">
        <v>23</v>
      </c>
      <c r="BB580" s="2">
        <v>565</v>
      </c>
      <c r="BC580" s="2">
        <v>68</v>
      </c>
      <c r="BD580" s="2">
        <v>2.2999999999999998</v>
      </c>
      <c r="BE580" s="2">
        <v>68</v>
      </c>
      <c r="BF580" s="2">
        <v>17.600000000000001</v>
      </c>
      <c r="BG580" s="2">
        <v>162</v>
      </c>
      <c r="BH580" s="2">
        <v>19.7</v>
      </c>
      <c r="BI580" s="2">
        <v>16.7</v>
      </c>
      <c r="BJ580" s="2">
        <v>36.4</v>
      </c>
      <c r="BK580" s="2">
        <v>0.66</v>
      </c>
      <c r="BL580" s="2">
        <v>5.6</v>
      </c>
      <c r="BM580" s="2">
        <v>1.5</v>
      </c>
      <c r="BN580" s="2">
        <v>7.5</v>
      </c>
      <c r="BO580" s="2">
        <v>2.9</v>
      </c>
      <c r="BP580" s="2">
        <f t="shared" si="18"/>
        <v>13.70408415582529</v>
      </c>
      <c r="BQ580" s="2">
        <f t="shared" si="19"/>
        <v>20.659107156223442</v>
      </c>
    </row>
    <row r="581" spans="1:69" x14ac:dyDescent="0.2">
      <c r="A581" s="2" t="s">
        <v>3391</v>
      </c>
      <c r="B581" s="2" t="s">
        <v>47</v>
      </c>
      <c r="C581" s="2" t="s">
        <v>3273</v>
      </c>
      <c r="D581" s="2" t="s">
        <v>49</v>
      </c>
      <c r="E581" s="2" t="s">
        <v>913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89</v>
      </c>
      <c r="L581" s="6" t="s">
        <v>90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3392</v>
      </c>
      <c r="R581" s="2">
        <v>5250000</v>
      </c>
      <c r="S581" s="2">
        <v>0</v>
      </c>
      <c r="T581" s="2" t="s">
        <v>77</v>
      </c>
      <c r="U581" s="2" t="s">
        <v>504</v>
      </c>
      <c r="V581" s="2" t="s">
        <v>56</v>
      </c>
      <c r="W581" s="2" t="s">
        <v>77</v>
      </c>
      <c r="X581" s="2" t="s">
        <v>505</v>
      </c>
      <c r="Y581" s="2">
        <v>2.35603901627479</v>
      </c>
      <c r="Z581" s="2">
        <v>2356.0390162747899</v>
      </c>
      <c r="AA581" s="2">
        <v>4.6782416666666702</v>
      </c>
      <c r="AB581" s="2">
        <v>-74.143819444444404</v>
      </c>
      <c r="AC581" s="2">
        <v>2551</v>
      </c>
      <c r="AD581" s="2">
        <v>11</v>
      </c>
      <c r="AE581" s="2" t="s">
        <v>59</v>
      </c>
      <c r="AF581" s="2" t="s">
        <v>60</v>
      </c>
      <c r="AG581" s="2" t="s">
        <v>61</v>
      </c>
      <c r="AH581" s="2" t="s">
        <v>62</v>
      </c>
      <c r="AI581" s="2" t="s">
        <v>71</v>
      </c>
      <c r="AJ581" s="2">
        <v>4.6028355469553297</v>
      </c>
      <c r="AK581" s="2">
        <v>0.44853409728048499</v>
      </c>
      <c r="AL581" s="2">
        <v>2.8134680357537798</v>
      </c>
      <c r="AM581" s="2">
        <v>0.120333201489253</v>
      </c>
      <c r="AN581" s="2">
        <v>2.3811620883063398</v>
      </c>
      <c r="AO581" s="2">
        <v>8.9207257667484705E-2</v>
      </c>
      <c r="AP581" s="2">
        <v>8.9207257667484705E-2</v>
      </c>
      <c r="AQ581" s="2">
        <v>0</v>
      </c>
      <c r="AR581" s="2">
        <v>0</v>
      </c>
      <c r="AS581" s="2">
        <v>1</v>
      </c>
      <c r="AT581" s="2">
        <v>1</v>
      </c>
      <c r="AU581" s="2">
        <v>0</v>
      </c>
      <c r="AV581" s="2">
        <v>2</v>
      </c>
      <c r="AW581" s="2">
        <v>0</v>
      </c>
      <c r="AX581" s="2">
        <v>0</v>
      </c>
      <c r="AY581" s="2">
        <v>15.8</v>
      </c>
      <c r="AZ581" s="2">
        <v>17.100000000000001</v>
      </c>
      <c r="BA581" s="2">
        <v>23</v>
      </c>
      <c r="BB581" s="2">
        <v>565</v>
      </c>
      <c r="BC581" s="2">
        <v>68</v>
      </c>
      <c r="BD581" s="2">
        <v>2.2999999999999998</v>
      </c>
      <c r="BE581" s="2">
        <v>68</v>
      </c>
      <c r="BF581" s="2">
        <v>17.600000000000001</v>
      </c>
      <c r="BG581" s="2">
        <v>162</v>
      </c>
      <c r="BH581" s="2">
        <v>19.7</v>
      </c>
      <c r="BI581" s="2">
        <v>16.7</v>
      </c>
      <c r="BJ581" s="2">
        <v>36.4</v>
      </c>
      <c r="BK581" s="2">
        <v>0.66</v>
      </c>
      <c r="BL581" s="2">
        <v>5.6</v>
      </c>
      <c r="BM581" s="2">
        <v>1.5</v>
      </c>
      <c r="BN581" s="2">
        <v>7.5</v>
      </c>
      <c r="BO581" s="2">
        <v>2.9</v>
      </c>
      <c r="BP581" s="2">
        <f t="shared" si="18"/>
        <v>15.217628600852148</v>
      </c>
      <c r="BQ581" s="2">
        <f t="shared" si="19"/>
        <v>21.735552404170342</v>
      </c>
    </row>
    <row r="582" spans="1:69" x14ac:dyDescent="0.2">
      <c r="A582" s="2" t="s">
        <v>3994</v>
      </c>
      <c r="B582" s="2" t="s">
        <v>47</v>
      </c>
      <c r="C582" s="2" t="s">
        <v>3273</v>
      </c>
      <c r="D582" s="2" t="s">
        <v>49</v>
      </c>
      <c r="E582" s="2" t="s">
        <v>198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89</v>
      </c>
      <c r="L582" s="6" t="s">
        <v>90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3995</v>
      </c>
      <c r="R582" s="2">
        <v>6451612.9029999999</v>
      </c>
      <c r="S582" s="2">
        <v>0</v>
      </c>
      <c r="T582" s="2" t="s">
        <v>75</v>
      </c>
      <c r="U582" s="2" t="s">
        <v>76</v>
      </c>
      <c r="V582" s="2" t="s">
        <v>56</v>
      </c>
      <c r="W582" s="2" t="s">
        <v>77</v>
      </c>
      <c r="X582" s="2" t="s">
        <v>78</v>
      </c>
      <c r="Y582" s="2">
        <v>2.1029224794946799</v>
      </c>
      <c r="Z582" s="2">
        <v>2102.9224794946799</v>
      </c>
      <c r="AA582" s="2">
        <v>4.6680000000000001</v>
      </c>
      <c r="AB582" s="2">
        <v>-74.148499999999999</v>
      </c>
      <c r="AC582" s="2">
        <v>2547</v>
      </c>
      <c r="AD582" s="2">
        <v>0</v>
      </c>
      <c r="AE582" s="2" t="s">
        <v>59</v>
      </c>
      <c r="AF582" s="2" t="s">
        <v>79</v>
      </c>
      <c r="AG582" s="2" t="s">
        <v>61</v>
      </c>
      <c r="AH582" s="2" t="s">
        <v>62</v>
      </c>
      <c r="AI582" s="2" t="s">
        <v>200</v>
      </c>
      <c r="AJ582" s="2">
        <v>1.6218314588654601</v>
      </c>
      <c r="AK582" s="2">
        <v>1.4706902053192401</v>
      </c>
      <c r="AL582" s="2">
        <v>3.1784352316468798</v>
      </c>
      <c r="AM582" s="2">
        <v>0.30741516414161901</v>
      </c>
      <c r="AN582" s="2">
        <v>2.05166352254412</v>
      </c>
      <c r="AO582" s="2">
        <v>6.3162157201595098E-2</v>
      </c>
      <c r="AP582" s="2">
        <v>6.3162157201595098E-2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1</v>
      </c>
      <c r="AW582" s="2">
        <v>0</v>
      </c>
      <c r="AX582" s="2">
        <v>0</v>
      </c>
      <c r="AY582" s="2">
        <v>15.8</v>
      </c>
      <c r="AZ582" s="2">
        <v>17.100000000000001</v>
      </c>
      <c r="BA582" s="2">
        <v>23</v>
      </c>
      <c r="BB582" s="2">
        <v>565</v>
      </c>
      <c r="BC582" s="2">
        <v>68</v>
      </c>
      <c r="BD582" s="2">
        <v>2.2999999999999998</v>
      </c>
      <c r="BE582" s="2">
        <v>68</v>
      </c>
      <c r="BF582" s="2">
        <v>17.600000000000001</v>
      </c>
      <c r="BG582" s="2">
        <v>162</v>
      </c>
      <c r="BH582" s="2">
        <v>19.7</v>
      </c>
      <c r="BI582" s="2">
        <v>16.7</v>
      </c>
      <c r="BJ582" s="2">
        <v>36.4</v>
      </c>
      <c r="BK582" s="2">
        <v>0.66</v>
      </c>
      <c r="BL582" s="2">
        <v>5.6</v>
      </c>
      <c r="BM582" s="2">
        <v>1.5</v>
      </c>
      <c r="BN582" s="2">
        <v>7.5</v>
      </c>
      <c r="BO582" s="2">
        <v>2.9</v>
      </c>
      <c r="BP582" s="2">
        <f t="shared" si="18"/>
        <v>15.409493812028924</v>
      </c>
      <c r="BQ582" s="2">
        <f t="shared" si="19"/>
        <v>21.86799333875727</v>
      </c>
    </row>
    <row r="583" spans="1:69" x14ac:dyDescent="0.2">
      <c r="A583" s="2" t="s">
        <v>4038</v>
      </c>
      <c r="B583" s="2" t="s">
        <v>47</v>
      </c>
      <c r="C583" s="2" t="s">
        <v>3273</v>
      </c>
      <c r="D583" s="2" t="s">
        <v>49</v>
      </c>
      <c r="E583" s="2" t="s">
        <v>646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89</v>
      </c>
      <c r="L583" s="6" t="s">
        <v>90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4039</v>
      </c>
      <c r="R583" s="2">
        <v>7413793.1030000001</v>
      </c>
      <c r="S583" s="2">
        <v>0</v>
      </c>
      <c r="T583" s="2" t="s">
        <v>75</v>
      </c>
      <c r="U583" s="2" t="s">
        <v>76</v>
      </c>
      <c r="V583" s="2" t="s">
        <v>56</v>
      </c>
      <c r="W583" s="2" t="s">
        <v>77</v>
      </c>
      <c r="X583" s="2" t="s">
        <v>78</v>
      </c>
      <c r="Y583" s="2">
        <v>2.0502761065160202</v>
      </c>
      <c r="Z583" s="2">
        <v>2050.2761065160198</v>
      </c>
      <c r="AA583" s="2">
        <v>4.6680000000000001</v>
      </c>
      <c r="AB583" s="2">
        <v>-74.148499999999999</v>
      </c>
      <c r="AC583" s="2">
        <v>2547</v>
      </c>
      <c r="AD583" s="2">
        <v>0</v>
      </c>
      <c r="AE583" s="2" t="s">
        <v>59</v>
      </c>
      <c r="AF583" s="2" t="s">
        <v>79</v>
      </c>
      <c r="AG583" s="2" t="s">
        <v>61</v>
      </c>
      <c r="AH583" s="2" t="s">
        <v>62</v>
      </c>
      <c r="AI583" s="2" t="s">
        <v>71</v>
      </c>
      <c r="AJ583" s="2">
        <v>2.7485776640169099</v>
      </c>
      <c r="AK583" s="2">
        <v>2.6351113519770699</v>
      </c>
      <c r="AL583" s="2">
        <v>2.1311060867553802</v>
      </c>
      <c r="AM583" s="2">
        <v>0.41032842140883002</v>
      </c>
      <c r="AN583" s="2">
        <v>2.0406055555528999</v>
      </c>
      <c r="AO583" s="2">
        <v>0.297569964541058</v>
      </c>
      <c r="AP583" s="2">
        <v>0.297569964541058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13</v>
      </c>
      <c r="AW583" s="2">
        <v>0</v>
      </c>
      <c r="AX583" s="2">
        <v>0</v>
      </c>
      <c r="AY583" s="2">
        <v>15.8</v>
      </c>
      <c r="AZ583" s="2">
        <v>17.100000000000001</v>
      </c>
      <c r="BA583" s="2">
        <v>23</v>
      </c>
      <c r="BB583" s="2">
        <v>565</v>
      </c>
      <c r="BC583" s="2">
        <v>68</v>
      </c>
      <c r="BD583" s="2">
        <v>2.2999999999999998</v>
      </c>
      <c r="BE583" s="2">
        <v>68</v>
      </c>
      <c r="BF583" s="2">
        <v>17.600000000000001</v>
      </c>
      <c r="BG583" s="2">
        <v>162</v>
      </c>
      <c r="BH583" s="2">
        <v>19.7</v>
      </c>
      <c r="BI583" s="2">
        <v>16.7</v>
      </c>
      <c r="BJ583" s="2">
        <v>36.4</v>
      </c>
      <c r="BK583" s="2">
        <v>0.66</v>
      </c>
      <c r="BL583" s="2">
        <v>5.6</v>
      </c>
      <c r="BM583" s="2">
        <v>1.5</v>
      </c>
      <c r="BN583" s="2">
        <v>7.5</v>
      </c>
      <c r="BO583" s="2">
        <v>2.9</v>
      </c>
      <c r="BP583" s="2">
        <f t="shared" si="18"/>
        <v>15.449703253036128</v>
      </c>
      <c r="BQ583" s="2">
        <f t="shared" si="19"/>
        <v>21.895641294660773</v>
      </c>
    </row>
    <row r="584" spans="1:69" x14ac:dyDescent="0.2">
      <c r="A584" s="2" t="s">
        <v>3727</v>
      </c>
      <c r="B584" s="2" t="s">
        <v>47</v>
      </c>
      <c r="C584" s="2" t="s">
        <v>3273</v>
      </c>
      <c r="D584" s="2" t="s">
        <v>49</v>
      </c>
      <c r="E584" s="2" t="s">
        <v>3728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89</v>
      </c>
      <c r="L584" s="6" t="s">
        <v>90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3729</v>
      </c>
      <c r="R584" s="2">
        <v>5137931.034</v>
      </c>
      <c r="S584" s="2">
        <v>0</v>
      </c>
      <c r="T584" s="2" t="s">
        <v>77</v>
      </c>
      <c r="U584" s="2" t="s">
        <v>504</v>
      </c>
      <c r="V584" s="2" t="s">
        <v>56</v>
      </c>
      <c r="W584" s="2" t="s">
        <v>77</v>
      </c>
      <c r="X584" s="2" t="s">
        <v>505</v>
      </c>
      <c r="Y584" s="2">
        <v>1.3458878912664001</v>
      </c>
      <c r="Z584" s="2">
        <v>1345.8878912663999</v>
      </c>
      <c r="AA584" s="2">
        <v>4.6782416666666702</v>
      </c>
      <c r="AB584" s="2">
        <v>-74.143819444444404</v>
      </c>
      <c r="AC584" s="2">
        <v>2551</v>
      </c>
      <c r="AD584" s="2">
        <v>11</v>
      </c>
      <c r="AE584" s="2" t="s">
        <v>59</v>
      </c>
      <c r="AF584" s="2" t="s">
        <v>60</v>
      </c>
      <c r="AG584" s="2" t="s">
        <v>61</v>
      </c>
      <c r="AH584" s="2" t="s">
        <v>62</v>
      </c>
      <c r="AI584" s="2" t="s">
        <v>71</v>
      </c>
      <c r="AJ584" s="2">
        <v>3.5384489371574399</v>
      </c>
      <c r="AK584" s="2">
        <v>1.49427030593077</v>
      </c>
      <c r="AL584" s="2">
        <v>1.7435181006673399</v>
      </c>
      <c r="AM584" s="2">
        <v>9.5669238281378396E-2</v>
      </c>
      <c r="AN584" s="2">
        <v>1.5765053555813799</v>
      </c>
      <c r="AO584" s="2">
        <v>0.182388934764943</v>
      </c>
      <c r="AP584" s="2">
        <v>0.182388934764943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5</v>
      </c>
      <c r="AW584" s="2">
        <v>0</v>
      </c>
      <c r="AX584" s="2">
        <v>0</v>
      </c>
      <c r="AY584" s="2">
        <v>15.8</v>
      </c>
      <c r="AZ584" s="2">
        <v>17.100000000000001</v>
      </c>
      <c r="BA584" s="2">
        <v>23</v>
      </c>
      <c r="BB584" s="2">
        <v>565</v>
      </c>
      <c r="BC584" s="2">
        <v>68</v>
      </c>
      <c r="BD584" s="2">
        <v>2.2999999999999998</v>
      </c>
      <c r="BE584" s="2">
        <v>68</v>
      </c>
      <c r="BF584" s="2">
        <v>17.600000000000001</v>
      </c>
      <c r="BG584" s="2">
        <v>162</v>
      </c>
      <c r="BH584" s="2">
        <v>19.7</v>
      </c>
      <c r="BI584" s="2">
        <v>16.7</v>
      </c>
      <c r="BJ584" s="2">
        <v>36.4</v>
      </c>
      <c r="BK584" s="2">
        <v>0.66</v>
      </c>
      <c r="BL584" s="2">
        <v>5.6</v>
      </c>
      <c r="BM584" s="2">
        <v>1.5</v>
      </c>
      <c r="BN584" s="2">
        <v>7.5</v>
      </c>
      <c r="BO584" s="2">
        <v>2.9</v>
      </c>
      <c r="BP584" s="2">
        <f t="shared" si="18"/>
        <v>15.997892789191068</v>
      </c>
      <c r="BQ584" s="2">
        <f t="shared" si="19"/>
        <v>22.268940535953373</v>
      </c>
    </row>
    <row r="585" spans="1:69" x14ac:dyDescent="0.2">
      <c r="A585" s="2" t="s">
        <v>3346</v>
      </c>
      <c r="B585" s="2" t="s">
        <v>47</v>
      </c>
      <c r="C585" s="2" t="s">
        <v>3273</v>
      </c>
      <c r="D585" s="2" t="s">
        <v>49</v>
      </c>
      <c r="E585" s="2" t="s">
        <v>3347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89</v>
      </c>
      <c r="L585" s="6" t="s">
        <v>90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3348</v>
      </c>
      <c r="R585" s="2">
        <v>10714285.710000001</v>
      </c>
      <c r="S585" s="2">
        <v>0</v>
      </c>
      <c r="T585" s="2" t="s">
        <v>77</v>
      </c>
      <c r="U585" s="2" t="s">
        <v>504</v>
      </c>
      <c r="V585" s="2" t="s">
        <v>56</v>
      </c>
      <c r="W585" s="2" t="s">
        <v>77</v>
      </c>
      <c r="X585" s="2" t="s">
        <v>505</v>
      </c>
      <c r="Y585" s="2">
        <v>2.6567993442554898</v>
      </c>
      <c r="Z585" s="2">
        <v>2656.7993442554898</v>
      </c>
      <c r="AA585" s="2">
        <v>4.6782416666666702</v>
      </c>
      <c r="AB585" s="2">
        <v>-74.143819444444404</v>
      </c>
      <c r="AC585" s="2">
        <v>2551</v>
      </c>
      <c r="AD585" s="2">
        <v>11</v>
      </c>
      <c r="AE585" s="2" t="s">
        <v>59</v>
      </c>
      <c r="AF585" s="2" t="s">
        <v>60</v>
      </c>
      <c r="AG585" s="2" t="s">
        <v>61</v>
      </c>
      <c r="AH585" s="2" t="s">
        <v>62</v>
      </c>
      <c r="AI585" s="2" t="s">
        <v>71</v>
      </c>
      <c r="AJ585" s="2">
        <v>0.41053481582298001</v>
      </c>
      <c r="AK585" s="2">
        <v>4.3529636613182596</v>
      </c>
      <c r="AL585" s="2">
        <v>2.0496386507610902</v>
      </c>
      <c r="AM585" s="2">
        <v>0.27563597463184902</v>
      </c>
      <c r="AN585" s="2">
        <v>2.35464220265691</v>
      </c>
      <c r="AO585" s="2">
        <v>0.48677636219418402</v>
      </c>
      <c r="AP585" s="2">
        <v>0.48677636219418402</v>
      </c>
      <c r="AQ585" s="2">
        <v>2</v>
      </c>
      <c r="AR585" s="2">
        <v>2</v>
      </c>
      <c r="AS585" s="2">
        <v>0</v>
      </c>
      <c r="AT585" s="2">
        <v>0</v>
      </c>
      <c r="AU585" s="2">
        <v>0</v>
      </c>
      <c r="AV585" s="2">
        <v>11</v>
      </c>
      <c r="AW585" s="2">
        <v>0</v>
      </c>
      <c r="AX585" s="2">
        <v>0</v>
      </c>
      <c r="AY585" s="2">
        <v>15.8</v>
      </c>
      <c r="AZ585" s="2">
        <v>17.100000000000001</v>
      </c>
      <c r="BA585" s="2">
        <v>23</v>
      </c>
      <c r="BB585" s="2">
        <v>565</v>
      </c>
      <c r="BC585" s="2">
        <v>68</v>
      </c>
      <c r="BD585" s="2">
        <v>2.2999999999999998</v>
      </c>
      <c r="BE585" s="2">
        <v>68</v>
      </c>
      <c r="BF585" s="2">
        <v>17.600000000000001</v>
      </c>
      <c r="BG585" s="2">
        <v>162</v>
      </c>
      <c r="BH585" s="2">
        <v>19.7</v>
      </c>
      <c r="BI585" s="2">
        <v>16.7</v>
      </c>
      <c r="BJ585" s="2">
        <v>36.4</v>
      </c>
      <c r="BK585" s="2">
        <v>0.66</v>
      </c>
      <c r="BL585" s="2">
        <v>5.6</v>
      </c>
      <c r="BM585" s="2">
        <v>1.5</v>
      </c>
      <c r="BN585" s="2">
        <v>7.5</v>
      </c>
      <c r="BO585" s="2">
        <v>2.9</v>
      </c>
      <c r="BP585" s="2">
        <f t="shared" si="18"/>
        <v>14.992752174583062</v>
      </c>
      <c r="BQ585" s="2">
        <f t="shared" si="19"/>
        <v>21.579224684171013</v>
      </c>
    </row>
    <row r="586" spans="1:69" x14ac:dyDescent="0.2">
      <c r="A586" s="2" t="s">
        <v>4330</v>
      </c>
      <c r="B586" s="2" t="s">
        <v>47</v>
      </c>
      <c r="C586" s="2" t="s">
        <v>3273</v>
      </c>
      <c r="D586" s="2" t="s">
        <v>49</v>
      </c>
      <c r="E586" s="2" t="s">
        <v>3226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89</v>
      </c>
      <c r="L586" s="6" t="s">
        <v>90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4331</v>
      </c>
      <c r="R586" s="2">
        <v>10000000</v>
      </c>
      <c r="S586" s="2">
        <v>0</v>
      </c>
      <c r="T586" s="2" t="s">
        <v>77</v>
      </c>
      <c r="U586" s="2" t="s">
        <v>504</v>
      </c>
      <c r="V586" s="2" t="s">
        <v>56</v>
      </c>
      <c r="W586" s="2" t="s">
        <v>77</v>
      </c>
      <c r="X586" s="2" t="s">
        <v>505</v>
      </c>
      <c r="Y586" s="2">
        <v>3.1813999525808101</v>
      </c>
      <c r="Z586" s="2">
        <v>3181.3999525808099</v>
      </c>
      <c r="AA586" s="2">
        <v>4.6782416666666702</v>
      </c>
      <c r="AB586" s="2">
        <v>-74.143819444444404</v>
      </c>
      <c r="AC586" s="2">
        <v>2551</v>
      </c>
      <c r="AD586" s="2">
        <v>11</v>
      </c>
      <c r="AE586" s="2" t="s">
        <v>59</v>
      </c>
      <c r="AF586" s="2" t="s">
        <v>60</v>
      </c>
      <c r="AG586" s="2" t="s">
        <v>61</v>
      </c>
      <c r="AH586" s="2" t="s">
        <v>62</v>
      </c>
      <c r="AI586" s="2" t="s">
        <v>391</v>
      </c>
      <c r="AJ586" s="2">
        <v>0.667973250117466</v>
      </c>
      <c r="AK586" s="2">
        <v>4.84180512139109</v>
      </c>
      <c r="AL586" s="2">
        <v>1.4329603711194501</v>
      </c>
      <c r="AM586" s="2">
        <v>0.76619809149033102</v>
      </c>
      <c r="AN586" s="2">
        <v>1.6700001622704901</v>
      </c>
      <c r="AO586" s="2">
        <v>0.175726923509361</v>
      </c>
      <c r="AP586" s="2">
        <v>0.175726923509361</v>
      </c>
      <c r="AQ586" s="2">
        <v>0</v>
      </c>
      <c r="AR586" s="2">
        <v>2</v>
      </c>
      <c r="AS586" s="2">
        <v>0</v>
      </c>
      <c r="AT586" s="2">
        <v>0</v>
      </c>
      <c r="AU586" s="2">
        <v>0</v>
      </c>
      <c r="AV586" s="2">
        <v>10</v>
      </c>
      <c r="AW586" s="2">
        <v>0</v>
      </c>
      <c r="AX586" s="2">
        <v>0</v>
      </c>
      <c r="AY586" s="2">
        <v>15.8</v>
      </c>
      <c r="AZ586" s="2">
        <v>17.100000000000001</v>
      </c>
      <c r="BA586" s="2">
        <v>23</v>
      </c>
      <c r="BB586" s="2">
        <v>565</v>
      </c>
      <c r="BC586" s="2">
        <v>68</v>
      </c>
      <c r="BD586" s="2">
        <v>2.2999999999999998</v>
      </c>
      <c r="BE586" s="2">
        <v>68</v>
      </c>
      <c r="BF586" s="2">
        <v>17.600000000000001</v>
      </c>
      <c r="BG586" s="2">
        <v>162</v>
      </c>
      <c r="BH586" s="2">
        <v>19.7</v>
      </c>
      <c r="BI586" s="2">
        <v>16.7</v>
      </c>
      <c r="BJ586" s="2">
        <v>36.4</v>
      </c>
      <c r="BK586" s="2">
        <v>0.66</v>
      </c>
      <c r="BL586" s="2">
        <v>5.6</v>
      </c>
      <c r="BM586" s="2">
        <v>1.5</v>
      </c>
      <c r="BN586" s="2">
        <v>7.5</v>
      </c>
      <c r="BO586" s="2">
        <v>2.9</v>
      </c>
      <c r="BP586" s="2">
        <f t="shared" si="18"/>
        <v>14.608435938488105</v>
      </c>
      <c r="BQ586" s="2">
        <f t="shared" si="19"/>
        <v>21.309236496764822</v>
      </c>
    </row>
    <row r="587" spans="1:69" x14ac:dyDescent="0.2">
      <c r="A587" s="2" t="s">
        <v>4565</v>
      </c>
      <c r="B587" s="2" t="s">
        <v>47</v>
      </c>
      <c r="C587" s="2" t="s">
        <v>3273</v>
      </c>
      <c r="D587" s="2" t="s">
        <v>49</v>
      </c>
      <c r="E587" s="2" t="s">
        <v>646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89</v>
      </c>
      <c r="L587" s="6" t="s">
        <v>90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4566</v>
      </c>
      <c r="R587" s="2">
        <v>7607142.8569999998</v>
      </c>
      <c r="S587" s="2">
        <v>0</v>
      </c>
      <c r="T587" s="2" t="s">
        <v>75</v>
      </c>
      <c r="U587" s="2" t="s">
        <v>76</v>
      </c>
      <c r="V587" s="2" t="s">
        <v>56</v>
      </c>
      <c r="W587" s="2" t="s">
        <v>77</v>
      </c>
      <c r="X587" s="2" t="s">
        <v>78</v>
      </c>
      <c r="Y587" s="2">
        <v>2.0192672082227201</v>
      </c>
      <c r="Z587" s="2">
        <v>2019.26720822272</v>
      </c>
      <c r="AA587" s="2">
        <v>4.6680000000000001</v>
      </c>
      <c r="AB587" s="2">
        <v>-74.148499999999999</v>
      </c>
      <c r="AC587" s="2">
        <v>2547</v>
      </c>
      <c r="AD587" s="2">
        <v>0</v>
      </c>
      <c r="AE587" s="2" t="s">
        <v>59</v>
      </c>
      <c r="AF587" s="2" t="s">
        <v>79</v>
      </c>
      <c r="AG587" s="2" t="s">
        <v>61</v>
      </c>
      <c r="AH587" s="2" t="s">
        <v>62</v>
      </c>
      <c r="AI587" s="2" t="s">
        <v>71</v>
      </c>
      <c r="AJ587" s="2">
        <v>2.75984063733326</v>
      </c>
      <c r="AK587" s="2">
        <v>2.6079369607723502</v>
      </c>
      <c r="AL587" s="2">
        <v>2.16113970375971</v>
      </c>
      <c r="AM587" s="2">
        <v>0.43968335389395102</v>
      </c>
      <c r="AN587" s="2">
        <v>2.0096676844017902</v>
      </c>
      <c r="AO587" s="2">
        <v>0.29218221307577902</v>
      </c>
      <c r="AP587" s="2">
        <v>0.29218221307577902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13</v>
      </c>
      <c r="AW587" s="2">
        <v>0</v>
      </c>
      <c r="AX587" s="2">
        <v>0</v>
      </c>
      <c r="AY587" s="2">
        <v>15.8</v>
      </c>
      <c r="AZ587" s="2">
        <v>17.100000000000001</v>
      </c>
      <c r="BA587" s="2">
        <v>23</v>
      </c>
      <c r="BB587" s="2">
        <v>565</v>
      </c>
      <c r="BC587" s="2">
        <v>68</v>
      </c>
      <c r="BD587" s="2">
        <v>2.2999999999999998</v>
      </c>
      <c r="BE587" s="2">
        <v>68</v>
      </c>
      <c r="BF587" s="2">
        <v>17.600000000000001</v>
      </c>
      <c r="BG587" s="2">
        <v>162</v>
      </c>
      <c r="BH587" s="2">
        <v>19.7</v>
      </c>
      <c r="BI587" s="2">
        <v>16.7</v>
      </c>
      <c r="BJ587" s="2">
        <v>36.4</v>
      </c>
      <c r="BK587" s="2">
        <v>0.66</v>
      </c>
      <c r="BL587" s="2">
        <v>5.6</v>
      </c>
      <c r="BM587" s="2">
        <v>1.5</v>
      </c>
      <c r="BN587" s="2">
        <v>7.5</v>
      </c>
      <c r="BO587" s="2">
        <v>2.9</v>
      </c>
      <c r="BP587" s="2">
        <f t="shared" si="18"/>
        <v>15.473435837131722</v>
      </c>
      <c r="BQ587" s="2">
        <f t="shared" si="19"/>
        <v>21.911942392792877</v>
      </c>
    </row>
    <row r="588" spans="1:69" x14ac:dyDescent="0.2">
      <c r="A588" s="2" t="s">
        <v>4115</v>
      </c>
      <c r="B588" s="2" t="s">
        <v>47</v>
      </c>
      <c r="C588" s="2" t="s">
        <v>3273</v>
      </c>
      <c r="D588" s="2" t="s">
        <v>49</v>
      </c>
      <c r="E588" s="2" t="s">
        <v>559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89</v>
      </c>
      <c r="L588" s="6" t="s">
        <v>90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4116</v>
      </c>
      <c r="R588" s="2">
        <v>11851851.85</v>
      </c>
      <c r="S588" s="2">
        <v>0</v>
      </c>
      <c r="T588" s="2" t="s">
        <v>77</v>
      </c>
      <c r="U588" s="2" t="s">
        <v>504</v>
      </c>
      <c r="V588" s="2" t="s">
        <v>56</v>
      </c>
      <c r="W588" s="2" t="s">
        <v>77</v>
      </c>
      <c r="X588" s="2" t="s">
        <v>505</v>
      </c>
      <c r="Y588" s="2">
        <v>2.6391901930959101</v>
      </c>
      <c r="Z588" s="2">
        <v>2639.1901930959102</v>
      </c>
      <c r="AA588" s="2">
        <v>4.6782416666666702</v>
      </c>
      <c r="AB588" s="2">
        <v>-74.143819444444404</v>
      </c>
      <c r="AC588" s="2">
        <v>2551</v>
      </c>
      <c r="AD588" s="2">
        <v>11</v>
      </c>
      <c r="AE588" s="2" t="s">
        <v>59</v>
      </c>
      <c r="AF588" s="2" t="s">
        <v>60</v>
      </c>
      <c r="AG588" s="2" t="s">
        <v>61</v>
      </c>
      <c r="AH588" s="2" t="s">
        <v>62</v>
      </c>
      <c r="AI588" s="2" t="s">
        <v>71</v>
      </c>
      <c r="AJ588" s="2">
        <v>0.41225459928212199</v>
      </c>
      <c r="AK588" s="2">
        <v>4.3305775206930903</v>
      </c>
      <c r="AL588" s="2">
        <v>2.0364499204625202</v>
      </c>
      <c r="AM588" s="2">
        <v>0.26196747097847201</v>
      </c>
      <c r="AN588" s="2">
        <v>2.3803861869526499</v>
      </c>
      <c r="AO588" s="2">
        <v>0.48021397844741998</v>
      </c>
      <c r="AP588" s="2">
        <v>0.48021397844741998</v>
      </c>
      <c r="AQ588" s="2">
        <v>2</v>
      </c>
      <c r="AR588" s="2">
        <v>2</v>
      </c>
      <c r="AS588" s="2">
        <v>0</v>
      </c>
      <c r="AT588" s="2">
        <v>0</v>
      </c>
      <c r="AU588" s="2">
        <v>0</v>
      </c>
      <c r="AV588" s="2">
        <v>12</v>
      </c>
      <c r="AW588" s="2">
        <v>0</v>
      </c>
      <c r="AX588" s="2">
        <v>0</v>
      </c>
      <c r="AY588" s="2">
        <v>15.8</v>
      </c>
      <c r="AZ588" s="2">
        <v>17.100000000000001</v>
      </c>
      <c r="BA588" s="2">
        <v>23</v>
      </c>
      <c r="BB588" s="2">
        <v>565</v>
      </c>
      <c r="BC588" s="2">
        <v>68</v>
      </c>
      <c r="BD588" s="2">
        <v>2.2999999999999998</v>
      </c>
      <c r="BE588" s="2">
        <v>68</v>
      </c>
      <c r="BF588" s="2">
        <v>17.600000000000001</v>
      </c>
      <c r="BG588" s="2">
        <v>162</v>
      </c>
      <c r="BH588" s="2">
        <v>19.7</v>
      </c>
      <c r="BI588" s="2">
        <v>16.7</v>
      </c>
      <c r="BJ588" s="2">
        <v>36.4</v>
      </c>
      <c r="BK588" s="2">
        <v>0.66</v>
      </c>
      <c r="BL588" s="2">
        <v>5.6</v>
      </c>
      <c r="BM588" s="2">
        <v>1.5</v>
      </c>
      <c r="BN588" s="2">
        <v>7.5</v>
      </c>
      <c r="BO588" s="2">
        <v>2.9</v>
      </c>
      <c r="BP588" s="2">
        <f t="shared" si="18"/>
        <v>15.005826348974168</v>
      </c>
      <c r="BQ588" s="2">
        <f t="shared" si="19"/>
        <v>21.588346415451468</v>
      </c>
    </row>
    <row r="589" spans="1:69" x14ac:dyDescent="0.2">
      <c r="A589" s="2" t="s">
        <v>4080</v>
      </c>
      <c r="B589" s="2" t="s">
        <v>47</v>
      </c>
      <c r="C589" s="2" t="s">
        <v>3273</v>
      </c>
      <c r="D589" s="2" t="s">
        <v>49</v>
      </c>
      <c r="E589" s="2" t="s">
        <v>559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89</v>
      </c>
      <c r="L589" s="6" t="s">
        <v>90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4081</v>
      </c>
      <c r="R589" s="2">
        <v>13076923.08</v>
      </c>
      <c r="S589" s="2">
        <v>0</v>
      </c>
      <c r="T589" s="2" t="s">
        <v>77</v>
      </c>
      <c r="U589" s="2" t="s">
        <v>504</v>
      </c>
      <c r="V589" s="2" t="s">
        <v>56</v>
      </c>
      <c r="W589" s="2" t="s">
        <v>77</v>
      </c>
      <c r="X589" s="2" t="s">
        <v>505</v>
      </c>
      <c r="Y589" s="2">
        <v>2.6571672814616898</v>
      </c>
      <c r="Z589" s="2">
        <v>2657.16728146169</v>
      </c>
      <c r="AA589" s="2">
        <v>4.6782416666666702</v>
      </c>
      <c r="AB589" s="2">
        <v>-74.143819444444404</v>
      </c>
      <c r="AC589" s="2">
        <v>2551</v>
      </c>
      <c r="AD589" s="2">
        <v>11</v>
      </c>
      <c r="AE589" s="2" t="s">
        <v>59</v>
      </c>
      <c r="AF589" s="2" t="s">
        <v>60</v>
      </c>
      <c r="AG589" s="2" t="s">
        <v>61</v>
      </c>
      <c r="AH589" s="2" t="s">
        <v>62</v>
      </c>
      <c r="AI589" s="2" t="s">
        <v>71</v>
      </c>
      <c r="AJ589" s="2">
        <v>0.410268267727665</v>
      </c>
      <c r="AK589" s="2">
        <v>4.3533217166260396</v>
      </c>
      <c r="AL589" s="2">
        <v>2.0499944517778999</v>
      </c>
      <c r="AM589" s="2">
        <v>0.275996595087805</v>
      </c>
      <c r="AN589" s="2">
        <v>2.35433910831533</v>
      </c>
      <c r="AO589" s="2">
        <v>0.48659287861390099</v>
      </c>
      <c r="AP589" s="2">
        <v>0.48659287861390099</v>
      </c>
      <c r="AQ589" s="2">
        <v>2</v>
      </c>
      <c r="AR589" s="2">
        <v>2</v>
      </c>
      <c r="AS589" s="2">
        <v>0</v>
      </c>
      <c r="AT589" s="2">
        <v>0</v>
      </c>
      <c r="AU589" s="2">
        <v>0</v>
      </c>
      <c r="AV589" s="2">
        <v>11</v>
      </c>
      <c r="AW589" s="2">
        <v>0</v>
      </c>
      <c r="AX589" s="2">
        <v>0</v>
      </c>
      <c r="AY589" s="2">
        <v>15.8</v>
      </c>
      <c r="AZ589" s="2">
        <v>17.100000000000001</v>
      </c>
      <c r="BA589" s="2">
        <v>23</v>
      </c>
      <c r="BB589" s="2">
        <v>565</v>
      </c>
      <c r="BC589" s="2">
        <v>68</v>
      </c>
      <c r="BD589" s="2">
        <v>2.2999999999999998</v>
      </c>
      <c r="BE589" s="2">
        <v>68</v>
      </c>
      <c r="BF589" s="2">
        <v>17.600000000000001</v>
      </c>
      <c r="BG589" s="2">
        <v>162</v>
      </c>
      <c r="BH589" s="2">
        <v>19.7</v>
      </c>
      <c r="BI589" s="2">
        <v>16.7</v>
      </c>
      <c r="BJ589" s="2">
        <v>36.4</v>
      </c>
      <c r="BK589" s="2">
        <v>0.66</v>
      </c>
      <c r="BL589" s="2">
        <v>5.6</v>
      </c>
      <c r="BM589" s="2">
        <v>1.5</v>
      </c>
      <c r="BN589" s="2">
        <v>7.5</v>
      </c>
      <c r="BO589" s="2">
        <v>2.9</v>
      </c>
      <c r="BP589" s="2">
        <f t="shared" si="18"/>
        <v>14.99247911569792</v>
      </c>
      <c r="BQ589" s="2">
        <f t="shared" si="19"/>
        <v>21.579034129820947</v>
      </c>
    </row>
    <row r="590" spans="1:69" x14ac:dyDescent="0.2">
      <c r="A590" s="2" t="s">
        <v>3892</v>
      </c>
      <c r="B590" s="2" t="s">
        <v>47</v>
      </c>
      <c r="C590" s="2" t="s">
        <v>3273</v>
      </c>
      <c r="D590" s="2" t="s">
        <v>49</v>
      </c>
      <c r="E590" s="2" t="s">
        <v>3505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89</v>
      </c>
      <c r="L590" s="6" t="s">
        <v>90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3893</v>
      </c>
      <c r="R590" s="2">
        <v>12307692.310000001</v>
      </c>
      <c r="S590" s="2">
        <v>0</v>
      </c>
      <c r="T590" s="2" t="s">
        <v>77</v>
      </c>
      <c r="U590" s="2" t="s">
        <v>504</v>
      </c>
      <c r="V590" s="2" t="s">
        <v>56</v>
      </c>
      <c r="W590" s="2" t="s">
        <v>77</v>
      </c>
      <c r="X590" s="2" t="s">
        <v>505</v>
      </c>
      <c r="Y590" s="2">
        <v>0.48491419103580002</v>
      </c>
      <c r="Z590" s="2">
        <v>484.9141910358</v>
      </c>
      <c r="AA590" s="2">
        <v>4.6782416666666702</v>
      </c>
      <c r="AB590" s="2">
        <v>-74.143819444444404</v>
      </c>
      <c r="AC590" s="2">
        <v>2551</v>
      </c>
      <c r="AD590" s="2">
        <v>11</v>
      </c>
      <c r="AE590" s="2" t="s">
        <v>59</v>
      </c>
      <c r="AF590" s="2" t="s">
        <v>60</v>
      </c>
      <c r="AG590" s="2" t="s">
        <v>61</v>
      </c>
      <c r="AH590" s="2" t="s">
        <v>62</v>
      </c>
      <c r="AI590" s="2" t="s">
        <v>71</v>
      </c>
      <c r="AJ590" s="2">
        <v>2.5753963873878498</v>
      </c>
      <c r="AK590" s="2">
        <v>1.7588991649925301</v>
      </c>
      <c r="AL590" s="2">
        <v>1.0712817881946399</v>
      </c>
      <c r="AM590" s="2">
        <v>3.3743318274031903E-2</v>
      </c>
      <c r="AN590" s="2">
        <v>0.91272933580348403</v>
      </c>
      <c r="AO590" s="2">
        <v>0.104500180638314</v>
      </c>
      <c r="AP590" s="2">
        <v>0.104500180638314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30</v>
      </c>
      <c r="AW590" s="2">
        <v>1</v>
      </c>
      <c r="AX590" s="2">
        <v>0</v>
      </c>
      <c r="AY590" s="2">
        <v>15.8</v>
      </c>
      <c r="AZ590" s="2">
        <v>17.100000000000001</v>
      </c>
      <c r="BA590" s="2">
        <v>23</v>
      </c>
      <c r="BB590" s="2">
        <v>565</v>
      </c>
      <c r="BC590" s="2">
        <v>68</v>
      </c>
      <c r="BD590" s="2">
        <v>2.2999999999999998</v>
      </c>
      <c r="BE590" s="2">
        <v>68</v>
      </c>
      <c r="BF590" s="2">
        <v>17.600000000000001</v>
      </c>
      <c r="BG590" s="2">
        <v>162</v>
      </c>
      <c r="BH590" s="2">
        <v>19.7</v>
      </c>
      <c r="BI590" s="2">
        <v>16.7</v>
      </c>
      <c r="BJ590" s="2">
        <v>36.4</v>
      </c>
      <c r="BK590" s="2">
        <v>0.66</v>
      </c>
      <c r="BL590" s="2">
        <v>5.6</v>
      </c>
      <c r="BM590" s="2">
        <v>1.5</v>
      </c>
      <c r="BN590" s="2">
        <v>7.5</v>
      </c>
      <c r="BO590" s="2">
        <v>2.9</v>
      </c>
      <c r="BP590" s="2">
        <f t="shared" si="18"/>
        <v>16.694431338864032</v>
      </c>
      <c r="BQ590" s="2">
        <f t="shared" si="19"/>
        <v>22.733878920851957</v>
      </c>
    </row>
    <row r="591" spans="1:69" x14ac:dyDescent="0.2">
      <c r="A591" s="2" t="s">
        <v>4210</v>
      </c>
      <c r="B591" s="2" t="s">
        <v>47</v>
      </c>
      <c r="C591" s="2" t="s">
        <v>3273</v>
      </c>
      <c r="D591" s="2" t="s">
        <v>49</v>
      </c>
      <c r="E591" s="2" t="s">
        <v>150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89</v>
      </c>
      <c r="L591" s="6" t="s">
        <v>90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4211</v>
      </c>
      <c r="R591" s="2">
        <v>9230769.2310000006</v>
      </c>
      <c r="S591" s="2">
        <v>0</v>
      </c>
      <c r="T591" s="2" t="s">
        <v>77</v>
      </c>
      <c r="U591" s="2" t="s">
        <v>504</v>
      </c>
      <c r="V591" s="2" t="s">
        <v>56</v>
      </c>
      <c r="W591" s="2" t="s">
        <v>77</v>
      </c>
      <c r="X591" s="2" t="s">
        <v>505</v>
      </c>
      <c r="Y591" s="2">
        <v>4.24740923985176</v>
      </c>
      <c r="Z591" s="2">
        <v>4247.4092398517596</v>
      </c>
      <c r="AA591" s="2">
        <v>4.6782416666666702</v>
      </c>
      <c r="AB591" s="2">
        <v>-74.143819444444404</v>
      </c>
      <c r="AC591" s="2">
        <v>2551</v>
      </c>
      <c r="AD591" s="2">
        <v>11</v>
      </c>
      <c r="AE591" s="2" t="s">
        <v>59</v>
      </c>
      <c r="AF591" s="2" t="s">
        <v>60</v>
      </c>
      <c r="AG591" s="2" t="s">
        <v>61</v>
      </c>
      <c r="AH591" s="2" t="s">
        <v>62</v>
      </c>
      <c r="AI591" s="2" t="s">
        <v>391</v>
      </c>
      <c r="AJ591" s="2">
        <v>0.90846262019854196</v>
      </c>
      <c r="AK591" s="2">
        <v>3.26283262949116</v>
      </c>
      <c r="AL591" s="2">
        <v>0.84359603110584103</v>
      </c>
      <c r="AM591" s="2">
        <v>0.25184963768967999</v>
      </c>
      <c r="AN591" s="2">
        <v>1.42014157580607</v>
      </c>
      <c r="AO591" s="2">
        <v>0.16404495256610899</v>
      </c>
      <c r="AP591" s="2">
        <v>0.16404495256610899</v>
      </c>
      <c r="AQ591" s="2">
        <v>0</v>
      </c>
      <c r="AR591" s="2">
        <v>1</v>
      </c>
      <c r="AS591" s="2">
        <v>0</v>
      </c>
      <c r="AT591" s="2">
        <v>0</v>
      </c>
      <c r="AU591" s="2">
        <v>1</v>
      </c>
      <c r="AV591" s="2">
        <v>19</v>
      </c>
      <c r="AW591" s="2">
        <v>0</v>
      </c>
      <c r="AX591" s="2">
        <v>0</v>
      </c>
      <c r="AY591" s="2">
        <v>15.8</v>
      </c>
      <c r="AZ591" s="2">
        <v>17.100000000000001</v>
      </c>
      <c r="BA591" s="2">
        <v>23</v>
      </c>
      <c r="BB591" s="2">
        <v>565</v>
      </c>
      <c r="BC591" s="2">
        <v>68</v>
      </c>
      <c r="BD591" s="2">
        <v>2.2999999999999998</v>
      </c>
      <c r="BE591" s="2">
        <v>68</v>
      </c>
      <c r="BF591" s="2">
        <v>17.600000000000001</v>
      </c>
      <c r="BG591" s="2">
        <v>162</v>
      </c>
      <c r="BH591" s="2">
        <v>19.7</v>
      </c>
      <c r="BI591" s="2">
        <v>16.7</v>
      </c>
      <c r="BJ591" s="2">
        <v>36.4</v>
      </c>
      <c r="BK591" s="2">
        <v>0.66</v>
      </c>
      <c r="BL591" s="2">
        <v>5.6</v>
      </c>
      <c r="BM591" s="2">
        <v>1.5</v>
      </c>
      <c r="BN591" s="2">
        <v>7.5</v>
      </c>
      <c r="BO591" s="2">
        <v>2.9</v>
      </c>
      <c r="BP591" s="2">
        <f t="shared" si="18"/>
        <v>13.857570726423361</v>
      </c>
      <c r="BQ591" s="2">
        <f t="shared" si="19"/>
        <v>20.770971150736461</v>
      </c>
    </row>
    <row r="592" spans="1:69" x14ac:dyDescent="0.2">
      <c r="A592" s="2" t="s">
        <v>3687</v>
      </c>
      <c r="B592" s="2" t="s">
        <v>47</v>
      </c>
      <c r="C592" s="2" t="s">
        <v>3273</v>
      </c>
      <c r="D592" s="2" t="s">
        <v>49</v>
      </c>
      <c r="E592" s="2" t="s">
        <v>3226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89</v>
      </c>
      <c r="L592" s="6" t="s">
        <v>90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3688</v>
      </c>
      <c r="R592" s="2">
        <v>9230769.2310000006</v>
      </c>
      <c r="S592" s="2">
        <v>0</v>
      </c>
      <c r="T592" s="2" t="s">
        <v>77</v>
      </c>
      <c r="U592" s="2" t="s">
        <v>504</v>
      </c>
      <c r="V592" s="2" t="s">
        <v>56</v>
      </c>
      <c r="W592" s="2" t="s">
        <v>77</v>
      </c>
      <c r="X592" s="2" t="s">
        <v>505</v>
      </c>
      <c r="Y592" s="2">
        <v>2.84405790568995</v>
      </c>
      <c r="Z592" s="2">
        <v>2844.0579056899501</v>
      </c>
      <c r="AA592" s="2">
        <v>4.6782416666666702</v>
      </c>
      <c r="AB592" s="2">
        <v>-74.143819444444404</v>
      </c>
      <c r="AC592" s="2">
        <v>2551</v>
      </c>
      <c r="AD592" s="2">
        <v>11</v>
      </c>
      <c r="AE592" s="2" t="s">
        <v>59</v>
      </c>
      <c r="AF592" s="2" t="s">
        <v>60</v>
      </c>
      <c r="AG592" s="2" t="s">
        <v>61</v>
      </c>
      <c r="AH592" s="2" t="s">
        <v>62</v>
      </c>
      <c r="AI592" s="2" t="s">
        <v>71</v>
      </c>
      <c r="AJ592" s="2">
        <v>0.78234759908390505</v>
      </c>
      <c r="AK592" s="2">
        <v>3.9816529683967201</v>
      </c>
      <c r="AL592" s="2">
        <v>1.4476625139419299</v>
      </c>
      <c r="AM592" s="2">
        <v>0.25577267584908397</v>
      </c>
      <c r="AN592" s="2">
        <v>1.97118008142995</v>
      </c>
      <c r="AO592" s="2">
        <v>0.133094978547454</v>
      </c>
      <c r="AP592" s="2">
        <v>0.133094978547454</v>
      </c>
      <c r="AQ592" s="2">
        <v>0</v>
      </c>
      <c r="AR592" s="2">
        <v>1</v>
      </c>
      <c r="AS592" s="2">
        <v>0</v>
      </c>
      <c r="AT592" s="2">
        <v>0</v>
      </c>
      <c r="AU592" s="2">
        <v>0</v>
      </c>
      <c r="AV592" s="2">
        <v>7</v>
      </c>
      <c r="AW592" s="2">
        <v>0</v>
      </c>
      <c r="AX592" s="2">
        <v>0</v>
      </c>
      <c r="AY592" s="2">
        <v>15.8</v>
      </c>
      <c r="AZ592" s="2">
        <v>17.100000000000001</v>
      </c>
      <c r="BA592" s="2">
        <v>23</v>
      </c>
      <c r="BB592" s="2">
        <v>565</v>
      </c>
      <c r="BC592" s="2">
        <v>68</v>
      </c>
      <c r="BD592" s="2">
        <v>2.2999999999999998</v>
      </c>
      <c r="BE592" s="2">
        <v>68</v>
      </c>
      <c r="BF592" s="2">
        <v>17.600000000000001</v>
      </c>
      <c r="BG592" s="2">
        <v>162</v>
      </c>
      <c r="BH592" s="2">
        <v>19.7</v>
      </c>
      <c r="BI592" s="2">
        <v>16.7</v>
      </c>
      <c r="BJ592" s="2">
        <v>36.4</v>
      </c>
      <c r="BK592" s="2">
        <v>0.66</v>
      </c>
      <c r="BL592" s="2">
        <v>5.6</v>
      </c>
      <c r="BM592" s="2">
        <v>1.5</v>
      </c>
      <c r="BN592" s="2">
        <v>7.5</v>
      </c>
      <c r="BO592" s="2">
        <v>2.9</v>
      </c>
      <c r="BP592" s="2">
        <f t="shared" si="18"/>
        <v>14.85442197738382</v>
      </c>
      <c r="BQ592" s="2">
        <f t="shared" si="19"/>
        <v>21.482460815683979</v>
      </c>
    </row>
    <row r="593" spans="1:69" x14ac:dyDescent="0.2">
      <c r="A593" s="2" t="s">
        <v>3804</v>
      </c>
      <c r="B593" s="2" t="s">
        <v>47</v>
      </c>
      <c r="C593" s="2" t="s">
        <v>3273</v>
      </c>
      <c r="D593" s="2" t="s">
        <v>49</v>
      </c>
      <c r="E593" s="2" t="s">
        <v>3226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89</v>
      </c>
      <c r="L593" s="6" t="s">
        <v>90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3805</v>
      </c>
      <c r="R593" s="2">
        <v>9230769.2310000006</v>
      </c>
      <c r="S593" s="2">
        <v>0</v>
      </c>
      <c r="T593" s="2" t="s">
        <v>77</v>
      </c>
      <c r="U593" s="2" t="s">
        <v>504</v>
      </c>
      <c r="V593" s="2" t="s">
        <v>56</v>
      </c>
      <c r="W593" s="2" t="s">
        <v>77</v>
      </c>
      <c r="X593" s="2" t="s">
        <v>505</v>
      </c>
      <c r="Y593" s="2">
        <v>2.84405790568995</v>
      </c>
      <c r="Z593" s="2">
        <v>2844.0579056899501</v>
      </c>
      <c r="AA593" s="2">
        <v>4.6782416666666702</v>
      </c>
      <c r="AB593" s="2">
        <v>-74.143819444444404</v>
      </c>
      <c r="AC593" s="2">
        <v>2551</v>
      </c>
      <c r="AD593" s="2">
        <v>11</v>
      </c>
      <c r="AE593" s="2" t="s">
        <v>59</v>
      </c>
      <c r="AF593" s="2" t="s">
        <v>60</v>
      </c>
      <c r="AG593" s="2" t="s">
        <v>61</v>
      </c>
      <c r="AH593" s="2" t="s">
        <v>62</v>
      </c>
      <c r="AI593" s="2" t="s">
        <v>71</v>
      </c>
      <c r="AJ593" s="2">
        <v>0.78234759908390505</v>
      </c>
      <c r="AK593" s="2">
        <v>3.9816529683967201</v>
      </c>
      <c r="AL593" s="2">
        <v>1.4476625139419299</v>
      </c>
      <c r="AM593" s="2">
        <v>0.25577267584908397</v>
      </c>
      <c r="AN593" s="2">
        <v>1.97118008142995</v>
      </c>
      <c r="AO593" s="2">
        <v>0.133094978547454</v>
      </c>
      <c r="AP593" s="2">
        <v>0.133094978547454</v>
      </c>
      <c r="AQ593" s="2">
        <v>0</v>
      </c>
      <c r="AR593" s="2">
        <v>1</v>
      </c>
      <c r="AS593" s="2">
        <v>0</v>
      </c>
      <c r="AT593" s="2">
        <v>0</v>
      </c>
      <c r="AU593" s="2">
        <v>0</v>
      </c>
      <c r="AV593" s="2">
        <v>7</v>
      </c>
      <c r="AW593" s="2">
        <v>0</v>
      </c>
      <c r="AX593" s="2">
        <v>0</v>
      </c>
      <c r="AY593" s="2">
        <v>15.8</v>
      </c>
      <c r="AZ593" s="2">
        <v>17.100000000000001</v>
      </c>
      <c r="BA593" s="2">
        <v>23</v>
      </c>
      <c r="BB593" s="2">
        <v>565</v>
      </c>
      <c r="BC593" s="2">
        <v>68</v>
      </c>
      <c r="BD593" s="2">
        <v>2.2999999999999998</v>
      </c>
      <c r="BE593" s="2">
        <v>68</v>
      </c>
      <c r="BF593" s="2">
        <v>17.600000000000001</v>
      </c>
      <c r="BG593" s="2">
        <v>162</v>
      </c>
      <c r="BH593" s="2">
        <v>19.7</v>
      </c>
      <c r="BI593" s="2">
        <v>16.7</v>
      </c>
      <c r="BJ593" s="2">
        <v>36.4</v>
      </c>
      <c r="BK593" s="2">
        <v>0.66</v>
      </c>
      <c r="BL593" s="2">
        <v>5.6</v>
      </c>
      <c r="BM593" s="2">
        <v>1.5</v>
      </c>
      <c r="BN593" s="2">
        <v>7.5</v>
      </c>
      <c r="BO593" s="2">
        <v>2.9</v>
      </c>
      <c r="BP593" s="2">
        <f t="shared" si="18"/>
        <v>14.85442197738382</v>
      </c>
      <c r="BQ593" s="2">
        <f t="shared" si="19"/>
        <v>21.482460815683979</v>
      </c>
    </row>
    <row r="594" spans="1:69" x14ac:dyDescent="0.2">
      <c r="A594" s="2" t="s">
        <v>3314</v>
      </c>
      <c r="B594" s="2" t="s">
        <v>47</v>
      </c>
      <c r="C594" s="2" t="s">
        <v>3273</v>
      </c>
      <c r="D594" s="2" t="s">
        <v>49</v>
      </c>
      <c r="E594" s="2" t="s">
        <v>2721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89</v>
      </c>
      <c r="L594" s="6" t="s">
        <v>90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3315</v>
      </c>
      <c r="R594" s="2">
        <v>9115384.6150000002</v>
      </c>
      <c r="S594" s="2">
        <v>0</v>
      </c>
      <c r="T594" s="2" t="s">
        <v>77</v>
      </c>
      <c r="U594" s="2" t="s">
        <v>504</v>
      </c>
      <c r="V594" s="2" t="s">
        <v>56</v>
      </c>
      <c r="W594" s="2" t="s">
        <v>77</v>
      </c>
      <c r="X594" s="2" t="s">
        <v>505</v>
      </c>
      <c r="Y594" s="2">
        <v>3.1725671619878999</v>
      </c>
      <c r="Z594" s="2">
        <v>3172.5671619878999</v>
      </c>
      <c r="AA594" s="2">
        <v>4.6782416666666702</v>
      </c>
      <c r="AB594" s="2">
        <v>-74.143819444444404</v>
      </c>
      <c r="AC594" s="2">
        <v>2551</v>
      </c>
      <c r="AD594" s="2">
        <v>11</v>
      </c>
      <c r="AE594" s="2" t="s">
        <v>59</v>
      </c>
      <c r="AF594" s="2" t="s">
        <v>60</v>
      </c>
      <c r="AG594" s="2" t="s">
        <v>61</v>
      </c>
      <c r="AH594" s="2" t="s">
        <v>62</v>
      </c>
      <c r="AI594" s="2" t="s">
        <v>391</v>
      </c>
      <c r="AJ594" s="2">
        <v>0.65616274762420002</v>
      </c>
      <c r="AK594" s="2">
        <v>4.7690928719187804</v>
      </c>
      <c r="AL594" s="2">
        <v>1.38759338638373</v>
      </c>
      <c r="AM594" s="2">
        <v>0.69466681114502804</v>
      </c>
      <c r="AN594" s="2">
        <v>1.64962392559669</v>
      </c>
      <c r="AO594" s="2">
        <v>0.17502331759952899</v>
      </c>
      <c r="AP594" s="2">
        <v>0.17502331759952899</v>
      </c>
      <c r="AQ594" s="2">
        <v>0</v>
      </c>
      <c r="AR594" s="2">
        <v>2</v>
      </c>
      <c r="AS594" s="2">
        <v>0</v>
      </c>
      <c r="AT594" s="2">
        <v>0</v>
      </c>
      <c r="AU594" s="2">
        <v>0</v>
      </c>
      <c r="AV594" s="2">
        <v>7</v>
      </c>
      <c r="AW594" s="2">
        <v>0</v>
      </c>
      <c r="AX594" s="2">
        <v>0</v>
      </c>
      <c r="AY594" s="2">
        <v>15.8</v>
      </c>
      <c r="AZ594" s="2">
        <v>17.100000000000001</v>
      </c>
      <c r="BA594" s="2">
        <v>23</v>
      </c>
      <c r="BB594" s="2">
        <v>565</v>
      </c>
      <c r="BC594" s="2">
        <v>68</v>
      </c>
      <c r="BD594" s="2">
        <v>2.2999999999999998</v>
      </c>
      <c r="BE594" s="2">
        <v>68</v>
      </c>
      <c r="BF594" s="2">
        <v>17.600000000000001</v>
      </c>
      <c r="BG594" s="2">
        <v>162</v>
      </c>
      <c r="BH594" s="2">
        <v>19.7</v>
      </c>
      <c r="BI594" s="2">
        <v>16.7</v>
      </c>
      <c r="BJ594" s="2">
        <v>36.4</v>
      </c>
      <c r="BK594" s="2">
        <v>0.66</v>
      </c>
      <c r="BL594" s="2">
        <v>5.6</v>
      </c>
      <c r="BM594" s="2">
        <v>1.5</v>
      </c>
      <c r="BN594" s="2">
        <v>7.5</v>
      </c>
      <c r="BO594" s="2">
        <v>2.9</v>
      </c>
      <c r="BP594" s="2">
        <f t="shared" si="18"/>
        <v>14.614824481144618</v>
      </c>
      <c r="BQ594" s="2">
        <f t="shared" si="19"/>
        <v>21.313754256169076</v>
      </c>
    </row>
    <row r="595" spans="1:69" x14ac:dyDescent="0.2">
      <c r="A595" s="2" t="s">
        <v>4585</v>
      </c>
      <c r="B595" s="2" t="s">
        <v>47</v>
      </c>
      <c r="C595" s="2" t="s">
        <v>3273</v>
      </c>
      <c r="D595" s="2" t="s">
        <v>49</v>
      </c>
      <c r="E595" s="2" t="s">
        <v>4586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89</v>
      </c>
      <c r="L595" s="6" t="s">
        <v>90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4587</v>
      </c>
      <c r="R595" s="2">
        <v>6923076.9230000004</v>
      </c>
      <c r="S595" s="2">
        <v>0</v>
      </c>
      <c r="T595" s="2" t="s">
        <v>75</v>
      </c>
      <c r="U595" s="2" t="s">
        <v>76</v>
      </c>
      <c r="V595" s="2" t="s">
        <v>56</v>
      </c>
      <c r="W595" s="2" t="s">
        <v>77</v>
      </c>
      <c r="X595" s="2" t="s">
        <v>78</v>
      </c>
      <c r="Y595" s="2">
        <v>2.4280342926532401</v>
      </c>
      <c r="Z595" s="2">
        <v>2428.0342926532398</v>
      </c>
      <c r="AA595" s="2">
        <v>4.6680000000000001</v>
      </c>
      <c r="AB595" s="2">
        <v>-74.148499999999999</v>
      </c>
      <c r="AC595" s="2">
        <v>2547</v>
      </c>
      <c r="AD595" s="2">
        <v>0</v>
      </c>
      <c r="AE595" s="2" t="s">
        <v>59</v>
      </c>
      <c r="AF595" s="2" t="s">
        <v>79</v>
      </c>
      <c r="AG595" s="2" t="s">
        <v>61</v>
      </c>
      <c r="AH595" s="2" t="s">
        <v>62</v>
      </c>
      <c r="AI595" s="2" t="s">
        <v>200</v>
      </c>
      <c r="AJ595" s="2">
        <v>1.60960518720509</v>
      </c>
      <c r="AK595" s="2">
        <v>2.0937093367683799</v>
      </c>
      <c r="AL595" s="2">
        <v>2.5081617506117899</v>
      </c>
      <c r="AM595" s="2">
        <v>0.64179181182811196</v>
      </c>
      <c r="AN595" s="2">
        <v>2.3821307504979701</v>
      </c>
      <c r="AO595" s="2">
        <v>1.11679846108011E-2</v>
      </c>
      <c r="AP595" s="2">
        <v>1.11679846108011E-2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6</v>
      </c>
      <c r="AW595" s="2">
        <v>0</v>
      </c>
      <c r="AX595" s="2">
        <v>0</v>
      </c>
      <c r="AY595" s="2">
        <v>15.8</v>
      </c>
      <c r="AZ595" s="2">
        <v>17.100000000000001</v>
      </c>
      <c r="BA595" s="2">
        <v>23</v>
      </c>
      <c r="BB595" s="2">
        <v>565</v>
      </c>
      <c r="BC595" s="2">
        <v>68</v>
      </c>
      <c r="BD595" s="2">
        <v>2.2999999999999998</v>
      </c>
      <c r="BE595" s="2">
        <v>68</v>
      </c>
      <c r="BF595" s="2">
        <v>17.600000000000001</v>
      </c>
      <c r="BG595" s="2">
        <v>162</v>
      </c>
      <c r="BH595" s="2">
        <v>19.7</v>
      </c>
      <c r="BI595" s="2">
        <v>16.7</v>
      </c>
      <c r="BJ595" s="2">
        <v>36.4</v>
      </c>
      <c r="BK595" s="2">
        <v>0.66</v>
      </c>
      <c r="BL595" s="2">
        <v>5.6</v>
      </c>
      <c r="BM595" s="2">
        <v>1.5</v>
      </c>
      <c r="BN595" s="2">
        <v>7.5</v>
      </c>
      <c r="BO595" s="2">
        <v>2.9</v>
      </c>
      <c r="BP595" s="2">
        <f t="shared" si="18"/>
        <v>15.16349305120935</v>
      </c>
      <c r="BQ595" s="2">
        <f t="shared" si="19"/>
        <v>21.698028261776518</v>
      </c>
    </row>
    <row r="596" spans="1:69" x14ac:dyDescent="0.2">
      <c r="A596" s="2" t="s">
        <v>4624</v>
      </c>
      <c r="B596" s="2" t="s">
        <v>47</v>
      </c>
      <c r="C596" s="2" t="s">
        <v>3273</v>
      </c>
      <c r="D596" s="2" t="s">
        <v>49</v>
      </c>
      <c r="E596" s="2" t="s">
        <v>4586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89</v>
      </c>
      <c r="L596" s="6" t="s">
        <v>90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4625</v>
      </c>
      <c r="R596" s="2">
        <v>6076923.0769999996</v>
      </c>
      <c r="S596" s="2">
        <v>0</v>
      </c>
      <c r="T596" s="2" t="s">
        <v>75</v>
      </c>
      <c r="U596" s="2" t="s">
        <v>76</v>
      </c>
      <c r="V596" s="2" t="s">
        <v>56</v>
      </c>
      <c r="W596" s="2" t="s">
        <v>77</v>
      </c>
      <c r="X596" s="2" t="s">
        <v>78</v>
      </c>
      <c r="Y596" s="2">
        <v>2.4280342926532401</v>
      </c>
      <c r="Z596" s="2">
        <v>2428.0342926532398</v>
      </c>
      <c r="AA596" s="2">
        <v>4.6680000000000001</v>
      </c>
      <c r="AB596" s="2">
        <v>-74.148499999999999</v>
      </c>
      <c r="AC596" s="2">
        <v>2547</v>
      </c>
      <c r="AD596" s="2">
        <v>0</v>
      </c>
      <c r="AE596" s="2" t="s">
        <v>59</v>
      </c>
      <c r="AF596" s="2" t="s">
        <v>79</v>
      </c>
      <c r="AG596" s="2" t="s">
        <v>61</v>
      </c>
      <c r="AH596" s="2" t="s">
        <v>62</v>
      </c>
      <c r="AI596" s="2" t="s">
        <v>200</v>
      </c>
      <c r="AJ596" s="2">
        <v>1.60960518720509</v>
      </c>
      <c r="AK596" s="2">
        <v>2.0937093367683799</v>
      </c>
      <c r="AL596" s="2">
        <v>2.5081617506117899</v>
      </c>
      <c r="AM596" s="2">
        <v>0.64179181182811196</v>
      </c>
      <c r="AN596" s="2">
        <v>2.3821307504979701</v>
      </c>
      <c r="AO596" s="2">
        <v>1.11679846108011E-2</v>
      </c>
      <c r="AP596" s="2">
        <v>1.11679846108011E-2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6</v>
      </c>
      <c r="AW596" s="2">
        <v>0</v>
      </c>
      <c r="AX596" s="2">
        <v>0</v>
      </c>
      <c r="AY596" s="2">
        <v>15.8</v>
      </c>
      <c r="AZ596" s="2">
        <v>17.100000000000001</v>
      </c>
      <c r="BA596" s="2">
        <v>23</v>
      </c>
      <c r="BB596" s="2">
        <v>565</v>
      </c>
      <c r="BC596" s="2">
        <v>68</v>
      </c>
      <c r="BD596" s="2">
        <v>2.2999999999999998</v>
      </c>
      <c r="BE596" s="2">
        <v>68</v>
      </c>
      <c r="BF596" s="2">
        <v>17.600000000000001</v>
      </c>
      <c r="BG596" s="2">
        <v>162</v>
      </c>
      <c r="BH596" s="2">
        <v>19.7</v>
      </c>
      <c r="BI596" s="2">
        <v>16.7</v>
      </c>
      <c r="BJ596" s="2">
        <v>36.4</v>
      </c>
      <c r="BK596" s="2">
        <v>0.66</v>
      </c>
      <c r="BL596" s="2">
        <v>5.6</v>
      </c>
      <c r="BM596" s="2">
        <v>1.5</v>
      </c>
      <c r="BN596" s="2">
        <v>7.5</v>
      </c>
      <c r="BO596" s="2">
        <v>2.9</v>
      </c>
      <c r="BP596" s="2">
        <f t="shared" si="18"/>
        <v>15.16349305120935</v>
      </c>
      <c r="BQ596" s="2">
        <f t="shared" si="19"/>
        <v>21.698028261776518</v>
      </c>
    </row>
    <row r="597" spans="1:69" x14ac:dyDescent="0.2">
      <c r="A597" s="2" t="s">
        <v>3710</v>
      </c>
      <c r="B597" s="2" t="s">
        <v>47</v>
      </c>
      <c r="C597" s="2" t="s">
        <v>3273</v>
      </c>
      <c r="D597" s="2" t="s">
        <v>49</v>
      </c>
      <c r="E597" s="2" t="s">
        <v>3711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89</v>
      </c>
      <c r="L597" s="6" t="s">
        <v>112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3712</v>
      </c>
      <c r="R597" s="2">
        <v>6319115.324</v>
      </c>
      <c r="S597" s="2">
        <v>0</v>
      </c>
      <c r="T597" s="2" t="s">
        <v>77</v>
      </c>
      <c r="U597" s="2" t="s">
        <v>504</v>
      </c>
      <c r="V597" s="2" t="s">
        <v>56</v>
      </c>
      <c r="W597" s="2" t="s">
        <v>77</v>
      </c>
      <c r="X597" s="2" t="s">
        <v>505</v>
      </c>
      <c r="Y597" s="2">
        <v>0.62946643107437406</v>
      </c>
      <c r="Z597" s="2">
        <v>629.46643107437399</v>
      </c>
      <c r="AA597" s="2">
        <v>4.6782416666666702</v>
      </c>
      <c r="AB597" s="2">
        <v>-74.143819444444404</v>
      </c>
      <c r="AC597" s="2">
        <v>2551</v>
      </c>
      <c r="AD597" s="2">
        <v>11</v>
      </c>
      <c r="AE597" s="2" t="s">
        <v>59</v>
      </c>
      <c r="AF597" s="2" t="s">
        <v>60</v>
      </c>
      <c r="AG597" s="2" t="s">
        <v>61</v>
      </c>
      <c r="AH597" s="2" t="s">
        <v>62</v>
      </c>
      <c r="AI597" s="2" t="s">
        <v>71</v>
      </c>
      <c r="AJ597" s="2">
        <v>2.1950654034872401</v>
      </c>
      <c r="AK597" s="2">
        <v>2.1379273205682101</v>
      </c>
      <c r="AL597" s="2">
        <v>0.87122025384507296</v>
      </c>
      <c r="AM597" s="2">
        <v>0.100278742613613</v>
      </c>
      <c r="AN597" s="2">
        <v>1.22913137862552</v>
      </c>
      <c r="AO597" s="2">
        <v>0.29740077746923499</v>
      </c>
      <c r="AP597" s="2">
        <v>0.29740077746923499</v>
      </c>
      <c r="AQ597" s="2">
        <v>0</v>
      </c>
      <c r="AR597" s="2">
        <v>0</v>
      </c>
      <c r="AS597" s="2">
        <v>0</v>
      </c>
      <c r="AT597" s="2">
        <v>0</v>
      </c>
      <c r="AU597" s="2">
        <v>1</v>
      </c>
      <c r="AV597" s="2">
        <v>31</v>
      </c>
      <c r="AW597" s="2">
        <v>0</v>
      </c>
      <c r="AX597" s="2">
        <v>0</v>
      </c>
      <c r="AY597" s="2">
        <v>15.8</v>
      </c>
      <c r="AZ597" s="2">
        <v>17.100000000000001</v>
      </c>
      <c r="BA597" s="2">
        <v>23</v>
      </c>
      <c r="BB597" s="2">
        <v>565</v>
      </c>
      <c r="BC597" s="2">
        <v>68</v>
      </c>
      <c r="BD597" s="2">
        <v>2.2999999999999998</v>
      </c>
      <c r="BE597" s="2">
        <v>68</v>
      </c>
      <c r="BF597" s="2">
        <v>17.600000000000001</v>
      </c>
      <c r="BG597" s="2">
        <v>162</v>
      </c>
      <c r="BH597" s="2">
        <v>19.7</v>
      </c>
      <c r="BI597" s="2">
        <v>16.7</v>
      </c>
      <c r="BJ597" s="2">
        <v>36.4</v>
      </c>
      <c r="BK597" s="2">
        <v>0.66</v>
      </c>
      <c r="BL597" s="2">
        <v>5.6</v>
      </c>
      <c r="BM597" s="2">
        <v>1.5</v>
      </c>
      <c r="BN597" s="2">
        <v>7.5</v>
      </c>
      <c r="BO597" s="2">
        <v>2.9</v>
      </c>
      <c r="BP597" s="2">
        <f t="shared" si="18"/>
        <v>16.575403425467233</v>
      </c>
      <c r="BQ597" s="2">
        <f t="shared" si="19"/>
        <v>22.655145977153182</v>
      </c>
    </row>
    <row r="598" spans="1:69" x14ac:dyDescent="0.2">
      <c r="A598" s="2" t="s">
        <v>4611</v>
      </c>
      <c r="B598" s="2" t="s">
        <v>47</v>
      </c>
      <c r="C598" s="2" t="s">
        <v>3273</v>
      </c>
      <c r="D598" s="2" t="s">
        <v>49</v>
      </c>
      <c r="E598" s="2" t="s">
        <v>4540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89</v>
      </c>
      <c r="L598" s="6" t="s">
        <v>90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4612</v>
      </c>
      <c r="R598" s="2">
        <v>124949.6171</v>
      </c>
      <c r="S598" s="2">
        <v>0</v>
      </c>
      <c r="T598" s="2" t="s">
        <v>77</v>
      </c>
      <c r="U598" s="2" t="s">
        <v>504</v>
      </c>
      <c r="V598" s="2" t="s">
        <v>56</v>
      </c>
      <c r="W598" s="2" t="s">
        <v>77</v>
      </c>
      <c r="X598" s="2" t="s">
        <v>505</v>
      </c>
      <c r="Y598" s="2">
        <v>2.2120382905336999</v>
      </c>
      <c r="Z598" s="2">
        <v>2212.0382905337001</v>
      </c>
      <c r="AA598" s="2">
        <v>4.6782416666666702</v>
      </c>
      <c r="AB598" s="2">
        <v>-74.143819444444404</v>
      </c>
      <c r="AC598" s="2">
        <v>2551</v>
      </c>
      <c r="AD598" s="2">
        <v>11</v>
      </c>
      <c r="AE598" s="2" t="s">
        <v>59</v>
      </c>
      <c r="AF598" s="2" t="s">
        <v>60</v>
      </c>
      <c r="AG598" s="2" t="s">
        <v>61</v>
      </c>
      <c r="AH598" s="2" t="s">
        <v>62</v>
      </c>
      <c r="AI598" s="2" t="s">
        <v>71</v>
      </c>
      <c r="AJ598" s="2">
        <v>0.70938595368049695</v>
      </c>
      <c r="AK598" s="2">
        <v>4.1297518339224402</v>
      </c>
      <c r="AL598" s="2">
        <v>1.4416369869402199</v>
      </c>
      <c r="AM598" s="2">
        <v>0.26893530387272802</v>
      </c>
      <c r="AN598" s="2">
        <v>2.0206035759349601</v>
      </c>
      <c r="AO598" s="2">
        <v>0.19566563209849899</v>
      </c>
      <c r="AP598" s="2">
        <v>0.19566563209849899</v>
      </c>
      <c r="AQ598" s="2">
        <v>0</v>
      </c>
      <c r="AR598" s="2">
        <v>1</v>
      </c>
      <c r="AS598" s="2">
        <v>0</v>
      </c>
      <c r="AT598" s="2">
        <v>0</v>
      </c>
      <c r="AU598" s="2">
        <v>0</v>
      </c>
      <c r="AV598" s="2">
        <v>8</v>
      </c>
      <c r="AW598" s="2">
        <v>0</v>
      </c>
      <c r="AX598" s="2">
        <v>0</v>
      </c>
      <c r="AY598" s="2">
        <v>15.8</v>
      </c>
      <c r="AZ598" s="2">
        <v>17.100000000000001</v>
      </c>
      <c r="BA598" s="2">
        <v>23</v>
      </c>
      <c r="BB598" s="2">
        <v>565</v>
      </c>
      <c r="BC598" s="2">
        <v>68</v>
      </c>
      <c r="BD598" s="2">
        <v>2.2999999999999998</v>
      </c>
      <c r="BE598" s="2">
        <v>68</v>
      </c>
      <c r="BF598" s="2">
        <v>17.600000000000001</v>
      </c>
      <c r="BG598" s="2">
        <v>162</v>
      </c>
      <c r="BH598" s="2">
        <v>19.7</v>
      </c>
      <c r="BI598" s="2">
        <v>16.7</v>
      </c>
      <c r="BJ598" s="2">
        <v>36.4</v>
      </c>
      <c r="BK598" s="2">
        <v>0.66</v>
      </c>
      <c r="BL598" s="2">
        <v>5.6</v>
      </c>
      <c r="BM598" s="2">
        <v>1.5</v>
      </c>
      <c r="BN598" s="2">
        <v>7.5</v>
      </c>
      <c r="BO598" s="2">
        <v>2.9</v>
      </c>
      <c r="BP598" s="2">
        <f t="shared" si="18"/>
        <v>15.326487919850065</v>
      </c>
      <c r="BQ598" s="2">
        <f t="shared" si="19"/>
        <v>21.810800806861955</v>
      </c>
    </row>
    <row r="599" spans="1:69" x14ac:dyDescent="0.2">
      <c r="A599" s="2" t="s">
        <v>4609</v>
      </c>
      <c r="B599" s="2" t="s">
        <v>47</v>
      </c>
      <c r="C599" s="2" t="s">
        <v>3273</v>
      </c>
      <c r="D599" s="2" t="s">
        <v>49</v>
      </c>
      <c r="E599" s="2" t="s">
        <v>4540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89</v>
      </c>
      <c r="L599" s="6" t="s">
        <v>90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4610</v>
      </c>
      <c r="R599" s="2">
        <v>12494961.710000001</v>
      </c>
      <c r="S599" s="2">
        <v>0</v>
      </c>
      <c r="T599" s="2" t="s">
        <v>77</v>
      </c>
      <c r="U599" s="2" t="s">
        <v>504</v>
      </c>
      <c r="V599" s="2" t="s">
        <v>56</v>
      </c>
      <c r="W599" s="2" t="s">
        <v>77</v>
      </c>
      <c r="X599" s="2" t="s">
        <v>505</v>
      </c>
      <c r="Y599" s="2">
        <v>2.2120382905336999</v>
      </c>
      <c r="Z599" s="2">
        <v>2212.0382905337001</v>
      </c>
      <c r="AA599" s="2">
        <v>4.6782416666666702</v>
      </c>
      <c r="AB599" s="2">
        <v>-74.143819444444404</v>
      </c>
      <c r="AC599" s="2">
        <v>2551</v>
      </c>
      <c r="AD599" s="2">
        <v>11</v>
      </c>
      <c r="AE599" s="2" t="s">
        <v>59</v>
      </c>
      <c r="AF599" s="2" t="s">
        <v>60</v>
      </c>
      <c r="AG599" s="2" t="s">
        <v>61</v>
      </c>
      <c r="AH599" s="2" t="s">
        <v>62</v>
      </c>
      <c r="AI599" s="2" t="s">
        <v>71</v>
      </c>
      <c r="AJ599" s="2">
        <v>0.70938595368049695</v>
      </c>
      <c r="AK599" s="2">
        <v>4.1297518339224402</v>
      </c>
      <c r="AL599" s="2">
        <v>1.4416369869402199</v>
      </c>
      <c r="AM599" s="2">
        <v>0.26893530387272802</v>
      </c>
      <c r="AN599" s="2">
        <v>2.0206035759349601</v>
      </c>
      <c r="AO599" s="2">
        <v>0.19566563209849899</v>
      </c>
      <c r="AP599" s="2">
        <v>0.19566563209849899</v>
      </c>
      <c r="AQ599" s="2">
        <v>0</v>
      </c>
      <c r="AR599" s="2">
        <v>1</v>
      </c>
      <c r="AS599" s="2">
        <v>0</v>
      </c>
      <c r="AT599" s="2">
        <v>0</v>
      </c>
      <c r="AU599" s="2">
        <v>0</v>
      </c>
      <c r="AV599" s="2">
        <v>8</v>
      </c>
      <c r="AW599" s="2">
        <v>0</v>
      </c>
      <c r="AX599" s="2">
        <v>0</v>
      </c>
      <c r="AY599" s="2">
        <v>15.8</v>
      </c>
      <c r="AZ599" s="2">
        <v>17.100000000000001</v>
      </c>
      <c r="BA599" s="2">
        <v>23</v>
      </c>
      <c r="BB599" s="2">
        <v>565</v>
      </c>
      <c r="BC599" s="2">
        <v>68</v>
      </c>
      <c r="BD599" s="2">
        <v>2.2999999999999998</v>
      </c>
      <c r="BE599" s="2">
        <v>68</v>
      </c>
      <c r="BF599" s="2">
        <v>17.600000000000001</v>
      </c>
      <c r="BG599" s="2">
        <v>162</v>
      </c>
      <c r="BH599" s="2">
        <v>19.7</v>
      </c>
      <c r="BI599" s="2">
        <v>16.7</v>
      </c>
      <c r="BJ599" s="2">
        <v>36.4</v>
      </c>
      <c r="BK599" s="2">
        <v>0.66</v>
      </c>
      <c r="BL599" s="2">
        <v>5.6</v>
      </c>
      <c r="BM599" s="2">
        <v>1.5</v>
      </c>
      <c r="BN599" s="2">
        <v>7.5</v>
      </c>
      <c r="BO599" s="2">
        <v>2.9</v>
      </c>
      <c r="BP599" s="2">
        <f t="shared" si="18"/>
        <v>15.326487919850065</v>
      </c>
      <c r="BQ599" s="2">
        <f t="shared" si="19"/>
        <v>21.810800806861955</v>
      </c>
    </row>
    <row r="600" spans="1:69" x14ac:dyDescent="0.2">
      <c r="A600" s="2" t="s">
        <v>4539</v>
      </c>
      <c r="B600" s="2" t="s">
        <v>47</v>
      </c>
      <c r="C600" s="2" t="s">
        <v>3273</v>
      </c>
      <c r="D600" s="2" t="s">
        <v>49</v>
      </c>
      <c r="E600" s="2" t="s">
        <v>4540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89</v>
      </c>
      <c r="L600" s="6" t="s">
        <v>90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4541</v>
      </c>
      <c r="R600" s="2">
        <v>11491935.48</v>
      </c>
      <c r="S600" s="2">
        <v>0</v>
      </c>
      <c r="T600" s="2" t="s">
        <v>77</v>
      </c>
      <c r="U600" s="2" t="s">
        <v>504</v>
      </c>
      <c r="V600" s="2" t="s">
        <v>56</v>
      </c>
      <c r="W600" s="2" t="s">
        <v>77</v>
      </c>
      <c r="X600" s="2" t="s">
        <v>505</v>
      </c>
      <c r="Y600" s="2">
        <v>2.1812407033396202</v>
      </c>
      <c r="Z600" s="2">
        <v>2181.2407033396198</v>
      </c>
      <c r="AA600" s="2">
        <v>4.6782416666666702</v>
      </c>
      <c r="AB600" s="2">
        <v>-74.143819444444404</v>
      </c>
      <c r="AC600" s="2">
        <v>2551</v>
      </c>
      <c r="AD600" s="2">
        <v>11</v>
      </c>
      <c r="AE600" s="2" t="s">
        <v>59</v>
      </c>
      <c r="AF600" s="2" t="s">
        <v>60</v>
      </c>
      <c r="AG600" s="2" t="s">
        <v>61</v>
      </c>
      <c r="AH600" s="2" t="s">
        <v>62</v>
      </c>
      <c r="AI600" s="2" t="s">
        <v>71</v>
      </c>
      <c r="AJ600" s="2">
        <v>0.70615174390089597</v>
      </c>
      <c r="AK600" s="2">
        <v>4.0978666448554</v>
      </c>
      <c r="AL600" s="2">
        <v>1.41202529225425</v>
      </c>
      <c r="AM600" s="2">
        <v>0.245979640386563</v>
      </c>
      <c r="AN600" s="2">
        <v>2.01285260918984</v>
      </c>
      <c r="AO600" s="2">
        <v>0.17203740455057301</v>
      </c>
      <c r="AP600" s="2">
        <v>0.17203740455057301</v>
      </c>
      <c r="AQ600" s="2">
        <v>0</v>
      </c>
      <c r="AR600" s="2">
        <v>1</v>
      </c>
      <c r="AS600" s="2">
        <v>0</v>
      </c>
      <c r="AT600" s="2">
        <v>0</v>
      </c>
      <c r="AU600" s="2">
        <v>0</v>
      </c>
      <c r="AV600" s="2">
        <v>9</v>
      </c>
      <c r="AW600" s="2">
        <v>0</v>
      </c>
      <c r="AX600" s="2">
        <v>0</v>
      </c>
      <c r="AY600" s="2">
        <v>15.8</v>
      </c>
      <c r="AZ600" s="2">
        <v>17.100000000000001</v>
      </c>
      <c r="BA600" s="2">
        <v>23</v>
      </c>
      <c r="BB600" s="2">
        <v>565</v>
      </c>
      <c r="BC600" s="2">
        <v>68</v>
      </c>
      <c r="BD600" s="2">
        <v>2.2999999999999998</v>
      </c>
      <c r="BE600" s="2">
        <v>68</v>
      </c>
      <c r="BF600" s="2">
        <v>17.600000000000001</v>
      </c>
      <c r="BG600" s="2">
        <v>162</v>
      </c>
      <c r="BH600" s="2">
        <v>19.7</v>
      </c>
      <c r="BI600" s="2">
        <v>16.7</v>
      </c>
      <c r="BJ600" s="2">
        <v>36.4</v>
      </c>
      <c r="BK600" s="2">
        <v>0.66</v>
      </c>
      <c r="BL600" s="2">
        <v>5.6</v>
      </c>
      <c r="BM600" s="2">
        <v>1.5</v>
      </c>
      <c r="BN600" s="2">
        <v>7.5</v>
      </c>
      <c r="BO600" s="2">
        <v>2.9</v>
      </c>
      <c r="BP600" s="2">
        <f t="shared" si="18"/>
        <v>15.349870671577307</v>
      </c>
      <c r="BQ600" s="2">
        <f t="shared" si="19"/>
        <v>21.826928047239754</v>
      </c>
    </row>
    <row r="601" spans="1:69" x14ac:dyDescent="0.2">
      <c r="A601" s="2" t="s">
        <v>3598</v>
      </c>
      <c r="B601" s="2" t="s">
        <v>47</v>
      </c>
      <c r="C601" s="2" t="s">
        <v>3273</v>
      </c>
      <c r="D601" s="2" t="s">
        <v>49</v>
      </c>
      <c r="E601" s="2" t="s">
        <v>3599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89</v>
      </c>
      <c r="L601" s="6" t="s">
        <v>94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3600</v>
      </c>
      <c r="R601" s="2">
        <v>6837961.0439999998</v>
      </c>
      <c r="S601" s="2">
        <v>0</v>
      </c>
      <c r="T601" s="2" t="s">
        <v>77</v>
      </c>
      <c r="U601" s="2" t="s">
        <v>504</v>
      </c>
      <c r="V601" s="2" t="s">
        <v>56</v>
      </c>
      <c r="W601" s="2" t="s">
        <v>77</v>
      </c>
      <c r="X601" s="2" t="s">
        <v>505</v>
      </c>
      <c r="Y601" s="2">
        <v>1.3426552554353599</v>
      </c>
      <c r="Z601" s="2">
        <v>1342.65525543536</v>
      </c>
      <c r="AA601" s="2">
        <v>4.6782416666666702</v>
      </c>
      <c r="AB601" s="2">
        <v>-74.143819444444404</v>
      </c>
      <c r="AC601" s="2">
        <v>2551</v>
      </c>
      <c r="AD601" s="2">
        <v>11</v>
      </c>
      <c r="AE601" s="2" t="s">
        <v>59</v>
      </c>
      <c r="AF601" s="2" t="s">
        <v>60</v>
      </c>
      <c r="AG601" s="2" t="s">
        <v>61</v>
      </c>
      <c r="AH601" s="2" t="s">
        <v>62</v>
      </c>
      <c r="AI601" s="2" t="s">
        <v>71</v>
      </c>
      <c r="AJ601" s="2">
        <v>3.53890501374191</v>
      </c>
      <c r="AK601" s="2">
        <v>1.49376146364595</v>
      </c>
      <c r="AL601" s="2">
        <v>1.7431100293986801</v>
      </c>
      <c r="AM601" s="2">
        <v>8.9705362617713294E-2</v>
      </c>
      <c r="AN601" s="2">
        <v>1.58160725101541</v>
      </c>
      <c r="AO601" s="2">
        <v>0.175783763236045</v>
      </c>
      <c r="AP601" s="2">
        <v>0.175783763236045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5</v>
      </c>
      <c r="AW601" s="2">
        <v>0</v>
      </c>
      <c r="AX601" s="2">
        <v>0</v>
      </c>
      <c r="AY601" s="2">
        <v>15.8</v>
      </c>
      <c r="AZ601" s="2">
        <v>17.100000000000001</v>
      </c>
      <c r="BA601" s="2">
        <v>23</v>
      </c>
      <c r="BB601" s="2">
        <v>565</v>
      </c>
      <c r="BC601" s="2">
        <v>68</v>
      </c>
      <c r="BD601" s="2">
        <v>2.2999999999999998</v>
      </c>
      <c r="BE601" s="2">
        <v>68</v>
      </c>
      <c r="BF601" s="2">
        <v>17.600000000000001</v>
      </c>
      <c r="BG601" s="2">
        <v>162</v>
      </c>
      <c r="BH601" s="2">
        <v>19.7</v>
      </c>
      <c r="BI601" s="2">
        <v>16.7</v>
      </c>
      <c r="BJ601" s="2">
        <v>36.4</v>
      </c>
      <c r="BK601" s="2">
        <v>0.66</v>
      </c>
      <c r="BL601" s="2">
        <v>5.6</v>
      </c>
      <c r="BM601" s="2">
        <v>1.5</v>
      </c>
      <c r="BN601" s="2">
        <v>7.5</v>
      </c>
      <c r="BO601" s="2">
        <v>2.9</v>
      </c>
      <c r="BP601" s="2">
        <f t="shared" si="18"/>
        <v>16.000452904406476</v>
      </c>
      <c r="BQ601" s="2">
        <f t="shared" si="19"/>
        <v>22.27066829997759</v>
      </c>
    </row>
    <row r="602" spans="1:69" x14ac:dyDescent="0.2">
      <c r="A602" s="2" t="s">
        <v>4264</v>
      </c>
      <c r="B602" s="2" t="s">
        <v>47</v>
      </c>
      <c r="C602" s="2" t="s">
        <v>3273</v>
      </c>
      <c r="D602" s="2" t="s">
        <v>49</v>
      </c>
      <c r="E602" s="2" t="s">
        <v>3571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89</v>
      </c>
      <c r="L602" s="6" t="s">
        <v>141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4265</v>
      </c>
      <c r="R602" s="2">
        <v>5208333.3329999996</v>
      </c>
      <c r="S602" s="2">
        <v>0</v>
      </c>
      <c r="T602" s="2" t="s">
        <v>75</v>
      </c>
      <c r="U602" s="2" t="s">
        <v>76</v>
      </c>
      <c r="V602" s="2" t="s">
        <v>56</v>
      </c>
      <c r="W602" s="2" t="s">
        <v>77</v>
      </c>
      <c r="X602" s="2" t="s">
        <v>78</v>
      </c>
      <c r="Y602" s="2">
        <v>0.66667177746892903</v>
      </c>
      <c r="Z602" s="2">
        <v>666.67177746892901</v>
      </c>
      <c r="AA602" s="2">
        <v>4.6680000000000001</v>
      </c>
      <c r="AB602" s="2">
        <v>-74.148499999999999</v>
      </c>
      <c r="AC602" s="2">
        <v>2547</v>
      </c>
      <c r="AD602" s="2">
        <v>0</v>
      </c>
      <c r="AE602" s="2" t="s">
        <v>59</v>
      </c>
      <c r="AF602" s="2" t="s">
        <v>79</v>
      </c>
      <c r="AG602" s="2" t="s">
        <v>61</v>
      </c>
      <c r="AH602" s="2" t="s">
        <v>62</v>
      </c>
      <c r="AI602" s="2" t="s">
        <v>71</v>
      </c>
      <c r="AJ602" s="2">
        <v>2.9843817192149298</v>
      </c>
      <c r="AK602" s="2">
        <v>1.63257141064579</v>
      </c>
      <c r="AL602" s="2">
        <v>1.8971064340434101</v>
      </c>
      <c r="AM602" s="2">
        <v>0.43067747665651102</v>
      </c>
      <c r="AN602" s="2">
        <v>0.67556378083748403</v>
      </c>
      <c r="AO602" s="2">
        <v>0.18151071663839299</v>
      </c>
      <c r="AP602" s="2">
        <v>0.18151071663839299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18</v>
      </c>
      <c r="AW602" s="2">
        <v>1</v>
      </c>
      <c r="AX602" s="2">
        <v>0</v>
      </c>
      <c r="AY602" s="2">
        <v>15.8</v>
      </c>
      <c r="AZ602" s="2">
        <v>17.100000000000001</v>
      </c>
      <c r="BA602" s="2">
        <v>23</v>
      </c>
      <c r="BB602" s="2">
        <v>565</v>
      </c>
      <c r="BC602" s="2">
        <v>68</v>
      </c>
      <c r="BD602" s="2">
        <v>2.2999999999999998</v>
      </c>
      <c r="BE602" s="2">
        <v>68</v>
      </c>
      <c r="BF602" s="2">
        <v>17.600000000000001</v>
      </c>
      <c r="BG602" s="2">
        <v>162</v>
      </c>
      <c r="BH602" s="2">
        <v>19.7</v>
      </c>
      <c r="BI602" s="2">
        <v>16.7</v>
      </c>
      <c r="BJ602" s="2">
        <v>36.4</v>
      </c>
      <c r="BK602" s="2">
        <v>0.66</v>
      </c>
      <c r="BL602" s="2">
        <v>5.6</v>
      </c>
      <c r="BM602" s="2">
        <v>1.5</v>
      </c>
      <c r="BN602" s="2">
        <v>7.5</v>
      </c>
      <c r="BO602" s="2">
        <v>2.9</v>
      </c>
      <c r="BP602" s="2">
        <f t="shared" si="18"/>
        <v>16.544905183363845</v>
      </c>
      <c r="BQ602" s="2">
        <f t="shared" si="19"/>
        <v>22.634925584888293</v>
      </c>
    </row>
    <row r="603" spans="1:69" x14ac:dyDescent="0.2">
      <c r="A603" s="2" t="s">
        <v>3111</v>
      </c>
      <c r="B603" s="2" t="s">
        <v>47</v>
      </c>
      <c r="C603" s="2" t="s">
        <v>1935</v>
      </c>
      <c r="D603" s="2" t="s">
        <v>49</v>
      </c>
      <c r="E603" s="2" t="s">
        <v>3112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89</v>
      </c>
      <c r="L603" s="6" t="s">
        <v>103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3113</v>
      </c>
      <c r="R603" s="2">
        <v>3276353.2760000001</v>
      </c>
      <c r="S603" s="2">
        <v>0</v>
      </c>
      <c r="T603" s="2" t="s">
        <v>67</v>
      </c>
      <c r="U603" s="2" t="s">
        <v>68</v>
      </c>
      <c r="V603" s="2" t="s">
        <v>56</v>
      </c>
      <c r="W603" s="2" t="s">
        <v>67</v>
      </c>
      <c r="X603" s="2" t="s">
        <v>69</v>
      </c>
      <c r="Y603" s="2">
        <v>1.97926692356161</v>
      </c>
      <c r="Z603" s="2">
        <v>1979.2669235616099</v>
      </c>
      <c r="AA603" s="2">
        <v>4.6317666666666701</v>
      </c>
      <c r="AB603" s="2">
        <v>-74.117483333333297</v>
      </c>
      <c r="AC603" s="2">
        <v>2590</v>
      </c>
      <c r="AD603" s="2">
        <v>10</v>
      </c>
      <c r="AE603" s="2" t="s">
        <v>59</v>
      </c>
      <c r="AF603" s="2" t="s">
        <v>70</v>
      </c>
      <c r="AG603" s="2" t="s">
        <v>61</v>
      </c>
      <c r="AH603" s="2" t="s">
        <v>62</v>
      </c>
      <c r="AI603" s="2" t="s">
        <v>200</v>
      </c>
      <c r="AJ603" s="2">
        <v>0.475734091732266</v>
      </c>
      <c r="AK603" s="2">
        <v>4.5813666347883899</v>
      </c>
      <c r="AL603" s="2">
        <v>2.12123609698294</v>
      </c>
      <c r="AM603" s="2">
        <v>0.14938362966447999</v>
      </c>
      <c r="AN603" s="2">
        <v>2.8874912385784399</v>
      </c>
      <c r="AO603" s="2">
        <v>4.1763811933573501E-2</v>
      </c>
      <c r="AP603" s="2">
        <v>4.1763811933573501E-2</v>
      </c>
      <c r="AQ603" s="2">
        <v>1</v>
      </c>
      <c r="AR603" s="2">
        <v>3</v>
      </c>
      <c r="AS603" s="2">
        <v>0</v>
      </c>
      <c r="AT603" s="2">
        <v>0</v>
      </c>
      <c r="AU603" s="2">
        <v>0</v>
      </c>
      <c r="AV603" s="2">
        <v>52</v>
      </c>
      <c r="AW603" s="2">
        <v>0</v>
      </c>
      <c r="AX603" s="2">
        <v>0</v>
      </c>
      <c r="AY603" s="2">
        <v>16.600000000000001</v>
      </c>
      <c r="AZ603" s="2">
        <v>101.7</v>
      </c>
      <c r="BA603" s="2">
        <v>19.899999999999999</v>
      </c>
      <c r="BB603" s="2">
        <v>564</v>
      </c>
      <c r="BC603" s="2">
        <v>71</v>
      </c>
      <c r="BD603" s="2">
        <v>1.7</v>
      </c>
      <c r="BE603" s="2">
        <v>185</v>
      </c>
      <c r="BF603" s="2">
        <v>0.8</v>
      </c>
      <c r="BG603" s="2">
        <v>162</v>
      </c>
      <c r="BH603" s="2">
        <v>19.5</v>
      </c>
      <c r="BI603" s="2">
        <v>15.6</v>
      </c>
      <c r="BJ603" s="2">
        <v>35</v>
      </c>
      <c r="BK603" s="2">
        <v>0.68</v>
      </c>
      <c r="BL603" s="2">
        <v>5.4</v>
      </c>
      <c r="BM603" s="2">
        <v>0.9</v>
      </c>
      <c r="BN603" s="2">
        <v>4.5999999999999996</v>
      </c>
      <c r="BO603" s="2">
        <v>2.1</v>
      </c>
      <c r="BP603" s="2">
        <f t="shared" si="18"/>
        <v>92.208617394000029</v>
      </c>
      <c r="BQ603" s="2">
        <f t="shared" si="19"/>
        <v>18.976802753956644</v>
      </c>
    </row>
    <row r="604" spans="1:69" x14ac:dyDescent="0.2">
      <c r="A604" s="2" t="s">
        <v>2564</v>
      </c>
      <c r="B604" s="2" t="s">
        <v>47</v>
      </c>
      <c r="C604" s="2" t="s">
        <v>1935</v>
      </c>
      <c r="D604" s="2" t="s">
        <v>49</v>
      </c>
      <c r="E604" s="2" t="s">
        <v>2565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89</v>
      </c>
      <c r="L604" s="6" t="s">
        <v>141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2566</v>
      </c>
      <c r="R604" s="2">
        <v>2346456.693</v>
      </c>
      <c r="S604" s="2">
        <v>0</v>
      </c>
      <c r="T604" s="2" t="s">
        <v>67</v>
      </c>
      <c r="U604" s="2" t="s">
        <v>68</v>
      </c>
      <c r="V604" s="2" t="s">
        <v>56</v>
      </c>
      <c r="W604" s="2" t="s">
        <v>67</v>
      </c>
      <c r="X604" s="2" t="s">
        <v>69</v>
      </c>
      <c r="Y604" s="2">
        <v>0.87915619612811902</v>
      </c>
      <c r="Z604" s="2">
        <v>879.15619612811895</v>
      </c>
      <c r="AA604" s="2">
        <v>4.6317666666666701</v>
      </c>
      <c r="AB604" s="2">
        <v>-74.117483333333297</v>
      </c>
      <c r="AC604" s="2">
        <v>2590</v>
      </c>
      <c r="AD604" s="2">
        <v>10</v>
      </c>
      <c r="AE604" s="2" t="s">
        <v>59</v>
      </c>
      <c r="AF604" s="2" t="s">
        <v>70</v>
      </c>
      <c r="AG604" s="2" t="s">
        <v>61</v>
      </c>
      <c r="AH604" s="2" t="s">
        <v>62</v>
      </c>
      <c r="AI604" s="2" t="s">
        <v>267</v>
      </c>
      <c r="AJ604" s="2">
        <v>0.49595800529574802</v>
      </c>
      <c r="AK604" s="2">
        <v>5.6250681253860204</v>
      </c>
      <c r="AL604" s="2">
        <v>1.79374805617146</v>
      </c>
      <c r="AM604" s="2">
        <v>0.22239359444512999</v>
      </c>
      <c r="AN604" s="2">
        <v>2.18830627700744</v>
      </c>
      <c r="AO604" s="2">
        <v>7.0702426657807099E-2</v>
      </c>
      <c r="AP604" s="2">
        <v>7.0702426657807099E-2</v>
      </c>
      <c r="AQ604" s="2">
        <v>1</v>
      </c>
      <c r="AR604" s="2">
        <v>1</v>
      </c>
      <c r="AS604" s="2">
        <v>0</v>
      </c>
      <c r="AT604" s="2">
        <v>0</v>
      </c>
      <c r="AU604" s="2">
        <v>0</v>
      </c>
      <c r="AV604" s="2">
        <v>39</v>
      </c>
      <c r="AW604" s="2">
        <v>0</v>
      </c>
      <c r="AX604" s="2">
        <v>0</v>
      </c>
      <c r="AY604" s="2">
        <v>16.600000000000001</v>
      </c>
      <c r="AZ604" s="2">
        <v>101.7</v>
      </c>
      <c r="BA604" s="2">
        <v>19.899999999999999</v>
      </c>
      <c r="BB604" s="2">
        <v>564</v>
      </c>
      <c r="BC604" s="2">
        <v>71</v>
      </c>
      <c r="BD604" s="2">
        <v>1.7</v>
      </c>
      <c r="BE604" s="2">
        <v>185</v>
      </c>
      <c r="BF604" s="2">
        <v>0.8</v>
      </c>
      <c r="BG604" s="2">
        <v>162</v>
      </c>
      <c r="BH604" s="2">
        <v>19.5</v>
      </c>
      <c r="BI604" s="2">
        <v>15.6</v>
      </c>
      <c r="BJ604" s="2">
        <v>35</v>
      </c>
      <c r="BK604" s="2">
        <v>0.68</v>
      </c>
      <c r="BL604" s="2">
        <v>5.4</v>
      </c>
      <c r="BM604" s="2">
        <v>0.9</v>
      </c>
      <c r="BN604" s="2">
        <v>4.5999999999999996</v>
      </c>
      <c r="BO604" s="2">
        <v>2.1</v>
      </c>
      <c r="BP604" s="2">
        <f t="shared" si="18"/>
        <v>97.369115529552886</v>
      </c>
      <c r="BQ604" s="2">
        <f t="shared" si="19"/>
        <v>19.48451374294163</v>
      </c>
    </row>
    <row r="605" spans="1:69" x14ac:dyDescent="0.2">
      <c r="A605" s="2" t="s">
        <v>2626</v>
      </c>
      <c r="B605" s="2" t="s">
        <v>47</v>
      </c>
      <c r="C605" s="2" t="s">
        <v>1935</v>
      </c>
      <c r="D605" s="2" t="s">
        <v>49</v>
      </c>
      <c r="E605" s="2" t="s">
        <v>147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89</v>
      </c>
      <c r="L605" s="6" t="s">
        <v>141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2627</v>
      </c>
      <c r="R605" s="2">
        <v>5833333.3329999996</v>
      </c>
      <c r="S605" s="2">
        <v>0</v>
      </c>
      <c r="T605" s="2" t="s">
        <v>67</v>
      </c>
      <c r="U605" s="2" t="s">
        <v>68</v>
      </c>
      <c r="V605" s="2" t="s">
        <v>56</v>
      </c>
      <c r="W605" s="2" t="s">
        <v>67</v>
      </c>
      <c r="X605" s="2" t="s">
        <v>69</v>
      </c>
      <c r="Y605" s="2">
        <v>2.77516957301822</v>
      </c>
      <c r="Z605" s="2">
        <v>2775.16957301822</v>
      </c>
      <c r="AA605" s="2">
        <v>4.6317666666666701</v>
      </c>
      <c r="AB605" s="2">
        <v>-74.117483333333297</v>
      </c>
      <c r="AC605" s="2">
        <v>2590</v>
      </c>
      <c r="AD605" s="2">
        <v>10</v>
      </c>
      <c r="AE605" s="2" t="s">
        <v>59</v>
      </c>
      <c r="AF605" s="2" t="s">
        <v>70</v>
      </c>
      <c r="AG605" s="2" t="s">
        <v>61</v>
      </c>
      <c r="AH605" s="2" t="s">
        <v>62</v>
      </c>
      <c r="AI605" s="2" t="s">
        <v>63</v>
      </c>
      <c r="AJ605" s="2">
        <v>0.36517955472144098</v>
      </c>
      <c r="AK605" s="2">
        <v>3.5192500712251502</v>
      </c>
      <c r="AL605" s="2">
        <v>0.81595703523947705</v>
      </c>
      <c r="AM605" s="2">
        <v>8.9922321714572595E-2</v>
      </c>
      <c r="AN605" s="2">
        <v>2.01023416389179</v>
      </c>
      <c r="AO605" s="2">
        <v>0.21027411610027899</v>
      </c>
      <c r="AP605" s="2">
        <v>0.21027411610027899</v>
      </c>
      <c r="AQ605" s="2">
        <v>1</v>
      </c>
      <c r="AR605" s="2">
        <v>2</v>
      </c>
      <c r="AS605" s="2">
        <v>0</v>
      </c>
      <c r="AT605" s="2">
        <v>0</v>
      </c>
      <c r="AU605" s="2">
        <v>1</v>
      </c>
      <c r="AV605" s="2">
        <v>13</v>
      </c>
      <c r="AW605" s="2">
        <v>0</v>
      </c>
      <c r="AX605" s="2">
        <v>0</v>
      </c>
      <c r="AY605" s="2">
        <v>16.600000000000001</v>
      </c>
      <c r="AZ605" s="2">
        <v>101.7</v>
      </c>
      <c r="BA605" s="2">
        <v>19.899999999999999</v>
      </c>
      <c r="BB605" s="2">
        <v>564</v>
      </c>
      <c r="BC605" s="2">
        <v>71</v>
      </c>
      <c r="BD605" s="2">
        <v>1.7</v>
      </c>
      <c r="BE605" s="2">
        <v>185</v>
      </c>
      <c r="BF605" s="2">
        <v>0.8</v>
      </c>
      <c r="BG605" s="2">
        <v>162</v>
      </c>
      <c r="BH605" s="2">
        <v>19.5</v>
      </c>
      <c r="BI605" s="2">
        <v>15.6</v>
      </c>
      <c r="BJ605" s="2">
        <v>35</v>
      </c>
      <c r="BK605" s="2">
        <v>0.68</v>
      </c>
      <c r="BL605" s="2">
        <v>5.4</v>
      </c>
      <c r="BM605" s="2">
        <v>0.9</v>
      </c>
      <c r="BN605" s="2">
        <v>4.5999999999999996</v>
      </c>
      <c r="BO605" s="2">
        <v>2.1</v>
      </c>
      <c r="BP605" s="2">
        <f t="shared" si="18"/>
        <v>88.646487461375926</v>
      </c>
      <c r="BQ605" s="2">
        <f t="shared" si="19"/>
        <v>18.617754379628337</v>
      </c>
    </row>
    <row r="606" spans="1:69" x14ac:dyDescent="0.2">
      <c r="A606" s="2" t="s">
        <v>2951</v>
      </c>
      <c r="B606" s="2" t="s">
        <v>47</v>
      </c>
      <c r="C606" s="2" t="s">
        <v>1935</v>
      </c>
      <c r="D606" s="2" t="s">
        <v>49</v>
      </c>
      <c r="E606" s="2" t="s">
        <v>2952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89</v>
      </c>
      <c r="L606" s="6" t="s">
        <v>141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2953</v>
      </c>
      <c r="R606" s="2">
        <v>1583333.3330000001</v>
      </c>
      <c r="S606" s="2">
        <v>0</v>
      </c>
      <c r="T606" s="2" t="s">
        <v>483</v>
      </c>
      <c r="U606" s="2" t="s">
        <v>484</v>
      </c>
      <c r="V606" s="2" t="s">
        <v>56</v>
      </c>
      <c r="W606" s="2" t="s">
        <v>67</v>
      </c>
      <c r="X606" s="2" t="s">
        <v>485</v>
      </c>
      <c r="Y606" s="2">
        <v>1.06401095606945</v>
      </c>
      <c r="Z606" s="2">
        <v>1064.01095606945</v>
      </c>
      <c r="AA606" s="2">
        <v>4.6085000000000003</v>
      </c>
      <c r="AB606" s="2">
        <v>-74.114944444444404</v>
      </c>
      <c r="AC606" s="2">
        <v>2559</v>
      </c>
      <c r="AD606" s="2">
        <v>0</v>
      </c>
      <c r="AE606" s="2" t="s">
        <v>59</v>
      </c>
      <c r="AF606" s="2" t="s">
        <v>486</v>
      </c>
      <c r="AG606" s="2" t="s">
        <v>61</v>
      </c>
      <c r="AH606" s="2" t="s">
        <v>62</v>
      </c>
      <c r="AI606" s="2" t="s">
        <v>267</v>
      </c>
      <c r="AJ606" s="2">
        <v>0.44053016781364601</v>
      </c>
      <c r="AK606" s="2">
        <v>4.7556195448239702</v>
      </c>
      <c r="AL606" s="2">
        <v>2.2024187522881902</v>
      </c>
      <c r="AM606" s="2">
        <v>0.22189846359201701</v>
      </c>
      <c r="AN606" s="2">
        <v>1.73447767603281</v>
      </c>
      <c r="AO606" s="2">
        <v>0.35185793581687802</v>
      </c>
      <c r="AP606" s="2">
        <v>0.35185793581687802</v>
      </c>
      <c r="AQ606" s="2">
        <v>1</v>
      </c>
      <c r="AR606" s="2">
        <v>2</v>
      </c>
      <c r="AS606" s="2">
        <v>0</v>
      </c>
      <c r="AT606" s="2">
        <v>0</v>
      </c>
      <c r="AU606" s="2">
        <v>0</v>
      </c>
      <c r="AV606" s="2">
        <v>18</v>
      </c>
      <c r="AW606" s="2">
        <v>0</v>
      </c>
      <c r="AX606" s="2">
        <v>0</v>
      </c>
      <c r="AY606" s="2">
        <v>16.600000000000001</v>
      </c>
      <c r="AZ606" s="2">
        <v>101.7</v>
      </c>
      <c r="BA606" s="2">
        <v>19.899999999999999</v>
      </c>
      <c r="BB606" s="2">
        <v>564</v>
      </c>
      <c r="BC606" s="2">
        <v>71</v>
      </c>
      <c r="BD606" s="2">
        <v>1.7</v>
      </c>
      <c r="BE606" s="2">
        <v>185</v>
      </c>
      <c r="BF606" s="2">
        <v>0.8</v>
      </c>
      <c r="BG606" s="2">
        <v>162</v>
      </c>
      <c r="BH606" s="2">
        <v>19.5</v>
      </c>
      <c r="BI606" s="2">
        <v>15.6</v>
      </c>
      <c r="BJ606" s="2">
        <v>35</v>
      </c>
      <c r="BK606" s="2">
        <v>0.68</v>
      </c>
      <c r="BL606" s="2">
        <v>5.4</v>
      </c>
      <c r="BM606" s="2">
        <v>0.9</v>
      </c>
      <c r="BN606" s="2">
        <v>4.5999999999999996</v>
      </c>
      <c r="BO606" s="2">
        <v>2.1</v>
      </c>
      <c r="BP606" s="2">
        <f t="shared" si="18"/>
        <v>96.482221742920188</v>
      </c>
      <c r="BQ606" s="2">
        <f t="shared" si="19"/>
        <v>19.398261890546756</v>
      </c>
    </row>
    <row r="607" spans="1:69" x14ac:dyDescent="0.2">
      <c r="A607" s="2" t="s">
        <v>2918</v>
      </c>
      <c r="B607" s="2" t="s">
        <v>47</v>
      </c>
      <c r="C607" s="2" t="s">
        <v>1935</v>
      </c>
      <c r="D607" s="2" t="s">
        <v>49</v>
      </c>
      <c r="E607" s="2" t="s">
        <v>2919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89</v>
      </c>
      <c r="L607" s="6" t="s">
        <v>141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2920</v>
      </c>
      <c r="R607" s="2">
        <v>2865384.6150000002</v>
      </c>
      <c r="S607" s="2">
        <v>0</v>
      </c>
      <c r="T607" s="2" t="s">
        <v>483</v>
      </c>
      <c r="U607" s="2" t="s">
        <v>484</v>
      </c>
      <c r="V607" s="2" t="s">
        <v>56</v>
      </c>
      <c r="W607" s="2" t="s">
        <v>67</v>
      </c>
      <c r="X607" s="2" t="s">
        <v>485</v>
      </c>
      <c r="Y607" s="2">
        <v>2.2241035852731099</v>
      </c>
      <c r="Z607" s="2">
        <v>2224.1035852731102</v>
      </c>
      <c r="AA607" s="2">
        <v>4.6085000000000003</v>
      </c>
      <c r="AB607" s="2">
        <v>-74.114944444444404</v>
      </c>
      <c r="AC607" s="2">
        <v>2559</v>
      </c>
      <c r="AD607" s="2">
        <v>0</v>
      </c>
      <c r="AE607" s="2" t="s">
        <v>59</v>
      </c>
      <c r="AF607" s="2" t="s">
        <v>486</v>
      </c>
      <c r="AG607" s="2" t="s">
        <v>61</v>
      </c>
      <c r="AH607" s="2" t="s">
        <v>62</v>
      </c>
      <c r="AI607" s="2" t="s">
        <v>287</v>
      </c>
      <c r="AJ607" s="2">
        <v>0.69106883028294397</v>
      </c>
      <c r="AK607" s="2">
        <v>3.5830785001793002</v>
      </c>
      <c r="AL607" s="2">
        <v>1.12430120841153</v>
      </c>
      <c r="AM607" s="2">
        <v>0.358166402243494</v>
      </c>
      <c r="AN607" s="2">
        <v>1.3358881263417199</v>
      </c>
      <c r="AO607" s="2">
        <v>0.31387912239486498</v>
      </c>
      <c r="AP607" s="2">
        <v>0.31387912239486498</v>
      </c>
      <c r="AQ607" s="2">
        <v>0</v>
      </c>
      <c r="AR607" s="2">
        <v>3</v>
      </c>
      <c r="AS607" s="2">
        <v>0</v>
      </c>
      <c r="AT607" s="2">
        <v>0</v>
      </c>
      <c r="AU607" s="2">
        <v>0</v>
      </c>
      <c r="AV607" s="2">
        <v>22</v>
      </c>
      <c r="AW607" s="2">
        <v>0</v>
      </c>
      <c r="AX607" s="2">
        <v>0</v>
      </c>
      <c r="AY607" s="2">
        <v>16.600000000000001</v>
      </c>
      <c r="AZ607" s="2">
        <v>101.7</v>
      </c>
      <c r="BA607" s="2">
        <v>19.899999999999999</v>
      </c>
      <c r="BB607" s="2">
        <v>564</v>
      </c>
      <c r="BC607" s="2">
        <v>71</v>
      </c>
      <c r="BD607" s="2">
        <v>1.7</v>
      </c>
      <c r="BE607" s="2">
        <v>185</v>
      </c>
      <c r="BF607" s="2">
        <v>0.8</v>
      </c>
      <c r="BG607" s="2">
        <v>162</v>
      </c>
      <c r="BH607" s="2">
        <v>19.5</v>
      </c>
      <c r="BI607" s="2">
        <v>15.6</v>
      </c>
      <c r="BJ607" s="2">
        <v>35</v>
      </c>
      <c r="BK607" s="2">
        <v>0.68</v>
      </c>
      <c r="BL607" s="2">
        <v>5.4</v>
      </c>
      <c r="BM607" s="2">
        <v>0.9</v>
      </c>
      <c r="BN607" s="2">
        <v>4.5999999999999996</v>
      </c>
      <c r="BO607" s="2">
        <v>2.1</v>
      </c>
      <c r="BP607" s="2">
        <f t="shared" si="18"/>
        <v>91.097847452462815</v>
      </c>
      <c r="BQ607" s="2">
        <f t="shared" si="19"/>
        <v>18.865620522833762</v>
      </c>
    </row>
    <row r="608" spans="1:69" x14ac:dyDescent="0.2">
      <c r="A608" s="2" t="s">
        <v>3163</v>
      </c>
      <c r="B608" s="2" t="s">
        <v>47</v>
      </c>
      <c r="C608" s="2" t="s">
        <v>1935</v>
      </c>
      <c r="D608" s="2" t="s">
        <v>49</v>
      </c>
      <c r="E608" s="2" t="s">
        <v>3164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89</v>
      </c>
      <c r="L608" s="6" t="s">
        <v>141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3165</v>
      </c>
      <c r="R608" s="2">
        <v>2239898.9900000002</v>
      </c>
      <c r="S608" s="2">
        <v>0</v>
      </c>
      <c r="T608" s="2" t="s">
        <v>483</v>
      </c>
      <c r="U608" s="2" t="s">
        <v>484</v>
      </c>
      <c r="V608" s="2" t="s">
        <v>56</v>
      </c>
      <c r="W608" s="2" t="s">
        <v>67</v>
      </c>
      <c r="X608" s="2" t="s">
        <v>485</v>
      </c>
      <c r="Y608" s="2">
        <v>2.0331394653286101</v>
      </c>
      <c r="Z608" s="2">
        <v>2033.13946532861</v>
      </c>
      <c r="AA608" s="2">
        <v>4.6085000000000003</v>
      </c>
      <c r="AB608" s="2">
        <v>-74.114944444444404</v>
      </c>
      <c r="AC608" s="2">
        <v>2559</v>
      </c>
      <c r="AD608" s="2">
        <v>0</v>
      </c>
      <c r="AE608" s="2" t="s">
        <v>59</v>
      </c>
      <c r="AF608" s="2" t="s">
        <v>486</v>
      </c>
      <c r="AG608" s="2" t="s">
        <v>61</v>
      </c>
      <c r="AH608" s="2" t="s">
        <v>62</v>
      </c>
      <c r="AI608" s="2" t="s">
        <v>267</v>
      </c>
      <c r="AJ608" s="2">
        <v>0.340187264656304</v>
      </c>
      <c r="AK608" s="2">
        <v>3.5801025711011798</v>
      </c>
      <c r="AL608" s="2">
        <v>1.4231512071760299</v>
      </c>
      <c r="AM608" s="2">
        <v>0.31905505038230703</v>
      </c>
      <c r="AN608" s="2">
        <v>0.90382143285096905</v>
      </c>
      <c r="AO608" s="2">
        <v>9.86499593496349E-2</v>
      </c>
      <c r="AP608" s="2">
        <v>9.86499593496349E-2</v>
      </c>
      <c r="AQ608" s="2">
        <v>1</v>
      </c>
      <c r="AR608" s="2">
        <v>7</v>
      </c>
      <c r="AS608" s="2">
        <v>0</v>
      </c>
      <c r="AT608" s="2">
        <v>0</v>
      </c>
      <c r="AU608" s="2">
        <v>0</v>
      </c>
      <c r="AV608" s="2">
        <v>10</v>
      </c>
      <c r="AW608" s="2">
        <v>2</v>
      </c>
      <c r="AX608" s="2">
        <v>0</v>
      </c>
      <c r="AY608" s="2">
        <v>16.600000000000001</v>
      </c>
      <c r="AZ608" s="2">
        <v>101.7</v>
      </c>
      <c r="BA608" s="2">
        <v>19.899999999999999</v>
      </c>
      <c r="BB608" s="2">
        <v>564</v>
      </c>
      <c r="BC608" s="2">
        <v>71</v>
      </c>
      <c r="BD608" s="2">
        <v>1.7</v>
      </c>
      <c r="BE608" s="2">
        <v>185</v>
      </c>
      <c r="BF608" s="2">
        <v>0.8</v>
      </c>
      <c r="BG608" s="2">
        <v>162</v>
      </c>
      <c r="BH608" s="2">
        <v>19.5</v>
      </c>
      <c r="BI608" s="2">
        <v>15.6</v>
      </c>
      <c r="BJ608" s="2">
        <v>35</v>
      </c>
      <c r="BK608" s="2">
        <v>0.68</v>
      </c>
      <c r="BL608" s="2">
        <v>5.4</v>
      </c>
      <c r="BM608" s="2">
        <v>0.9</v>
      </c>
      <c r="BN608" s="2">
        <v>4.5999999999999996</v>
      </c>
      <c r="BO608" s="2">
        <v>2.1</v>
      </c>
      <c r="BP608" s="2">
        <f t="shared" si="18"/>
        <v>91.96305308826598</v>
      </c>
      <c r="BQ608" s="2">
        <f t="shared" si="19"/>
        <v>18.952282722474326</v>
      </c>
    </row>
    <row r="609" spans="1:69" x14ac:dyDescent="0.2">
      <c r="A609" s="2" t="s">
        <v>3122</v>
      </c>
      <c r="B609" s="2" t="s">
        <v>47</v>
      </c>
      <c r="C609" s="2" t="s">
        <v>1935</v>
      </c>
      <c r="D609" s="2" t="s">
        <v>49</v>
      </c>
      <c r="E609" s="2" t="s">
        <v>1928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89</v>
      </c>
      <c r="L609" s="6" t="s">
        <v>141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3123</v>
      </c>
      <c r="R609" s="2">
        <v>2133333.3330000001</v>
      </c>
      <c r="S609" s="2">
        <v>0</v>
      </c>
      <c r="T609" s="2" t="s">
        <v>67</v>
      </c>
      <c r="U609" s="2" t="s">
        <v>68</v>
      </c>
      <c r="V609" s="2" t="s">
        <v>56</v>
      </c>
      <c r="W609" s="2" t="s">
        <v>67</v>
      </c>
      <c r="X609" s="2" t="s">
        <v>69</v>
      </c>
      <c r="Y609" s="2">
        <v>2.59761034714399</v>
      </c>
      <c r="Z609" s="2">
        <v>2597.6103471439901</v>
      </c>
      <c r="AA609" s="2">
        <v>4.6317666666666701</v>
      </c>
      <c r="AB609" s="2">
        <v>-74.117483333333297</v>
      </c>
      <c r="AC609" s="2">
        <v>2590</v>
      </c>
      <c r="AD609" s="2">
        <v>10</v>
      </c>
      <c r="AE609" s="2" t="s">
        <v>59</v>
      </c>
      <c r="AF609" s="2" t="s">
        <v>70</v>
      </c>
      <c r="AG609" s="2" t="s">
        <v>61</v>
      </c>
      <c r="AH609" s="2" t="s">
        <v>62</v>
      </c>
      <c r="AI609" s="2" t="s">
        <v>200</v>
      </c>
      <c r="AJ609" s="2">
        <v>1.1827203745833099</v>
      </c>
      <c r="AK609" s="2">
        <v>4.9193514865618297</v>
      </c>
      <c r="AL609" s="2">
        <v>2.8618312460127</v>
      </c>
      <c r="AM609" s="2">
        <v>6.5982133607298404E-2</v>
      </c>
      <c r="AN609" s="2">
        <v>2.4259684286594001</v>
      </c>
      <c r="AO609" s="2">
        <v>0.27576474720122202</v>
      </c>
      <c r="AP609" s="2">
        <v>0.27576474720122202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39</v>
      </c>
      <c r="AW609" s="2">
        <v>0</v>
      </c>
      <c r="AX609" s="2">
        <v>0</v>
      </c>
      <c r="AY609" s="2">
        <v>16.600000000000001</v>
      </c>
      <c r="AZ609" s="2">
        <v>101.7</v>
      </c>
      <c r="BA609" s="2">
        <v>19.899999999999999</v>
      </c>
      <c r="BB609" s="2">
        <v>564</v>
      </c>
      <c r="BC609" s="2">
        <v>71</v>
      </c>
      <c r="BD609" s="2">
        <v>1.7</v>
      </c>
      <c r="BE609" s="2">
        <v>185</v>
      </c>
      <c r="BF609" s="2">
        <v>0.8</v>
      </c>
      <c r="BG609" s="2">
        <v>162</v>
      </c>
      <c r="BH609" s="2">
        <v>19.5</v>
      </c>
      <c r="BI609" s="2">
        <v>15.6</v>
      </c>
      <c r="BJ609" s="2">
        <v>35</v>
      </c>
      <c r="BK609" s="2">
        <v>0.68</v>
      </c>
      <c r="BL609" s="2">
        <v>5.4</v>
      </c>
      <c r="BM609" s="2">
        <v>0.9</v>
      </c>
      <c r="BN609" s="2">
        <v>4.5999999999999996</v>
      </c>
      <c r="BO609" s="2">
        <v>2.1</v>
      </c>
      <c r="BP609" s="2">
        <f t="shared" si="18"/>
        <v>89.429051556308806</v>
      </c>
      <c r="BQ609" s="2">
        <f t="shared" si="19"/>
        <v>18.697261763868188</v>
      </c>
    </row>
    <row r="610" spans="1:69" x14ac:dyDescent="0.2">
      <c r="A610" s="2" t="s">
        <v>2964</v>
      </c>
      <c r="B610" s="2" t="s">
        <v>47</v>
      </c>
      <c r="C610" s="2" t="s">
        <v>1935</v>
      </c>
      <c r="D610" s="2" t="s">
        <v>49</v>
      </c>
      <c r="E610" s="2" t="s">
        <v>2965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89</v>
      </c>
      <c r="L610" s="6" t="s">
        <v>90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2966</v>
      </c>
      <c r="R610" s="2">
        <v>2606882.1690000002</v>
      </c>
      <c r="S610" s="2">
        <v>0</v>
      </c>
      <c r="T610" s="2" t="s">
        <v>483</v>
      </c>
      <c r="U610" s="2" t="s">
        <v>484</v>
      </c>
      <c r="V610" s="2" t="s">
        <v>56</v>
      </c>
      <c r="W610" s="2" t="s">
        <v>67</v>
      </c>
      <c r="X610" s="2" t="s">
        <v>485</v>
      </c>
      <c r="Y610" s="2">
        <v>1.8869935609891799</v>
      </c>
      <c r="Z610" s="2">
        <v>1886.99356098918</v>
      </c>
      <c r="AA610" s="2">
        <v>4.6085000000000003</v>
      </c>
      <c r="AB610" s="2">
        <v>-74.114944444444404</v>
      </c>
      <c r="AC610" s="2">
        <v>2559</v>
      </c>
      <c r="AD610" s="2">
        <v>0</v>
      </c>
      <c r="AE610" s="2" t="s">
        <v>59</v>
      </c>
      <c r="AF610" s="2" t="s">
        <v>486</v>
      </c>
      <c r="AG610" s="2" t="s">
        <v>61</v>
      </c>
      <c r="AH610" s="2" t="s">
        <v>62</v>
      </c>
      <c r="AI610" s="2" t="s">
        <v>287</v>
      </c>
      <c r="AJ610" s="2">
        <v>0.15631261162576701</v>
      </c>
      <c r="AK610" s="2">
        <v>3.6714739031847601</v>
      </c>
      <c r="AL610" s="2">
        <v>1.2464840040001799</v>
      </c>
      <c r="AM610" s="2">
        <v>0.107118268382611</v>
      </c>
      <c r="AN610" s="2">
        <v>1.2741314527500101</v>
      </c>
      <c r="AO610" s="2">
        <v>0.117286079364872</v>
      </c>
      <c r="AP610" s="2">
        <v>0.117286079364872</v>
      </c>
      <c r="AQ610" s="2">
        <v>3</v>
      </c>
      <c r="AR610" s="2">
        <v>3</v>
      </c>
      <c r="AS610" s="2">
        <v>0</v>
      </c>
      <c r="AT610" s="2">
        <v>0</v>
      </c>
      <c r="AU610" s="2">
        <v>0</v>
      </c>
      <c r="AV610" s="2">
        <v>21</v>
      </c>
      <c r="AW610" s="2">
        <v>0</v>
      </c>
      <c r="AX610" s="2">
        <v>0</v>
      </c>
      <c r="AY610" s="2">
        <v>16.600000000000001</v>
      </c>
      <c r="AZ610" s="2">
        <v>101.7</v>
      </c>
      <c r="BA610" s="2">
        <v>19.899999999999999</v>
      </c>
      <c r="BB610" s="2">
        <v>564</v>
      </c>
      <c r="BC610" s="2">
        <v>71</v>
      </c>
      <c r="BD610" s="2">
        <v>1.7</v>
      </c>
      <c r="BE610" s="2">
        <v>185</v>
      </c>
      <c r="BF610" s="2">
        <v>0.8</v>
      </c>
      <c r="BG610" s="2">
        <v>162</v>
      </c>
      <c r="BH610" s="2">
        <v>19.5</v>
      </c>
      <c r="BI610" s="2">
        <v>15.6</v>
      </c>
      <c r="BJ610" s="2">
        <v>35</v>
      </c>
      <c r="BK610" s="2">
        <v>0.68</v>
      </c>
      <c r="BL610" s="2">
        <v>5.4</v>
      </c>
      <c r="BM610" s="2">
        <v>0.9</v>
      </c>
      <c r="BN610" s="2">
        <v>4.5999999999999996</v>
      </c>
      <c r="BO610" s="2">
        <v>2.1</v>
      </c>
      <c r="BP610" s="2">
        <f t="shared" si="18"/>
        <v>92.630746463679515</v>
      </c>
      <c r="BQ610" s="2">
        <f t="shared" si="19"/>
        <v>19.018874603718423</v>
      </c>
    </row>
    <row r="611" spans="1:69" x14ac:dyDescent="0.2">
      <c r="A611" s="2" t="s">
        <v>2933</v>
      </c>
      <c r="B611" s="2" t="s">
        <v>47</v>
      </c>
      <c r="C611" s="2" t="s">
        <v>1935</v>
      </c>
      <c r="D611" s="2" t="s">
        <v>49</v>
      </c>
      <c r="E611" s="2" t="s">
        <v>2934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89</v>
      </c>
      <c r="L611" s="6" t="s">
        <v>112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2935</v>
      </c>
      <c r="R611" s="2">
        <v>2544910.1800000002</v>
      </c>
      <c r="S611" s="2">
        <v>0</v>
      </c>
      <c r="T611" s="2" t="s">
        <v>483</v>
      </c>
      <c r="U611" s="2" t="s">
        <v>484</v>
      </c>
      <c r="V611" s="2" t="s">
        <v>56</v>
      </c>
      <c r="W611" s="2" t="s">
        <v>67</v>
      </c>
      <c r="X611" s="2" t="s">
        <v>485</v>
      </c>
      <c r="Y611" s="2">
        <v>0.646776652319761</v>
      </c>
      <c r="Z611" s="2">
        <v>646.77665231976096</v>
      </c>
      <c r="AA611" s="2">
        <v>4.6085000000000003</v>
      </c>
      <c r="AB611" s="2">
        <v>-74.114944444444404</v>
      </c>
      <c r="AC611" s="2">
        <v>2559</v>
      </c>
      <c r="AD611" s="2">
        <v>0</v>
      </c>
      <c r="AE611" s="2" t="s">
        <v>59</v>
      </c>
      <c r="AF611" s="2" t="s">
        <v>486</v>
      </c>
      <c r="AG611" s="2" t="s">
        <v>61</v>
      </c>
      <c r="AH611" s="2" t="s">
        <v>62</v>
      </c>
      <c r="AI611" s="2" t="s">
        <v>267</v>
      </c>
      <c r="AJ611" s="2">
        <v>1.20862193610264</v>
      </c>
      <c r="AK611" s="2">
        <v>6.0286736491872697</v>
      </c>
      <c r="AL611" s="2">
        <v>2.4992762485464199</v>
      </c>
      <c r="AM611" s="2">
        <v>0.22784236111873199</v>
      </c>
      <c r="AN611" s="2">
        <v>2.3241436400313602</v>
      </c>
      <c r="AO611" s="2">
        <v>9.3827757533799294E-2</v>
      </c>
      <c r="AP611" s="2">
        <v>9.3827757533799294E-2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8</v>
      </c>
      <c r="AW611" s="2">
        <v>0</v>
      </c>
      <c r="AX611" s="2">
        <v>0</v>
      </c>
      <c r="AY611" s="2">
        <v>16.600000000000001</v>
      </c>
      <c r="AZ611" s="2">
        <v>101.7</v>
      </c>
      <c r="BA611" s="2">
        <v>19.899999999999999</v>
      </c>
      <c r="BB611" s="2">
        <v>564</v>
      </c>
      <c r="BC611" s="2">
        <v>71</v>
      </c>
      <c r="BD611" s="2">
        <v>1.7</v>
      </c>
      <c r="BE611" s="2">
        <v>185</v>
      </c>
      <c r="BF611" s="2">
        <v>0.8</v>
      </c>
      <c r="BG611" s="2">
        <v>162</v>
      </c>
      <c r="BH611" s="2">
        <v>19.5</v>
      </c>
      <c r="BI611" s="2">
        <v>15.6</v>
      </c>
      <c r="BJ611" s="2">
        <v>35</v>
      </c>
      <c r="BK611" s="2">
        <v>0.68</v>
      </c>
      <c r="BL611" s="2">
        <v>5.4</v>
      </c>
      <c r="BM611" s="2">
        <v>0.9</v>
      </c>
      <c r="BN611" s="2">
        <v>4.5999999999999996</v>
      </c>
      <c r="BO611" s="2">
        <v>2.1</v>
      </c>
      <c r="BP611" s="2">
        <f t="shared" si="18"/>
        <v>98.495598191142193</v>
      </c>
      <c r="BQ611" s="2">
        <f t="shared" si="19"/>
        <v>19.593484589593519</v>
      </c>
    </row>
    <row r="612" spans="1:69" x14ac:dyDescent="0.2">
      <c r="A612" s="2" t="s">
        <v>2727</v>
      </c>
      <c r="B612" s="2" t="s">
        <v>47</v>
      </c>
      <c r="C612" s="2" t="s">
        <v>1935</v>
      </c>
      <c r="D612" s="2" t="s">
        <v>49</v>
      </c>
      <c r="E612" s="2" t="s">
        <v>2555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89</v>
      </c>
      <c r="L612" s="6" t="s">
        <v>141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2728</v>
      </c>
      <c r="R612" s="2">
        <v>4083661.8020000001</v>
      </c>
      <c r="S612" s="2">
        <v>0</v>
      </c>
      <c r="T612" s="2" t="s">
        <v>483</v>
      </c>
      <c r="U612" s="2" t="s">
        <v>484</v>
      </c>
      <c r="V612" s="2" t="s">
        <v>56</v>
      </c>
      <c r="W612" s="2" t="s">
        <v>67</v>
      </c>
      <c r="X612" s="2" t="s">
        <v>485</v>
      </c>
      <c r="Y612" s="2">
        <v>1.3244698717285099</v>
      </c>
      <c r="Z612" s="2">
        <v>1324.46987172851</v>
      </c>
      <c r="AA612" s="2">
        <v>4.6085000000000003</v>
      </c>
      <c r="AB612" s="2">
        <v>-74.114944444444404</v>
      </c>
      <c r="AC612" s="2">
        <v>2559</v>
      </c>
      <c r="AD612" s="2">
        <v>0</v>
      </c>
      <c r="AE612" s="2" t="s">
        <v>59</v>
      </c>
      <c r="AF612" s="2" t="s">
        <v>486</v>
      </c>
      <c r="AG612" s="2" t="s">
        <v>61</v>
      </c>
      <c r="AH612" s="2" t="s">
        <v>62</v>
      </c>
      <c r="AI612" s="2" t="s">
        <v>267</v>
      </c>
      <c r="AJ612" s="2">
        <v>0.58216761070687095</v>
      </c>
      <c r="AK612" s="2">
        <v>5.8380435850636703</v>
      </c>
      <c r="AL612" s="2">
        <v>1.7563063058150401</v>
      </c>
      <c r="AM612" s="2">
        <v>0.33984997442053699</v>
      </c>
      <c r="AN612" s="2">
        <v>1.90173610918894</v>
      </c>
      <c r="AO612" s="2">
        <v>0.133547102511344</v>
      </c>
      <c r="AP612" s="2">
        <v>0.133547102511344</v>
      </c>
      <c r="AQ612" s="2">
        <v>0</v>
      </c>
      <c r="AR612" s="2">
        <v>2</v>
      </c>
      <c r="AS612" s="2">
        <v>0</v>
      </c>
      <c r="AT612" s="2">
        <v>0</v>
      </c>
      <c r="AU612" s="2">
        <v>0</v>
      </c>
      <c r="AV612" s="2">
        <v>23</v>
      </c>
      <c r="AW612" s="2">
        <v>0</v>
      </c>
      <c r="AX612" s="2">
        <v>0</v>
      </c>
      <c r="AY612" s="2">
        <v>16.600000000000001</v>
      </c>
      <c r="AZ612" s="2">
        <v>101.7</v>
      </c>
      <c r="BA612" s="2">
        <v>19.899999999999999</v>
      </c>
      <c r="BB612" s="2">
        <v>564</v>
      </c>
      <c r="BC612" s="2">
        <v>71</v>
      </c>
      <c r="BD612" s="2">
        <v>1.7</v>
      </c>
      <c r="BE612" s="2">
        <v>185</v>
      </c>
      <c r="BF612" s="2">
        <v>0.8</v>
      </c>
      <c r="BG612" s="2">
        <v>162</v>
      </c>
      <c r="BH612" s="2">
        <v>19.5</v>
      </c>
      <c r="BI612" s="2">
        <v>15.6</v>
      </c>
      <c r="BJ612" s="2">
        <v>35</v>
      </c>
      <c r="BK612" s="2">
        <v>0.68</v>
      </c>
      <c r="BL612" s="2">
        <v>5.4</v>
      </c>
      <c r="BM612" s="2">
        <v>0.9</v>
      </c>
      <c r="BN612" s="2">
        <v>4.5999999999999996</v>
      </c>
      <c r="BO612" s="2">
        <v>2.1</v>
      </c>
      <c r="BP612" s="2">
        <f t="shared" si="18"/>
        <v>95.246288217651653</v>
      </c>
      <c r="BQ612" s="2">
        <f t="shared" si="19"/>
        <v>19.277381291139498</v>
      </c>
    </row>
    <row r="613" spans="1:69" x14ac:dyDescent="0.2">
      <c r="A613" s="2" t="s">
        <v>2956</v>
      </c>
      <c r="B613" s="2" t="s">
        <v>47</v>
      </c>
      <c r="C613" s="2" t="s">
        <v>1935</v>
      </c>
      <c r="D613" s="2" t="s">
        <v>49</v>
      </c>
      <c r="E613" s="2" t="s">
        <v>1963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89</v>
      </c>
      <c r="L613" s="6" t="s">
        <v>103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2957</v>
      </c>
      <c r="R613" s="2">
        <v>3225806.452</v>
      </c>
      <c r="S613" s="2">
        <v>0</v>
      </c>
      <c r="T613" s="2" t="s">
        <v>483</v>
      </c>
      <c r="U613" s="2" t="s">
        <v>484</v>
      </c>
      <c r="V613" s="2" t="s">
        <v>56</v>
      </c>
      <c r="W613" s="2" t="s">
        <v>67</v>
      </c>
      <c r="X613" s="2" t="s">
        <v>485</v>
      </c>
      <c r="Y613" s="2">
        <v>0.32699109659536602</v>
      </c>
      <c r="Z613" s="2">
        <v>326.991096595366</v>
      </c>
      <c r="AA613" s="2">
        <v>4.6085000000000003</v>
      </c>
      <c r="AB613" s="2">
        <v>-74.114944444444404</v>
      </c>
      <c r="AC613" s="2">
        <v>2559</v>
      </c>
      <c r="AD613" s="2">
        <v>0</v>
      </c>
      <c r="AE613" s="2" t="s">
        <v>59</v>
      </c>
      <c r="AF613" s="2" t="s">
        <v>486</v>
      </c>
      <c r="AG613" s="2" t="s">
        <v>61</v>
      </c>
      <c r="AH613" s="2" t="s">
        <v>62</v>
      </c>
      <c r="AI613" s="2" t="s">
        <v>267</v>
      </c>
      <c r="AJ613" s="2">
        <v>1.61821850988441</v>
      </c>
      <c r="AK613" s="2">
        <v>5.7976962495218096</v>
      </c>
      <c r="AL613" s="2">
        <v>3.1178078878865199</v>
      </c>
      <c r="AM613" s="2">
        <v>0.54283053281581095</v>
      </c>
      <c r="AN613" s="2">
        <v>1.77137827338876</v>
      </c>
      <c r="AO613" s="2">
        <v>0.37355355589848499</v>
      </c>
      <c r="AP613" s="2">
        <v>0.37355355589848499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6</v>
      </c>
      <c r="AW613" s="2">
        <v>0</v>
      </c>
      <c r="AX613" s="2">
        <v>0</v>
      </c>
      <c r="AY613" s="2">
        <v>16.600000000000001</v>
      </c>
      <c r="AZ613" s="2">
        <v>101.7</v>
      </c>
      <c r="BA613" s="2">
        <v>19.899999999999999</v>
      </c>
      <c r="BB613" s="2">
        <v>564</v>
      </c>
      <c r="BC613" s="2">
        <v>71</v>
      </c>
      <c r="BD613" s="2">
        <v>1.7</v>
      </c>
      <c r="BE613" s="2">
        <v>185</v>
      </c>
      <c r="BF613" s="2">
        <v>0.8</v>
      </c>
      <c r="BG613" s="2">
        <v>162</v>
      </c>
      <c r="BH613" s="2">
        <v>19.5</v>
      </c>
      <c r="BI613" s="2">
        <v>15.6</v>
      </c>
      <c r="BJ613" s="2">
        <v>35</v>
      </c>
      <c r="BK613" s="2">
        <v>0.68</v>
      </c>
      <c r="BL613" s="2">
        <v>5.4</v>
      </c>
      <c r="BM613" s="2">
        <v>0.9</v>
      </c>
      <c r="BN613" s="2">
        <v>4.5999999999999996</v>
      </c>
      <c r="BO613" s="2">
        <v>2.1</v>
      </c>
      <c r="BP613" s="2">
        <f t="shared" si="18"/>
        <v>100.06712829946011</v>
      </c>
      <c r="BQ613" s="2">
        <f t="shared" si="19"/>
        <v>19.744440250483446</v>
      </c>
    </row>
    <row r="614" spans="1:69" x14ac:dyDescent="0.2">
      <c r="A614" s="2" t="s">
        <v>2032</v>
      </c>
      <c r="B614" s="2" t="s">
        <v>47</v>
      </c>
      <c r="C614" s="2" t="s">
        <v>1935</v>
      </c>
      <c r="D614" s="2" t="s">
        <v>49</v>
      </c>
      <c r="E614" s="2" t="s">
        <v>1963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89</v>
      </c>
      <c r="L614" s="6" t="s">
        <v>112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2033</v>
      </c>
      <c r="R614" s="2">
        <v>4496402.8779999996</v>
      </c>
      <c r="S614" s="2">
        <v>0</v>
      </c>
      <c r="T614" s="2" t="s">
        <v>483</v>
      </c>
      <c r="U614" s="2" t="s">
        <v>484</v>
      </c>
      <c r="V614" s="2" t="s">
        <v>56</v>
      </c>
      <c r="W614" s="2" t="s">
        <v>67</v>
      </c>
      <c r="X614" s="2" t="s">
        <v>485</v>
      </c>
      <c r="Y614" s="2">
        <v>0.52314174464185303</v>
      </c>
      <c r="Z614" s="2">
        <v>523.14174464185305</v>
      </c>
      <c r="AA614" s="2">
        <v>4.6085000000000003</v>
      </c>
      <c r="AB614" s="2">
        <v>-74.114944444444404</v>
      </c>
      <c r="AC614" s="2">
        <v>2559</v>
      </c>
      <c r="AD614" s="2">
        <v>0</v>
      </c>
      <c r="AE614" s="2" t="s">
        <v>59</v>
      </c>
      <c r="AF614" s="2" t="s">
        <v>486</v>
      </c>
      <c r="AG614" s="2" t="s">
        <v>61</v>
      </c>
      <c r="AH614" s="2" t="s">
        <v>62</v>
      </c>
      <c r="AI614" s="2" t="s">
        <v>267</v>
      </c>
      <c r="AJ614" s="2">
        <v>1.74169543578513</v>
      </c>
      <c r="AK614" s="2">
        <v>5.7678922313466101</v>
      </c>
      <c r="AL614" s="2">
        <v>3.1676433928977699</v>
      </c>
      <c r="AM614" s="2">
        <v>0.61302779483504999</v>
      </c>
      <c r="AN614" s="2">
        <v>1.62598757405973</v>
      </c>
      <c r="AO614" s="2">
        <v>0.30232624710183897</v>
      </c>
      <c r="AP614" s="2">
        <v>0.30232624710183897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6</v>
      </c>
      <c r="AW614" s="2">
        <v>0</v>
      </c>
      <c r="AX614" s="2">
        <v>0</v>
      </c>
      <c r="AY614" s="2">
        <v>16.600000000000001</v>
      </c>
      <c r="AZ614" s="2">
        <v>101.7</v>
      </c>
      <c r="BA614" s="2">
        <v>19.899999999999999</v>
      </c>
      <c r="BB614" s="2">
        <v>564</v>
      </c>
      <c r="BC614" s="2">
        <v>71</v>
      </c>
      <c r="BD614" s="2">
        <v>1.7</v>
      </c>
      <c r="BE614" s="2">
        <v>185</v>
      </c>
      <c r="BF614" s="2">
        <v>0.8</v>
      </c>
      <c r="BG614" s="2">
        <v>162</v>
      </c>
      <c r="BH614" s="2">
        <v>19.5</v>
      </c>
      <c r="BI614" s="2">
        <v>15.6</v>
      </c>
      <c r="BJ614" s="2">
        <v>35</v>
      </c>
      <c r="BK614" s="2">
        <v>0.68</v>
      </c>
      <c r="BL614" s="2">
        <v>5.4</v>
      </c>
      <c r="BM614" s="2">
        <v>0.9</v>
      </c>
      <c r="BN614" s="2">
        <v>4.5999999999999996</v>
      </c>
      <c r="BO614" s="2">
        <v>2.1</v>
      </c>
      <c r="BP614" s="2">
        <f t="shared" si="18"/>
        <v>99.100232425329665</v>
      </c>
      <c r="BQ614" s="2">
        <f t="shared" si="19"/>
        <v>19.651709458188243</v>
      </c>
    </row>
    <row r="615" spans="1:69" x14ac:dyDescent="0.2">
      <c r="A615" s="2" t="s">
        <v>2901</v>
      </c>
      <c r="B615" s="2" t="s">
        <v>47</v>
      </c>
      <c r="C615" s="2" t="s">
        <v>1935</v>
      </c>
      <c r="D615" s="2" t="s">
        <v>49</v>
      </c>
      <c r="E615" s="2" t="s">
        <v>2902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89</v>
      </c>
      <c r="L615" s="6" t="s">
        <v>141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2903</v>
      </c>
      <c r="R615" s="2">
        <v>3259259.2590000001</v>
      </c>
      <c r="S615" s="2">
        <v>0</v>
      </c>
      <c r="T615" s="2" t="s">
        <v>67</v>
      </c>
      <c r="U615" s="2" t="s">
        <v>68</v>
      </c>
      <c r="V615" s="2" t="s">
        <v>56</v>
      </c>
      <c r="W615" s="2" t="s">
        <v>67</v>
      </c>
      <c r="X615" s="2" t="s">
        <v>69</v>
      </c>
      <c r="Y615" s="2">
        <v>1.3661298221484199</v>
      </c>
      <c r="Z615" s="2">
        <v>1366.1298221484201</v>
      </c>
      <c r="AA615" s="2">
        <v>4.6317666666666701</v>
      </c>
      <c r="AB615" s="2">
        <v>-74.117483333333297</v>
      </c>
      <c r="AC615" s="2">
        <v>2590</v>
      </c>
      <c r="AD615" s="2">
        <v>10</v>
      </c>
      <c r="AE615" s="2" t="s">
        <v>59</v>
      </c>
      <c r="AF615" s="2" t="s">
        <v>70</v>
      </c>
      <c r="AG615" s="2" t="s">
        <v>61</v>
      </c>
      <c r="AH615" s="2" t="s">
        <v>62</v>
      </c>
      <c r="AI615" s="2" t="s">
        <v>200</v>
      </c>
      <c r="AJ615" s="2">
        <v>0.275310984071377</v>
      </c>
      <c r="AK615" s="2">
        <v>4.36846671193452</v>
      </c>
      <c r="AL615" s="2">
        <v>1.26350634176875</v>
      </c>
      <c r="AM615" s="2">
        <v>0.19601464231471299</v>
      </c>
      <c r="AN615" s="2">
        <v>2.6952308713618902</v>
      </c>
      <c r="AO615" s="2">
        <v>0.117432631641831</v>
      </c>
      <c r="AP615" s="2">
        <v>0.117432631641831</v>
      </c>
      <c r="AQ615" s="2">
        <v>1</v>
      </c>
      <c r="AR615" s="2">
        <v>2</v>
      </c>
      <c r="AS615" s="2">
        <v>0</v>
      </c>
      <c r="AT615" s="2">
        <v>0</v>
      </c>
      <c r="AU615" s="2">
        <v>0</v>
      </c>
      <c r="AV615" s="2">
        <v>35</v>
      </c>
      <c r="AW615" s="2">
        <v>0</v>
      </c>
      <c r="AX615" s="2">
        <v>0</v>
      </c>
      <c r="AY615" s="2">
        <v>16.600000000000001</v>
      </c>
      <c r="AZ615" s="2">
        <v>101.7</v>
      </c>
      <c r="BA615" s="2">
        <v>19.899999999999999</v>
      </c>
      <c r="BB615" s="2">
        <v>564</v>
      </c>
      <c r="BC615" s="2">
        <v>71</v>
      </c>
      <c r="BD615" s="2">
        <v>1.7</v>
      </c>
      <c r="BE615" s="2">
        <v>185</v>
      </c>
      <c r="BF615" s="2">
        <v>0.8</v>
      </c>
      <c r="BG615" s="2">
        <v>162</v>
      </c>
      <c r="BH615" s="2">
        <v>19.5</v>
      </c>
      <c r="BI615" s="2">
        <v>15.6</v>
      </c>
      <c r="BJ615" s="2">
        <v>35</v>
      </c>
      <c r="BK615" s="2">
        <v>0.68</v>
      </c>
      <c r="BL615" s="2">
        <v>5.4</v>
      </c>
      <c r="BM615" s="2">
        <v>0.9</v>
      </c>
      <c r="BN615" s="2">
        <v>4.5999999999999996</v>
      </c>
      <c r="BO615" s="2">
        <v>2.1</v>
      </c>
      <c r="BP615" s="2">
        <f t="shared" si="18"/>
        <v>95.050076793181489</v>
      </c>
      <c r="BQ615" s="2">
        <f t="shared" si="19"/>
        <v>19.258116649540984</v>
      </c>
    </row>
    <row r="616" spans="1:69" x14ac:dyDescent="0.2">
      <c r="A616" s="2" t="s">
        <v>3060</v>
      </c>
      <c r="B616" s="2" t="s">
        <v>47</v>
      </c>
      <c r="C616" s="2" t="s">
        <v>1935</v>
      </c>
      <c r="D616" s="2" t="s">
        <v>49</v>
      </c>
      <c r="E616" s="2" t="s">
        <v>3061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89</v>
      </c>
      <c r="L616" s="6" t="s">
        <v>141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3062</v>
      </c>
      <c r="R616" s="2">
        <v>2423076.923</v>
      </c>
      <c r="S616" s="2">
        <v>0</v>
      </c>
      <c r="T616" s="2" t="s">
        <v>483</v>
      </c>
      <c r="U616" s="2" t="s">
        <v>484</v>
      </c>
      <c r="V616" s="2" t="s">
        <v>56</v>
      </c>
      <c r="W616" s="2" t="s">
        <v>67</v>
      </c>
      <c r="X616" s="2" t="s">
        <v>485</v>
      </c>
      <c r="Y616" s="2">
        <v>1.54769283502398</v>
      </c>
      <c r="Z616" s="2">
        <v>1547.69283502398</v>
      </c>
      <c r="AA616" s="2">
        <v>4.6085000000000003</v>
      </c>
      <c r="AB616" s="2">
        <v>-74.114944444444404</v>
      </c>
      <c r="AC616" s="2">
        <v>2559</v>
      </c>
      <c r="AD616" s="2">
        <v>0</v>
      </c>
      <c r="AE616" s="2" t="s">
        <v>59</v>
      </c>
      <c r="AF616" s="2" t="s">
        <v>486</v>
      </c>
      <c r="AG616" s="2" t="s">
        <v>61</v>
      </c>
      <c r="AH616" s="2" t="s">
        <v>62</v>
      </c>
      <c r="AI616" s="2" t="s">
        <v>966</v>
      </c>
      <c r="AJ616" s="2">
        <v>0.248702066479661</v>
      </c>
      <c r="AK616" s="2">
        <v>4.4670185179139299</v>
      </c>
      <c r="AL616" s="2">
        <v>1.7809519718834199</v>
      </c>
      <c r="AM616" s="2">
        <v>0.27286790343061701</v>
      </c>
      <c r="AN616" s="2">
        <v>1.1857877821603</v>
      </c>
      <c r="AO616" s="2">
        <v>6.3118024810152704E-2</v>
      </c>
      <c r="AP616" s="2">
        <v>6.3118024810152704E-2</v>
      </c>
      <c r="AQ616" s="2">
        <v>1</v>
      </c>
      <c r="AR616" s="2">
        <v>2</v>
      </c>
      <c r="AS616" s="2">
        <v>0</v>
      </c>
      <c r="AT616" s="2">
        <v>0</v>
      </c>
      <c r="AU616" s="2">
        <v>0</v>
      </c>
      <c r="AV616" s="2">
        <v>18</v>
      </c>
      <c r="AW616" s="2">
        <v>0</v>
      </c>
      <c r="AX616" s="2">
        <v>0</v>
      </c>
      <c r="AY616" s="2">
        <v>16.600000000000001</v>
      </c>
      <c r="AZ616" s="2">
        <v>101.7</v>
      </c>
      <c r="BA616" s="2">
        <v>19.899999999999999</v>
      </c>
      <c r="BB616" s="2">
        <v>564</v>
      </c>
      <c r="BC616" s="2">
        <v>71</v>
      </c>
      <c r="BD616" s="2">
        <v>1.7</v>
      </c>
      <c r="BE616" s="2">
        <v>185</v>
      </c>
      <c r="BF616" s="2">
        <v>0.8</v>
      </c>
      <c r="BG616" s="2">
        <v>162</v>
      </c>
      <c r="BH616" s="2">
        <v>19.5</v>
      </c>
      <c r="BI616" s="2">
        <v>15.6</v>
      </c>
      <c r="BJ616" s="2">
        <v>35</v>
      </c>
      <c r="BK616" s="2">
        <v>0.68</v>
      </c>
      <c r="BL616" s="2">
        <v>5.4</v>
      </c>
      <c r="BM616" s="2">
        <v>0.9</v>
      </c>
      <c r="BN616" s="2">
        <v>4.5999999999999996</v>
      </c>
      <c r="BO616" s="2">
        <v>2.1</v>
      </c>
      <c r="BP616" s="2">
        <f t="shared" si="18"/>
        <v>94.199653922883357</v>
      </c>
      <c r="BQ616" s="2">
        <f t="shared" si="19"/>
        <v>19.174381739638381</v>
      </c>
    </row>
    <row r="617" spans="1:69" x14ac:dyDescent="0.2">
      <c r="A617" s="2" t="s">
        <v>1962</v>
      </c>
      <c r="B617" s="2" t="s">
        <v>47</v>
      </c>
      <c r="C617" s="2" t="s">
        <v>1935</v>
      </c>
      <c r="D617" s="2" t="s">
        <v>49</v>
      </c>
      <c r="E617" s="2" t="s">
        <v>1963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89</v>
      </c>
      <c r="L617" s="6" t="s">
        <v>141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1964</v>
      </c>
      <c r="R617" s="2">
        <v>3398437.5</v>
      </c>
      <c r="S617" s="2">
        <v>0</v>
      </c>
      <c r="T617" s="2" t="s">
        <v>483</v>
      </c>
      <c r="U617" s="2" t="s">
        <v>484</v>
      </c>
      <c r="V617" s="2" t="s">
        <v>56</v>
      </c>
      <c r="W617" s="2" t="s">
        <v>67</v>
      </c>
      <c r="X617" s="2" t="s">
        <v>485</v>
      </c>
      <c r="Y617" s="2">
        <v>0.49276212341073899</v>
      </c>
      <c r="Z617" s="2">
        <v>492.76212341073898</v>
      </c>
      <c r="AA617" s="2">
        <v>4.6085000000000003</v>
      </c>
      <c r="AB617" s="2">
        <v>-74.114944444444404</v>
      </c>
      <c r="AC617" s="2">
        <v>2559</v>
      </c>
      <c r="AD617" s="2">
        <v>0</v>
      </c>
      <c r="AE617" s="2" t="s">
        <v>59</v>
      </c>
      <c r="AF617" s="2" t="s">
        <v>486</v>
      </c>
      <c r="AG617" s="2" t="s">
        <v>61</v>
      </c>
      <c r="AH617" s="2" t="s">
        <v>62</v>
      </c>
      <c r="AI617" s="2" t="s">
        <v>267</v>
      </c>
      <c r="AJ617" s="2">
        <v>1.7911892551306401</v>
      </c>
      <c r="AK617" s="2">
        <v>5.8813384055570896</v>
      </c>
      <c r="AL617" s="2">
        <v>3.1640612277585101</v>
      </c>
      <c r="AM617" s="2">
        <v>0.71257850290289004</v>
      </c>
      <c r="AN617" s="2">
        <v>1.7774465228410501</v>
      </c>
      <c r="AO617" s="2">
        <v>0.24232116879492299</v>
      </c>
      <c r="AP617" s="2">
        <v>0.24232116879492299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8</v>
      </c>
      <c r="AW617" s="2">
        <v>0</v>
      </c>
      <c r="AX617" s="2">
        <v>0</v>
      </c>
      <c r="AY617" s="2">
        <v>16.600000000000001</v>
      </c>
      <c r="AZ617" s="2">
        <v>101.7</v>
      </c>
      <c r="BA617" s="2">
        <v>19.899999999999999</v>
      </c>
      <c r="BB617" s="2">
        <v>564</v>
      </c>
      <c r="BC617" s="2">
        <v>71</v>
      </c>
      <c r="BD617" s="2">
        <v>1.7</v>
      </c>
      <c r="BE617" s="2">
        <v>185</v>
      </c>
      <c r="BF617" s="2">
        <v>0.8</v>
      </c>
      <c r="BG617" s="2">
        <v>162</v>
      </c>
      <c r="BH617" s="2">
        <v>19.5</v>
      </c>
      <c r="BI617" s="2">
        <v>15.6</v>
      </c>
      <c r="BJ617" s="2">
        <v>35</v>
      </c>
      <c r="BK617" s="2">
        <v>0.68</v>
      </c>
      <c r="BL617" s="2">
        <v>5.4</v>
      </c>
      <c r="BM617" s="2">
        <v>0.9</v>
      </c>
      <c r="BN617" s="2">
        <v>4.5999999999999996</v>
      </c>
      <c r="BO617" s="2">
        <v>2.1</v>
      </c>
      <c r="BP617" s="2">
        <f t="shared" si="18"/>
        <v>99.249370596050227</v>
      </c>
      <c r="BQ617" s="2">
        <f t="shared" si="19"/>
        <v>19.66604295866626</v>
      </c>
    </row>
    <row r="618" spans="1:69" x14ac:dyDescent="0.2">
      <c r="A618" s="2" t="s">
        <v>3095</v>
      </c>
      <c r="B618" s="2" t="s">
        <v>47</v>
      </c>
      <c r="C618" s="2" t="s">
        <v>1935</v>
      </c>
      <c r="D618" s="2" t="s">
        <v>49</v>
      </c>
      <c r="E618" s="2" t="s">
        <v>3096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89</v>
      </c>
      <c r="L618" s="6" t="s">
        <v>141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3097</v>
      </c>
      <c r="R618" s="2">
        <v>2941176.4709999999</v>
      </c>
      <c r="S618" s="2">
        <v>0</v>
      </c>
      <c r="T618" s="2" t="s">
        <v>483</v>
      </c>
      <c r="U618" s="2" t="s">
        <v>484</v>
      </c>
      <c r="V618" s="2" t="s">
        <v>56</v>
      </c>
      <c r="W618" s="2" t="s">
        <v>67</v>
      </c>
      <c r="X618" s="2" t="s">
        <v>485</v>
      </c>
      <c r="Y618" s="2">
        <v>1.12080446919737</v>
      </c>
      <c r="Z618" s="2">
        <v>1120.8044691973701</v>
      </c>
      <c r="AA618" s="2">
        <v>4.6085000000000003</v>
      </c>
      <c r="AB618" s="2">
        <v>-74.114944444444404</v>
      </c>
      <c r="AC618" s="2">
        <v>2559</v>
      </c>
      <c r="AD618" s="2">
        <v>0</v>
      </c>
      <c r="AE618" s="2" t="s">
        <v>59</v>
      </c>
      <c r="AF618" s="2" t="s">
        <v>486</v>
      </c>
      <c r="AG618" s="2" t="s">
        <v>61</v>
      </c>
      <c r="AH618" s="2" t="s">
        <v>62</v>
      </c>
      <c r="AI618" s="2" t="s">
        <v>267</v>
      </c>
      <c r="AJ618" s="2">
        <v>0.31000251666999001</v>
      </c>
      <c r="AK618" s="2">
        <v>5.0225007353533897</v>
      </c>
      <c r="AL618" s="2">
        <v>2.32828563492949</v>
      </c>
      <c r="AM618" s="2">
        <v>0.37875347948475702</v>
      </c>
      <c r="AN618" s="2">
        <v>1.48781884336323</v>
      </c>
      <c r="AO618" s="2">
        <v>4.5226041317536901E-2</v>
      </c>
      <c r="AP618" s="2">
        <v>4.5226041317536901E-2</v>
      </c>
      <c r="AQ618" s="2">
        <v>1</v>
      </c>
      <c r="AR618" s="2">
        <v>2</v>
      </c>
      <c r="AS618" s="2">
        <v>0</v>
      </c>
      <c r="AT618" s="2">
        <v>0</v>
      </c>
      <c r="AU618" s="2">
        <v>0</v>
      </c>
      <c r="AV618" s="2">
        <v>18</v>
      </c>
      <c r="AW618" s="2">
        <v>0</v>
      </c>
      <c r="AX618" s="2">
        <v>0</v>
      </c>
      <c r="AY618" s="2">
        <v>16.600000000000001</v>
      </c>
      <c r="AZ618" s="2">
        <v>101.7</v>
      </c>
      <c r="BA618" s="2">
        <v>19.899999999999999</v>
      </c>
      <c r="BB618" s="2">
        <v>564</v>
      </c>
      <c r="BC618" s="2">
        <v>71</v>
      </c>
      <c r="BD618" s="2">
        <v>1.7</v>
      </c>
      <c r="BE618" s="2">
        <v>185</v>
      </c>
      <c r="BF618" s="2">
        <v>0.8</v>
      </c>
      <c r="BG618" s="2">
        <v>162</v>
      </c>
      <c r="BH618" s="2">
        <v>19.5</v>
      </c>
      <c r="BI618" s="2">
        <v>15.6</v>
      </c>
      <c r="BJ618" s="2">
        <v>35</v>
      </c>
      <c r="BK618" s="2">
        <v>0.68</v>
      </c>
      <c r="BL618" s="2">
        <v>5.4</v>
      </c>
      <c r="BM618" s="2">
        <v>0.9</v>
      </c>
      <c r="BN618" s="2">
        <v>4.5999999999999996</v>
      </c>
      <c r="BO618" s="2">
        <v>2.1</v>
      </c>
      <c r="BP618" s="2">
        <f t="shared" si="18"/>
        <v>96.211364215140506</v>
      </c>
      <c r="BQ618" s="2">
        <f t="shared" si="19"/>
        <v>19.371839211686581</v>
      </c>
    </row>
    <row r="619" spans="1:69" x14ac:dyDescent="0.2">
      <c r="A619" s="2" t="s">
        <v>1136</v>
      </c>
      <c r="B619" s="2" t="s">
        <v>47</v>
      </c>
      <c r="C619" s="2" t="s">
        <v>48</v>
      </c>
      <c r="D619" s="2" t="s">
        <v>49</v>
      </c>
      <c r="E619" s="2" t="s">
        <v>109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89</v>
      </c>
      <c r="L619" s="6" t="s">
        <v>141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1137</v>
      </c>
      <c r="R619" s="2">
        <v>9705739.6209999993</v>
      </c>
      <c r="S619" s="2">
        <v>0</v>
      </c>
      <c r="T619" s="2" t="s">
        <v>483</v>
      </c>
      <c r="U619" s="2" t="s">
        <v>484</v>
      </c>
      <c r="V619" s="2" t="s">
        <v>56</v>
      </c>
      <c r="W619" s="2" t="s">
        <v>67</v>
      </c>
      <c r="X619" s="2" t="s">
        <v>485</v>
      </c>
      <c r="Y619" s="2">
        <v>2.4923345855875301</v>
      </c>
      <c r="Z619" s="2">
        <v>2492.33458558753</v>
      </c>
      <c r="AA619" s="2">
        <v>4.6085000000000003</v>
      </c>
      <c r="AB619" s="2">
        <v>-74.114944444444404</v>
      </c>
      <c r="AC619" s="2">
        <v>2559</v>
      </c>
      <c r="AD619" s="2">
        <v>0</v>
      </c>
      <c r="AE619" s="2" t="s">
        <v>59</v>
      </c>
      <c r="AF619" s="2" t="s">
        <v>486</v>
      </c>
      <c r="AG619" s="2" t="s">
        <v>61</v>
      </c>
      <c r="AH619" s="2" t="s">
        <v>62</v>
      </c>
      <c r="AI619" s="2" t="s">
        <v>287</v>
      </c>
      <c r="AJ619" s="2">
        <v>0.849737302432373</v>
      </c>
      <c r="AK619" s="2">
        <v>3.2810393332641299</v>
      </c>
      <c r="AL619" s="2">
        <v>0.89994462002576203</v>
      </c>
      <c r="AM619" s="2">
        <v>0.39230940878007597</v>
      </c>
      <c r="AN619" s="2">
        <v>1.44811480607302</v>
      </c>
      <c r="AO619" s="2">
        <v>1.5700144271330398E-2</v>
      </c>
      <c r="AP619" s="2">
        <v>1.5700144271330398E-2</v>
      </c>
      <c r="AQ619" s="2">
        <v>0</v>
      </c>
      <c r="AR619" s="2">
        <v>5</v>
      </c>
      <c r="AS619" s="2">
        <v>0</v>
      </c>
      <c r="AT619" s="2">
        <v>0</v>
      </c>
      <c r="AU619" s="2">
        <v>1</v>
      </c>
      <c r="AV619" s="2">
        <v>21</v>
      </c>
      <c r="AW619" s="2">
        <v>0</v>
      </c>
      <c r="AX619" s="2">
        <v>0</v>
      </c>
      <c r="AY619" s="2">
        <v>16.600000000000001</v>
      </c>
      <c r="AZ619" s="2">
        <v>101.7</v>
      </c>
      <c r="BA619" s="2">
        <v>19.899999999999999</v>
      </c>
      <c r="BB619" s="2">
        <v>564</v>
      </c>
      <c r="BC619" s="2">
        <v>71</v>
      </c>
      <c r="BD619" s="2">
        <v>1.7</v>
      </c>
      <c r="BE619" s="2">
        <v>185</v>
      </c>
      <c r="BF619" s="2">
        <v>0.8</v>
      </c>
      <c r="BG619" s="2">
        <v>162</v>
      </c>
      <c r="BH619" s="2">
        <v>19.5</v>
      </c>
      <c r="BI619" s="2">
        <v>15.6</v>
      </c>
      <c r="BJ619" s="2">
        <v>35</v>
      </c>
      <c r="BK619" s="2">
        <v>0.68</v>
      </c>
      <c r="BL619" s="2">
        <v>5.4</v>
      </c>
      <c r="BM619" s="2">
        <v>0.9</v>
      </c>
      <c r="BN619" s="2">
        <v>4.5999999999999996</v>
      </c>
      <c r="BO619" s="2">
        <v>2.1</v>
      </c>
      <c r="BP619" s="2">
        <f t="shared" si="18"/>
        <v>89.896296159473479</v>
      </c>
      <c r="BQ619" s="2">
        <f t="shared" si="19"/>
        <v>18.744562337260788</v>
      </c>
    </row>
    <row r="620" spans="1:69" x14ac:dyDescent="0.2">
      <c r="A620" s="2" t="s">
        <v>2361</v>
      </c>
      <c r="B620" s="2" t="s">
        <v>47</v>
      </c>
      <c r="C620" s="2" t="s">
        <v>1935</v>
      </c>
      <c r="D620" s="2" t="s">
        <v>49</v>
      </c>
      <c r="E620" s="2" t="s">
        <v>2362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89</v>
      </c>
      <c r="L620" s="6" t="s">
        <v>141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2363</v>
      </c>
      <c r="R620" s="2">
        <v>3794642.8569999998</v>
      </c>
      <c r="S620" s="2">
        <v>0</v>
      </c>
      <c r="T620" s="2" t="s">
        <v>483</v>
      </c>
      <c r="U620" s="2" t="s">
        <v>484</v>
      </c>
      <c r="V620" s="2" t="s">
        <v>56</v>
      </c>
      <c r="W620" s="2" t="s">
        <v>67</v>
      </c>
      <c r="X620" s="2" t="s">
        <v>485</v>
      </c>
      <c r="Y620" s="2">
        <v>2.3206948707712298</v>
      </c>
      <c r="Z620" s="2">
        <v>2320.6948707712299</v>
      </c>
      <c r="AA620" s="2">
        <v>4.6085000000000003</v>
      </c>
      <c r="AB620" s="2">
        <v>-74.114944444444404</v>
      </c>
      <c r="AC620" s="2">
        <v>2559</v>
      </c>
      <c r="AD620" s="2">
        <v>0</v>
      </c>
      <c r="AE620" s="2" t="s">
        <v>59</v>
      </c>
      <c r="AF620" s="2" t="s">
        <v>486</v>
      </c>
      <c r="AG620" s="2" t="s">
        <v>61</v>
      </c>
      <c r="AH620" s="2" t="s">
        <v>62</v>
      </c>
      <c r="AI620" s="2" t="s">
        <v>966</v>
      </c>
      <c r="AJ620" s="2">
        <v>0.90629343930143502</v>
      </c>
      <c r="AK620" s="2">
        <v>3.5211831854251301</v>
      </c>
      <c r="AL620" s="2">
        <v>1.0283276198681199</v>
      </c>
      <c r="AM620" s="2">
        <v>0.48916904100450698</v>
      </c>
      <c r="AN620" s="2">
        <v>0.97971756934495102</v>
      </c>
      <c r="AO620" s="2">
        <v>0.39255505800998203</v>
      </c>
      <c r="AP620" s="2">
        <v>0.39255505800998203</v>
      </c>
      <c r="AQ620" s="2">
        <v>0</v>
      </c>
      <c r="AR620" s="2">
        <v>1</v>
      </c>
      <c r="AS620" s="2">
        <v>0</v>
      </c>
      <c r="AT620" s="2">
        <v>0</v>
      </c>
      <c r="AU620" s="2">
        <v>0</v>
      </c>
      <c r="AV620" s="2">
        <v>39</v>
      </c>
      <c r="AW620" s="2">
        <v>1</v>
      </c>
      <c r="AX620" s="2">
        <v>0</v>
      </c>
      <c r="AY620" s="2">
        <v>16.600000000000001</v>
      </c>
      <c r="AZ620" s="2">
        <v>101.7</v>
      </c>
      <c r="BA620" s="2">
        <v>19.899999999999999</v>
      </c>
      <c r="BB620" s="2">
        <v>564</v>
      </c>
      <c r="BC620" s="2">
        <v>71</v>
      </c>
      <c r="BD620" s="2">
        <v>1.7</v>
      </c>
      <c r="BE620" s="2">
        <v>185</v>
      </c>
      <c r="BF620" s="2">
        <v>0.8</v>
      </c>
      <c r="BG620" s="2">
        <v>162</v>
      </c>
      <c r="BH620" s="2">
        <v>19.5</v>
      </c>
      <c r="BI620" s="2">
        <v>15.6</v>
      </c>
      <c r="BJ620" s="2">
        <v>35</v>
      </c>
      <c r="BK620" s="2">
        <v>0.68</v>
      </c>
      <c r="BL620" s="2">
        <v>5.4</v>
      </c>
      <c r="BM620" s="2">
        <v>0.9</v>
      </c>
      <c r="BN620" s="2">
        <v>4.5999999999999996</v>
      </c>
      <c r="BO620" s="2">
        <v>2.1</v>
      </c>
      <c r="BP620" s="2">
        <f t="shared" si="18"/>
        <v>90.663323786953697</v>
      </c>
      <c r="BQ620" s="2">
        <f t="shared" si="19"/>
        <v>18.821937066778322</v>
      </c>
    </row>
    <row r="621" spans="1:69" x14ac:dyDescent="0.2">
      <c r="A621" s="2" t="s">
        <v>2151</v>
      </c>
      <c r="B621" s="2" t="s">
        <v>47</v>
      </c>
      <c r="C621" s="2" t="s">
        <v>1935</v>
      </c>
      <c r="D621" s="2" t="s">
        <v>49</v>
      </c>
      <c r="E621" s="2" t="s">
        <v>964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89</v>
      </c>
      <c r="L621" s="6" t="s">
        <v>141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2152</v>
      </c>
      <c r="R621" s="2">
        <v>7281553.398</v>
      </c>
      <c r="S621" s="2">
        <v>0</v>
      </c>
      <c r="T621" s="2" t="s">
        <v>483</v>
      </c>
      <c r="U621" s="2" t="s">
        <v>484</v>
      </c>
      <c r="V621" s="2" t="s">
        <v>56</v>
      </c>
      <c r="W621" s="2" t="s">
        <v>67</v>
      </c>
      <c r="X621" s="2" t="s">
        <v>485</v>
      </c>
      <c r="Y621" s="2">
        <v>1.6704203357880401</v>
      </c>
      <c r="Z621" s="2">
        <v>1670.4203357880399</v>
      </c>
      <c r="AA621" s="2">
        <v>4.6085000000000003</v>
      </c>
      <c r="AB621" s="2">
        <v>-74.114944444444404</v>
      </c>
      <c r="AC621" s="2">
        <v>2559</v>
      </c>
      <c r="AD621" s="2">
        <v>0</v>
      </c>
      <c r="AE621" s="2" t="s">
        <v>59</v>
      </c>
      <c r="AF621" s="2" t="s">
        <v>486</v>
      </c>
      <c r="AG621" s="2" t="s">
        <v>61</v>
      </c>
      <c r="AH621" s="2" t="s">
        <v>62</v>
      </c>
      <c r="AI621" s="2" t="s">
        <v>966</v>
      </c>
      <c r="AJ621" s="2">
        <v>0.50039139321516002</v>
      </c>
      <c r="AK621" s="2">
        <v>4.7961427782238797</v>
      </c>
      <c r="AL621" s="2">
        <v>2.0551035607480799</v>
      </c>
      <c r="AM621" s="2">
        <v>0.17951037432650499</v>
      </c>
      <c r="AN621" s="2">
        <v>0.96231927112360405</v>
      </c>
      <c r="AO621" s="2">
        <v>0.236309549539231</v>
      </c>
      <c r="AP621" s="2">
        <v>0.236309549539231</v>
      </c>
      <c r="AQ621" s="2">
        <v>0</v>
      </c>
      <c r="AR621" s="2">
        <v>2</v>
      </c>
      <c r="AS621" s="2">
        <v>0</v>
      </c>
      <c r="AT621" s="2">
        <v>0</v>
      </c>
      <c r="AU621" s="2">
        <v>0</v>
      </c>
      <c r="AV621" s="2">
        <v>16</v>
      </c>
      <c r="AW621" s="2">
        <v>1</v>
      </c>
      <c r="AX621" s="2">
        <v>0</v>
      </c>
      <c r="AY621" s="2">
        <v>16.600000000000001</v>
      </c>
      <c r="AZ621" s="2">
        <v>101.7</v>
      </c>
      <c r="BA621" s="2">
        <v>19.899999999999999</v>
      </c>
      <c r="BB621" s="2">
        <v>564</v>
      </c>
      <c r="BC621" s="2">
        <v>71</v>
      </c>
      <c r="BD621" s="2">
        <v>1.7</v>
      </c>
      <c r="BE621" s="2">
        <v>185</v>
      </c>
      <c r="BF621" s="2">
        <v>0.8</v>
      </c>
      <c r="BG621" s="2">
        <v>162</v>
      </c>
      <c r="BH621" s="2">
        <v>19.5</v>
      </c>
      <c r="BI621" s="2">
        <v>15.6</v>
      </c>
      <c r="BJ621" s="2">
        <v>35</v>
      </c>
      <c r="BK621" s="2">
        <v>0.68</v>
      </c>
      <c r="BL621" s="2">
        <v>5.4</v>
      </c>
      <c r="BM621" s="2">
        <v>0.9</v>
      </c>
      <c r="BN621" s="2">
        <v>4.5999999999999996</v>
      </c>
      <c r="BO621" s="2">
        <v>2.1</v>
      </c>
      <c r="BP621" s="2">
        <f t="shared" si="18"/>
        <v>93.629124702370561</v>
      </c>
      <c r="BQ621" s="2">
        <f t="shared" si="19"/>
        <v>19.117987459168944</v>
      </c>
    </row>
    <row r="622" spans="1:69" x14ac:dyDescent="0.2">
      <c r="A622" s="2" t="s">
        <v>2940</v>
      </c>
      <c r="B622" s="2" t="s">
        <v>47</v>
      </c>
      <c r="C622" s="2" t="s">
        <v>1935</v>
      </c>
      <c r="D622" s="2" t="s">
        <v>49</v>
      </c>
      <c r="E622" s="2" t="s">
        <v>2941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89</v>
      </c>
      <c r="L622" s="6" t="s">
        <v>112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2942</v>
      </c>
      <c r="R622" s="2">
        <v>7777777.7779999999</v>
      </c>
      <c r="S622" s="2">
        <v>0</v>
      </c>
      <c r="T622" s="2" t="s">
        <v>67</v>
      </c>
      <c r="U622" s="2" t="s">
        <v>68</v>
      </c>
      <c r="V622" s="2" t="s">
        <v>56</v>
      </c>
      <c r="W622" s="2" t="s">
        <v>67</v>
      </c>
      <c r="X622" s="2" t="s">
        <v>69</v>
      </c>
      <c r="Y622" s="2">
        <v>2.24536154740853</v>
      </c>
      <c r="Z622" s="2">
        <v>2245.36154740853</v>
      </c>
      <c r="AA622" s="2">
        <v>4.6317666666666701</v>
      </c>
      <c r="AB622" s="2">
        <v>-74.117483333333297</v>
      </c>
      <c r="AC622" s="2">
        <v>2590</v>
      </c>
      <c r="AD622" s="2">
        <v>10</v>
      </c>
      <c r="AE622" s="2" t="s">
        <v>59</v>
      </c>
      <c r="AF622" s="2" t="s">
        <v>70</v>
      </c>
      <c r="AG622" s="2" t="s">
        <v>61</v>
      </c>
      <c r="AH622" s="2" t="s">
        <v>62</v>
      </c>
      <c r="AI622" s="2" t="s">
        <v>200</v>
      </c>
      <c r="AJ622" s="2">
        <v>0.383491936785962</v>
      </c>
      <c r="AK622" s="2">
        <v>3.9524423290657298</v>
      </c>
      <c r="AL622" s="2">
        <v>2.04605402543599</v>
      </c>
      <c r="AM622" s="2">
        <v>9.7869732131273798E-2</v>
      </c>
      <c r="AN622" s="2">
        <v>2.7076033676710298</v>
      </c>
      <c r="AO622" s="2">
        <v>0.236287413271312</v>
      </c>
      <c r="AP622" s="2">
        <v>0.236287413271312</v>
      </c>
      <c r="AQ622" s="2">
        <v>2</v>
      </c>
      <c r="AR622" s="2">
        <v>4</v>
      </c>
      <c r="AS622" s="2">
        <v>0</v>
      </c>
      <c r="AT622" s="2">
        <v>0</v>
      </c>
      <c r="AU622" s="2">
        <v>0</v>
      </c>
      <c r="AV622" s="2">
        <v>41</v>
      </c>
      <c r="AW622" s="2">
        <v>0</v>
      </c>
      <c r="AX622" s="2">
        <v>0</v>
      </c>
      <c r="AY622" s="2">
        <v>16.600000000000001</v>
      </c>
      <c r="AZ622" s="2">
        <v>101.7</v>
      </c>
      <c r="BA622" s="2">
        <v>19.899999999999999</v>
      </c>
      <c r="BB622" s="2">
        <v>564</v>
      </c>
      <c r="BC622" s="2">
        <v>71</v>
      </c>
      <c r="BD622" s="2">
        <v>1.7</v>
      </c>
      <c r="BE622" s="2">
        <v>185</v>
      </c>
      <c r="BF622" s="2">
        <v>0.8</v>
      </c>
      <c r="BG622" s="2">
        <v>162</v>
      </c>
      <c r="BH622" s="2">
        <v>19.5</v>
      </c>
      <c r="BI622" s="2">
        <v>15.6</v>
      </c>
      <c r="BJ622" s="2">
        <v>35</v>
      </c>
      <c r="BK622" s="2">
        <v>0.68</v>
      </c>
      <c r="BL622" s="2">
        <v>5.4</v>
      </c>
      <c r="BM622" s="2">
        <v>0.9</v>
      </c>
      <c r="BN622" s="2">
        <v>4.5999999999999996</v>
      </c>
      <c r="BO622" s="2">
        <v>2.1</v>
      </c>
      <c r="BP622" s="2">
        <f t="shared" si="18"/>
        <v>91.00203841745585</v>
      </c>
      <c r="BQ622" s="2">
        <f t="shared" si="19"/>
        <v>18.855997906207474</v>
      </c>
    </row>
    <row r="623" spans="1:69" x14ac:dyDescent="0.2">
      <c r="A623" s="2" t="s">
        <v>2554</v>
      </c>
      <c r="B623" s="2" t="s">
        <v>47</v>
      </c>
      <c r="C623" s="2" t="s">
        <v>1935</v>
      </c>
      <c r="D623" s="2" t="s">
        <v>49</v>
      </c>
      <c r="E623" s="2" t="s">
        <v>2555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89</v>
      </c>
      <c r="L623" s="6" t="s">
        <v>141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2556</v>
      </c>
      <c r="R623" s="2">
        <v>3027777.7779999999</v>
      </c>
      <c r="S623" s="2">
        <v>0</v>
      </c>
      <c r="T623" s="2" t="s">
        <v>483</v>
      </c>
      <c r="U623" s="2" t="s">
        <v>484</v>
      </c>
      <c r="V623" s="2" t="s">
        <v>56</v>
      </c>
      <c r="W623" s="2" t="s">
        <v>67</v>
      </c>
      <c r="X623" s="2" t="s">
        <v>485</v>
      </c>
      <c r="Y623" s="2">
        <v>1.8853124299672499</v>
      </c>
      <c r="Z623" s="2">
        <v>1885.31242996725</v>
      </c>
      <c r="AA623" s="2">
        <v>4.6085000000000003</v>
      </c>
      <c r="AB623" s="2">
        <v>-74.114944444444404</v>
      </c>
      <c r="AC623" s="2">
        <v>2559</v>
      </c>
      <c r="AD623" s="2">
        <v>0</v>
      </c>
      <c r="AE623" s="2" t="s">
        <v>59</v>
      </c>
      <c r="AF623" s="2" t="s">
        <v>486</v>
      </c>
      <c r="AG623" s="2" t="s">
        <v>61</v>
      </c>
      <c r="AH623" s="2" t="s">
        <v>62</v>
      </c>
      <c r="AI623" s="2" t="s">
        <v>267</v>
      </c>
      <c r="AJ623" s="2">
        <v>0.27885337441175501</v>
      </c>
      <c r="AK623" s="2">
        <v>5.9223400538406299</v>
      </c>
      <c r="AL623" s="2">
        <v>1.2101787465615601</v>
      </c>
      <c r="AM623" s="2">
        <v>0.15495293222857601</v>
      </c>
      <c r="AN623" s="2">
        <v>1.3336969798567799</v>
      </c>
      <c r="AO623" s="2">
        <v>0.268846032437635</v>
      </c>
      <c r="AP623" s="2">
        <v>0.268846032437635</v>
      </c>
      <c r="AQ623" s="2">
        <v>2</v>
      </c>
      <c r="AR623" s="2">
        <v>4</v>
      </c>
      <c r="AS623" s="2">
        <v>0</v>
      </c>
      <c r="AT623" s="2">
        <v>0</v>
      </c>
      <c r="AU623" s="2">
        <v>0</v>
      </c>
      <c r="AV623" s="2">
        <v>21</v>
      </c>
      <c r="AW623" s="2">
        <v>0</v>
      </c>
      <c r="AX623" s="2">
        <v>0</v>
      </c>
      <c r="AY623" s="2">
        <v>16.600000000000001</v>
      </c>
      <c r="AZ623" s="2">
        <v>101.7</v>
      </c>
      <c r="BA623" s="2">
        <v>19.899999999999999</v>
      </c>
      <c r="BB623" s="2">
        <v>564</v>
      </c>
      <c r="BC623" s="2">
        <v>71</v>
      </c>
      <c r="BD623" s="2">
        <v>1.7</v>
      </c>
      <c r="BE623" s="2">
        <v>185</v>
      </c>
      <c r="BF623" s="2">
        <v>0.8</v>
      </c>
      <c r="BG623" s="2">
        <v>162</v>
      </c>
      <c r="BH623" s="2">
        <v>19.5</v>
      </c>
      <c r="BI623" s="2">
        <v>15.6</v>
      </c>
      <c r="BJ623" s="2">
        <v>35</v>
      </c>
      <c r="BK623" s="2">
        <v>0.68</v>
      </c>
      <c r="BL623" s="2">
        <v>5.4</v>
      </c>
      <c r="BM623" s="2">
        <v>0.9</v>
      </c>
      <c r="BN623" s="2">
        <v>4.5999999999999996</v>
      </c>
      <c r="BO623" s="2">
        <v>2.1</v>
      </c>
      <c r="BP623" s="2">
        <f t="shared" si="18"/>
        <v>92.638455143280254</v>
      </c>
      <c r="BQ623" s="2">
        <f t="shared" si="19"/>
        <v>19.019641976481335</v>
      </c>
    </row>
    <row r="624" spans="1:69" x14ac:dyDescent="0.2">
      <c r="A624" s="2" t="s">
        <v>3180</v>
      </c>
      <c r="B624" s="2" t="s">
        <v>47</v>
      </c>
      <c r="C624" s="2" t="s">
        <v>1935</v>
      </c>
      <c r="D624" s="2" t="s">
        <v>49</v>
      </c>
      <c r="E624" s="2" t="s">
        <v>2369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89</v>
      </c>
      <c r="L624" s="6" t="s">
        <v>141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3181</v>
      </c>
      <c r="R624" s="2">
        <v>6960556.8449999997</v>
      </c>
      <c r="S624" s="2">
        <v>0</v>
      </c>
      <c r="T624" s="2" t="s">
        <v>67</v>
      </c>
      <c r="U624" s="2" t="s">
        <v>68</v>
      </c>
      <c r="V624" s="2" t="s">
        <v>56</v>
      </c>
      <c r="W624" s="2" t="s">
        <v>67</v>
      </c>
      <c r="X624" s="2" t="s">
        <v>69</v>
      </c>
      <c r="Y624" s="2">
        <v>2.4351906246208199</v>
      </c>
      <c r="Z624" s="2">
        <v>2435.19062462082</v>
      </c>
      <c r="AA624" s="2">
        <v>4.6317666666666701</v>
      </c>
      <c r="AB624" s="2">
        <v>-74.117483333333297</v>
      </c>
      <c r="AC624" s="2">
        <v>2590</v>
      </c>
      <c r="AD624" s="2">
        <v>10</v>
      </c>
      <c r="AE624" s="2" t="s">
        <v>59</v>
      </c>
      <c r="AF624" s="2" t="s">
        <v>70</v>
      </c>
      <c r="AG624" s="2" t="s">
        <v>61</v>
      </c>
      <c r="AH624" s="2" t="s">
        <v>62</v>
      </c>
      <c r="AI624" s="2" t="s">
        <v>200</v>
      </c>
      <c r="AJ624" s="2">
        <v>0.715960466409853</v>
      </c>
      <c r="AK624" s="2">
        <v>3.3050930772165898</v>
      </c>
      <c r="AL624" s="2">
        <v>1.8654041635527101</v>
      </c>
      <c r="AM624" s="2">
        <v>0.107331796992398</v>
      </c>
      <c r="AN624" s="2">
        <v>2.9907592903055198</v>
      </c>
      <c r="AO624" s="2">
        <v>0.333342998864194</v>
      </c>
      <c r="AP624" s="2">
        <v>0.333342998864194</v>
      </c>
      <c r="AQ624" s="2">
        <v>0</v>
      </c>
      <c r="AR624" s="2">
        <v>3</v>
      </c>
      <c r="AS624" s="2">
        <v>0</v>
      </c>
      <c r="AT624" s="2">
        <v>0</v>
      </c>
      <c r="AU624" s="2">
        <v>0</v>
      </c>
      <c r="AV624" s="2">
        <v>28</v>
      </c>
      <c r="AW624" s="2">
        <v>0</v>
      </c>
      <c r="AX624" s="2">
        <v>0</v>
      </c>
      <c r="AY624" s="2">
        <v>16.600000000000001</v>
      </c>
      <c r="AZ624" s="2">
        <v>101.7</v>
      </c>
      <c r="BA624" s="2">
        <v>19.899999999999999</v>
      </c>
      <c r="BB624" s="2">
        <v>564</v>
      </c>
      <c r="BC624" s="2">
        <v>71</v>
      </c>
      <c r="BD624" s="2">
        <v>1.7</v>
      </c>
      <c r="BE624" s="2">
        <v>185</v>
      </c>
      <c r="BF624" s="2">
        <v>0.8</v>
      </c>
      <c r="BG624" s="2">
        <v>162</v>
      </c>
      <c r="BH624" s="2">
        <v>19.5</v>
      </c>
      <c r="BI624" s="2">
        <v>15.6</v>
      </c>
      <c r="BJ624" s="2">
        <v>35</v>
      </c>
      <c r="BK624" s="2">
        <v>0.68</v>
      </c>
      <c r="BL624" s="2">
        <v>5.4</v>
      </c>
      <c r="BM624" s="2">
        <v>0.9</v>
      </c>
      <c r="BN624" s="2">
        <v>4.5999999999999996</v>
      </c>
      <c r="BO624" s="2">
        <v>2.1</v>
      </c>
      <c r="BP624" s="2">
        <f t="shared" si="18"/>
        <v>90.150939141295865</v>
      </c>
      <c r="BQ624" s="2">
        <f t="shared" si="19"/>
        <v>18.770287298467711</v>
      </c>
    </row>
    <row r="625" spans="1:69" x14ac:dyDescent="0.2">
      <c r="A625" s="2" t="s">
        <v>331</v>
      </c>
      <c r="B625" s="2" t="s">
        <v>47</v>
      </c>
      <c r="C625" s="2" t="s">
        <v>48</v>
      </c>
      <c r="D625" s="2" t="s">
        <v>49</v>
      </c>
      <c r="E625" s="2" t="s">
        <v>332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89</v>
      </c>
      <c r="L625" s="6" t="s">
        <v>90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333</v>
      </c>
      <c r="R625" s="2">
        <v>14928994.08</v>
      </c>
      <c r="S625" s="2">
        <v>0</v>
      </c>
      <c r="T625" s="2" t="s">
        <v>67</v>
      </c>
      <c r="U625" s="2" t="s">
        <v>68</v>
      </c>
      <c r="V625" s="2" t="s">
        <v>56</v>
      </c>
      <c r="W625" s="2" t="s">
        <v>67</v>
      </c>
      <c r="X625" s="2" t="s">
        <v>69</v>
      </c>
      <c r="Y625" s="2">
        <v>2.2837210592853201</v>
      </c>
      <c r="Z625" s="2">
        <v>2283.7210592853198</v>
      </c>
      <c r="AA625" s="2">
        <v>4.6317666666666701</v>
      </c>
      <c r="AB625" s="2">
        <v>-74.117483333333297</v>
      </c>
      <c r="AC625" s="2">
        <v>2590</v>
      </c>
      <c r="AD625" s="2">
        <v>10</v>
      </c>
      <c r="AE625" s="2" t="s">
        <v>59</v>
      </c>
      <c r="AF625" s="2" t="s">
        <v>70</v>
      </c>
      <c r="AG625" s="2" t="s">
        <v>61</v>
      </c>
      <c r="AH625" s="2" t="s">
        <v>62</v>
      </c>
      <c r="AI625" s="2" t="s">
        <v>71</v>
      </c>
      <c r="AJ625" s="2">
        <v>1.1464426946367099</v>
      </c>
      <c r="AK625" s="2">
        <v>4.8637988329979001</v>
      </c>
      <c r="AL625" s="2">
        <v>1.08462065636417</v>
      </c>
      <c r="AM625" s="2">
        <v>0.32448510025067501</v>
      </c>
      <c r="AN625" s="2">
        <v>0.10856897762641</v>
      </c>
      <c r="AO625" s="2">
        <v>0.14154277969326201</v>
      </c>
      <c r="AP625" s="2">
        <v>0.14154277969326201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28</v>
      </c>
      <c r="AW625" s="2">
        <v>1</v>
      </c>
      <c r="AX625" s="2">
        <v>0</v>
      </c>
      <c r="AY625" s="2">
        <v>16.600000000000001</v>
      </c>
      <c r="AZ625" s="2">
        <v>101.7</v>
      </c>
      <c r="BA625" s="2">
        <v>19.899999999999999</v>
      </c>
      <c r="BB625" s="2">
        <v>564</v>
      </c>
      <c r="BC625" s="2">
        <v>71</v>
      </c>
      <c r="BD625" s="2">
        <v>1.7</v>
      </c>
      <c r="BE625" s="2">
        <v>185</v>
      </c>
      <c r="BF625" s="2">
        <v>0.8</v>
      </c>
      <c r="BG625" s="2">
        <v>162</v>
      </c>
      <c r="BH625" s="2">
        <v>19.5</v>
      </c>
      <c r="BI625" s="2">
        <v>15.6</v>
      </c>
      <c r="BJ625" s="2">
        <v>35</v>
      </c>
      <c r="BK625" s="2">
        <v>0.68</v>
      </c>
      <c r="BL625" s="2">
        <v>5.4</v>
      </c>
      <c r="BM625" s="2">
        <v>0.9</v>
      </c>
      <c r="BN625" s="2">
        <v>4.5999999999999996</v>
      </c>
      <c r="BO625" s="2">
        <v>2.1</v>
      </c>
      <c r="BP625" s="2">
        <f t="shared" si="18"/>
        <v>90.82940807242575</v>
      </c>
      <c r="BQ625" s="2">
        <f t="shared" si="19"/>
        <v>18.838646529501922</v>
      </c>
    </row>
    <row r="626" spans="1:69" x14ac:dyDescent="0.2">
      <c r="A626" s="2" t="s">
        <v>2328</v>
      </c>
      <c r="B626" s="2" t="s">
        <v>47</v>
      </c>
      <c r="C626" s="2" t="s">
        <v>1935</v>
      </c>
      <c r="D626" s="2" t="s">
        <v>49</v>
      </c>
      <c r="E626" s="2" t="s">
        <v>2329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89</v>
      </c>
      <c r="L626" s="6" t="s">
        <v>141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2330</v>
      </c>
      <c r="R626" s="2">
        <v>4800000</v>
      </c>
      <c r="S626" s="2">
        <v>0</v>
      </c>
      <c r="T626" s="2" t="s">
        <v>483</v>
      </c>
      <c r="U626" s="2" t="s">
        <v>484</v>
      </c>
      <c r="V626" s="2" t="s">
        <v>56</v>
      </c>
      <c r="W626" s="2" t="s">
        <v>67</v>
      </c>
      <c r="X626" s="2" t="s">
        <v>485</v>
      </c>
      <c r="Y626" s="2">
        <v>1.7276112895047999</v>
      </c>
      <c r="Z626" s="2">
        <v>1727.6112895048</v>
      </c>
      <c r="AA626" s="2">
        <v>4.6085000000000003</v>
      </c>
      <c r="AB626" s="2">
        <v>-74.114944444444404</v>
      </c>
      <c r="AC626" s="2">
        <v>2559</v>
      </c>
      <c r="AD626" s="2">
        <v>0</v>
      </c>
      <c r="AE626" s="2" t="s">
        <v>59</v>
      </c>
      <c r="AF626" s="2" t="s">
        <v>486</v>
      </c>
      <c r="AG626" s="2" t="s">
        <v>61</v>
      </c>
      <c r="AH626" s="2" t="s">
        <v>62</v>
      </c>
      <c r="AI626" s="2" t="s">
        <v>200</v>
      </c>
      <c r="AJ626" s="2">
        <v>1.46890426649095</v>
      </c>
      <c r="AK626" s="2">
        <v>5.8056153078711903</v>
      </c>
      <c r="AL626" s="2">
        <v>2.7725023261952302</v>
      </c>
      <c r="AM626" s="2">
        <v>0.55617628237911299</v>
      </c>
      <c r="AN626" s="2">
        <v>2.83162015175771</v>
      </c>
      <c r="AO626" s="2">
        <v>0.15623300803718199</v>
      </c>
      <c r="AP626" s="2">
        <v>0.15623300803718199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26</v>
      </c>
      <c r="AW626" s="2">
        <v>0</v>
      </c>
      <c r="AX626" s="2">
        <v>0</v>
      </c>
      <c r="AY626" s="2">
        <v>16.600000000000001</v>
      </c>
      <c r="AZ626" s="2">
        <v>101.7</v>
      </c>
      <c r="BA626" s="2">
        <v>19.899999999999999</v>
      </c>
      <c r="BB626" s="2">
        <v>564</v>
      </c>
      <c r="BC626" s="2">
        <v>71</v>
      </c>
      <c r="BD626" s="2">
        <v>1.7</v>
      </c>
      <c r="BE626" s="2">
        <v>185</v>
      </c>
      <c r="BF626" s="2">
        <v>0.8</v>
      </c>
      <c r="BG626" s="2">
        <v>162</v>
      </c>
      <c r="BH626" s="2">
        <v>19.5</v>
      </c>
      <c r="BI626" s="2">
        <v>15.6</v>
      </c>
      <c r="BJ626" s="2">
        <v>35</v>
      </c>
      <c r="BK626" s="2">
        <v>0.68</v>
      </c>
      <c r="BL626" s="2">
        <v>5.4</v>
      </c>
      <c r="BM626" s="2">
        <v>0.9</v>
      </c>
      <c r="BN626" s="2">
        <v>4.5999999999999996</v>
      </c>
      <c r="BO626" s="2">
        <v>2.1</v>
      </c>
      <c r="BP626" s="2">
        <f t="shared" si="18"/>
        <v>93.364439956674005</v>
      </c>
      <c r="BQ626" s="2">
        <f t="shared" si="19"/>
        <v>19.091764437458934</v>
      </c>
    </row>
    <row r="627" spans="1:69" x14ac:dyDescent="0.2">
      <c r="A627" s="2" t="s">
        <v>2539</v>
      </c>
      <c r="B627" s="2" t="s">
        <v>47</v>
      </c>
      <c r="C627" s="2" t="s">
        <v>1935</v>
      </c>
      <c r="D627" s="2" t="s">
        <v>49</v>
      </c>
      <c r="E627" s="2" t="s">
        <v>2540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89</v>
      </c>
      <c r="L627" s="6" t="s">
        <v>141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2541</v>
      </c>
      <c r="R627" s="2">
        <v>6587301.5870000003</v>
      </c>
      <c r="S627" s="2">
        <v>0</v>
      </c>
      <c r="T627" s="2" t="s">
        <v>67</v>
      </c>
      <c r="U627" s="2" t="s">
        <v>68</v>
      </c>
      <c r="V627" s="2" t="s">
        <v>56</v>
      </c>
      <c r="W627" s="2" t="s">
        <v>67</v>
      </c>
      <c r="X627" s="2" t="s">
        <v>69</v>
      </c>
      <c r="Y627" s="2">
        <v>1.5219177074493899</v>
      </c>
      <c r="Z627" s="2">
        <v>1521.91770744939</v>
      </c>
      <c r="AA627" s="2">
        <v>4.6317666666666701</v>
      </c>
      <c r="AB627" s="2">
        <v>-74.117483333333297</v>
      </c>
      <c r="AC627" s="2">
        <v>2590</v>
      </c>
      <c r="AD627" s="2">
        <v>10</v>
      </c>
      <c r="AE627" s="2" t="s">
        <v>59</v>
      </c>
      <c r="AF627" s="2" t="s">
        <v>70</v>
      </c>
      <c r="AG627" s="2" t="s">
        <v>61</v>
      </c>
      <c r="AH627" s="2" t="s">
        <v>62</v>
      </c>
      <c r="AI627" s="2" t="s">
        <v>200</v>
      </c>
      <c r="AJ627" s="2">
        <v>1.479283535128</v>
      </c>
      <c r="AK627" s="2">
        <v>4.0191984352101402</v>
      </c>
      <c r="AL627" s="2">
        <v>0.42889270737936802</v>
      </c>
      <c r="AM627" s="2">
        <v>0.36506592995333897</v>
      </c>
      <c r="AN627" s="2">
        <v>1.6012859201284799</v>
      </c>
      <c r="AO627" s="2">
        <v>0.15857087111778101</v>
      </c>
      <c r="AP627" s="2">
        <v>0.15857087111778101</v>
      </c>
      <c r="AQ627" s="2">
        <v>0</v>
      </c>
      <c r="AR627" s="2">
        <v>0</v>
      </c>
      <c r="AS627" s="2">
        <v>0</v>
      </c>
      <c r="AT627" s="2">
        <v>0</v>
      </c>
      <c r="AU627" s="2">
        <v>1</v>
      </c>
      <c r="AV627" s="2">
        <v>11</v>
      </c>
      <c r="AW627" s="2">
        <v>0</v>
      </c>
      <c r="AX627" s="2">
        <v>0</v>
      </c>
      <c r="AY627" s="2">
        <v>16.600000000000001</v>
      </c>
      <c r="AZ627" s="2">
        <v>101.7</v>
      </c>
      <c r="BA627" s="2">
        <v>19.899999999999999</v>
      </c>
      <c r="BB627" s="2">
        <v>564</v>
      </c>
      <c r="BC627" s="2">
        <v>71</v>
      </c>
      <c r="BD627" s="2">
        <v>1.7</v>
      </c>
      <c r="BE627" s="2">
        <v>185</v>
      </c>
      <c r="BF627" s="2">
        <v>0.8</v>
      </c>
      <c r="BG627" s="2">
        <v>162</v>
      </c>
      <c r="BH627" s="2">
        <v>19.5</v>
      </c>
      <c r="BI627" s="2">
        <v>15.6</v>
      </c>
      <c r="BJ627" s="2">
        <v>35</v>
      </c>
      <c r="BK627" s="2">
        <v>0.68</v>
      </c>
      <c r="BL627" s="2">
        <v>5.4</v>
      </c>
      <c r="BM627" s="2">
        <v>0.9</v>
      </c>
      <c r="BN627" s="2">
        <v>4.5999999999999996</v>
      </c>
      <c r="BO627" s="2">
        <v>2.1</v>
      </c>
      <c r="BP627" s="2">
        <f t="shared" si="18"/>
        <v>94.319917027360106</v>
      </c>
      <c r="BQ627" s="2">
        <f t="shared" si="19"/>
        <v>19.186246740374983</v>
      </c>
    </row>
    <row r="628" spans="1:69" x14ac:dyDescent="0.2">
      <c r="A628" s="2" t="s">
        <v>2279</v>
      </c>
      <c r="B628" s="2" t="s">
        <v>47</v>
      </c>
      <c r="C628" s="2" t="s">
        <v>1935</v>
      </c>
      <c r="D628" s="2" t="s">
        <v>49</v>
      </c>
      <c r="E628" s="2" t="s">
        <v>2280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89</v>
      </c>
      <c r="L628" s="6" t="s">
        <v>141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2281</v>
      </c>
      <c r="R628" s="2">
        <v>5952380.9519999996</v>
      </c>
      <c r="S628" s="2">
        <v>0</v>
      </c>
      <c r="T628" s="2" t="s">
        <v>67</v>
      </c>
      <c r="U628" s="2" t="s">
        <v>68</v>
      </c>
      <c r="V628" s="2" t="s">
        <v>56</v>
      </c>
      <c r="W628" s="2" t="s">
        <v>67</v>
      </c>
      <c r="X628" s="2" t="s">
        <v>69</v>
      </c>
      <c r="Y628" s="2">
        <v>2.31783242407788</v>
      </c>
      <c r="Z628" s="2">
        <v>2317.8324240778802</v>
      </c>
      <c r="AA628" s="2">
        <v>4.6317666666666701</v>
      </c>
      <c r="AB628" s="2">
        <v>-74.117483333333297</v>
      </c>
      <c r="AC628" s="2">
        <v>2590</v>
      </c>
      <c r="AD628" s="2">
        <v>10</v>
      </c>
      <c r="AE628" s="2" t="s">
        <v>59</v>
      </c>
      <c r="AF628" s="2" t="s">
        <v>70</v>
      </c>
      <c r="AG628" s="2" t="s">
        <v>61</v>
      </c>
      <c r="AH628" s="2" t="s">
        <v>62</v>
      </c>
      <c r="AI628" s="2" t="s">
        <v>200</v>
      </c>
      <c r="AJ628" s="2">
        <v>0.64181290593412799</v>
      </c>
      <c r="AK628" s="2">
        <v>3.4660754899348998</v>
      </c>
      <c r="AL628" s="2">
        <v>1.8156201225948201</v>
      </c>
      <c r="AM628" s="2">
        <v>0.16778672587861601</v>
      </c>
      <c r="AN628" s="2">
        <v>2.9798464293904101</v>
      </c>
      <c r="AO628" s="2">
        <v>0.24865642968222501</v>
      </c>
      <c r="AP628" s="2">
        <v>0.24865642968222501</v>
      </c>
      <c r="AQ628" s="2">
        <v>0</v>
      </c>
      <c r="AR628" s="2">
        <v>3</v>
      </c>
      <c r="AS628" s="2">
        <v>0</v>
      </c>
      <c r="AT628" s="2">
        <v>0</v>
      </c>
      <c r="AU628" s="2">
        <v>0</v>
      </c>
      <c r="AV628" s="2">
        <v>39</v>
      </c>
      <c r="AW628" s="2">
        <v>0</v>
      </c>
      <c r="AX628" s="2">
        <v>0</v>
      </c>
      <c r="AY628" s="2">
        <v>16.600000000000001</v>
      </c>
      <c r="AZ628" s="2">
        <v>101.7</v>
      </c>
      <c r="BA628" s="2">
        <v>19.899999999999999</v>
      </c>
      <c r="BB628" s="2">
        <v>564</v>
      </c>
      <c r="BC628" s="2">
        <v>71</v>
      </c>
      <c r="BD628" s="2">
        <v>1.7</v>
      </c>
      <c r="BE628" s="2">
        <v>185</v>
      </c>
      <c r="BF628" s="2">
        <v>0.8</v>
      </c>
      <c r="BG628" s="2">
        <v>162</v>
      </c>
      <c r="BH628" s="2">
        <v>19.5</v>
      </c>
      <c r="BI628" s="2">
        <v>15.6</v>
      </c>
      <c r="BJ628" s="2">
        <v>35</v>
      </c>
      <c r="BK628" s="2">
        <v>0.68</v>
      </c>
      <c r="BL628" s="2">
        <v>5.4</v>
      </c>
      <c r="BM628" s="2">
        <v>0.9</v>
      </c>
      <c r="BN628" s="2">
        <v>4.5999999999999996</v>
      </c>
      <c r="BO628" s="2">
        <v>2.1</v>
      </c>
      <c r="BP628" s="2">
        <f t="shared" si="18"/>
        <v>90.676170884195358</v>
      </c>
      <c r="BQ628" s="2">
        <f t="shared" si="19"/>
        <v>18.823230154190998</v>
      </c>
    </row>
    <row r="629" spans="1:69" x14ac:dyDescent="0.2">
      <c r="A629" s="2" t="s">
        <v>2975</v>
      </c>
      <c r="B629" s="2" t="s">
        <v>47</v>
      </c>
      <c r="C629" s="2" t="s">
        <v>1935</v>
      </c>
      <c r="D629" s="2" t="s">
        <v>49</v>
      </c>
      <c r="E629" s="2" t="s">
        <v>280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89</v>
      </c>
      <c r="L629" s="6" t="s">
        <v>141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2976</v>
      </c>
      <c r="R629" s="2">
        <v>5528455.2850000001</v>
      </c>
      <c r="S629" s="2">
        <v>0</v>
      </c>
      <c r="T629" s="2" t="s">
        <v>67</v>
      </c>
      <c r="U629" s="2" t="s">
        <v>68</v>
      </c>
      <c r="V629" s="2" t="s">
        <v>56</v>
      </c>
      <c r="W629" s="2" t="s">
        <v>67</v>
      </c>
      <c r="X629" s="2" t="s">
        <v>69</v>
      </c>
      <c r="Y629" s="2">
        <v>1.3560831642100799</v>
      </c>
      <c r="Z629" s="2">
        <v>1356.08316421008</v>
      </c>
      <c r="AA629" s="2">
        <v>4.6317666666666701</v>
      </c>
      <c r="AB629" s="2">
        <v>-74.117483333333297</v>
      </c>
      <c r="AC629" s="2">
        <v>2590</v>
      </c>
      <c r="AD629" s="2">
        <v>10</v>
      </c>
      <c r="AE629" s="2" t="s">
        <v>59</v>
      </c>
      <c r="AF629" s="2" t="s">
        <v>70</v>
      </c>
      <c r="AG629" s="2" t="s">
        <v>61</v>
      </c>
      <c r="AH629" s="2" t="s">
        <v>62</v>
      </c>
      <c r="AI629" s="2" t="s">
        <v>267</v>
      </c>
      <c r="AJ629" s="2">
        <v>0.50422727186690297</v>
      </c>
      <c r="AK629" s="2">
        <v>5.0478362221020099</v>
      </c>
      <c r="AL629" s="2">
        <v>2.47622016023977</v>
      </c>
      <c r="AM629" s="2">
        <v>0.187115382537066</v>
      </c>
      <c r="AN629" s="2">
        <v>0.91488567883799699</v>
      </c>
      <c r="AO629" s="2">
        <v>0.65295343851665699</v>
      </c>
      <c r="AP629" s="2">
        <v>0.65295343851665699</v>
      </c>
      <c r="AQ629" s="2">
        <v>0</v>
      </c>
      <c r="AR629" s="2">
        <v>3</v>
      </c>
      <c r="AS629" s="2">
        <v>0</v>
      </c>
      <c r="AT629" s="2">
        <v>0</v>
      </c>
      <c r="AU629" s="2">
        <v>0</v>
      </c>
      <c r="AV629" s="2">
        <v>13</v>
      </c>
      <c r="AW629" s="2">
        <v>1</v>
      </c>
      <c r="AX629" s="2">
        <v>0</v>
      </c>
      <c r="AY629" s="2">
        <v>16.600000000000001</v>
      </c>
      <c r="AZ629" s="2">
        <v>101.7</v>
      </c>
      <c r="BA629" s="2">
        <v>19.899999999999999</v>
      </c>
      <c r="BB629" s="2">
        <v>564</v>
      </c>
      <c r="BC629" s="2">
        <v>71</v>
      </c>
      <c r="BD629" s="2">
        <v>1.7</v>
      </c>
      <c r="BE629" s="2">
        <v>185</v>
      </c>
      <c r="BF629" s="2">
        <v>0.8</v>
      </c>
      <c r="BG629" s="2">
        <v>162</v>
      </c>
      <c r="BH629" s="2">
        <v>19.5</v>
      </c>
      <c r="BI629" s="2">
        <v>15.6</v>
      </c>
      <c r="BJ629" s="2">
        <v>35</v>
      </c>
      <c r="BK629" s="2">
        <v>0.68</v>
      </c>
      <c r="BL629" s="2">
        <v>5.4</v>
      </c>
      <c r="BM629" s="2">
        <v>0.9</v>
      </c>
      <c r="BN629" s="2">
        <v>4.5999999999999996</v>
      </c>
      <c r="BO629" s="2">
        <v>2.1</v>
      </c>
      <c r="BP629" s="2">
        <f t="shared" si="18"/>
        <v>95.097357861494302</v>
      </c>
      <c r="BQ629" s="2">
        <f t="shared" si="19"/>
        <v>19.262760722459777</v>
      </c>
    </row>
    <row r="630" spans="1:69" x14ac:dyDescent="0.2">
      <c r="A630" s="2" t="s">
        <v>2273</v>
      </c>
      <c r="B630" s="2" t="s">
        <v>47</v>
      </c>
      <c r="C630" s="2" t="s">
        <v>1935</v>
      </c>
      <c r="D630" s="2" t="s">
        <v>49</v>
      </c>
      <c r="E630" s="2" t="s">
        <v>2274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89</v>
      </c>
      <c r="L630" s="6" t="s">
        <v>103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2275</v>
      </c>
      <c r="R630" s="2">
        <v>4583333.3329999996</v>
      </c>
      <c r="S630" s="2">
        <v>0</v>
      </c>
      <c r="T630" s="2" t="s">
        <v>483</v>
      </c>
      <c r="U630" s="2" t="s">
        <v>484</v>
      </c>
      <c r="V630" s="2" t="s">
        <v>56</v>
      </c>
      <c r="W630" s="2" t="s">
        <v>67</v>
      </c>
      <c r="X630" s="2" t="s">
        <v>485</v>
      </c>
      <c r="Y630" s="2">
        <v>0.94764658177503402</v>
      </c>
      <c r="Z630" s="2">
        <v>947.64658177503395</v>
      </c>
      <c r="AA630" s="2">
        <v>4.6085000000000003</v>
      </c>
      <c r="AB630" s="2">
        <v>-74.114944444444404</v>
      </c>
      <c r="AC630" s="2">
        <v>2559</v>
      </c>
      <c r="AD630" s="2">
        <v>0</v>
      </c>
      <c r="AE630" s="2" t="s">
        <v>59</v>
      </c>
      <c r="AF630" s="2" t="s">
        <v>486</v>
      </c>
      <c r="AG630" s="2" t="s">
        <v>61</v>
      </c>
      <c r="AH630" s="2" t="s">
        <v>62</v>
      </c>
      <c r="AI630" s="2" t="s">
        <v>267</v>
      </c>
      <c r="AJ630" s="2">
        <v>1.6855812775536301</v>
      </c>
      <c r="AK630" s="2">
        <v>6.4855102237920397</v>
      </c>
      <c r="AL630" s="2">
        <v>2.49199001840404</v>
      </c>
      <c r="AM630" s="2">
        <v>0.25911690808892501</v>
      </c>
      <c r="AN630" s="2">
        <v>2.4808305660731298</v>
      </c>
      <c r="AO630" s="2">
        <v>0.22094029295494499</v>
      </c>
      <c r="AP630" s="2">
        <v>0.22094029295494499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9</v>
      </c>
      <c r="AW630" s="2">
        <v>0</v>
      </c>
      <c r="AX630" s="2">
        <v>0</v>
      </c>
      <c r="AY630" s="2">
        <v>16.600000000000001</v>
      </c>
      <c r="AZ630" s="2">
        <v>101.7</v>
      </c>
      <c r="BA630" s="2">
        <v>19.899999999999999</v>
      </c>
      <c r="BB630" s="2">
        <v>564</v>
      </c>
      <c r="BC630" s="2">
        <v>71</v>
      </c>
      <c r="BD630" s="2">
        <v>1.7</v>
      </c>
      <c r="BE630" s="2">
        <v>185</v>
      </c>
      <c r="BF630" s="2">
        <v>0.8</v>
      </c>
      <c r="BG630" s="2">
        <v>162</v>
      </c>
      <c r="BH630" s="2">
        <v>19.5</v>
      </c>
      <c r="BI630" s="2">
        <v>15.6</v>
      </c>
      <c r="BJ630" s="2">
        <v>35</v>
      </c>
      <c r="BK630" s="2">
        <v>0.68</v>
      </c>
      <c r="BL630" s="2">
        <v>5.4</v>
      </c>
      <c r="BM630" s="2">
        <v>0.9</v>
      </c>
      <c r="BN630" s="2">
        <v>4.5999999999999996</v>
      </c>
      <c r="BO630" s="2">
        <v>2.1</v>
      </c>
      <c r="BP630" s="2">
        <f t="shared" si="18"/>
        <v>97.039566486496156</v>
      </c>
      <c r="BQ630" s="2">
        <f t="shared" si="19"/>
        <v>19.452512007232414</v>
      </c>
    </row>
    <row r="631" spans="1:69" x14ac:dyDescent="0.2">
      <c r="A631" s="2" t="s">
        <v>660</v>
      </c>
      <c r="B631" s="2" t="s">
        <v>47</v>
      </c>
      <c r="C631" s="2" t="s">
        <v>48</v>
      </c>
      <c r="D631" s="2" t="s">
        <v>49</v>
      </c>
      <c r="E631" s="2" t="s">
        <v>147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89</v>
      </c>
      <c r="L631" s="6" t="s">
        <v>112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661</v>
      </c>
      <c r="R631" s="2">
        <v>10263157.890000001</v>
      </c>
      <c r="S631" s="2">
        <v>0</v>
      </c>
      <c r="T631" s="2" t="s">
        <v>67</v>
      </c>
      <c r="U631" s="2" t="s">
        <v>68</v>
      </c>
      <c r="V631" s="2" t="s">
        <v>56</v>
      </c>
      <c r="W631" s="2" t="s">
        <v>67</v>
      </c>
      <c r="X631" s="2" t="s">
        <v>69</v>
      </c>
      <c r="Y631" s="2">
        <v>2.5181510767912401</v>
      </c>
      <c r="Z631" s="2">
        <v>2518.15107679124</v>
      </c>
      <c r="AA631" s="2">
        <v>4.6317666666666701</v>
      </c>
      <c r="AB631" s="2">
        <v>-74.117483333333297</v>
      </c>
      <c r="AC631" s="2">
        <v>2590</v>
      </c>
      <c r="AD631" s="2">
        <v>10</v>
      </c>
      <c r="AE631" s="2" t="s">
        <v>59</v>
      </c>
      <c r="AF631" s="2" t="s">
        <v>70</v>
      </c>
      <c r="AG631" s="2" t="s">
        <v>61</v>
      </c>
      <c r="AH631" s="2" t="s">
        <v>62</v>
      </c>
      <c r="AI631" s="2" t="s">
        <v>63</v>
      </c>
      <c r="AJ631" s="2">
        <v>0.57181503350208196</v>
      </c>
      <c r="AK631" s="2">
        <v>3.7758131292430699</v>
      </c>
      <c r="AL631" s="2">
        <v>0.93417997808318598</v>
      </c>
      <c r="AM631" s="2">
        <v>9.7207543241164499E-2</v>
      </c>
      <c r="AN631" s="2">
        <v>1.8831410189603699</v>
      </c>
      <c r="AO631" s="2">
        <v>0.41999070928920801</v>
      </c>
      <c r="AP631" s="2">
        <v>0.41999070928920801</v>
      </c>
      <c r="AQ631" s="2">
        <v>0</v>
      </c>
      <c r="AR631" s="2">
        <v>2</v>
      </c>
      <c r="AS631" s="2">
        <v>0</v>
      </c>
      <c r="AT631" s="2">
        <v>0</v>
      </c>
      <c r="AU631" s="2">
        <v>1</v>
      </c>
      <c r="AV631" s="2">
        <v>16</v>
      </c>
      <c r="AW631" s="2">
        <v>0</v>
      </c>
      <c r="AX631" s="2">
        <v>0</v>
      </c>
      <c r="AY631" s="2">
        <v>16.600000000000001</v>
      </c>
      <c r="AZ631" s="2">
        <v>101.7</v>
      </c>
      <c r="BA631" s="2">
        <v>19.899999999999999</v>
      </c>
      <c r="BB631" s="2">
        <v>564</v>
      </c>
      <c r="BC631" s="2">
        <v>71</v>
      </c>
      <c r="BD631" s="2">
        <v>1.7</v>
      </c>
      <c r="BE631" s="2">
        <v>185</v>
      </c>
      <c r="BF631" s="2">
        <v>0.8</v>
      </c>
      <c r="BG631" s="2">
        <v>162</v>
      </c>
      <c r="BH631" s="2">
        <v>19.5</v>
      </c>
      <c r="BI631" s="2">
        <v>15.6</v>
      </c>
      <c r="BJ631" s="2">
        <v>35</v>
      </c>
      <c r="BK631" s="2">
        <v>0.68</v>
      </c>
      <c r="BL631" s="2">
        <v>5.4</v>
      </c>
      <c r="BM631" s="2">
        <v>0.9</v>
      </c>
      <c r="BN631" s="2">
        <v>4.5999999999999996</v>
      </c>
      <c r="BO631" s="2">
        <v>2.1</v>
      </c>
      <c r="BP631" s="2">
        <f t="shared" si="18"/>
        <v>89.781489588209809</v>
      </c>
      <c r="BQ631" s="2">
        <f t="shared" si="19"/>
        <v>18.732951882637884</v>
      </c>
    </row>
    <row r="632" spans="1:69" x14ac:dyDescent="0.2">
      <c r="A632" s="2" t="s">
        <v>988</v>
      </c>
      <c r="B632" s="2" t="s">
        <v>47</v>
      </c>
      <c r="C632" s="2" t="s">
        <v>48</v>
      </c>
      <c r="D632" s="2" t="s">
        <v>49</v>
      </c>
      <c r="E632" s="2" t="s">
        <v>989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89</v>
      </c>
      <c r="L632" s="6" t="s">
        <v>141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990</v>
      </c>
      <c r="R632" s="2">
        <v>7654899.1349999998</v>
      </c>
      <c r="S632" s="2">
        <v>0</v>
      </c>
      <c r="T632" s="2" t="s">
        <v>67</v>
      </c>
      <c r="U632" s="2" t="s">
        <v>68</v>
      </c>
      <c r="V632" s="2" t="s">
        <v>56</v>
      </c>
      <c r="W632" s="2" t="s">
        <v>67</v>
      </c>
      <c r="X632" s="2" t="s">
        <v>69</v>
      </c>
      <c r="Y632" s="2">
        <v>1.16572394331527</v>
      </c>
      <c r="Z632" s="2">
        <v>1165.7239433152699</v>
      </c>
      <c r="AA632" s="2">
        <v>4.6317666666666701</v>
      </c>
      <c r="AB632" s="2">
        <v>-74.117483333333297</v>
      </c>
      <c r="AC632" s="2">
        <v>2590</v>
      </c>
      <c r="AD632" s="2">
        <v>10</v>
      </c>
      <c r="AE632" s="2" t="s">
        <v>59</v>
      </c>
      <c r="AF632" s="2" t="s">
        <v>70</v>
      </c>
      <c r="AG632" s="2" t="s">
        <v>61</v>
      </c>
      <c r="AH632" s="2" t="s">
        <v>62</v>
      </c>
      <c r="AI632" s="2" t="s">
        <v>267</v>
      </c>
      <c r="AJ632" s="2">
        <v>0.46619352052992502</v>
      </c>
      <c r="AK632" s="2">
        <v>5.0734062009391403</v>
      </c>
      <c r="AL632" s="2">
        <v>2.1425224031785701</v>
      </c>
      <c r="AM632" s="2">
        <v>0.32394033296010599</v>
      </c>
      <c r="AN632" s="2">
        <v>1.35087366944765</v>
      </c>
      <c r="AO632" s="2">
        <v>0.62617995536231597</v>
      </c>
      <c r="AP632" s="2">
        <v>0.62617995536231597</v>
      </c>
      <c r="AQ632" s="2">
        <v>2</v>
      </c>
      <c r="AR632" s="2">
        <v>3</v>
      </c>
      <c r="AS632" s="2">
        <v>0</v>
      </c>
      <c r="AT632" s="2">
        <v>0</v>
      </c>
      <c r="AU632" s="2">
        <v>0</v>
      </c>
      <c r="AV632" s="2">
        <v>15</v>
      </c>
      <c r="AW632" s="2">
        <v>0</v>
      </c>
      <c r="AX632" s="2">
        <v>0</v>
      </c>
      <c r="AY632" s="2">
        <v>16.600000000000001</v>
      </c>
      <c r="AZ632" s="2">
        <v>101.7</v>
      </c>
      <c r="BA632" s="2">
        <v>19.899999999999999</v>
      </c>
      <c r="BB632" s="2">
        <v>564</v>
      </c>
      <c r="BC632" s="2">
        <v>71</v>
      </c>
      <c r="BD632" s="2">
        <v>1.7</v>
      </c>
      <c r="BE632" s="2">
        <v>185</v>
      </c>
      <c r="BF632" s="2">
        <v>0.8</v>
      </c>
      <c r="BG632" s="2">
        <v>162</v>
      </c>
      <c r="BH632" s="2">
        <v>19.5</v>
      </c>
      <c r="BI632" s="2">
        <v>15.6</v>
      </c>
      <c r="BJ632" s="2">
        <v>35</v>
      </c>
      <c r="BK632" s="2">
        <v>0.68</v>
      </c>
      <c r="BL632" s="2">
        <v>5.4</v>
      </c>
      <c r="BM632" s="2">
        <v>0.9</v>
      </c>
      <c r="BN632" s="2">
        <v>4.5999999999999996</v>
      </c>
      <c r="BO632" s="2">
        <v>2.1</v>
      </c>
      <c r="BP632" s="2">
        <f t="shared" si="18"/>
        <v>95.997674561852293</v>
      </c>
      <c r="BQ632" s="2">
        <f t="shared" si="19"/>
        <v>19.350966316979562</v>
      </c>
    </row>
    <row r="633" spans="1:69" x14ac:dyDescent="0.2">
      <c r="A633" s="2" t="s">
        <v>2064</v>
      </c>
      <c r="B633" s="2" t="s">
        <v>47</v>
      </c>
      <c r="C633" s="2" t="s">
        <v>1935</v>
      </c>
      <c r="D633" s="2" t="s">
        <v>49</v>
      </c>
      <c r="E633" s="2" t="s">
        <v>147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89</v>
      </c>
      <c r="L633" s="6" t="s">
        <v>103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2065</v>
      </c>
      <c r="R633" s="2">
        <v>7655588.5800000001</v>
      </c>
      <c r="S633" s="2">
        <v>0</v>
      </c>
      <c r="T633" s="2" t="s">
        <v>67</v>
      </c>
      <c r="U633" s="2" t="s">
        <v>68</v>
      </c>
      <c r="V633" s="2" t="s">
        <v>56</v>
      </c>
      <c r="W633" s="2" t="s">
        <v>67</v>
      </c>
      <c r="X633" s="2" t="s">
        <v>69</v>
      </c>
      <c r="Y633" s="2">
        <v>2.2147142976701102</v>
      </c>
      <c r="Z633" s="2">
        <v>2214.7142976701102</v>
      </c>
      <c r="AA633" s="2">
        <v>4.6317666666666701</v>
      </c>
      <c r="AB633" s="2">
        <v>-74.117483333333297</v>
      </c>
      <c r="AC633" s="2">
        <v>2590</v>
      </c>
      <c r="AD633" s="2">
        <v>10</v>
      </c>
      <c r="AE633" s="2" t="s">
        <v>59</v>
      </c>
      <c r="AF633" s="2" t="s">
        <v>70</v>
      </c>
      <c r="AG633" s="2" t="s">
        <v>61</v>
      </c>
      <c r="AH633" s="2" t="s">
        <v>62</v>
      </c>
      <c r="AI633" s="2" t="s">
        <v>63</v>
      </c>
      <c r="AJ633" s="2">
        <v>0.56125663197199904</v>
      </c>
      <c r="AK633" s="2">
        <v>4.1895060677334799</v>
      </c>
      <c r="AL633" s="2">
        <v>0.97704499704450898</v>
      </c>
      <c r="AM633" s="2">
        <v>0.29136128801929601</v>
      </c>
      <c r="AN633" s="2">
        <v>2.1287020732416901</v>
      </c>
      <c r="AO633" s="2">
        <v>0.65362511184202898</v>
      </c>
      <c r="AP633" s="2">
        <v>0.65362511184202898</v>
      </c>
      <c r="AQ633" s="2">
        <v>0</v>
      </c>
      <c r="AR633" s="2">
        <v>3</v>
      </c>
      <c r="AS633" s="2">
        <v>0</v>
      </c>
      <c r="AT633" s="2">
        <v>0</v>
      </c>
      <c r="AU633" s="2">
        <v>1</v>
      </c>
      <c r="AV633" s="2">
        <v>17</v>
      </c>
      <c r="AW633" s="2">
        <v>0</v>
      </c>
      <c r="AX633" s="2">
        <v>0</v>
      </c>
      <c r="AY633" s="2">
        <v>16.600000000000001</v>
      </c>
      <c r="AZ633" s="2">
        <v>101.7</v>
      </c>
      <c r="BA633" s="2">
        <v>19.899999999999999</v>
      </c>
      <c r="BB633" s="2">
        <v>564</v>
      </c>
      <c r="BC633" s="2">
        <v>71</v>
      </c>
      <c r="BD633" s="2">
        <v>1.7</v>
      </c>
      <c r="BE633" s="2">
        <v>185</v>
      </c>
      <c r="BF633" s="2">
        <v>0.8</v>
      </c>
      <c r="BG633" s="2">
        <v>162</v>
      </c>
      <c r="BH633" s="2">
        <v>19.5</v>
      </c>
      <c r="BI633" s="2">
        <v>15.6</v>
      </c>
      <c r="BJ633" s="2">
        <v>35</v>
      </c>
      <c r="BK633" s="2">
        <v>0.68</v>
      </c>
      <c r="BL633" s="2">
        <v>5.4</v>
      </c>
      <c r="BM633" s="2">
        <v>0.9</v>
      </c>
      <c r="BN633" s="2">
        <v>4.5999999999999996</v>
      </c>
      <c r="BO633" s="2">
        <v>2.1</v>
      </c>
      <c r="BP633" s="2">
        <f t="shared" si="18"/>
        <v>91.140196815594052</v>
      </c>
      <c r="BQ633" s="2">
        <f t="shared" si="19"/>
        <v>18.869872235547962</v>
      </c>
    </row>
    <row r="634" spans="1:69" x14ac:dyDescent="0.2">
      <c r="A634" s="2" t="s">
        <v>723</v>
      </c>
      <c r="B634" s="2" t="s">
        <v>47</v>
      </c>
      <c r="C634" s="2" t="s">
        <v>48</v>
      </c>
      <c r="D634" s="2" t="s">
        <v>49</v>
      </c>
      <c r="E634" s="2" t="s">
        <v>724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89</v>
      </c>
      <c r="L634" s="6" t="s">
        <v>141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725</v>
      </c>
      <c r="R634" s="2">
        <v>8673469.3880000003</v>
      </c>
      <c r="S634" s="2">
        <v>0</v>
      </c>
      <c r="T634" s="2" t="s">
        <v>67</v>
      </c>
      <c r="U634" s="2" t="s">
        <v>68</v>
      </c>
      <c r="V634" s="2" t="s">
        <v>56</v>
      </c>
      <c r="W634" s="2" t="s">
        <v>67</v>
      </c>
      <c r="X634" s="2" t="s">
        <v>69</v>
      </c>
      <c r="Y634" s="2">
        <v>1.92330883233757</v>
      </c>
      <c r="Z634" s="2">
        <v>1923.30883233757</v>
      </c>
      <c r="AA634" s="2">
        <v>4.6317666666666701</v>
      </c>
      <c r="AB634" s="2">
        <v>-74.117483333333297</v>
      </c>
      <c r="AC634" s="2">
        <v>2590</v>
      </c>
      <c r="AD634" s="2">
        <v>10</v>
      </c>
      <c r="AE634" s="2" t="s">
        <v>59</v>
      </c>
      <c r="AF634" s="2" t="s">
        <v>70</v>
      </c>
      <c r="AG634" s="2" t="s">
        <v>61</v>
      </c>
      <c r="AH634" s="2" t="s">
        <v>62</v>
      </c>
      <c r="AI634" s="2" t="s">
        <v>63</v>
      </c>
      <c r="AJ634" s="2">
        <v>0.72383539336807401</v>
      </c>
      <c r="AK634" s="2">
        <v>4.9662910618588496</v>
      </c>
      <c r="AL634" s="2">
        <v>1.29489843297878</v>
      </c>
      <c r="AM634" s="2">
        <v>0.27764023803329602</v>
      </c>
      <c r="AN634" s="2">
        <v>1.5211973446309801</v>
      </c>
      <c r="AO634" s="2">
        <v>0.74593844939809295</v>
      </c>
      <c r="AP634" s="2">
        <v>0.74593844939809295</v>
      </c>
      <c r="AQ634" s="2">
        <v>0</v>
      </c>
      <c r="AR634" s="2">
        <v>3</v>
      </c>
      <c r="AS634" s="2">
        <v>0</v>
      </c>
      <c r="AT634" s="2">
        <v>0</v>
      </c>
      <c r="AU634" s="2">
        <v>0</v>
      </c>
      <c r="AV634" s="2">
        <v>41</v>
      </c>
      <c r="AW634" s="2">
        <v>0</v>
      </c>
      <c r="AX634" s="2">
        <v>0</v>
      </c>
      <c r="AY634" s="2">
        <v>16.600000000000001</v>
      </c>
      <c r="AZ634" s="2">
        <v>101.7</v>
      </c>
      <c r="BA634" s="2">
        <v>19.899999999999999</v>
      </c>
      <c r="BB634" s="2">
        <v>564</v>
      </c>
      <c r="BC634" s="2">
        <v>71</v>
      </c>
      <c r="BD634" s="2">
        <v>1.7</v>
      </c>
      <c r="BE634" s="2">
        <v>185</v>
      </c>
      <c r="BF634" s="2">
        <v>0.8</v>
      </c>
      <c r="BG634" s="2">
        <v>162</v>
      </c>
      <c r="BH634" s="2">
        <v>19.5</v>
      </c>
      <c r="BI634" s="2">
        <v>15.6</v>
      </c>
      <c r="BJ634" s="2">
        <v>35</v>
      </c>
      <c r="BK634" s="2">
        <v>0.68</v>
      </c>
      <c r="BL634" s="2">
        <v>5.4</v>
      </c>
      <c r="BM634" s="2">
        <v>0.9</v>
      </c>
      <c r="BN634" s="2">
        <v>4.5999999999999996</v>
      </c>
      <c r="BO634" s="2">
        <v>2.1</v>
      </c>
      <c r="BP634" s="2">
        <f t="shared" si="18"/>
        <v>92.464382457635324</v>
      </c>
      <c r="BQ634" s="2">
        <f t="shared" si="19"/>
        <v>19.002305611049458</v>
      </c>
    </row>
    <row r="635" spans="1:69" x14ac:dyDescent="0.2">
      <c r="A635" s="2" t="s">
        <v>149</v>
      </c>
      <c r="B635" s="2" t="s">
        <v>47</v>
      </c>
      <c r="C635" s="2" t="s">
        <v>48</v>
      </c>
      <c r="D635" s="2" t="s">
        <v>49</v>
      </c>
      <c r="E635" s="2" t="s">
        <v>150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89</v>
      </c>
      <c r="L635" s="6" t="s">
        <v>141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151</v>
      </c>
      <c r="R635" s="2">
        <v>6808510.6380000003</v>
      </c>
      <c r="S635" s="2">
        <v>0</v>
      </c>
      <c r="T635" s="2" t="s">
        <v>67</v>
      </c>
      <c r="U635" s="2" t="s">
        <v>68</v>
      </c>
      <c r="V635" s="2" t="s">
        <v>56</v>
      </c>
      <c r="W635" s="2" t="s">
        <v>67</v>
      </c>
      <c r="X635" s="2" t="s">
        <v>69</v>
      </c>
      <c r="Y635" s="2">
        <v>3.2612705114508298</v>
      </c>
      <c r="Z635" s="2">
        <v>3261.2705114508299</v>
      </c>
      <c r="AA635" s="2">
        <v>4.6317666666666701</v>
      </c>
      <c r="AB635" s="2">
        <v>-74.117483333333297</v>
      </c>
      <c r="AC635" s="2">
        <v>2590</v>
      </c>
      <c r="AD635" s="2">
        <v>10</v>
      </c>
      <c r="AE635" s="2" t="s">
        <v>59</v>
      </c>
      <c r="AF635" s="2" t="s">
        <v>70</v>
      </c>
      <c r="AG635" s="2" t="s">
        <v>61</v>
      </c>
      <c r="AH635" s="2" t="s">
        <v>62</v>
      </c>
      <c r="AI635" s="2" t="s">
        <v>71</v>
      </c>
      <c r="AJ635" s="2">
        <v>0.950853068515916</v>
      </c>
      <c r="AK635" s="2">
        <v>4.4727316759695901</v>
      </c>
      <c r="AL635" s="2">
        <v>1.21900922656574</v>
      </c>
      <c r="AM635" s="2">
        <v>0.18606081017604001</v>
      </c>
      <c r="AN635" s="2">
        <v>1.13953844811825</v>
      </c>
      <c r="AO635" s="2">
        <v>0.22171981339416499</v>
      </c>
      <c r="AP635" s="2">
        <v>0.22171981339416499</v>
      </c>
      <c r="AQ635" s="2">
        <v>0</v>
      </c>
      <c r="AR635" s="2">
        <v>2</v>
      </c>
      <c r="AS635" s="2">
        <v>0</v>
      </c>
      <c r="AT635" s="2">
        <v>0</v>
      </c>
      <c r="AU635" s="2">
        <v>0</v>
      </c>
      <c r="AV635" s="2">
        <v>24</v>
      </c>
      <c r="AW635" s="2">
        <v>0</v>
      </c>
      <c r="AX635" s="2">
        <v>0</v>
      </c>
      <c r="AY635" s="2">
        <v>16.600000000000001</v>
      </c>
      <c r="AZ635" s="2">
        <v>101.7</v>
      </c>
      <c r="BA635" s="2">
        <v>19.899999999999999</v>
      </c>
      <c r="BB635" s="2">
        <v>564</v>
      </c>
      <c r="BC635" s="2">
        <v>71</v>
      </c>
      <c r="BD635" s="2">
        <v>1.7</v>
      </c>
      <c r="BE635" s="2">
        <v>185</v>
      </c>
      <c r="BF635" s="2">
        <v>0.8</v>
      </c>
      <c r="BG635" s="2">
        <v>162</v>
      </c>
      <c r="BH635" s="2">
        <v>19.5</v>
      </c>
      <c r="BI635" s="2">
        <v>15.6</v>
      </c>
      <c r="BJ635" s="2">
        <v>35</v>
      </c>
      <c r="BK635" s="2">
        <v>0.68</v>
      </c>
      <c r="BL635" s="2">
        <v>5.4</v>
      </c>
      <c r="BM635" s="2">
        <v>0.9</v>
      </c>
      <c r="BN635" s="2">
        <v>4.5999999999999996</v>
      </c>
      <c r="BO635" s="2">
        <v>2.1</v>
      </c>
      <c r="BP635" s="2">
        <f t="shared" si="18"/>
        <v>86.538933655580422</v>
      </c>
      <c r="BQ635" s="2">
        <f t="shared" si="19"/>
        <v>18.401813866467965</v>
      </c>
    </row>
    <row r="636" spans="1:69" x14ac:dyDescent="0.2">
      <c r="A636" s="2" t="s">
        <v>480</v>
      </c>
      <c r="B636" s="2" t="s">
        <v>47</v>
      </c>
      <c r="C636" s="2" t="s">
        <v>48</v>
      </c>
      <c r="D636" s="2" t="s">
        <v>49</v>
      </c>
      <c r="E636" s="2" t="s">
        <v>481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89</v>
      </c>
      <c r="L636" s="6" t="s">
        <v>103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482</v>
      </c>
      <c r="R636" s="2">
        <v>4361702.1279999996</v>
      </c>
      <c r="S636" s="2">
        <v>0</v>
      </c>
      <c r="T636" s="2" t="s">
        <v>483</v>
      </c>
      <c r="U636" s="2" t="s">
        <v>484</v>
      </c>
      <c r="V636" s="2" t="s">
        <v>56</v>
      </c>
      <c r="W636" s="2" t="s">
        <v>67</v>
      </c>
      <c r="X636" s="2" t="s">
        <v>485</v>
      </c>
      <c r="Y636" s="2">
        <v>1.6664272420730599</v>
      </c>
      <c r="Z636" s="2">
        <v>1666.4272420730599</v>
      </c>
      <c r="AA636" s="2">
        <v>4.6085000000000003</v>
      </c>
      <c r="AB636" s="2">
        <v>-74.114944444444404</v>
      </c>
      <c r="AC636" s="2">
        <v>2559</v>
      </c>
      <c r="AD636" s="2">
        <v>0</v>
      </c>
      <c r="AE636" s="2" t="s">
        <v>59</v>
      </c>
      <c r="AF636" s="2" t="s">
        <v>486</v>
      </c>
      <c r="AG636" s="2" t="s">
        <v>61</v>
      </c>
      <c r="AH636" s="2" t="s">
        <v>62</v>
      </c>
      <c r="AI636" s="2" t="s">
        <v>267</v>
      </c>
      <c r="AJ636" s="2">
        <v>0.113778788585975</v>
      </c>
      <c r="AK636" s="2">
        <v>3.8869404421113001</v>
      </c>
      <c r="AL636" s="2">
        <v>1.4393710668239501</v>
      </c>
      <c r="AM636" s="2">
        <v>0.110068520083831</v>
      </c>
      <c r="AN636" s="2">
        <v>1.3591639055967699</v>
      </c>
      <c r="AO636" s="2">
        <v>0.21272853564031599</v>
      </c>
      <c r="AP636" s="2">
        <v>0.21272853564031599</v>
      </c>
      <c r="AQ636" s="2">
        <v>2</v>
      </c>
      <c r="AR636" s="2">
        <v>3</v>
      </c>
      <c r="AS636" s="2">
        <v>0</v>
      </c>
      <c r="AT636" s="2">
        <v>0</v>
      </c>
      <c r="AU636" s="2">
        <v>0</v>
      </c>
      <c r="AV636" s="2">
        <v>22</v>
      </c>
      <c r="AW636" s="2">
        <v>0</v>
      </c>
      <c r="AX636" s="2">
        <v>0</v>
      </c>
      <c r="AY636" s="2">
        <v>16.600000000000001</v>
      </c>
      <c r="AZ636" s="2">
        <v>101.7</v>
      </c>
      <c r="BA636" s="2">
        <v>19.899999999999999</v>
      </c>
      <c r="BB636" s="2">
        <v>564</v>
      </c>
      <c r="BC636" s="2">
        <v>71</v>
      </c>
      <c r="BD636" s="2">
        <v>1.7</v>
      </c>
      <c r="BE636" s="2">
        <v>185</v>
      </c>
      <c r="BF636" s="2">
        <v>0.8</v>
      </c>
      <c r="BG636" s="2">
        <v>162</v>
      </c>
      <c r="BH636" s="2">
        <v>19.5</v>
      </c>
      <c r="BI636" s="2">
        <v>15.6</v>
      </c>
      <c r="BJ636" s="2">
        <v>35</v>
      </c>
      <c r="BK636" s="2">
        <v>0.68</v>
      </c>
      <c r="BL636" s="2">
        <v>5.4</v>
      </c>
      <c r="BM636" s="2">
        <v>0.9</v>
      </c>
      <c r="BN636" s="2">
        <v>4.5999999999999996</v>
      </c>
      <c r="BO636" s="2">
        <v>2.1</v>
      </c>
      <c r="BP636" s="2">
        <f t="shared" si="18"/>
        <v>93.647633090011738</v>
      </c>
      <c r="BQ636" s="2">
        <f t="shared" si="19"/>
        <v>19.119819704937079</v>
      </c>
    </row>
    <row r="637" spans="1:69" x14ac:dyDescent="0.2">
      <c r="A637" s="2" t="s">
        <v>264</v>
      </c>
      <c r="B637" s="2" t="s">
        <v>47</v>
      </c>
      <c r="C637" s="2" t="s">
        <v>48</v>
      </c>
      <c r="D637" s="2" t="s">
        <v>49</v>
      </c>
      <c r="E637" s="2" t="s">
        <v>265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89</v>
      </c>
      <c r="L637" s="6" t="s">
        <v>90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266</v>
      </c>
      <c r="R637" s="2">
        <v>9560439.5600000005</v>
      </c>
      <c r="S637" s="2">
        <v>0</v>
      </c>
      <c r="T637" s="2" t="s">
        <v>67</v>
      </c>
      <c r="U637" s="2" t="s">
        <v>68</v>
      </c>
      <c r="V637" s="2" t="s">
        <v>56</v>
      </c>
      <c r="W637" s="2" t="s">
        <v>67</v>
      </c>
      <c r="X637" s="2" t="s">
        <v>69</v>
      </c>
      <c r="Y637" s="2">
        <v>1.4481422293470601</v>
      </c>
      <c r="Z637" s="2">
        <v>1448.14222934706</v>
      </c>
      <c r="AA637" s="2">
        <v>4.6317666666666701</v>
      </c>
      <c r="AB637" s="2">
        <v>-74.117483333333297</v>
      </c>
      <c r="AC637" s="2">
        <v>2590</v>
      </c>
      <c r="AD637" s="2">
        <v>10</v>
      </c>
      <c r="AE637" s="2" t="s">
        <v>59</v>
      </c>
      <c r="AF637" s="2" t="s">
        <v>70</v>
      </c>
      <c r="AG637" s="2" t="s">
        <v>61</v>
      </c>
      <c r="AH637" s="2" t="s">
        <v>62</v>
      </c>
      <c r="AI637" s="2" t="s">
        <v>267</v>
      </c>
      <c r="AJ637" s="2">
        <v>1.3401444484079199</v>
      </c>
      <c r="AK637" s="2">
        <v>5.5472804187053804</v>
      </c>
      <c r="AL637" s="2">
        <v>1.3176415194773199</v>
      </c>
      <c r="AM637" s="2">
        <v>0.23542914450472499</v>
      </c>
      <c r="AN637" s="2">
        <v>0.99625515669279296</v>
      </c>
      <c r="AO637" s="2">
        <v>0.50022150476860905</v>
      </c>
      <c r="AP637" s="2">
        <v>0.50022150476860905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41</v>
      </c>
      <c r="AW637" s="2">
        <v>1</v>
      </c>
      <c r="AX637" s="2">
        <v>0</v>
      </c>
      <c r="AY637" s="2">
        <v>16.600000000000001</v>
      </c>
      <c r="AZ637" s="2">
        <v>101.7</v>
      </c>
      <c r="BA637" s="2">
        <v>19.899999999999999</v>
      </c>
      <c r="BB637" s="2">
        <v>564</v>
      </c>
      <c r="BC637" s="2">
        <v>71</v>
      </c>
      <c r="BD637" s="2">
        <v>1.7</v>
      </c>
      <c r="BE637" s="2">
        <v>185</v>
      </c>
      <c r="BF637" s="2">
        <v>0.8</v>
      </c>
      <c r="BG637" s="2">
        <v>162</v>
      </c>
      <c r="BH637" s="2">
        <v>19.5</v>
      </c>
      <c r="BI637" s="2">
        <v>15.6</v>
      </c>
      <c r="BJ637" s="2">
        <v>35</v>
      </c>
      <c r="BK637" s="2">
        <v>0.68</v>
      </c>
      <c r="BL637" s="2">
        <v>5.4</v>
      </c>
      <c r="BM637" s="2">
        <v>0.9</v>
      </c>
      <c r="BN637" s="2">
        <v>4.5999999999999996</v>
      </c>
      <c r="BO637" s="2">
        <v>2.1</v>
      </c>
      <c r="BP637" s="2">
        <f t="shared" si="18"/>
        <v>94.664992331900763</v>
      </c>
      <c r="BQ637" s="2">
        <f t="shared" si="19"/>
        <v>19.220248221828768</v>
      </c>
    </row>
    <row r="638" spans="1:69" x14ac:dyDescent="0.2">
      <c r="A638" s="2" t="s">
        <v>3254</v>
      </c>
      <c r="B638" s="2" t="s">
        <v>47</v>
      </c>
      <c r="C638" s="2" t="s">
        <v>1935</v>
      </c>
      <c r="D638" s="2" t="s">
        <v>49</v>
      </c>
      <c r="E638" s="2" t="s">
        <v>253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89</v>
      </c>
      <c r="L638" s="6" t="s">
        <v>103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3255</v>
      </c>
      <c r="R638" s="2">
        <v>8736263.7359999996</v>
      </c>
      <c r="S638" s="2">
        <v>0</v>
      </c>
      <c r="T638" s="2" t="s">
        <v>67</v>
      </c>
      <c r="U638" s="2" t="s">
        <v>68</v>
      </c>
      <c r="V638" s="2" t="s">
        <v>56</v>
      </c>
      <c r="W638" s="2" t="s">
        <v>67</v>
      </c>
      <c r="X638" s="2" t="s">
        <v>69</v>
      </c>
      <c r="Y638" s="2">
        <v>1.6724667127678601</v>
      </c>
      <c r="Z638" s="2">
        <v>1672.4667127678599</v>
      </c>
      <c r="AA638" s="2">
        <v>4.6317666666666701</v>
      </c>
      <c r="AB638" s="2">
        <v>-74.117483333333297</v>
      </c>
      <c r="AC638" s="2">
        <v>2590</v>
      </c>
      <c r="AD638" s="2">
        <v>10</v>
      </c>
      <c r="AE638" s="2" t="s">
        <v>59</v>
      </c>
      <c r="AF638" s="2" t="s">
        <v>70</v>
      </c>
      <c r="AG638" s="2" t="s">
        <v>61</v>
      </c>
      <c r="AH638" s="2" t="s">
        <v>62</v>
      </c>
      <c r="AI638" s="2" t="s">
        <v>63</v>
      </c>
      <c r="AJ638" s="2">
        <v>0.99954446681345199</v>
      </c>
      <c r="AK638" s="2">
        <v>5.29950083714371</v>
      </c>
      <c r="AL638" s="2">
        <v>1.62777114151842</v>
      </c>
      <c r="AM638" s="2">
        <v>0.49074580631490899</v>
      </c>
      <c r="AN638" s="2">
        <v>1.2734775458352099</v>
      </c>
      <c r="AO638" s="2">
        <v>0.54294105246038704</v>
      </c>
      <c r="AP638" s="2">
        <v>0.54294105246038704</v>
      </c>
      <c r="AQ638" s="2">
        <v>0</v>
      </c>
      <c r="AR638" s="2">
        <v>1</v>
      </c>
      <c r="AS638" s="2">
        <v>0</v>
      </c>
      <c r="AT638" s="2">
        <v>0</v>
      </c>
      <c r="AU638" s="2">
        <v>0</v>
      </c>
      <c r="AV638" s="2">
        <v>42</v>
      </c>
      <c r="AW638" s="2">
        <v>0</v>
      </c>
      <c r="AX638" s="2">
        <v>0</v>
      </c>
      <c r="AY638" s="2">
        <v>16.600000000000001</v>
      </c>
      <c r="AZ638" s="2">
        <v>101.7</v>
      </c>
      <c r="BA638" s="2">
        <v>19.899999999999999</v>
      </c>
      <c r="BB638" s="2">
        <v>564</v>
      </c>
      <c r="BC638" s="2">
        <v>71</v>
      </c>
      <c r="BD638" s="2">
        <v>1.7</v>
      </c>
      <c r="BE638" s="2">
        <v>185</v>
      </c>
      <c r="BF638" s="2">
        <v>0.8</v>
      </c>
      <c r="BG638" s="2">
        <v>162</v>
      </c>
      <c r="BH638" s="2">
        <v>19.5</v>
      </c>
      <c r="BI638" s="2">
        <v>15.6</v>
      </c>
      <c r="BJ638" s="2">
        <v>35</v>
      </c>
      <c r="BK638" s="2">
        <v>0.68</v>
      </c>
      <c r="BL638" s="2">
        <v>5.4</v>
      </c>
      <c r="BM638" s="2">
        <v>0.9</v>
      </c>
      <c r="BN638" s="2">
        <v>4.5999999999999996</v>
      </c>
      <c r="BO638" s="2">
        <v>2.1</v>
      </c>
      <c r="BP638" s="2">
        <f t="shared" si="18"/>
        <v>93.619640958680847</v>
      </c>
      <c r="BQ638" s="2">
        <f t="shared" si="19"/>
        <v>19.117048539599246</v>
      </c>
    </row>
    <row r="639" spans="1:69" x14ac:dyDescent="0.2">
      <c r="A639" s="2" t="s">
        <v>252</v>
      </c>
      <c r="B639" s="2" t="s">
        <v>47</v>
      </c>
      <c r="C639" s="2" t="s">
        <v>48</v>
      </c>
      <c r="D639" s="2" t="s">
        <v>49</v>
      </c>
      <c r="E639" s="2" t="s">
        <v>253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89</v>
      </c>
      <c r="L639" s="6" t="s">
        <v>103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254</v>
      </c>
      <c r="R639" s="2">
        <v>9055555.5559999999</v>
      </c>
      <c r="S639" s="2">
        <v>0</v>
      </c>
      <c r="T639" s="2" t="s">
        <v>67</v>
      </c>
      <c r="U639" s="2" t="s">
        <v>68</v>
      </c>
      <c r="V639" s="2" t="s">
        <v>56</v>
      </c>
      <c r="W639" s="2" t="s">
        <v>67</v>
      </c>
      <c r="X639" s="2" t="s">
        <v>69</v>
      </c>
      <c r="Y639" s="2">
        <v>1.75383709664127</v>
      </c>
      <c r="Z639" s="2">
        <v>1753.8370966412699</v>
      </c>
      <c r="AA639" s="2">
        <v>4.6317666666666701</v>
      </c>
      <c r="AB639" s="2">
        <v>-74.117483333333297</v>
      </c>
      <c r="AC639" s="2">
        <v>2590</v>
      </c>
      <c r="AD639" s="2">
        <v>10</v>
      </c>
      <c r="AE639" s="2" t="s">
        <v>59</v>
      </c>
      <c r="AF639" s="2" t="s">
        <v>70</v>
      </c>
      <c r="AG639" s="2" t="s">
        <v>61</v>
      </c>
      <c r="AH639" s="2" t="s">
        <v>62</v>
      </c>
      <c r="AI639" s="2" t="s">
        <v>63</v>
      </c>
      <c r="AJ639" s="2">
        <v>1.00266425202659</v>
      </c>
      <c r="AK639" s="2">
        <v>5.4352590970257904</v>
      </c>
      <c r="AL639" s="2">
        <v>1.50724950019967</v>
      </c>
      <c r="AM639" s="2">
        <v>0.27429298634185101</v>
      </c>
      <c r="AN639" s="2">
        <v>1.06503105123515</v>
      </c>
      <c r="AO639" s="2">
        <v>0.32745209753899501</v>
      </c>
      <c r="AP639" s="2">
        <v>0.32745209753899501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39</v>
      </c>
      <c r="AW639" s="2">
        <v>0</v>
      </c>
      <c r="AX639" s="2">
        <v>0</v>
      </c>
      <c r="AY639" s="2">
        <v>16.600000000000001</v>
      </c>
      <c r="AZ639" s="2">
        <v>101.7</v>
      </c>
      <c r="BA639" s="2">
        <v>19.899999999999999</v>
      </c>
      <c r="BB639" s="2">
        <v>564</v>
      </c>
      <c r="BC639" s="2">
        <v>71</v>
      </c>
      <c r="BD639" s="2">
        <v>1.7</v>
      </c>
      <c r="BE639" s="2">
        <v>185</v>
      </c>
      <c r="BF639" s="2">
        <v>0.8</v>
      </c>
      <c r="BG639" s="2">
        <v>162</v>
      </c>
      <c r="BH639" s="2">
        <v>19.5</v>
      </c>
      <c r="BI639" s="2">
        <v>15.6</v>
      </c>
      <c r="BJ639" s="2">
        <v>35</v>
      </c>
      <c r="BK639" s="2">
        <v>0.68</v>
      </c>
      <c r="BL639" s="2">
        <v>5.4</v>
      </c>
      <c r="BM639" s="2">
        <v>0.9</v>
      </c>
      <c r="BN639" s="2">
        <v>4.5999999999999996</v>
      </c>
      <c r="BO639" s="2">
        <v>2.1</v>
      </c>
      <c r="BP639" s="2">
        <f t="shared" si="18"/>
        <v>93.243314983651572</v>
      </c>
      <c r="BQ639" s="2">
        <f t="shared" si="19"/>
        <v>19.079751492077037</v>
      </c>
    </row>
    <row r="640" spans="1:69" x14ac:dyDescent="0.2">
      <c r="A640" s="2" t="s">
        <v>2140</v>
      </c>
      <c r="B640" s="2" t="s">
        <v>47</v>
      </c>
      <c r="C640" s="2" t="s">
        <v>1935</v>
      </c>
      <c r="D640" s="2" t="s">
        <v>49</v>
      </c>
      <c r="E640" s="2" t="s">
        <v>253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89</v>
      </c>
      <c r="L640" s="6" t="s">
        <v>141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2141</v>
      </c>
      <c r="R640" s="2">
        <v>10063291.140000001</v>
      </c>
      <c r="S640" s="2">
        <v>0</v>
      </c>
      <c r="T640" s="2" t="s">
        <v>67</v>
      </c>
      <c r="U640" s="2" t="s">
        <v>68</v>
      </c>
      <c r="V640" s="2" t="s">
        <v>56</v>
      </c>
      <c r="W640" s="2" t="s">
        <v>67</v>
      </c>
      <c r="X640" s="2" t="s">
        <v>69</v>
      </c>
      <c r="Y640" s="2">
        <v>1.6872383108234601</v>
      </c>
      <c r="Z640" s="2">
        <v>1687.2383108234601</v>
      </c>
      <c r="AA640" s="2">
        <v>4.6317666666666701</v>
      </c>
      <c r="AB640" s="2">
        <v>-74.117483333333297</v>
      </c>
      <c r="AC640" s="2">
        <v>2590</v>
      </c>
      <c r="AD640" s="2">
        <v>10</v>
      </c>
      <c r="AE640" s="2" t="s">
        <v>59</v>
      </c>
      <c r="AF640" s="2" t="s">
        <v>70</v>
      </c>
      <c r="AG640" s="2" t="s">
        <v>61</v>
      </c>
      <c r="AH640" s="2" t="s">
        <v>62</v>
      </c>
      <c r="AI640" s="2" t="s">
        <v>63</v>
      </c>
      <c r="AJ640" s="2">
        <v>0.96553441671013596</v>
      </c>
      <c r="AK640" s="2">
        <v>5.2191249191964602</v>
      </c>
      <c r="AL640" s="2">
        <v>1.5664914727939001</v>
      </c>
      <c r="AM640" s="2">
        <v>0.53006269207958201</v>
      </c>
      <c r="AN640" s="2">
        <v>1.3607199022540599</v>
      </c>
      <c r="AO640" s="2">
        <v>0.62122239490730802</v>
      </c>
      <c r="AP640" s="2">
        <v>0.62122239490730802</v>
      </c>
      <c r="AQ640" s="2">
        <v>0</v>
      </c>
      <c r="AR640" s="2">
        <v>1</v>
      </c>
      <c r="AS640" s="2">
        <v>0</v>
      </c>
      <c r="AT640" s="2">
        <v>0</v>
      </c>
      <c r="AU640" s="2">
        <v>0</v>
      </c>
      <c r="AV640" s="2">
        <v>40</v>
      </c>
      <c r="AW640" s="2">
        <v>0</v>
      </c>
      <c r="AX640" s="2">
        <v>0</v>
      </c>
      <c r="AY640" s="2">
        <v>16.600000000000001</v>
      </c>
      <c r="AZ640" s="2">
        <v>101.7</v>
      </c>
      <c r="BA640" s="2">
        <v>19.899999999999999</v>
      </c>
      <c r="BB640" s="2">
        <v>564</v>
      </c>
      <c r="BC640" s="2">
        <v>71</v>
      </c>
      <c r="BD640" s="2">
        <v>1.7</v>
      </c>
      <c r="BE640" s="2">
        <v>185</v>
      </c>
      <c r="BF640" s="2">
        <v>0.8</v>
      </c>
      <c r="BG640" s="2">
        <v>162</v>
      </c>
      <c r="BH640" s="2">
        <v>19.5</v>
      </c>
      <c r="BI640" s="2">
        <v>15.6</v>
      </c>
      <c r="BJ640" s="2">
        <v>35</v>
      </c>
      <c r="BK640" s="2">
        <v>0.68</v>
      </c>
      <c r="BL640" s="2">
        <v>5.4</v>
      </c>
      <c r="BM640" s="2">
        <v>0.9</v>
      </c>
      <c r="BN640" s="2">
        <v>4.5999999999999996</v>
      </c>
      <c r="BO640" s="2">
        <v>2.1</v>
      </c>
      <c r="BP640" s="2">
        <f t="shared" si="18"/>
        <v>93.551211849745727</v>
      </c>
      <c r="BQ640" s="2">
        <f t="shared" si="19"/>
        <v>19.110272396234937</v>
      </c>
    </row>
    <row r="641" spans="1:69" x14ac:dyDescent="0.2">
      <c r="A641" s="2" t="s">
        <v>608</v>
      </c>
      <c r="B641" s="2" t="s">
        <v>47</v>
      </c>
      <c r="C641" s="2" t="s">
        <v>48</v>
      </c>
      <c r="D641" s="2" t="s">
        <v>49</v>
      </c>
      <c r="E641" s="2" t="s">
        <v>609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89</v>
      </c>
      <c r="L641" s="6" t="s">
        <v>90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610</v>
      </c>
      <c r="R641" s="2">
        <v>6643835.6160000004</v>
      </c>
      <c r="S641" s="2">
        <v>0</v>
      </c>
      <c r="T641" s="2" t="s">
        <v>67</v>
      </c>
      <c r="U641" s="2" t="s">
        <v>68</v>
      </c>
      <c r="V641" s="2" t="s">
        <v>56</v>
      </c>
      <c r="W641" s="2" t="s">
        <v>67</v>
      </c>
      <c r="X641" s="2" t="s">
        <v>69</v>
      </c>
      <c r="Y641" s="2">
        <v>1.06485519053457</v>
      </c>
      <c r="Z641" s="2">
        <v>1064.8551905345701</v>
      </c>
      <c r="AA641" s="2">
        <v>4.6317666666666701</v>
      </c>
      <c r="AB641" s="2">
        <v>-74.117483333333297</v>
      </c>
      <c r="AC641" s="2">
        <v>2590</v>
      </c>
      <c r="AD641" s="2">
        <v>10</v>
      </c>
      <c r="AE641" s="2" t="s">
        <v>59</v>
      </c>
      <c r="AF641" s="2" t="s">
        <v>70</v>
      </c>
      <c r="AG641" s="2" t="s">
        <v>61</v>
      </c>
      <c r="AH641" s="2" t="s">
        <v>62</v>
      </c>
      <c r="AI641" s="2" t="s">
        <v>200</v>
      </c>
      <c r="AJ641" s="2">
        <v>0.98258872683820397</v>
      </c>
      <c r="AK641" s="2">
        <v>4.38855487990838</v>
      </c>
      <c r="AL641" s="2">
        <v>0.52483637864152399</v>
      </c>
      <c r="AM641" s="2">
        <v>0.41638096153098503</v>
      </c>
      <c r="AN641" s="2">
        <v>1.95682387898428</v>
      </c>
      <c r="AO641" s="2">
        <v>0.15742501898153799</v>
      </c>
      <c r="AP641" s="2">
        <v>0.15742501898153799</v>
      </c>
      <c r="AQ641" s="2">
        <v>0</v>
      </c>
      <c r="AR641" s="2">
        <v>1</v>
      </c>
      <c r="AS641" s="2">
        <v>0</v>
      </c>
      <c r="AT641" s="2">
        <v>0</v>
      </c>
      <c r="AU641" s="2">
        <v>1</v>
      </c>
      <c r="AV641" s="2">
        <v>17</v>
      </c>
      <c r="AW641" s="2">
        <v>0</v>
      </c>
      <c r="AX641" s="2">
        <v>0</v>
      </c>
      <c r="AY641" s="2">
        <v>16.600000000000001</v>
      </c>
      <c r="AZ641" s="2">
        <v>101.7</v>
      </c>
      <c r="BA641" s="2">
        <v>19.899999999999999</v>
      </c>
      <c r="BB641" s="2">
        <v>564</v>
      </c>
      <c r="BC641" s="2">
        <v>71</v>
      </c>
      <c r="BD641" s="2">
        <v>1.7</v>
      </c>
      <c r="BE641" s="2">
        <v>185</v>
      </c>
      <c r="BF641" s="2">
        <v>0.8</v>
      </c>
      <c r="BG641" s="2">
        <v>162</v>
      </c>
      <c r="BH641" s="2">
        <v>19.5</v>
      </c>
      <c r="BI641" s="2">
        <v>15.6</v>
      </c>
      <c r="BJ641" s="2">
        <v>35</v>
      </c>
      <c r="BK641" s="2">
        <v>0.68</v>
      </c>
      <c r="BL641" s="2">
        <v>5.4</v>
      </c>
      <c r="BM641" s="2">
        <v>0.9</v>
      </c>
      <c r="BN641" s="2">
        <v>4.5999999999999996</v>
      </c>
      <c r="BO641" s="2">
        <v>2.1</v>
      </c>
      <c r="BP641" s="2">
        <f t="shared" si="18"/>
        <v>96.478189873131001</v>
      </c>
      <c r="BQ641" s="2">
        <f t="shared" si="19"/>
        <v>19.397868854178512</v>
      </c>
    </row>
    <row r="642" spans="1:69" x14ac:dyDescent="0.2">
      <c r="A642" s="2" t="s">
        <v>146</v>
      </c>
      <c r="B642" s="2" t="s">
        <v>47</v>
      </c>
      <c r="C642" s="2" t="s">
        <v>48</v>
      </c>
      <c r="D642" s="2" t="s">
        <v>49</v>
      </c>
      <c r="E642" s="2" t="s">
        <v>147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89</v>
      </c>
      <c r="L642" s="6" t="s">
        <v>112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148</v>
      </c>
      <c r="R642" s="2">
        <v>9722222.2219999991</v>
      </c>
      <c r="S642" s="2">
        <v>0</v>
      </c>
      <c r="T642" s="2" t="s">
        <v>67</v>
      </c>
      <c r="U642" s="2" t="s">
        <v>68</v>
      </c>
      <c r="V642" s="2" t="s">
        <v>56</v>
      </c>
      <c r="W642" s="2" t="s">
        <v>67</v>
      </c>
      <c r="X642" s="2" t="s">
        <v>69</v>
      </c>
      <c r="Y642" s="2">
        <v>2.22253714662657</v>
      </c>
      <c r="Z642" s="2">
        <v>2222.5371466265701</v>
      </c>
      <c r="AA642" s="2">
        <v>4.6317666666666701</v>
      </c>
      <c r="AB642" s="2">
        <v>-74.117483333333297</v>
      </c>
      <c r="AC642" s="2">
        <v>2590</v>
      </c>
      <c r="AD642" s="2">
        <v>10</v>
      </c>
      <c r="AE642" s="2" t="s">
        <v>59</v>
      </c>
      <c r="AF642" s="2" t="s">
        <v>70</v>
      </c>
      <c r="AG642" s="2" t="s">
        <v>61</v>
      </c>
      <c r="AH642" s="2" t="s">
        <v>62</v>
      </c>
      <c r="AI642" s="2" t="s">
        <v>63</v>
      </c>
      <c r="AJ642" s="2">
        <v>0.66480081215956999</v>
      </c>
      <c r="AK642" s="2">
        <v>4.0850236218583298</v>
      </c>
      <c r="AL642" s="2">
        <v>1.08256556052827</v>
      </c>
      <c r="AM642" s="2">
        <v>0.21586763818568599</v>
      </c>
      <c r="AN642" s="2">
        <v>1.84548803346345</v>
      </c>
      <c r="AO642" s="2">
        <v>0.64584433171654299</v>
      </c>
      <c r="AP642" s="2">
        <v>0.64584433171654299</v>
      </c>
      <c r="AQ642" s="2">
        <v>0</v>
      </c>
      <c r="AR642" s="2">
        <v>2</v>
      </c>
      <c r="AS642" s="2">
        <v>0</v>
      </c>
      <c r="AT642" s="2">
        <v>0</v>
      </c>
      <c r="AU642" s="2">
        <v>0</v>
      </c>
      <c r="AV642" s="2">
        <v>13</v>
      </c>
      <c r="AW642" s="2">
        <v>0</v>
      </c>
      <c r="AX642" s="2">
        <v>0</v>
      </c>
      <c r="AY642" s="2">
        <v>16.600000000000001</v>
      </c>
      <c r="AZ642" s="2">
        <v>101.7</v>
      </c>
      <c r="BA642" s="2">
        <v>19.899999999999999</v>
      </c>
      <c r="BB642" s="2">
        <v>564</v>
      </c>
      <c r="BC642" s="2">
        <v>71</v>
      </c>
      <c r="BD642" s="2">
        <v>1.7</v>
      </c>
      <c r="BE642" s="2">
        <v>185</v>
      </c>
      <c r="BF642" s="2">
        <v>0.8</v>
      </c>
      <c r="BG642" s="2">
        <v>162</v>
      </c>
      <c r="BH642" s="2">
        <v>19.5</v>
      </c>
      <c r="BI642" s="2">
        <v>15.6</v>
      </c>
      <c r="BJ642" s="2">
        <v>35</v>
      </c>
      <c r="BK642" s="2">
        <v>0.68</v>
      </c>
      <c r="BL642" s="2">
        <v>5.4</v>
      </c>
      <c r="BM642" s="2">
        <v>0.9</v>
      </c>
      <c r="BN642" s="2">
        <v>4.5999999999999996</v>
      </c>
      <c r="BO642" s="2">
        <v>2.1</v>
      </c>
      <c r="BP642" s="2">
        <f t="shared" ref="BP642:BP705" si="20">+AZ642*EXP(-0.0495*Y642)</f>
        <v>91.104911336170375</v>
      </c>
      <c r="BQ642" s="2">
        <f t="shared" ref="BQ642:BQ705" si="21">+BA642*EXP(-0.024*Y642)</f>
        <v>18.866329780255651</v>
      </c>
    </row>
    <row r="643" spans="1:69" x14ac:dyDescent="0.2">
      <c r="A643" s="2" t="s">
        <v>1604</v>
      </c>
      <c r="B643" s="2" t="s">
        <v>47</v>
      </c>
      <c r="C643" s="2" t="s">
        <v>48</v>
      </c>
      <c r="D643" s="2" t="s">
        <v>49</v>
      </c>
      <c r="E643" s="2" t="s">
        <v>1605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89</v>
      </c>
      <c r="L643" s="6" t="s">
        <v>103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1606</v>
      </c>
      <c r="R643" s="2">
        <v>7430555.5559999999</v>
      </c>
      <c r="S643" s="2">
        <v>0</v>
      </c>
      <c r="T643" s="2" t="s">
        <v>67</v>
      </c>
      <c r="U643" s="2" t="s">
        <v>68</v>
      </c>
      <c r="V643" s="2" t="s">
        <v>56</v>
      </c>
      <c r="W643" s="2" t="s">
        <v>67</v>
      </c>
      <c r="X643" s="2" t="s">
        <v>69</v>
      </c>
      <c r="Y643" s="2">
        <v>3.1914028693923302</v>
      </c>
      <c r="Z643" s="2">
        <v>3191.4028693923301</v>
      </c>
      <c r="AA643" s="2">
        <v>4.6317666666666701</v>
      </c>
      <c r="AB643" s="2">
        <v>-74.117483333333297</v>
      </c>
      <c r="AC643" s="2">
        <v>2590</v>
      </c>
      <c r="AD643" s="2">
        <v>10</v>
      </c>
      <c r="AE643" s="2" t="s">
        <v>59</v>
      </c>
      <c r="AF643" s="2" t="s">
        <v>70</v>
      </c>
      <c r="AG643" s="2" t="s">
        <v>61</v>
      </c>
      <c r="AH643" s="2" t="s">
        <v>62</v>
      </c>
      <c r="AI643" s="2" t="s">
        <v>71</v>
      </c>
      <c r="AJ643" s="2">
        <v>1.003805273939</v>
      </c>
      <c r="AK643" s="2">
        <v>4.43324972989216</v>
      </c>
      <c r="AL643" s="2">
        <v>1.24332692287572</v>
      </c>
      <c r="AM643" s="2">
        <v>0.25357038170844098</v>
      </c>
      <c r="AN643" s="2">
        <v>1.0862402715198001</v>
      </c>
      <c r="AO643" s="2">
        <v>0.14023618376111899</v>
      </c>
      <c r="AP643" s="2">
        <v>0.14023618376111899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23</v>
      </c>
      <c r="AW643" s="2">
        <v>0</v>
      </c>
      <c r="AX643" s="2">
        <v>0</v>
      </c>
      <c r="AY643" s="2">
        <v>16.600000000000001</v>
      </c>
      <c r="AZ643" s="2">
        <v>101.7</v>
      </c>
      <c r="BA643" s="2">
        <v>19.899999999999999</v>
      </c>
      <c r="BB643" s="2">
        <v>564</v>
      </c>
      <c r="BC643" s="2">
        <v>71</v>
      </c>
      <c r="BD643" s="2">
        <v>1.7</v>
      </c>
      <c r="BE643" s="2">
        <v>185</v>
      </c>
      <c r="BF643" s="2">
        <v>0.8</v>
      </c>
      <c r="BG643" s="2">
        <v>162</v>
      </c>
      <c r="BH643" s="2">
        <v>19.5</v>
      </c>
      <c r="BI643" s="2">
        <v>15.6</v>
      </c>
      <c r="BJ643" s="2">
        <v>35</v>
      </c>
      <c r="BK643" s="2">
        <v>0.68</v>
      </c>
      <c r="BL643" s="2">
        <v>5.4</v>
      </c>
      <c r="BM643" s="2">
        <v>0.9</v>
      </c>
      <c r="BN643" s="2">
        <v>4.5999999999999996</v>
      </c>
      <c r="BO643" s="2">
        <v>2.1</v>
      </c>
      <c r="BP643" s="2">
        <f t="shared" si="20"/>
        <v>86.838742219374097</v>
      </c>
      <c r="BQ643" s="2">
        <f t="shared" si="21"/>
        <v>18.432696343729045</v>
      </c>
    </row>
    <row r="644" spans="1:69" x14ac:dyDescent="0.2">
      <c r="A644" s="2" t="s">
        <v>2344</v>
      </c>
      <c r="B644" s="2" t="s">
        <v>47</v>
      </c>
      <c r="C644" s="2" t="s">
        <v>1935</v>
      </c>
      <c r="D644" s="2" t="s">
        <v>49</v>
      </c>
      <c r="E644" s="2" t="s">
        <v>2345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89</v>
      </c>
      <c r="L644" s="6" t="s">
        <v>141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2346</v>
      </c>
      <c r="R644" s="2">
        <v>6028169.0140000004</v>
      </c>
      <c r="S644" s="2">
        <v>0</v>
      </c>
      <c r="T644" s="2" t="s">
        <v>67</v>
      </c>
      <c r="U644" s="2" t="s">
        <v>68</v>
      </c>
      <c r="V644" s="2" t="s">
        <v>56</v>
      </c>
      <c r="W644" s="2" t="s">
        <v>67</v>
      </c>
      <c r="X644" s="2" t="s">
        <v>69</v>
      </c>
      <c r="Y644" s="2">
        <v>2.0413872845115701</v>
      </c>
      <c r="Z644" s="2">
        <v>2041.38728451157</v>
      </c>
      <c r="AA644" s="2">
        <v>4.6317666666666701</v>
      </c>
      <c r="AB644" s="2">
        <v>-74.117483333333297</v>
      </c>
      <c r="AC644" s="2">
        <v>2590</v>
      </c>
      <c r="AD644" s="2">
        <v>10</v>
      </c>
      <c r="AE644" s="2" t="s">
        <v>59</v>
      </c>
      <c r="AF644" s="2" t="s">
        <v>70</v>
      </c>
      <c r="AG644" s="2" t="s">
        <v>61</v>
      </c>
      <c r="AH644" s="2" t="s">
        <v>62</v>
      </c>
      <c r="AI644" s="2" t="s">
        <v>200</v>
      </c>
      <c r="AJ644" s="2">
        <v>1.0832962872755401</v>
      </c>
      <c r="AK644" s="2">
        <v>5.2841370342210698</v>
      </c>
      <c r="AL644" s="2">
        <v>2.5247491632852399</v>
      </c>
      <c r="AM644" s="2">
        <v>0.37303272016285799</v>
      </c>
      <c r="AN644" s="2">
        <v>3.1049351759866601</v>
      </c>
      <c r="AO644" s="2">
        <v>0.15608542164668099</v>
      </c>
      <c r="AP644" s="2">
        <v>0.15608542164668099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33</v>
      </c>
      <c r="AW644" s="2">
        <v>0</v>
      </c>
      <c r="AX644" s="2">
        <v>0</v>
      </c>
      <c r="AY644" s="2">
        <v>16.600000000000001</v>
      </c>
      <c r="AZ644" s="2">
        <v>101.7</v>
      </c>
      <c r="BA644" s="2">
        <v>19.899999999999999</v>
      </c>
      <c r="BB644" s="2">
        <v>564</v>
      </c>
      <c r="BC644" s="2">
        <v>71</v>
      </c>
      <c r="BD644" s="2">
        <v>1.7</v>
      </c>
      <c r="BE644" s="2">
        <v>185</v>
      </c>
      <c r="BF644" s="2">
        <v>0.8</v>
      </c>
      <c r="BG644" s="2">
        <v>162</v>
      </c>
      <c r="BH644" s="2">
        <v>19.5</v>
      </c>
      <c r="BI644" s="2">
        <v>15.6</v>
      </c>
      <c r="BJ644" s="2">
        <v>35</v>
      </c>
      <c r="BK644" s="2">
        <v>0.68</v>
      </c>
      <c r="BL644" s="2">
        <v>5.4</v>
      </c>
      <c r="BM644" s="2">
        <v>0.9</v>
      </c>
      <c r="BN644" s="2">
        <v>4.5999999999999996</v>
      </c>
      <c r="BO644" s="2">
        <v>2.1</v>
      </c>
      <c r="BP644" s="2">
        <f t="shared" si="20"/>
        <v>91.925515267162567</v>
      </c>
      <c r="BQ644" s="2">
        <f t="shared" si="21"/>
        <v>18.948531533732108</v>
      </c>
    </row>
    <row r="645" spans="1:69" x14ac:dyDescent="0.2">
      <c r="A645" s="2" t="s">
        <v>64</v>
      </c>
      <c r="B645" s="2" t="s">
        <v>47</v>
      </c>
      <c r="C645" s="2" t="s">
        <v>48</v>
      </c>
      <c r="D645" s="2" t="s">
        <v>49</v>
      </c>
      <c r="E645" s="2" t="s">
        <v>65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51</v>
      </c>
      <c r="L645" s="6" t="s">
        <v>52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66</v>
      </c>
      <c r="R645" s="2">
        <v>42857142.859999999</v>
      </c>
      <c r="S645" s="2">
        <v>0</v>
      </c>
      <c r="T645" s="2" t="s">
        <v>67</v>
      </c>
      <c r="U645" s="2" t="s">
        <v>68</v>
      </c>
      <c r="V645" s="2" t="s">
        <v>56</v>
      </c>
      <c r="W645" s="2" t="s">
        <v>67</v>
      </c>
      <c r="X645" s="2" t="s">
        <v>69</v>
      </c>
      <c r="Y645" s="2">
        <v>2.09880089453348</v>
      </c>
      <c r="Z645" s="2">
        <v>2098.80089453348</v>
      </c>
      <c r="AA645" s="2">
        <v>4.6317666666666701</v>
      </c>
      <c r="AB645" s="2">
        <v>-74.117483333333297</v>
      </c>
      <c r="AC645" s="2">
        <v>2590</v>
      </c>
      <c r="AD645" s="2">
        <v>10</v>
      </c>
      <c r="AE645" s="2" t="s">
        <v>59</v>
      </c>
      <c r="AF645" s="2" t="s">
        <v>70</v>
      </c>
      <c r="AG645" s="2" t="s">
        <v>61</v>
      </c>
      <c r="AH645" s="2" t="s">
        <v>62</v>
      </c>
      <c r="AI645" s="2" t="s">
        <v>71</v>
      </c>
      <c r="AJ645" s="2">
        <v>1.03852061543244</v>
      </c>
      <c r="AK645" s="2">
        <v>5.2873725904693796</v>
      </c>
      <c r="AL645" s="2">
        <v>1.0407607195353601</v>
      </c>
      <c r="AM645" s="2">
        <v>0.35723392581767299</v>
      </c>
      <c r="AN645" s="2">
        <v>0.395136717447305</v>
      </c>
      <c r="AO645" s="2">
        <v>3.09748968871623E-2</v>
      </c>
      <c r="AP645" s="2">
        <v>3.09748968871623E-2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53</v>
      </c>
      <c r="AW645" s="2">
        <v>1</v>
      </c>
      <c r="AX645" s="2">
        <v>0</v>
      </c>
      <c r="AY645" s="2">
        <v>16.600000000000001</v>
      </c>
      <c r="AZ645" s="2">
        <v>101.7</v>
      </c>
      <c r="BA645" s="2">
        <v>19.899999999999999</v>
      </c>
      <c r="BB645" s="2">
        <v>564</v>
      </c>
      <c r="BC645" s="2">
        <v>71</v>
      </c>
      <c r="BD645" s="2">
        <v>1.7</v>
      </c>
      <c r="BE645" s="2">
        <v>185</v>
      </c>
      <c r="BF645" s="2">
        <v>0.8</v>
      </c>
      <c r="BG645" s="2">
        <v>162</v>
      </c>
      <c r="BH645" s="2">
        <v>19.5</v>
      </c>
      <c r="BI645" s="2">
        <v>15.6</v>
      </c>
      <c r="BJ645" s="2">
        <v>35</v>
      </c>
      <c r="BK645" s="2">
        <v>0.68</v>
      </c>
      <c r="BL645" s="2">
        <v>5.4</v>
      </c>
      <c r="BM645" s="2">
        <v>0.9</v>
      </c>
      <c r="BN645" s="2">
        <v>4.5999999999999996</v>
      </c>
      <c r="BO645" s="2">
        <v>2.1</v>
      </c>
      <c r="BP645" s="2">
        <f t="shared" si="20"/>
        <v>91.664636252012983</v>
      </c>
      <c r="BQ645" s="2">
        <f t="shared" si="21"/>
        <v>18.922439827689683</v>
      </c>
    </row>
    <row r="646" spans="1:69" x14ac:dyDescent="0.2">
      <c r="A646" s="2" t="s">
        <v>2373</v>
      </c>
      <c r="B646" s="2" t="s">
        <v>47</v>
      </c>
      <c r="C646" s="2" t="s">
        <v>1935</v>
      </c>
      <c r="D646" s="2" t="s">
        <v>49</v>
      </c>
      <c r="E646" s="2" t="s">
        <v>2369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89</v>
      </c>
      <c r="L646" s="6" t="s">
        <v>141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2374</v>
      </c>
      <c r="R646" s="2">
        <v>5882352.9409999996</v>
      </c>
      <c r="S646" s="2">
        <v>0</v>
      </c>
      <c r="T646" s="2" t="s">
        <v>67</v>
      </c>
      <c r="U646" s="2" t="s">
        <v>68</v>
      </c>
      <c r="V646" s="2" t="s">
        <v>56</v>
      </c>
      <c r="W646" s="2" t="s">
        <v>67</v>
      </c>
      <c r="X646" s="2" t="s">
        <v>69</v>
      </c>
      <c r="Y646" s="2">
        <v>2.3971729801937798</v>
      </c>
      <c r="Z646" s="2">
        <v>2397.1729801937799</v>
      </c>
      <c r="AA646" s="2">
        <v>4.6317666666666701</v>
      </c>
      <c r="AB646" s="2">
        <v>-74.117483333333297</v>
      </c>
      <c r="AC646" s="2">
        <v>2590</v>
      </c>
      <c r="AD646" s="2">
        <v>10</v>
      </c>
      <c r="AE646" s="2" t="s">
        <v>59</v>
      </c>
      <c r="AF646" s="2" t="s">
        <v>70</v>
      </c>
      <c r="AG646" s="2" t="s">
        <v>61</v>
      </c>
      <c r="AH646" s="2" t="s">
        <v>62</v>
      </c>
      <c r="AI646" s="2" t="s">
        <v>200</v>
      </c>
      <c r="AJ646" s="2">
        <v>0.91078696170998896</v>
      </c>
      <c r="AK646" s="2">
        <v>3.2331516836150098</v>
      </c>
      <c r="AL646" s="2">
        <v>1.7434451474564501</v>
      </c>
      <c r="AM646" s="2">
        <v>3.4628604011386399E-2</v>
      </c>
      <c r="AN646" s="2">
        <v>2.9591235692687898</v>
      </c>
      <c r="AO646" s="2">
        <v>0.20295696201197</v>
      </c>
      <c r="AP646" s="2">
        <v>0.20295696201197</v>
      </c>
      <c r="AQ646" s="2">
        <v>0</v>
      </c>
      <c r="AR646" s="2">
        <v>1</v>
      </c>
      <c r="AS646" s="2">
        <v>0</v>
      </c>
      <c r="AT646" s="2">
        <v>0</v>
      </c>
      <c r="AU646" s="2">
        <v>0</v>
      </c>
      <c r="AV646" s="2">
        <v>18</v>
      </c>
      <c r="AW646" s="2">
        <v>0</v>
      </c>
      <c r="AX646" s="2">
        <v>0</v>
      </c>
      <c r="AY646" s="2">
        <v>16.600000000000001</v>
      </c>
      <c r="AZ646" s="2">
        <v>101.7</v>
      </c>
      <c r="BA646" s="2">
        <v>19.899999999999999</v>
      </c>
      <c r="BB646" s="2">
        <v>564</v>
      </c>
      <c r="BC646" s="2">
        <v>71</v>
      </c>
      <c r="BD646" s="2">
        <v>1.7</v>
      </c>
      <c r="BE646" s="2">
        <v>185</v>
      </c>
      <c r="BF646" s="2">
        <v>0.8</v>
      </c>
      <c r="BG646" s="2">
        <v>162</v>
      </c>
      <c r="BH646" s="2">
        <v>19.5</v>
      </c>
      <c r="BI646" s="2">
        <v>15.6</v>
      </c>
      <c r="BJ646" s="2">
        <v>35</v>
      </c>
      <c r="BK646" s="2">
        <v>0.68</v>
      </c>
      <c r="BL646" s="2">
        <v>5.4</v>
      </c>
      <c r="BM646" s="2">
        <v>0.9</v>
      </c>
      <c r="BN646" s="2">
        <v>4.5999999999999996</v>
      </c>
      <c r="BO646" s="2">
        <v>2.1</v>
      </c>
      <c r="BP646" s="2">
        <f t="shared" si="20"/>
        <v>90.320751528164934</v>
      </c>
      <c r="BQ646" s="2">
        <f t="shared" si="21"/>
        <v>18.787421564731662</v>
      </c>
    </row>
    <row r="647" spans="1:69" x14ac:dyDescent="0.2">
      <c r="A647" s="2" t="s">
        <v>2368</v>
      </c>
      <c r="B647" s="2" t="s">
        <v>47</v>
      </c>
      <c r="C647" s="2" t="s">
        <v>1935</v>
      </c>
      <c r="D647" s="2" t="s">
        <v>49</v>
      </c>
      <c r="E647" s="2" t="s">
        <v>2369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89</v>
      </c>
      <c r="L647" s="6" t="s">
        <v>141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2370</v>
      </c>
      <c r="R647" s="2">
        <v>5588235.2939999998</v>
      </c>
      <c r="S647" s="2">
        <v>0</v>
      </c>
      <c r="T647" s="2" t="s">
        <v>67</v>
      </c>
      <c r="U647" s="2" t="s">
        <v>68</v>
      </c>
      <c r="V647" s="2" t="s">
        <v>56</v>
      </c>
      <c r="W647" s="2" t="s">
        <v>67</v>
      </c>
      <c r="X647" s="2" t="s">
        <v>69</v>
      </c>
      <c r="Y647" s="2">
        <v>2.4162049066397402</v>
      </c>
      <c r="Z647" s="2">
        <v>2416.2049066397399</v>
      </c>
      <c r="AA647" s="2">
        <v>4.6317666666666701</v>
      </c>
      <c r="AB647" s="2">
        <v>-74.117483333333297</v>
      </c>
      <c r="AC647" s="2">
        <v>2590</v>
      </c>
      <c r="AD647" s="2">
        <v>10</v>
      </c>
      <c r="AE647" s="2" t="s">
        <v>59</v>
      </c>
      <c r="AF647" s="2" t="s">
        <v>70</v>
      </c>
      <c r="AG647" s="2" t="s">
        <v>61</v>
      </c>
      <c r="AH647" s="2" t="s">
        <v>62</v>
      </c>
      <c r="AI647" s="2" t="s">
        <v>200</v>
      </c>
      <c r="AJ647" s="2">
        <v>0.932496664799908</v>
      </c>
      <c r="AK647" s="2">
        <v>3.2053524299572098</v>
      </c>
      <c r="AL647" s="2">
        <v>1.74979622954838</v>
      </c>
      <c r="AM647" s="2">
        <v>6.2711264820253507E-2</v>
      </c>
      <c r="AN647" s="2">
        <v>2.9553820283714698</v>
      </c>
      <c r="AO647" s="2">
        <v>0.182844002349969</v>
      </c>
      <c r="AP647" s="2">
        <v>0.182844002349969</v>
      </c>
      <c r="AQ647" s="2">
        <v>0</v>
      </c>
      <c r="AR647" s="2">
        <v>1</v>
      </c>
      <c r="AS647" s="2">
        <v>0</v>
      </c>
      <c r="AT647" s="2">
        <v>0</v>
      </c>
      <c r="AU647" s="2">
        <v>0</v>
      </c>
      <c r="AV647" s="2">
        <v>14</v>
      </c>
      <c r="AW647" s="2">
        <v>0</v>
      </c>
      <c r="AX647" s="2">
        <v>0</v>
      </c>
      <c r="AY647" s="2">
        <v>16.600000000000001</v>
      </c>
      <c r="AZ647" s="2">
        <v>101.7</v>
      </c>
      <c r="BA647" s="2">
        <v>19.899999999999999</v>
      </c>
      <c r="BB647" s="2">
        <v>564</v>
      </c>
      <c r="BC647" s="2">
        <v>71</v>
      </c>
      <c r="BD647" s="2">
        <v>1.7</v>
      </c>
      <c r="BE647" s="2">
        <v>185</v>
      </c>
      <c r="BF647" s="2">
        <v>0.8</v>
      </c>
      <c r="BG647" s="2">
        <v>162</v>
      </c>
      <c r="BH647" s="2">
        <v>19.5</v>
      </c>
      <c r="BI647" s="2">
        <v>15.6</v>
      </c>
      <c r="BJ647" s="2">
        <v>35</v>
      </c>
      <c r="BK647" s="2">
        <v>0.68</v>
      </c>
      <c r="BL647" s="2">
        <v>5.4</v>
      </c>
      <c r="BM647" s="2">
        <v>0.9</v>
      </c>
      <c r="BN647" s="2">
        <v>4.5999999999999996</v>
      </c>
      <c r="BO647" s="2">
        <v>2.1</v>
      </c>
      <c r="BP647" s="2">
        <f t="shared" si="20"/>
        <v>90.235702190079053</v>
      </c>
      <c r="BQ647" s="2">
        <f t="shared" si="21"/>
        <v>18.778842064485939</v>
      </c>
    </row>
    <row r="648" spans="1:69" x14ac:dyDescent="0.2">
      <c r="A648" s="2" t="s">
        <v>2460</v>
      </c>
      <c r="B648" s="2" t="s">
        <v>47</v>
      </c>
      <c r="C648" s="2" t="s">
        <v>1935</v>
      </c>
      <c r="D648" s="2" t="s">
        <v>49</v>
      </c>
      <c r="E648" s="2" t="s">
        <v>2369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89</v>
      </c>
      <c r="L648" s="6" t="s">
        <v>141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2461</v>
      </c>
      <c r="R648" s="2">
        <v>5294117.6469999999</v>
      </c>
      <c r="S648" s="2">
        <v>0</v>
      </c>
      <c r="T648" s="2" t="s">
        <v>67</v>
      </c>
      <c r="U648" s="2" t="s">
        <v>68</v>
      </c>
      <c r="V648" s="2" t="s">
        <v>56</v>
      </c>
      <c r="W648" s="2" t="s">
        <v>67</v>
      </c>
      <c r="X648" s="2" t="s">
        <v>69</v>
      </c>
      <c r="Y648" s="2">
        <v>2.3971729801937798</v>
      </c>
      <c r="Z648" s="2">
        <v>2397.1729801937799</v>
      </c>
      <c r="AA648" s="2">
        <v>4.6317666666666701</v>
      </c>
      <c r="AB648" s="2">
        <v>-74.117483333333297</v>
      </c>
      <c r="AC648" s="2">
        <v>2590</v>
      </c>
      <c r="AD648" s="2">
        <v>10</v>
      </c>
      <c r="AE648" s="2" t="s">
        <v>59</v>
      </c>
      <c r="AF648" s="2" t="s">
        <v>70</v>
      </c>
      <c r="AG648" s="2" t="s">
        <v>61</v>
      </c>
      <c r="AH648" s="2" t="s">
        <v>62</v>
      </c>
      <c r="AI648" s="2" t="s">
        <v>200</v>
      </c>
      <c r="AJ648" s="2">
        <v>0.91078696170998896</v>
      </c>
      <c r="AK648" s="2">
        <v>3.2331516836150098</v>
      </c>
      <c r="AL648" s="2">
        <v>1.7434451474564501</v>
      </c>
      <c r="AM648" s="2">
        <v>3.4628604011386399E-2</v>
      </c>
      <c r="AN648" s="2">
        <v>2.9591235692687898</v>
      </c>
      <c r="AO648" s="2">
        <v>0.20295696201197</v>
      </c>
      <c r="AP648" s="2">
        <v>0.20295696201197</v>
      </c>
      <c r="AQ648" s="2">
        <v>0</v>
      </c>
      <c r="AR648" s="2">
        <v>1</v>
      </c>
      <c r="AS648" s="2">
        <v>0</v>
      </c>
      <c r="AT648" s="2">
        <v>0</v>
      </c>
      <c r="AU648" s="2">
        <v>0</v>
      </c>
      <c r="AV648" s="2">
        <v>18</v>
      </c>
      <c r="AW648" s="2">
        <v>0</v>
      </c>
      <c r="AX648" s="2">
        <v>0</v>
      </c>
      <c r="AY648" s="2">
        <v>16.600000000000001</v>
      </c>
      <c r="AZ648" s="2">
        <v>101.7</v>
      </c>
      <c r="BA648" s="2">
        <v>19.899999999999999</v>
      </c>
      <c r="BB648" s="2">
        <v>564</v>
      </c>
      <c r="BC648" s="2">
        <v>71</v>
      </c>
      <c r="BD648" s="2">
        <v>1.7</v>
      </c>
      <c r="BE648" s="2">
        <v>185</v>
      </c>
      <c r="BF648" s="2">
        <v>0.8</v>
      </c>
      <c r="BG648" s="2">
        <v>162</v>
      </c>
      <c r="BH648" s="2">
        <v>19.5</v>
      </c>
      <c r="BI648" s="2">
        <v>15.6</v>
      </c>
      <c r="BJ648" s="2">
        <v>35</v>
      </c>
      <c r="BK648" s="2">
        <v>0.68</v>
      </c>
      <c r="BL648" s="2">
        <v>5.4</v>
      </c>
      <c r="BM648" s="2">
        <v>0.9</v>
      </c>
      <c r="BN648" s="2">
        <v>4.5999999999999996</v>
      </c>
      <c r="BO648" s="2">
        <v>2.1</v>
      </c>
      <c r="BP648" s="2">
        <f t="shared" si="20"/>
        <v>90.320751528164934</v>
      </c>
      <c r="BQ648" s="2">
        <f t="shared" si="21"/>
        <v>18.787421564731662</v>
      </c>
    </row>
    <row r="649" spans="1:69" x14ac:dyDescent="0.2">
      <c r="A649" s="2" t="s">
        <v>601</v>
      </c>
      <c r="B649" s="2" t="s">
        <v>47</v>
      </c>
      <c r="C649" s="2" t="s">
        <v>48</v>
      </c>
      <c r="D649" s="2" t="s">
        <v>49</v>
      </c>
      <c r="E649" s="2" t="s">
        <v>147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89</v>
      </c>
      <c r="L649" s="6" t="s">
        <v>141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602</v>
      </c>
      <c r="R649" s="2">
        <v>8955223.8809999991</v>
      </c>
      <c r="S649" s="2">
        <v>0</v>
      </c>
      <c r="T649" s="2" t="s">
        <v>67</v>
      </c>
      <c r="U649" s="2" t="s">
        <v>68</v>
      </c>
      <c r="V649" s="2" t="s">
        <v>56</v>
      </c>
      <c r="W649" s="2" t="s">
        <v>67</v>
      </c>
      <c r="X649" s="2" t="s">
        <v>69</v>
      </c>
      <c r="Y649" s="2">
        <v>2.38691526970026</v>
      </c>
      <c r="Z649" s="2">
        <v>2386.9152697002601</v>
      </c>
      <c r="AA649" s="2">
        <v>4.6317666666666701</v>
      </c>
      <c r="AB649" s="2">
        <v>-74.117483333333297</v>
      </c>
      <c r="AC649" s="2">
        <v>2590</v>
      </c>
      <c r="AD649" s="2">
        <v>10</v>
      </c>
      <c r="AE649" s="2" t="s">
        <v>59</v>
      </c>
      <c r="AF649" s="2" t="s">
        <v>70</v>
      </c>
      <c r="AG649" s="2" t="s">
        <v>61</v>
      </c>
      <c r="AH649" s="2" t="s">
        <v>62</v>
      </c>
      <c r="AI649" s="2" t="s">
        <v>63</v>
      </c>
      <c r="AJ649" s="2">
        <v>0.41738844301730099</v>
      </c>
      <c r="AK649" s="2">
        <v>3.98410317505388</v>
      </c>
      <c r="AL649" s="2">
        <v>0.841531078829442</v>
      </c>
      <c r="AM649" s="2">
        <v>9.4343969589327295E-2</v>
      </c>
      <c r="AN649" s="2">
        <v>2.1036823894393999</v>
      </c>
      <c r="AO649" s="2">
        <v>0.47758028150943499</v>
      </c>
      <c r="AP649" s="2">
        <v>0.47758028150943499</v>
      </c>
      <c r="AQ649" s="2">
        <v>1</v>
      </c>
      <c r="AR649" s="2">
        <v>3</v>
      </c>
      <c r="AS649" s="2">
        <v>0</v>
      </c>
      <c r="AT649" s="2">
        <v>0</v>
      </c>
      <c r="AU649" s="2">
        <v>1</v>
      </c>
      <c r="AV649" s="2">
        <v>16</v>
      </c>
      <c r="AW649" s="2">
        <v>0</v>
      </c>
      <c r="AX649" s="2">
        <v>0</v>
      </c>
      <c r="AY649" s="2">
        <v>16.600000000000001</v>
      </c>
      <c r="AZ649" s="2">
        <v>101.7</v>
      </c>
      <c r="BA649" s="2">
        <v>19.899999999999999</v>
      </c>
      <c r="BB649" s="2">
        <v>564</v>
      </c>
      <c r="BC649" s="2">
        <v>71</v>
      </c>
      <c r="BD649" s="2">
        <v>1.7</v>
      </c>
      <c r="BE649" s="2">
        <v>185</v>
      </c>
      <c r="BF649" s="2">
        <v>0.8</v>
      </c>
      <c r="BG649" s="2">
        <v>162</v>
      </c>
      <c r="BH649" s="2">
        <v>19.5</v>
      </c>
      <c r="BI649" s="2">
        <v>15.6</v>
      </c>
      <c r="BJ649" s="2">
        <v>35</v>
      </c>
      <c r="BK649" s="2">
        <v>0.68</v>
      </c>
      <c r="BL649" s="2">
        <v>5.4</v>
      </c>
      <c r="BM649" s="2">
        <v>0.9</v>
      </c>
      <c r="BN649" s="2">
        <v>4.5999999999999996</v>
      </c>
      <c r="BO649" s="2">
        <v>2.1</v>
      </c>
      <c r="BP649" s="2">
        <f t="shared" si="20"/>
        <v>90.366624137217258</v>
      </c>
      <c r="BQ649" s="2">
        <f t="shared" si="21"/>
        <v>18.792047316455701</v>
      </c>
    </row>
    <row r="650" spans="1:69" x14ac:dyDescent="0.2">
      <c r="A650" s="2" t="s">
        <v>963</v>
      </c>
      <c r="B650" s="2" t="s">
        <v>47</v>
      </c>
      <c r="C650" s="2" t="s">
        <v>48</v>
      </c>
      <c r="D650" s="2" t="s">
        <v>49</v>
      </c>
      <c r="E650" s="2" t="s">
        <v>964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89</v>
      </c>
      <c r="L650" s="6" t="s">
        <v>90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965</v>
      </c>
      <c r="R650" s="2">
        <v>5313432.8360000001</v>
      </c>
      <c r="S650" s="2">
        <v>0</v>
      </c>
      <c r="T650" s="2" t="s">
        <v>483</v>
      </c>
      <c r="U650" s="2" t="s">
        <v>484</v>
      </c>
      <c r="V650" s="2" t="s">
        <v>56</v>
      </c>
      <c r="W650" s="2" t="s">
        <v>67</v>
      </c>
      <c r="X650" s="2" t="s">
        <v>485</v>
      </c>
      <c r="Y650" s="2">
        <v>2.0809595347851002</v>
      </c>
      <c r="Z650" s="2">
        <v>2080.9595347851</v>
      </c>
      <c r="AA650" s="2">
        <v>4.6085000000000003</v>
      </c>
      <c r="AB650" s="2">
        <v>-74.114944444444404</v>
      </c>
      <c r="AC650" s="2">
        <v>2559</v>
      </c>
      <c r="AD650" s="2">
        <v>0</v>
      </c>
      <c r="AE650" s="2" t="s">
        <v>59</v>
      </c>
      <c r="AF650" s="2" t="s">
        <v>486</v>
      </c>
      <c r="AG650" s="2" t="s">
        <v>61</v>
      </c>
      <c r="AH650" s="2" t="s">
        <v>62</v>
      </c>
      <c r="AI650" s="2" t="s">
        <v>966</v>
      </c>
      <c r="AJ650" s="2">
        <v>0.67788272801156402</v>
      </c>
      <c r="AK650" s="2">
        <v>4.7117442171286399</v>
      </c>
      <c r="AL650" s="2">
        <v>1.8938176285969299</v>
      </c>
      <c r="AM650" s="2">
        <v>0.45588100813307197</v>
      </c>
      <c r="AN650" s="2">
        <v>0.64323332105045095</v>
      </c>
      <c r="AO650" s="2">
        <v>4.05572763112058E-2</v>
      </c>
      <c r="AP650" s="2">
        <v>4.05572763112058E-2</v>
      </c>
      <c r="AQ650" s="2">
        <v>0</v>
      </c>
      <c r="AR650" s="2">
        <v>2</v>
      </c>
      <c r="AS650" s="2">
        <v>0</v>
      </c>
      <c r="AT650" s="2">
        <v>0</v>
      </c>
      <c r="AU650" s="2">
        <v>0</v>
      </c>
      <c r="AV650" s="2">
        <v>12</v>
      </c>
      <c r="AW650" s="2">
        <v>1</v>
      </c>
      <c r="AX650" s="2">
        <v>0</v>
      </c>
      <c r="AY650" s="2">
        <v>16.600000000000001</v>
      </c>
      <c r="AZ650" s="2">
        <v>101.7</v>
      </c>
      <c r="BA650" s="2">
        <v>19.899999999999999</v>
      </c>
      <c r="BB650" s="2">
        <v>564</v>
      </c>
      <c r="BC650" s="2">
        <v>71</v>
      </c>
      <c r="BD650" s="2">
        <v>1.7</v>
      </c>
      <c r="BE650" s="2">
        <v>185</v>
      </c>
      <c r="BF650" s="2">
        <v>0.8</v>
      </c>
      <c r="BG650" s="2">
        <v>162</v>
      </c>
      <c r="BH650" s="2">
        <v>19.5</v>
      </c>
      <c r="BI650" s="2">
        <v>15.6</v>
      </c>
      <c r="BJ650" s="2">
        <v>35</v>
      </c>
      <c r="BK650" s="2">
        <v>0.68</v>
      </c>
      <c r="BL650" s="2">
        <v>5.4</v>
      </c>
      <c r="BM650" s="2">
        <v>0.9</v>
      </c>
      <c r="BN650" s="2">
        <v>4.5999999999999996</v>
      </c>
      <c r="BO650" s="2">
        <v>2.1</v>
      </c>
      <c r="BP650" s="2">
        <f t="shared" si="20"/>
        <v>91.74562538611994</v>
      </c>
      <c r="BQ650" s="2">
        <f t="shared" si="21"/>
        <v>18.930544011992659</v>
      </c>
    </row>
    <row r="651" spans="1:69" x14ac:dyDescent="0.2">
      <c r="A651" s="2" t="s">
        <v>1616</v>
      </c>
      <c r="B651" s="2" t="s">
        <v>47</v>
      </c>
      <c r="C651" s="2" t="s">
        <v>48</v>
      </c>
      <c r="D651" s="2" t="s">
        <v>49</v>
      </c>
      <c r="E651" s="2" t="s">
        <v>1537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89</v>
      </c>
      <c r="L651" s="6" t="s">
        <v>141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1617</v>
      </c>
      <c r="R651" s="2">
        <v>4197901.0489999996</v>
      </c>
      <c r="S651" s="2">
        <v>0</v>
      </c>
      <c r="T651" s="2" t="s">
        <v>483</v>
      </c>
      <c r="U651" s="2" t="s">
        <v>484</v>
      </c>
      <c r="V651" s="2" t="s">
        <v>56</v>
      </c>
      <c r="W651" s="2" t="s">
        <v>67</v>
      </c>
      <c r="X651" s="2" t="s">
        <v>485</v>
      </c>
      <c r="Y651" s="2">
        <v>2.1835295460398001</v>
      </c>
      <c r="Z651" s="2">
        <v>2183.5295460398002</v>
      </c>
      <c r="AA651" s="2">
        <v>4.6085000000000003</v>
      </c>
      <c r="AB651" s="2">
        <v>-74.114944444444404</v>
      </c>
      <c r="AC651" s="2">
        <v>2559</v>
      </c>
      <c r="AD651" s="2">
        <v>0</v>
      </c>
      <c r="AE651" s="2" t="s">
        <v>59</v>
      </c>
      <c r="AF651" s="2" t="s">
        <v>486</v>
      </c>
      <c r="AG651" s="2" t="s">
        <v>61</v>
      </c>
      <c r="AH651" s="2" t="s">
        <v>62</v>
      </c>
      <c r="AI651" s="2" t="s">
        <v>200</v>
      </c>
      <c r="AJ651" s="2">
        <v>1.7589895292361</v>
      </c>
      <c r="AK651" s="2">
        <v>5.6950244091386297</v>
      </c>
      <c r="AL651" s="2">
        <v>2.44741427804815</v>
      </c>
      <c r="AM651" s="2">
        <v>7.3367354575650398E-2</v>
      </c>
      <c r="AN651" s="2">
        <v>2.9211731358451298</v>
      </c>
      <c r="AO651" s="2">
        <v>8.2670103022861999E-2</v>
      </c>
      <c r="AP651" s="2">
        <v>8.2670103022861999E-2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34</v>
      </c>
      <c r="AW651" s="2">
        <v>0</v>
      </c>
      <c r="AX651" s="2">
        <v>0</v>
      </c>
      <c r="AY651" s="2">
        <v>16.600000000000001</v>
      </c>
      <c r="AZ651" s="2">
        <v>101.7</v>
      </c>
      <c r="BA651" s="2">
        <v>19.899999999999999</v>
      </c>
      <c r="BB651" s="2">
        <v>564</v>
      </c>
      <c r="BC651" s="2">
        <v>71</v>
      </c>
      <c r="BD651" s="2">
        <v>1.7</v>
      </c>
      <c r="BE651" s="2">
        <v>185</v>
      </c>
      <c r="BF651" s="2">
        <v>0.8</v>
      </c>
      <c r="BG651" s="2">
        <v>162</v>
      </c>
      <c r="BH651" s="2">
        <v>19.5</v>
      </c>
      <c r="BI651" s="2">
        <v>15.6</v>
      </c>
      <c r="BJ651" s="2">
        <v>35</v>
      </c>
      <c r="BK651" s="2">
        <v>0.68</v>
      </c>
      <c r="BL651" s="2">
        <v>5.4</v>
      </c>
      <c r="BM651" s="2">
        <v>0.9</v>
      </c>
      <c r="BN651" s="2">
        <v>4.5999999999999996</v>
      </c>
      <c r="BO651" s="2">
        <v>2.1</v>
      </c>
      <c r="BP651" s="2">
        <f t="shared" si="20"/>
        <v>91.280993585626533</v>
      </c>
      <c r="BQ651" s="2">
        <f t="shared" si="21"/>
        <v>18.884000376574367</v>
      </c>
    </row>
    <row r="652" spans="1:69" x14ac:dyDescent="0.2">
      <c r="A652" s="2" t="s">
        <v>3190</v>
      </c>
      <c r="B652" s="2" t="s">
        <v>47</v>
      </c>
      <c r="C652" s="2" t="s">
        <v>1935</v>
      </c>
      <c r="D652" s="2" t="s">
        <v>49</v>
      </c>
      <c r="E652" s="2" t="s">
        <v>3191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89</v>
      </c>
      <c r="L652" s="6" t="s">
        <v>103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3192</v>
      </c>
      <c r="R652" s="2">
        <v>6969696.9699999997</v>
      </c>
      <c r="S652" s="2">
        <v>0</v>
      </c>
      <c r="T652" s="2" t="s">
        <v>483</v>
      </c>
      <c r="U652" s="2" t="s">
        <v>484</v>
      </c>
      <c r="V652" s="2" t="s">
        <v>56</v>
      </c>
      <c r="W652" s="2" t="s">
        <v>67</v>
      </c>
      <c r="X652" s="2" t="s">
        <v>485</v>
      </c>
      <c r="Y652" s="2">
        <v>2.2440603732187201</v>
      </c>
      <c r="Z652" s="2">
        <v>2244.0603732187201</v>
      </c>
      <c r="AA652" s="2">
        <v>4.6085000000000003</v>
      </c>
      <c r="AB652" s="2">
        <v>-74.114944444444404</v>
      </c>
      <c r="AC652" s="2">
        <v>2559</v>
      </c>
      <c r="AD652" s="2">
        <v>0</v>
      </c>
      <c r="AE652" s="2" t="s">
        <v>59</v>
      </c>
      <c r="AF652" s="2" t="s">
        <v>486</v>
      </c>
      <c r="AG652" s="2" t="s">
        <v>61</v>
      </c>
      <c r="AH652" s="2" t="s">
        <v>62</v>
      </c>
      <c r="AI652" s="2" t="s">
        <v>200</v>
      </c>
      <c r="AJ652" s="2">
        <v>1.2872789204447701</v>
      </c>
      <c r="AK652" s="2">
        <v>5.3768517423021498</v>
      </c>
      <c r="AL652" s="2">
        <v>2.7418989454260001</v>
      </c>
      <c r="AM652" s="2">
        <v>0.15397772055983699</v>
      </c>
      <c r="AN652" s="2">
        <v>2.9918529326687402</v>
      </c>
      <c r="AO652" s="2">
        <v>5.50816183789581E-2</v>
      </c>
      <c r="AP652" s="2">
        <v>5.50816183789581E-2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30</v>
      </c>
      <c r="AW652" s="2">
        <v>0</v>
      </c>
      <c r="AX652" s="2">
        <v>0</v>
      </c>
      <c r="AY652" s="2">
        <v>16.600000000000001</v>
      </c>
      <c r="AZ652" s="2">
        <v>101.7</v>
      </c>
      <c r="BA652" s="2">
        <v>19.899999999999999</v>
      </c>
      <c r="BB652" s="2">
        <v>564</v>
      </c>
      <c r="BC652" s="2">
        <v>71</v>
      </c>
      <c r="BD652" s="2">
        <v>1.7</v>
      </c>
      <c r="BE652" s="2">
        <v>185</v>
      </c>
      <c r="BF652" s="2">
        <v>0.8</v>
      </c>
      <c r="BG652" s="2">
        <v>162</v>
      </c>
      <c r="BH652" s="2">
        <v>19.5</v>
      </c>
      <c r="BI652" s="2">
        <v>15.6</v>
      </c>
      <c r="BJ652" s="2">
        <v>35</v>
      </c>
      <c r="BK652" s="2">
        <v>0.68</v>
      </c>
      <c r="BL652" s="2">
        <v>5.4</v>
      </c>
      <c r="BM652" s="2">
        <v>0.9</v>
      </c>
      <c r="BN652" s="2">
        <v>4.5999999999999996</v>
      </c>
      <c r="BO652" s="2">
        <v>2.1</v>
      </c>
      <c r="BP652" s="2">
        <f t="shared" si="20"/>
        <v>91.007899876645254</v>
      </c>
      <c r="BQ652" s="2">
        <f t="shared" si="21"/>
        <v>18.856586753908914</v>
      </c>
    </row>
    <row r="653" spans="1:69" x14ac:dyDescent="0.2">
      <c r="A653" s="2" t="s">
        <v>454</v>
      </c>
      <c r="B653" s="2" t="s">
        <v>47</v>
      </c>
      <c r="C653" s="2" t="s">
        <v>48</v>
      </c>
      <c r="D653" s="2" t="s">
        <v>49</v>
      </c>
      <c r="E653" s="2" t="s">
        <v>275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51</v>
      </c>
      <c r="L653" s="6" t="s">
        <v>52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455</v>
      </c>
      <c r="R653" s="2">
        <v>9317988.3300000001</v>
      </c>
      <c r="S653" s="2">
        <v>0</v>
      </c>
      <c r="T653" s="2" t="s">
        <v>67</v>
      </c>
      <c r="U653" s="2" t="s">
        <v>68</v>
      </c>
      <c r="V653" s="2" t="s">
        <v>56</v>
      </c>
      <c r="W653" s="2" t="s">
        <v>67</v>
      </c>
      <c r="X653" s="2" t="s">
        <v>69</v>
      </c>
      <c r="Y653" s="2">
        <v>1.7443151642725301</v>
      </c>
      <c r="Z653" s="2">
        <v>1744.31516427253</v>
      </c>
      <c r="AA653" s="2">
        <v>4.6317666666666701</v>
      </c>
      <c r="AB653" s="2">
        <v>-74.117483333333297</v>
      </c>
      <c r="AC653" s="2">
        <v>2590</v>
      </c>
      <c r="AD653" s="2">
        <v>10</v>
      </c>
      <c r="AE653" s="2" t="s">
        <v>59</v>
      </c>
      <c r="AF653" s="2" t="s">
        <v>70</v>
      </c>
      <c r="AG653" s="2" t="s">
        <v>61</v>
      </c>
      <c r="AH653" s="2" t="s">
        <v>62</v>
      </c>
      <c r="AI653" s="2" t="s">
        <v>71</v>
      </c>
      <c r="AJ653" s="2">
        <v>1.84488475579095</v>
      </c>
      <c r="AK653" s="2">
        <v>3.9776146963822301</v>
      </c>
      <c r="AL653" s="2">
        <v>0.57825767745824197</v>
      </c>
      <c r="AM653" s="2">
        <v>0.20112158476043501</v>
      </c>
      <c r="AN653" s="2">
        <v>1.31220652562471</v>
      </c>
      <c r="AO653" s="2">
        <v>3.8607558916069502E-3</v>
      </c>
      <c r="AP653" s="2">
        <v>3.8607558916069502E-3</v>
      </c>
      <c r="AQ653" s="2">
        <v>0</v>
      </c>
      <c r="AR653" s="2">
        <v>0</v>
      </c>
      <c r="AS653" s="2">
        <v>0</v>
      </c>
      <c r="AT653" s="2">
        <v>0</v>
      </c>
      <c r="AU653" s="2">
        <v>1</v>
      </c>
      <c r="AV653" s="2">
        <v>14</v>
      </c>
      <c r="AW653" s="2">
        <v>0</v>
      </c>
      <c r="AX653" s="2">
        <v>0</v>
      </c>
      <c r="AY653" s="2">
        <v>16.600000000000001</v>
      </c>
      <c r="AZ653" s="2">
        <v>101.7</v>
      </c>
      <c r="BA653" s="2">
        <v>19.899999999999999</v>
      </c>
      <c r="BB653" s="2">
        <v>564</v>
      </c>
      <c r="BC653" s="2">
        <v>71</v>
      </c>
      <c r="BD653" s="2">
        <v>1.7</v>
      </c>
      <c r="BE653" s="2">
        <v>185</v>
      </c>
      <c r="BF653" s="2">
        <v>0.8</v>
      </c>
      <c r="BG653" s="2">
        <v>162</v>
      </c>
      <c r="BH653" s="2">
        <v>19.5</v>
      </c>
      <c r="BI653" s="2">
        <v>15.6</v>
      </c>
      <c r="BJ653" s="2">
        <v>35</v>
      </c>
      <c r="BK653" s="2">
        <v>0.68</v>
      </c>
      <c r="BL653" s="2">
        <v>5.4</v>
      </c>
      <c r="BM653" s="2">
        <v>0.9</v>
      </c>
      <c r="BN653" s="2">
        <v>4.5999999999999996</v>
      </c>
      <c r="BO653" s="2">
        <v>2.1</v>
      </c>
      <c r="BP653" s="2">
        <f t="shared" si="20"/>
        <v>93.287274241306449</v>
      </c>
      <c r="BQ653" s="2">
        <f t="shared" si="21"/>
        <v>19.084112216808048</v>
      </c>
    </row>
    <row r="654" spans="1:69" x14ac:dyDescent="0.2">
      <c r="A654" s="2" t="s">
        <v>177</v>
      </c>
      <c r="B654" s="2" t="s">
        <v>47</v>
      </c>
      <c r="C654" s="2" t="s">
        <v>48</v>
      </c>
      <c r="D654" s="2" t="s">
        <v>49</v>
      </c>
      <c r="E654" s="2" t="s">
        <v>178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89</v>
      </c>
      <c r="L654" s="6" t="s">
        <v>90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179</v>
      </c>
      <c r="R654" s="2">
        <v>10924369.75</v>
      </c>
      <c r="S654" s="2">
        <v>0</v>
      </c>
      <c r="T654" s="2" t="s">
        <v>67</v>
      </c>
      <c r="U654" s="2" t="s">
        <v>68</v>
      </c>
      <c r="V654" s="2" t="s">
        <v>56</v>
      </c>
      <c r="W654" s="2" t="s">
        <v>67</v>
      </c>
      <c r="X654" s="2" t="s">
        <v>69</v>
      </c>
      <c r="Y654" s="2">
        <v>1.79223465052473</v>
      </c>
      <c r="Z654" s="2">
        <v>1792.2346505247299</v>
      </c>
      <c r="AA654" s="2">
        <v>4.6317666666666701</v>
      </c>
      <c r="AB654" s="2">
        <v>-74.117483333333297</v>
      </c>
      <c r="AC654" s="2">
        <v>2590</v>
      </c>
      <c r="AD654" s="2">
        <v>10</v>
      </c>
      <c r="AE654" s="2" t="s">
        <v>59</v>
      </c>
      <c r="AF654" s="2" t="s">
        <v>70</v>
      </c>
      <c r="AG654" s="2" t="s">
        <v>61</v>
      </c>
      <c r="AH654" s="2" t="s">
        <v>62</v>
      </c>
      <c r="AI654" s="2" t="s">
        <v>71</v>
      </c>
      <c r="AJ654" s="2">
        <v>1.6909513459501899</v>
      </c>
      <c r="AK654" s="2">
        <v>4.6362624461573603</v>
      </c>
      <c r="AL654" s="2">
        <v>0.92507156646284705</v>
      </c>
      <c r="AM654" s="2">
        <v>0.42107835665586502</v>
      </c>
      <c r="AN654" s="2">
        <v>0.51317831546324599</v>
      </c>
      <c r="AO654" s="2">
        <v>0.24632766950959001</v>
      </c>
      <c r="AP654" s="2">
        <v>0.24632766950959001</v>
      </c>
      <c r="AQ654" s="2">
        <v>0</v>
      </c>
      <c r="AR654" s="2">
        <v>0</v>
      </c>
      <c r="AS654" s="2">
        <v>0</v>
      </c>
      <c r="AT654" s="2">
        <v>0</v>
      </c>
      <c r="AU654" s="2">
        <v>1</v>
      </c>
      <c r="AV654" s="2">
        <v>20</v>
      </c>
      <c r="AW654" s="2">
        <v>1</v>
      </c>
      <c r="AX654" s="2">
        <v>0</v>
      </c>
      <c r="AY654" s="2">
        <v>16.600000000000001</v>
      </c>
      <c r="AZ654" s="2">
        <v>101.7</v>
      </c>
      <c r="BA654" s="2">
        <v>19.899999999999999</v>
      </c>
      <c r="BB654" s="2">
        <v>564</v>
      </c>
      <c r="BC654" s="2">
        <v>71</v>
      </c>
      <c r="BD654" s="2">
        <v>1.7</v>
      </c>
      <c r="BE654" s="2">
        <v>185</v>
      </c>
      <c r="BF654" s="2">
        <v>0.8</v>
      </c>
      <c r="BG654" s="2">
        <v>162</v>
      </c>
      <c r="BH654" s="2">
        <v>19.5</v>
      </c>
      <c r="BI654" s="2">
        <v>15.6</v>
      </c>
      <c r="BJ654" s="2">
        <v>35</v>
      </c>
      <c r="BK654" s="2">
        <v>0.68</v>
      </c>
      <c r="BL654" s="2">
        <v>5.4</v>
      </c>
      <c r="BM654" s="2">
        <v>0.9</v>
      </c>
      <c r="BN654" s="2">
        <v>4.5999999999999996</v>
      </c>
      <c r="BO654" s="2">
        <v>2.1</v>
      </c>
      <c r="BP654" s="2">
        <f t="shared" si="20"/>
        <v>93.066257698516694</v>
      </c>
      <c r="BQ654" s="2">
        <f t="shared" si="21"/>
        <v>19.062176812353332</v>
      </c>
    </row>
    <row r="655" spans="1:69" x14ac:dyDescent="0.2">
      <c r="A655" s="2" t="s">
        <v>775</v>
      </c>
      <c r="B655" s="2" t="s">
        <v>47</v>
      </c>
      <c r="C655" s="2" t="s">
        <v>48</v>
      </c>
      <c r="D655" s="2" t="s">
        <v>49</v>
      </c>
      <c r="E655" s="2" t="s">
        <v>280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51</v>
      </c>
      <c r="L655" s="6" t="s">
        <v>52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776</v>
      </c>
      <c r="R655" s="2">
        <v>8547514.3729999997</v>
      </c>
      <c r="S655" s="2">
        <v>0</v>
      </c>
      <c r="T655" s="2" t="s">
        <v>67</v>
      </c>
      <c r="U655" s="2" t="s">
        <v>68</v>
      </c>
      <c r="V655" s="2" t="s">
        <v>56</v>
      </c>
      <c r="W655" s="2" t="s">
        <v>67</v>
      </c>
      <c r="X655" s="2" t="s">
        <v>69</v>
      </c>
      <c r="Y655" s="2">
        <v>1.41034236313207</v>
      </c>
      <c r="Z655" s="2">
        <v>1410.34236313207</v>
      </c>
      <c r="AA655" s="2">
        <v>4.6317666666666701</v>
      </c>
      <c r="AB655" s="2">
        <v>-74.117483333333297</v>
      </c>
      <c r="AC655" s="2">
        <v>2590</v>
      </c>
      <c r="AD655" s="2">
        <v>10</v>
      </c>
      <c r="AE655" s="2" t="s">
        <v>59</v>
      </c>
      <c r="AF655" s="2" t="s">
        <v>70</v>
      </c>
      <c r="AG655" s="2" t="s">
        <v>61</v>
      </c>
      <c r="AH655" s="2" t="s">
        <v>62</v>
      </c>
      <c r="AI655" s="2" t="s">
        <v>267</v>
      </c>
      <c r="AJ655" s="2">
        <v>0.70573106363599802</v>
      </c>
      <c r="AK655" s="2">
        <v>5.1364967079326798</v>
      </c>
      <c r="AL655" s="2">
        <v>2.55170292907937</v>
      </c>
      <c r="AM655" s="2">
        <v>0.35621134260336301</v>
      </c>
      <c r="AN655" s="2">
        <v>0.89861101942435895</v>
      </c>
      <c r="AO655" s="2">
        <v>0.44431420857394799</v>
      </c>
      <c r="AP655" s="2">
        <v>0.44431420857394799</v>
      </c>
      <c r="AQ655" s="2">
        <v>0</v>
      </c>
      <c r="AR655" s="2">
        <v>3</v>
      </c>
      <c r="AS655" s="2">
        <v>0</v>
      </c>
      <c r="AT655" s="2">
        <v>0</v>
      </c>
      <c r="AU655" s="2">
        <v>0</v>
      </c>
      <c r="AV655" s="2">
        <v>14</v>
      </c>
      <c r="AW655" s="2">
        <v>1</v>
      </c>
      <c r="AX655" s="2">
        <v>0</v>
      </c>
      <c r="AY655" s="2">
        <v>16.600000000000001</v>
      </c>
      <c r="AZ655" s="2">
        <v>101.7</v>
      </c>
      <c r="BA655" s="2">
        <v>19.899999999999999</v>
      </c>
      <c r="BB655" s="2">
        <v>564</v>
      </c>
      <c r="BC655" s="2">
        <v>71</v>
      </c>
      <c r="BD655" s="2">
        <v>1.7</v>
      </c>
      <c r="BE655" s="2">
        <v>185</v>
      </c>
      <c r="BF655" s="2">
        <v>0.8</v>
      </c>
      <c r="BG655" s="2">
        <v>162</v>
      </c>
      <c r="BH655" s="2">
        <v>19.5</v>
      </c>
      <c r="BI655" s="2">
        <v>15.6</v>
      </c>
      <c r="BJ655" s="2">
        <v>35</v>
      </c>
      <c r="BK655" s="2">
        <v>0.68</v>
      </c>
      <c r="BL655" s="2">
        <v>5.4</v>
      </c>
      <c r="BM655" s="2">
        <v>0.9</v>
      </c>
      <c r="BN655" s="2">
        <v>4.5999999999999996</v>
      </c>
      <c r="BO655" s="2">
        <v>2.1</v>
      </c>
      <c r="BP655" s="2">
        <f t="shared" si="20"/>
        <v>94.842285186165228</v>
      </c>
      <c r="BQ655" s="2">
        <f t="shared" si="21"/>
        <v>19.237692680884678</v>
      </c>
    </row>
    <row r="656" spans="1:69" x14ac:dyDescent="0.2">
      <c r="A656" s="2" t="s">
        <v>88</v>
      </c>
      <c r="B656" s="2" t="s">
        <v>47</v>
      </c>
      <c r="C656" s="2" t="s">
        <v>48</v>
      </c>
      <c r="D656" s="2" t="s">
        <v>49</v>
      </c>
      <c r="E656" s="2" t="s">
        <v>73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89</v>
      </c>
      <c r="L656" s="6" t="s">
        <v>90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91</v>
      </c>
      <c r="R656" s="2">
        <v>8220338.983</v>
      </c>
      <c r="S656" s="2">
        <v>0</v>
      </c>
      <c r="T656" s="2" t="s">
        <v>67</v>
      </c>
      <c r="U656" s="2" t="s">
        <v>68</v>
      </c>
      <c r="V656" s="2" t="s">
        <v>56</v>
      </c>
      <c r="W656" s="2" t="s">
        <v>67</v>
      </c>
      <c r="X656" s="2" t="s">
        <v>69</v>
      </c>
      <c r="Y656" s="2">
        <v>2.4961592806687598</v>
      </c>
      <c r="Z656" s="2">
        <v>2496.1592806687599</v>
      </c>
      <c r="AA656" s="2">
        <v>4.6317666666666701</v>
      </c>
      <c r="AB656" s="2">
        <v>-74.117483333333297</v>
      </c>
      <c r="AC656" s="2">
        <v>2590</v>
      </c>
      <c r="AD656" s="2">
        <v>10</v>
      </c>
      <c r="AE656" s="2" t="s">
        <v>59</v>
      </c>
      <c r="AF656" s="2" t="s">
        <v>70</v>
      </c>
      <c r="AG656" s="2" t="s">
        <v>61</v>
      </c>
      <c r="AH656" s="2" t="s">
        <v>62</v>
      </c>
      <c r="AI656" s="2" t="s">
        <v>71</v>
      </c>
      <c r="AJ656" s="2">
        <v>1.8656072306695499</v>
      </c>
      <c r="AK656" s="2">
        <v>3.9016868423028801</v>
      </c>
      <c r="AL656" s="2">
        <v>1.3836672153360401</v>
      </c>
      <c r="AM656" s="2">
        <v>0.322585154002129</v>
      </c>
      <c r="AN656" s="2">
        <v>1.00381301688713</v>
      </c>
      <c r="AO656" s="2">
        <v>0.11653404530587499</v>
      </c>
      <c r="AP656" s="2">
        <v>0.11653404530587499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11</v>
      </c>
      <c r="AW656" s="2">
        <v>0</v>
      </c>
      <c r="AX656" s="2">
        <v>0</v>
      </c>
      <c r="AY656" s="2">
        <v>16.600000000000001</v>
      </c>
      <c r="AZ656" s="2">
        <v>101.7</v>
      </c>
      <c r="BA656" s="2">
        <v>19.899999999999999</v>
      </c>
      <c r="BB656" s="2">
        <v>564</v>
      </c>
      <c r="BC656" s="2">
        <v>71</v>
      </c>
      <c r="BD656" s="2">
        <v>1.7</v>
      </c>
      <c r="BE656" s="2">
        <v>185</v>
      </c>
      <c r="BF656" s="2">
        <v>0.8</v>
      </c>
      <c r="BG656" s="2">
        <v>162</v>
      </c>
      <c r="BH656" s="2">
        <v>19.5</v>
      </c>
      <c r="BI656" s="2">
        <v>15.6</v>
      </c>
      <c r="BJ656" s="2">
        <v>35</v>
      </c>
      <c r="BK656" s="2">
        <v>0.68</v>
      </c>
      <c r="BL656" s="2">
        <v>5.4</v>
      </c>
      <c r="BM656" s="2">
        <v>0.9</v>
      </c>
      <c r="BN656" s="2">
        <v>4.5999999999999996</v>
      </c>
      <c r="BO656" s="2">
        <v>2.1</v>
      </c>
      <c r="BP656" s="2">
        <f t="shared" si="20"/>
        <v>89.87927838732088</v>
      </c>
      <c r="BQ656" s="2">
        <f t="shared" si="21"/>
        <v>18.742841802579335</v>
      </c>
    </row>
    <row r="657" spans="1:69" x14ac:dyDescent="0.2">
      <c r="A657" s="2" t="s">
        <v>1033</v>
      </c>
      <c r="B657" s="2" t="s">
        <v>47</v>
      </c>
      <c r="C657" s="2" t="s">
        <v>48</v>
      </c>
      <c r="D657" s="2" t="s">
        <v>49</v>
      </c>
      <c r="E657" s="2" t="s">
        <v>1034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89</v>
      </c>
      <c r="L657" s="6" t="s">
        <v>112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1035</v>
      </c>
      <c r="R657" s="2">
        <v>5525423.7290000003</v>
      </c>
      <c r="S657" s="2">
        <v>0</v>
      </c>
      <c r="T657" s="2" t="s">
        <v>483</v>
      </c>
      <c r="U657" s="2" t="s">
        <v>484</v>
      </c>
      <c r="V657" s="2" t="s">
        <v>56</v>
      </c>
      <c r="W657" s="2" t="s">
        <v>67</v>
      </c>
      <c r="X657" s="2" t="s">
        <v>485</v>
      </c>
      <c r="Y657" s="2">
        <v>1.8782510200118401</v>
      </c>
      <c r="Z657" s="2">
        <v>1878.25102001184</v>
      </c>
      <c r="AA657" s="2">
        <v>4.6085000000000003</v>
      </c>
      <c r="AB657" s="2">
        <v>-74.114944444444404</v>
      </c>
      <c r="AC657" s="2">
        <v>2559</v>
      </c>
      <c r="AD657" s="2">
        <v>0</v>
      </c>
      <c r="AE657" s="2" t="s">
        <v>59</v>
      </c>
      <c r="AF657" s="2" t="s">
        <v>486</v>
      </c>
      <c r="AG657" s="2" t="s">
        <v>61</v>
      </c>
      <c r="AH657" s="2" t="s">
        <v>62</v>
      </c>
      <c r="AI657" s="2" t="s">
        <v>966</v>
      </c>
      <c r="AJ657" s="2">
        <v>0.55850283843748305</v>
      </c>
      <c r="AK657" s="2">
        <v>4.20872724783941</v>
      </c>
      <c r="AL657" s="2">
        <v>1.4911222149174199</v>
      </c>
      <c r="AM657" s="2">
        <v>0.32328427221713602</v>
      </c>
      <c r="AN657" s="2">
        <v>0.91872066148224096</v>
      </c>
      <c r="AO657" s="2">
        <v>1.6213981656088901E-2</v>
      </c>
      <c r="AP657" s="2">
        <v>1.6213981656088901E-2</v>
      </c>
      <c r="AQ657" s="2">
        <v>0</v>
      </c>
      <c r="AR657" s="2">
        <v>1</v>
      </c>
      <c r="AS657" s="2">
        <v>0</v>
      </c>
      <c r="AT657" s="2">
        <v>0</v>
      </c>
      <c r="AU657" s="2">
        <v>0</v>
      </c>
      <c r="AV657" s="2">
        <v>22</v>
      </c>
      <c r="AW657" s="2">
        <v>2</v>
      </c>
      <c r="AX657" s="2">
        <v>0</v>
      </c>
      <c r="AY657" s="2">
        <v>16.600000000000001</v>
      </c>
      <c r="AZ657" s="2">
        <v>101.7</v>
      </c>
      <c r="BA657" s="2">
        <v>19.899999999999999</v>
      </c>
      <c r="BB657" s="2">
        <v>564</v>
      </c>
      <c r="BC657" s="2">
        <v>71</v>
      </c>
      <c r="BD657" s="2">
        <v>1.7</v>
      </c>
      <c r="BE657" s="2">
        <v>185</v>
      </c>
      <c r="BF657" s="2">
        <v>0.8</v>
      </c>
      <c r="BG657" s="2">
        <v>162</v>
      </c>
      <c r="BH657" s="2">
        <v>19.5</v>
      </c>
      <c r="BI657" s="2">
        <v>15.6</v>
      </c>
      <c r="BJ657" s="2">
        <v>35</v>
      </c>
      <c r="BK657" s="2">
        <v>0.68</v>
      </c>
      <c r="BL657" s="2">
        <v>5.4</v>
      </c>
      <c r="BM657" s="2">
        <v>0.9</v>
      </c>
      <c r="BN657" s="2">
        <v>4.5999999999999996</v>
      </c>
      <c r="BO657" s="2">
        <v>2.1</v>
      </c>
      <c r="BP657" s="2">
        <f t="shared" si="20"/>
        <v>92.670841629548789</v>
      </c>
      <c r="BQ657" s="2">
        <f t="shared" si="21"/>
        <v>19.022865581372791</v>
      </c>
    </row>
    <row r="658" spans="1:69" x14ac:dyDescent="0.2">
      <c r="A658" s="2" t="s">
        <v>1231</v>
      </c>
      <c r="B658" s="2" t="s">
        <v>47</v>
      </c>
      <c r="C658" s="2" t="s">
        <v>48</v>
      </c>
      <c r="D658" s="2" t="s">
        <v>49</v>
      </c>
      <c r="E658" s="2" t="s">
        <v>280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51</v>
      </c>
      <c r="L658" s="6" t="s">
        <v>52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1232</v>
      </c>
      <c r="R658" s="2">
        <v>8461273.6659999993</v>
      </c>
      <c r="S658" s="2">
        <v>0</v>
      </c>
      <c r="T658" s="2" t="s">
        <v>67</v>
      </c>
      <c r="U658" s="2" t="s">
        <v>68</v>
      </c>
      <c r="V658" s="2" t="s">
        <v>56</v>
      </c>
      <c r="W658" s="2" t="s">
        <v>67</v>
      </c>
      <c r="X658" s="2" t="s">
        <v>69</v>
      </c>
      <c r="Y658" s="2">
        <v>1.41034236313207</v>
      </c>
      <c r="Z658" s="2">
        <v>1410.34236313207</v>
      </c>
      <c r="AA658" s="2">
        <v>4.6317666666666701</v>
      </c>
      <c r="AB658" s="2">
        <v>-74.117483333333297</v>
      </c>
      <c r="AC658" s="2">
        <v>2590</v>
      </c>
      <c r="AD658" s="2">
        <v>10</v>
      </c>
      <c r="AE658" s="2" t="s">
        <v>59</v>
      </c>
      <c r="AF658" s="2" t="s">
        <v>70</v>
      </c>
      <c r="AG658" s="2" t="s">
        <v>61</v>
      </c>
      <c r="AH658" s="2" t="s">
        <v>62</v>
      </c>
      <c r="AI658" s="2" t="s">
        <v>267</v>
      </c>
      <c r="AJ658" s="2">
        <v>0.70573106363599802</v>
      </c>
      <c r="AK658" s="2">
        <v>5.1364967079326798</v>
      </c>
      <c r="AL658" s="2">
        <v>2.55170292907937</v>
      </c>
      <c r="AM658" s="2">
        <v>0.35621134260336301</v>
      </c>
      <c r="AN658" s="2">
        <v>0.89861101942435895</v>
      </c>
      <c r="AO658" s="2">
        <v>0.44431420857394799</v>
      </c>
      <c r="AP658" s="2">
        <v>0.44431420857394799</v>
      </c>
      <c r="AQ658" s="2">
        <v>0</v>
      </c>
      <c r="AR658" s="2">
        <v>3</v>
      </c>
      <c r="AS658" s="2">
        <v>0</v>
      </c>
      <c r="AT658" s="2">
        <v>0</v>
      </c>
      <c r="AU658" s="2">
        <v>0</v>
      </c>
      <c r="AV658" s="2">
        <v>14</v>
      </c>
      <c r="AW658" s="2">
        <v>1</v>
      </c>
      <c r="AX658" s="2">
        <v>0</v>
      </c>
      <c r="AY658" s="2">
        <v>16.600000000000001</v>
      </c>
      <c r="AZ658" s="2">
        <v>101.7</v>
      </c>
      <c r="BA658" s="2">
        <v>19.899999999999999</v>
      </c>
      <c r="BB658" s="2">
        <v>564</v>
      </c>
      <c r="BC658" s="2">
        <v>71</v>
      </c>
      <c r="BD658" s="2">
        <v>1.7</v>
      </c>
      <c r="BE658" s="2">
        <v>185</v>
      </c>
      <c r="BF658" s="2">
        <v>0.8</v>
      </c>
      <c r="BG658" s="2">
        <v>162</v>
      </c>
      <c r="BH658" s="2">
        <v>19.5</v>
      </c>
      <c r="BI658" s="2">
        <v>15.6</v>
      </c>
      <c r="BJ658" s="2">
        <v>35</v>
      </c>
      <c r="BK658" s="2">
        <v>0.68</v>
      </c>
      <c r="BL658" s="2">
        <v>5.4</v>
      </c>
      <c r="BM658" s="2">
        <v>0.9</v>
      </c>
      <c r="BN658" s="2">
        <v>4.5999999999999996</v>
      </c>
      <c r="BO658" s="2">
        <v>2.1</v>
      </c>
      <c r="BP658" s="2">
        <f t="shared" si="20"/>
        <v>94.842285186165228</v>
      </c>
      <c r="BQ658" s="2">
        <f t="shared" si="21"/>
        <v>19.237692680884678</v>
      </c>
    </row>
    <row r="659" spans="1:69" x14ac:dyDescent="0.2">
      <c r="A659" s="2" t="s">
        <v>1693</v>
      </c>
      <c r="B659" s="2" t="s">
        <v>47</v>
      </c>
      <c r="C659" s="2" t="s">
        <v>48</v>
      </c>
      <c r="D659" s="2" t="s">
        <v>49</v>
      </c>
      <c r="E659" s="2" t="s">
        <v>1694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89</v>
      </c>
      <c r="L659" s="6" t="s">
        <v>90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1695</v>
      </c>
      <c r="R659" s="2">
        <v>6551724.1380000003</v>
      </c>
      <c r="S659" s="2">
        <v>0</v>
      </c>
      <c r="T659" s="2" t="s">
        <v>67</v>
      </c>
      <c r="U659" s="2" t="s">
        <v>68</v>
      </c>
      <c r="V659" s="2" t="s">
        <v>56</v>
      </c>
      <c r="W659" s="2" t="s">
        <v>67</v>
      </c>
      <c r="X659" s="2" t="s">
        <v>69</v>
      </c>
      <c r="Y659" s="2">
        <v>2.23846841928296</v>
      </c>
      <c r="Z659" s="2">
        <v>2238.46841928296</v>
      </c>
      <c r="AA659" s="2">
        <v>4.6317666666666701</v>
      </c>
      <c r="AB659" s="2">
        <v>-74.117483333333297</v>
      </c>
      <c r="AC659" s="2">
        <v>2590</v>
      </c>
      <c r="AD659" s="2">
        <v>10</v>
      </c>
      <c r="AE659" s="2" t="s">
        <v>59</v>
      </c>
      <c r="AF659" s="2" t="s">
        <v>70</v>
      </c>
      <c r="AG659" s="2" t="s">
        <v>61</v>
      </c>
      <c r="AH659" s="2" t="s">
        <v>62</v>
      </c>
      <c r="AI659" s="2" t="s">
        <v>200</v>
      </c>
      <c r="AJ659" s="2">
        <v>0.795634775123778</v>
      </c>
      <c r="AK659" s="2">
        <v>3.4448973729674899</v>
      </c>
      <c r="AL659" s="2">
        <v>1.6756247264906301</v>
      </c>
      <c r="AM659" s="2">
        <v>5.3450091981429297E-2</v>
      </c>
      <c r="AN659" s="2">
        <v>2.9575709995886501</v>
      </c>
      <c r="AO659" s="2">
        <v>0.13680397131997399</v>
      </c>
      <c r="AP659" s="2">
        <v>0.13680397131997399</v>
      </c>
      <c r="AQ659" s="2">
        <v>0</v>
      </c>
      <c r="AR659" s="2">
        <v>2</v>
      </c>
      <c r="AS659" s="2">
        <v>0</v>
      </c>
      <c r="AT659" s="2">
        <v>0</v>
      </c>
      <c r="AU659" s="2">
        <v>0</v>
      </c>
      <c r="AV659" s="2">
        <v>32</v>
      </c>
      <c r="AW659" s="2">
        <v>0</v>
      </c>
      <c r="AX659" s="2">
        <v>0</v>
      </c>
      <c r="AY659" s="2">
        <v>16.600000000000001</v>
      </c>
      <c r="AZ659" s="2">
        <v>101.7</v>
      </c>
      <c r="BA659" s="2">
        <v>19.899999999999999</v>
      </c>
      <c r="BB659" s="2">
        <v>564</v>
      </c>
      <c r="BC659" s="2">
        <v>71</v>
      </c>
      <c r="BD659" s="2">
        <v>1.7</v>
      </c>
      <c r="BE659" s="2">
        <v>185</v>
      </c>
      <c r="BF659" s="2">
        <v>0.8</v>
      </c>
      <c r="BG659" s="2">
        <v>162</v>
      </c>
      <c r="BH659" s="2">
        <v>19.5</v>
      </c>
      <c r="BI659" s="2">
        <v>15.6</v>
      </c>
      <c r="BJ659" s="2">
        <v>35</v>
      </c>
      <c r="BK659" s="2">
        <v>0.68</v>
      </c>
      <c r="BL659" s="2">
        <v>5.4</v>
      </c>
      <c r="BM659" s="2">
        <v>0.9</v>
      </c>
      <c r="BN659" s="2">
        <v>4.5999999999999996</v>
      </c>
      <c r="BO659" s="2">
        <v>2.1</v>
      </c>
      <c r="BP659" s="2">
        <f t="shared" si="20"/>
        <v>91.033094506645924</v>
      </c>
      <c r="BQ659" s="2">
        <f t="shared" si="21"/>
        <v>18.859117607682453</v>
      </c>
    </row>
    <row r="660" spans="1:69" x14ac:dyDescent="0.2">
      <c r="A660" s="2" t="s">
        <v>1843</v>
      </c>
      <c r="B660" s="2" t="s">
        <v>47</v>
      </c>
      <c r="C660" s="2" t="s">
        <v>48</v>
      </c>
      <c r="D660" s="2" t="s">
        <v>49</v>
      </c>
      <c r="E660" s="2" t="s">
        <v>280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51</v>
      </c>
      <c r="L660" s="6" t="s">
        <v>52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1844</v>
      </c>
      <c r="R660" s="2">
        <v>8328661.5279999999</v>
      </c>
      <c r="S660" s="2">
        <v>0</v>
      </c>
      <c r="T660" s="2" t="s">
        <v>67</v>
      </c>
      <c r="U660" s="2" t="s">
        <v>68</v>
      </c>
      <c r="V660" s="2" t="s">
        <v>56</v>
      </c>
      <c r="W660" s="2" t="s">
        <v>67</v>
      </c>
      <c r="X660" s="2" t="s">
        <v>69</v>
      </c>
      <c r="Y660" s="2">
        <v>1.41034236313207</v>
      </c>
      <c r="Z660" s="2">
        <v>1410.34236313207</v>
      </c>
      <c r="AA660" s="2">
        <v>4.6317666666666701</v>
      </c>
      <c r="AB660" s="2">
        <v>-74.117483333333297</v>
      </c>
      <c r="AC660" s="2">
        <v>2590</v>
      </c>
      <c r="AD660" s="2">
        <v>10</v>
      </c>
      <c r="AE660" s="2" t="s">
        <v>59</v>
      </c>
      <c r="AF660" s="2" t="s">
        <v>70</v>
      </c>
      <c r="AG660" s="2" t="s">
        <v>61</v>
      </c>
      <c r="AH660" s="2" t="s">
        <v>62</v>
      </c>
      <c r="AI660" s="2" t="s">
        <v>267</v>
      </c>
      <c r="AJ660" s="2">
        <v>0.70573106363599802</v>
      </c>
      <c r="AK660" s="2">
        <v>5.1364967079326798</v>
      </c>
      <c r="AL660" s="2">
        <v>2.55170292907937</v>
      </c>
      <c r="AM660" s="2">
        <v>0.35621134260336301</v>
      </c>
      <c r="AN660" s="2">
        <v>0.89861101942435895</v>
      </c>
      <c r="AO660" s="2">
        <v>0.44431420857394799</v>
      </c>
      <c r="AP660" s="2">
        <v>0.44431420857394799</v>
      </c>
      <c r="AQ660" s="2">
        <v>0</v>
      </c>
      <c r="AR660" s="2">
        <v>3</v>
      </c>
      <c r="AS660" s="2">
        <v>0</v>
      </c>
      <c r="AT660" s="2">
        <v>0</v>
      </c>
      <c r="AU660" s="2">
        <v>0</v>
      </c>
      <c r="AV660" s="2">
        <v>14</v>
      </c>
      <c r="AW660" s="2">
        <v>1</v>
      </c>
      <c r="AX660" s="2">
        <v>0</v>
      </c>
      <c r="AY660" s="2">
        <v>16.600000000000001</v>
      </c>
      <c r="AZ660" s="2">
        <v>101.7</v>
      </c>
      <c r="BA660" s="2">
        <v>19.899999999999999</v>
      </c>
      <c r="BB660" s="2">
        <v>564</v>
      </c>
      <c r="BC660" s="2">
        <v>71</v>
      </c>
      <c r="BD660" s="2">
        <v>1.7</v>
      </c>
      <c r="BE660" s="2">
        <v>185</v>
      </c>
      <c r="BF660" s="2">
        <v>0.8</v>
      </c>
      <c r="BG660" s="2">
        <v>162</v>
      </c>
      <c r="BH660" s="2">
        <v>19.5</v>
      </c>
      <c r="BI660" s="2">
        <v>15.6</v>
      </c>
      <c r="BJ660" s="2">
        <v>35</v>
      </c>
      <c r="BK660" s="2">
        <v>0.68</v>
      </c>
      <c r="BL660" s="2">
        <v>5.4</v>
      </c>
      <c r="BM660" s="2">
        <v>0.9</v>
      </c>
      <c r="BN660" s="2">
        <v>4.5999999999999996</v>
      </c>
      <c r="BO660" s="2">
        <v>2.1</v>
      </c>
      <c r="BP660" s="2">
        <f t="shared" si="20"/>
        <v>94.842285186165228</v>
      </c>
      <c r="BQ660" s="2">
        <f t="shared" si="21"/>
        <v>19.237692680884678</v>
      </c>
    </row>
    <row r="661" spans="1:69" x14ac:dyDescent="0.2">
      <c r="A661" s="2" t="s">
        <v>4134</v>
      </c>
      <c r="B661" s="2" t="s">
        <v>47</v>
      </c>
      <c r="C661" s="2" t="s">
        <v>3273</v>
      </c>
      <c r="D661" s="2" t="s">
        <v>49</v>
      </c>
      <c r="E661" s="2" t="s">
        <v>147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89</v>
      </c>
      <c r="L661" s="6" t="s">
        <v>141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4135</v>
      </c>
      <c r="R661" s="2">
        <v>6357142.8569999998</v>
      </c>
      <c r="S661" s="2">
        <v>0</v>
      </c>
      <c r="T661" s="2" t="s">
        <v>67</v>
      </c>
      <c r="U661" s="2" t="s">
        <v>68</v>
      </c>
      <c r="V661" s="2" t="s">
        <v>56</v>
      </c>
      <c r="W661" s="2" t="s">
        <v>67</v>
      </c>
      <c r="X661" s="2" t="s">
        <v>69</v>
      </c>
      <c r="Y661" s="2">
        <v>2.2737845573342899</v>
      </c>
      <c r="Z661" s="2">
        <v>2273.7845573342902</v>
      </c>
      <c r="AA661" s="2">
        <v>4.6317666666666701</v>
      </c>
      <c r="AB661" s="2">
        <v>-74.117483333333297</v>
      </c>
      <c r="AC661" s="2">
        <v>2590</v>
      </c>
      <c r="AD661" s="2">
        <v>10</v>
      </c>
      <c r="AE661" s="2" t="s">
        <v>59</v>
      </c>
      <c r="AF661" s="2" t="s">
        <v>70</v>
      </c>
      <c r="AG661" s="2" t="s">
        <v>61</v>
      </c>
      <c r="AH661" s="2" t="s">
        <v>62</v>
      </c>
      <c r="AI661" s="2" t="s">
        <v>63</v>
      </c>
      <c r="AJ661" s="2">
        <v>0.54160795222323699</v>
      </c>
      <c r="AK661" s="2">
        <v>4.0741163338724604</v>
      </c>
      <c r="AL661" s="2">
        <v>0.96566824229959003</v>
      </c>
      <c r="AM661" s="2">
        <v>0.148677036844167</v>
      </c>
      <c r="AN661" s="2">
        <v>2.0048405992629501</v>
      </c>
      <c r="AO661" s="2">
        <v>0.58199408545523201</v>
      </c>
      <c r="AP661" s="2">
        <v>0.58199408545523201</v>
      </c>
      <c r="AQ661" s="2">
        <v>0</v>
      </c>
      <c r="AR661" s="2">
        <v>3</v>
      </c>
      <c r="AS661" s="2">
        <v>0</v>
      </c>
      <c r="AT661" s="2">
        <v>0</v>
      </c>
      <c r="AU661" s="2">
        <v>1</v>
      </c>
      <c r="AV661" s="2">
        <v>15</v>
      </c>
      <c r="AW661" s="2">
        <v>0</v>
      </c>
      <c r="AX661" s="2">
        <v>0</v>
      </c>
      <c r="AY661" s="2">
        <v>16.600000000000001</v>
      </c>
      <c r="AZ661" s="2">
        <v>101.7</v>
      </c>
      <c r="BA661" s="2">
        <v>19.899999999999999</v>
      </c>
      <c r="BB661" s="2">
        <v>564</v>
      </c>
      <c r="BC661" s="2">
        <v>71</v>
      </c>
      <c r="BD661" s="2">
        <v>1.7</v>
      </c>
      <c r="BE661" s="2">
        <v>185</v>
      </c>
      <c r="BF661" s="2">
        <v>0.8</v>
      </c>
      <c r="BG661" s="2">
        <v>162</v>
      </c>
      <c r="BH661" s="2">
        <v>19.5</v>
      </c>
      <c r="BI661" s="2">
        <v>15.6</v>
      </c>
      <c r="BJ661" s="2">
        <v>35</v>
      </c>
      <c r="BK661" s="2">
        <v>0.68</v>
      </c>
      <c r="BL661" s="2">
        <v>5.4</v>
      </c>
      <c r="BM661" s="2">
        <v>0.9</v>
      </c>
      <c r="BN661" s="2">
        <v>4.5999999999999996</v>
      </c>
      <c r="BO661" s="2">
        <v>2.1</v>
      </c>
      <c r="BP661" s="2">
        <f t="shared" si="20"/>
        <v>90.874094127326757</v>
      </c>
      <c r="BQ661" s="2">
        <f t="shared" si="21"/>
        <v>18.843139631181074</v>
      </c>
    </row>
    <row r="662" spans="1:69" x14ac:dyDescent="0.2">
      <c r="A662" s="2" t="s">
        <v>4187</v>
      </c>
      <c r="B662" s="2" t="s">
        <v>47</v>
      </c>
      <c r="C662" s="2" t="s">
        <v>3273</v>
      </c>
      <c r="D662" s="2" t="s">
        <v>49</v>
      </c>
      <c r="E662" s="2" t="s">
        <v>147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89</v>
      </c>
      <c r="L662" s="6" t="s">
        <v>141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4188</v>
      </c>
      <c r="R662" s="2">
        <v>6357142.8569999998</v>
      </c>
      <c r="S662" s="2">
        <v>0</v>
      </c>
      <c r="T662" s="2" t="s">
        <v>67</v>
      </c>
      <c r="U662" s="2" t="s">
        <v>68</v>
      </c>
      <c r="V662" s="2" t="s">
        <v>56</v>
      </c>
      <c r="W662" s="2" t="s">
        <v>67</v>
      </c>
      <c r="X662" s="2" t="s">
        <v>69</v>
      </c>
      <c r="Y662" s="2">
        <v>2.2737845573342899</v>
      </c>
      <c r="Z662" s="2">
        <v>2273.7845573342902</v>
      </c>
      <c r="AA662" s="2">
        <v>4.6317666666666701</v>
      </c>
      <c r="AB662" s="2">
        <v>-74.117483333333297</v>
      </c>
      <c r="AC662" s="2">
        <v>2590</v>
      </c>
      <c r="AD662" s="2">
        <v>10</v>
      </c>
      <c r="AE662" s="2" t="s">
        <v>59</v>
      </c>
      <c r="AF662" s="2" t="s">
        <v>70</v>
      </c>
      <c r="AG662" s="2" t="s">
        <v>61</v>
      </c>
      <c r="AH662" s="2" t="s">
        <v>62</v>
      </c>
      <c r="AI662" s="2" t="s">
        <v>63</v>
      </c>
      <c r="AJ662" s="2">
        <v>0.54160795222323699</v>
      </c>
      <c r="AK662" s="2">
        <v>4.0741163338724604</v>
      </c>
      <c r="AL662" s="2">
        <v>0.96566824229959003</v>
      </c>
      <c r="AM662" s="2">
        <v>0.148677036844167</v>
      </c>
      <c r="AN662" s="2">
        <v>2.0048405992629501</v>
      </c>
      <c r="AO662" s="2">
        <v>0.58199408545523201</v>
      </c>
      <c r="AP662" s="2">
        <v>0.58199408545523201</v>
      </c>
      <c r="AQ662" s="2">
        <v>0</v>
      </c>
      <c r="AR662" s="2">
        <v>3</v>
      </c>
      <c r="AS662" s="2">
        <v>0</v>
      </c>
      <c r="AT662" s="2">
        <v>0</v>
      </c>
      <c r="AU662" s="2">
        <v>1</v>
      </c>
      <c r="AV662" s="2">
        <v>15</v>
      </c>
      <c r="AW662" s="2">
        <v>0</v>
      </c>
      <c r="AX662" s="2">
        <v>0</v>
      </c>
      <c r="AY662" s="2">
        <v>16.600000000000001</v>
      </c>
      <c r="AZ662" s="2">
        <v>101.7</v>
      </c>
      <c r="BA662" s="2">
        <v>19.899999999999999</v>
      </c>
      <c r="BB662" s="2">
        <v>564</v>
      </c>
      <c r="BC662" s="2">
        <v>71</v>
      </c>
      <c r="BD662" s="2">
        <v>1.7</v>
      </c>
      <c r="BE662" s="2">
        <v>185</v>
      </c>
      <c r="BF662" s="2">
        <v>0.8</v>
      </c>
      <c r="BG662" s="2">
        <v>162</v>
      </c>
      <c r="BH662" s="2">
        <v>19.5</v>
      </c>
      <c r="BI662" s="2">
        <v>15.6</v>
      </c>
      <c r="BJ662" s="2">
        <v>35</v>
      </c>
      <c r="BK662" s="2">
        <v>0.68</v>
      </c>
      <c r="BL662" s="2">
        <v>5.4</v>
      </c>
      <c r="BM662" s="2">
        <v>0.9</v>
      </c>
      <c r="BN662" s="2">
        <v>4.5999999999999996</v>
      </c>
      <c r="BO662" s="2">
        <v>2.1</v>
      </c>
      <c r="BP662" s="2">
        <f t="shared" si="20"/>
        <v>90.874094127326757</v>
      </c>
      <c r="BQ662" s="2">
        <f t="shared" si="21"/>
        <v>18.843139631181074</v>
      </c>
    </row>
    <row r="663" spans="1:69" x14ac:dyDescent="0.2">
      <c r="A663" s="2" t="s">
        <v>1536</v>
      </c>
      <c r="B663" s="2" t="s">
        <v>47</v>
      </c>
      <c r="C663" s="2" t="s">
        <v>48</v>
      </c>
      <c r="D663" s="2" t="s">
        <v>49</v>
      </c>
      <c r="E663" s="2" t="s">
        <v>1537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89</v>
      </c>
      <c r="L663" s="6" t="s">
        <v>141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1538</v>
      </c>
      <c r="R663" s="2">
        <v>4200000</v>
      </c>
      <c r="S663" s="2">
        <v>0</v>
      </c>
      <c r="T663" s="2" t="s">
        <v>483</v>
      </c>
      <c r="U663" s="2" t="s">
        <v>484</v>
      </c>
      <c r="V663" s="2" t="s">
        <v>56</v>
      </c>
      <c r="W663" s="2" t="s">
        <v>67</v>
      </c>
      <c r="X663" s="2" t="s">
        <v>485</v>
      </c>
      <c r="Y663" s="2">
        <v>2.15769741977175</v>
      </c>
      <c r="Z663" s="2">
        <v>2157.69741977175</v>
      </c>
      <c r="AA663" s="2">
        <v>4.6085000000000003</v>
      </c>
      <c r="AB663" s="2">
        <v>-74.114944444444404</v>
      </c>
      <c r="AC663" s="2">
        <v>2559</v>
      </c>
      <c r="AD663" s="2">
        <v>0</v>
      </c>
      <c r="AE663" s="2" t="s">
        <v>59</v>
      </c>
      <c r="AF663" s="2" t="s">
        <v>486</v>
      </c>
      <c r="AG663" s="2" t="s">
        <v>61</v>
      </c>
      <c r="AH663" s="2" t="s">
        <v>62</v>
      </c>
      <c r="AI663" s="2" t="s">
        <v>200</v>
      </c>
      <c r="AJ663" s="2">
        <v>1.85938085444846</v>
      </c>
      <c r="AK663" s="2">
        <v>5.7813653047199098</v>
      </c>
      <c r="AL663" s="2">
        <v>2.34729458975831</v>
      </c>
      <c r="AM663" s="2">
        <v>6.9062724414349602E-2</v>
      </c>
      <c r="AN663" s="2">
        <v>2.94192146794563</v>
      </c>
      <c r="AO663" s="2">
        <v>0.15966099964775801</v>
      </c>
      <c r="AP663" s="2">
        <v>0.15966099964775801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34</v>
      </c>
      <c r="AW663" s="2">
        <v>0</v>
      </c>
      <c r="AX663" s="2">
        <v>0</v>
      </c>
      <c r="AY663" s="2">
        <v>16.600000000000001</v>
      </c>
      <c r="AZ663" s="2">
        <v>101.7</v>
      </c>
      <c r="BA663" s="2">
        <v>19.899999999999999</v>
      </c>
      <c r="BB663" s="2">
        <v>564</v>
      </c>
      <c r="BC663" s="2">
        <v>71</v>
      </c>
      <c r="BD663" s="2">
        <v>1.7</v>
      </c>
      <c r="BE663" s="2">
        <v>185</v>
      </c>
      <c r="BF663" s="2">
        <v>0.8</v>
      </c>
      <c r="BG663" s="2">
        <v>162</v>
      </c>
      <c r="BH663" s="2">
        <v>19.5</v>
      </c>
      <c r="BI663" s="2">
        <v>15.6</v>
      </c>
      <c r="BJ663" s="2">
        <v>35</v>
      </c>
      <c r="BK663" s="2">
        <v>0.68</v>
      </c>
      <c r="BL663" s="2">
        <v>5.4</v>
      </c>
      <c r="BM663" s="2">
        <v>0.9</v>
      </c>
      <c r="BN663" s="2">
        <v>4.5999999999999996</v>
      </c>
      <c r="BO663" s="2">
        <v>2.1</v>
      </c>
      <c r="BP663" s="2">
        <f t="shared" si="20"/>
        <v>91.397788358414147</v>
      </c>
      <c r="BQ663" s="2">
        <f t="shared" si="21"/>
        <v>18.895711539662344</v>
      </c>
    </row>
    <row r="664" spans="1:69" x14ac:dyDescent="0.2">
      <c r="A664" s="2" t="s">
        <v>1733</v>
      </c>
      <c r="B664" s="2" t="s">
        <v>47</v>
      </c>
      <c r="C664" s="2" t="s">
        <v>48</v>
      </c>
      <c r="D664" s="2" t="s">
        <v>49</v>
      </c>
      <c r="E664" s="2" t="s">
        <v>280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51</v>
      </c>
      <c r="L664" s="6" t="s">
        <v>52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1734</v>
      </c>
      <c r="R664" s="2">
        <v>8009487.3200000003</v>
      </c>
      <c r="S664" s="2">
        <v>0</v>
      </c>
      <c r="T664" s="2" t="s">
        <v>67</v>
      </c>
      <c r="U664" s="2" t="s">
        <v>68</v>
      </c>
      <c r="V664" s="2" t="s">
        <v>56</v>
      </c>
      <c r="W664" s="2" t="s">
        <v>67</v>
      </c>
      <c r="X664" s="2" t="s">
        <v>69</v>
      </c>
      <c r="Y664" s="2">
        <v>1.41034236313207</v>
      </c>
      <c r="Z664" s="2">
        <v>1410.34236313207</v>
      </c>
      <c r="AA664" s="2">
        <v>4.6317666666666701</v>
      </c>
      <c r="AB664" s="2">
        <v>-74.117483333333297</v>
      </c>
      <c r="AC664" s="2">
        <v>2590</v>
      </c>
      <c r="AD664" s="2">
        <v>10</v>
      </c>
      <c r="AE664" s="2" t="s">
        <v>59</v>
      </c>
      <c r="AF664" s="2" t="s">
        <v>70</v>
      </c>
      <c r="AG664" s="2" t="s">
        <v>61</v>
      </c>
      <c r="AH664" s="2" t="s">
        <v>62</v>
      </c>
      <c r="AI664" s="2" t="s">
        <v>267</v>
      </c>
      <c r="AJ664" s="2">
        <v>0.70573106363599802</v>
      </c>
      <c r="AK664" s="2">
        <v>5.1364967079326798</v>
      </c>
      <c r="AL664" s="2">
        <v>2.55170292907937</v>
      </c>
      <c r="AM664" s="2">
        <v>0.35621134260336301</v>
      </c>
      <c r="AN664" s="2">
        <v>0.89861101942435895</v>
      </c>
      <c r="AO664" s="2">
        <v>0.44431420857394799</v>
      </c>
      <c r="AP664" s="2">
        <v>0.44431420857394799</v>
      </c>
      <c r="AQ664" s="2">
        <v>0</v>
      </c>
      <c r="AR664" s="2">
        <v>3</v>
      </c>
      <c r="AS664" s="2">
        <v>0</v>
      </c>
      <c r="AT664" s="2">
        <v>0</v>
      </c>
      <c r="AU664" s="2">
        <v>0</v>
      </c>
      <c r="AV664" s="2">
        <v>14</v>
      </c>
      <c r="AW664" s="2">
        <v>1</v>
      </c>
      <c r="AX664" s="2">
        <v>0</v>
      </c>
      <c r="AY664" s="2">
        <v>16.600000000000001</v>
      </c>
      <c r="AZ664" s="2">
        <v>101.7</v>
      </c>
      <c r="BA664" s="2">
        <v>19.899999999999999</v>
      </c>
      <c r="BB664" s="2">
        <v>564</v>
      </c>
      <c r="BC664" s="2">
        <v>71</v>
      </c>
      <c r="BD664" s="2">
        <v>1.7</v>
      </c>
      <c r="BE664" s="2">
        <v>185</v>
      </c>
      <c r="BF664" s="2">
        <v>0.8</v>
      </c>
      <c r="BG664" s="2">
        <v>162</v>
      </c>
      <c r="BH664" s="2">
        <v>19.5</v>
      </c>
      <c r="BI664" s="2">
        <v>15.6</v>
      </c>
      <c r="BJ664" s="2">
        <v>35</v>
      </c>
      <c r="BK664" s="2">
        <v>0.68</v>
      </c>
      <c r="BL664" s="2">
        <v>5.4</v>
      </c>
      <c r="BM664" s="2">
        <v>0.9</v>
      </c>
      <c r="BN664" s="2">
        <v>4.5999999999999996</v>
      </c>
      <c r="BO664" s="2">
        <v>2.1</v>
      </c>
      <c r="BP664" s="2">
        <f t="shared" si="20"/>
        <v>94.842285186165228</v>
      </c>
      <c r="BQ664" s="2">
        <f t="shared" si="21"/>
        <v>19.237692680884678</v>
      </c>
    </row>
    <row r="665" spans="1:69" x14ac:dyDescent="0.2">
      <c r="A665" s="2" t="s">
        <v>1381</v>
      </c>
      <c r="B665" s="2" t="s">
        <v>47</v>
      </c>
      <c r="C665" s="2" t="s">
        <v>48</v>
      </c>
      <c r="D665" s="2" t="s">
        <v>49</v>
      </c>
      <c r="E665" s="2" t="s">
        <v>280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51</v>
      </c>
      <c r="L665" s="6" t="s">
        <v>52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1382</v>
      </c>
      <c r="R665" s="2">
        <v>8004013.8660000004</v>
      </c>
      <c r="S665" s="2">
        <v>0</v>
      </c>
      <c r="T665" s="2" t="s">
        <v>67</v>
      </c>
      <c r="U665" s="2" t="s">
        <v>68</v>
      </c>
      <c r="V665" s="2" t="s">
        <v>56</v>
      </c>
      <c r="W665" s="2" t="s">
        <v>67</v>
      </c>
      <c r="X665" s="2" t="s">
        <v>69</v>
      </c>
      <c r="Y665" s="2">
        <v>1.41034236313207</v>
      </c>
      <c r="Z665" s="2">
        <v>1410.34236313207</v>
      </c>
      <c r="AA665" s="2">
        <v>4.6317666666666701</v>
      </c>
      <c r="AB665" s="2">
        <v>-74.117483333333297</v>
      </c>
      <c r="AC665" s="2">
        <v>2590</v>
      </c>
      <c r="AD665" s="2">
        <v>10</v>
      </c>
      <c r="AE665" s="2" t="s">
        <v>59</v>
      </c>
      <c r="AF665" s="2" t="s">
        <v>70</v>
      </c>
      <c r="AG665" s="2" t="s">
        <v>61</v>
      </c>
      <c r="AH665" s="2" t="s">
        <v>62</v>
      </c>
      <c r="AI665" s="2" t="s">
        <v>267</v>
      </c>
      <c r="AJ665" s="2">
        <v>0.70573106363599802</v>
      </c>
      <c r="AK665" s="2">
        <v>5.1364967079326798</v>
      </c>
      <c r="AL665" s="2">
        <v>2.55170292907937</v>
      </c>
      <c r="AM665" s="2">
        <v>0.35621134260336301</v>
      </c>
      <c r="AN665" s="2">
        <v>0.89861101942435895</v>
      </c>
      <c r="AO665" s="2">
        <v>0.44431420857394799</v>
      </c>
      <c r="AP665" s="2">
        <v>0.44431420857394799</v>
      </c>
      <c r="AQ665" s="2">
        <v>0</v>
      </c>
      <c r="AR665" s="2">
        <v>3</v>
      </c>
      <c r="AS665" s="2">
        <v>0</v>
      </c>
      <c r="AT665" s="2">
        <v>0</v>
      </c>
      <c r="AU665" s="2">
        <v>0</v>
      </c>
      <c r="AV665" s="2">
        <v>14</v>
      </c>
      <c r="AW665" s="2">
        <v>1</v>
      </c>
      <c r="AX665" s="2">
        <v>0</v>
      </c>
      <c r="AY665" s="2">
        <v>16.600000000000001</v>
      </c>
      <c r="AZ665" s="2">
        <v>101.7</v>
      </c>
      <c r="BA665" s="2">
        <v>19.899999999999999</v>
      </c>
      <c r="BB665" s="2">
        <v>564</v>
      </c>
      <c r="BC665" s="2">
        <v>71</v>
      </c>
      <c r="BD665" s="2">
        <v>1.7</v>
      </c>
      <c r="BE665" s="2">
        <v>185</v>
      </c>
      <c r="BF665" s="2">
        <v>0.8</v>
      </c>
      <c r="BG665" s="2">
        <v>162</v>
      </c>
      <c r="BH665" s="2">
        <v>19.5</v>
      </c>
      <c r="BI665" s="2">
        <v>15.6</v>
      </c>
      <c r="BJ665" s="2">
        <v>35</v>
      </c>
      <c r="BK665" s="2">
        <v>0.68</v>
      </c>
      <c r="BL665" s="2">
        <v>5.4</v>
      </c>
      <c r="BM665" s="2">
        <v>0.9</v>
      </c>
      <c r="BN665" s="2">
        <v>4.5999999999999996</v>
      </c>
      <c r="BO665" s="2">
        <v>2.1</v>
      </c>
      <c r="BP665" s="2">
        <f t="shared" si="20"/>
        <v>94.842285186165228</v>
      </c>
      <c r="BQ665" s="2">
        <f t="shared" si="21"/>
        <v>19.237692680884678</v>
      </c>
    </row>
    <row r="666" spans="1:69" x14ac:dyDescent="0.2">
      <c r="A666" s="2" t="s">
        <v>279</v>
      </c>
      <c r="B666" s="2" t="s">
        <v>47</v>
      </c>
      <c r="C666" s="2" t="s">
        <v>48</v>
      </c>
      <c r="D666" s="2" t="s">
        <v>49</v>
      </c>
      <c r="E666" s="2" t="s">
        <v>280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51</v>
      </c>
      <c r="L666" s="6" t="s">
        <v>52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281</v>
      </c>
      <c r="R666" s="2">
        <v>7842046.7189999996</v>
      </c>
      <c r="S666" s="2">
        <v>0</v>
      </c>
      <c r="T666" s="2" t="s">
        <v>67</v>
      </c>
      <c r="U666" s="2" t="s">
        <v>68</v>
      </c>
      <c r="V666" s="2" t="s">
        <v>56</v>
      </c>
      <c r="W666" s="2" t="s">
        <v>67</v>
      </c>
      <c r="X666" s="2" t="s">
        <v>69</v>
      </c>
      <c r="Y666" s="2">
        <v>1.41034236313207</v>
      </c>
      <c r="Z666" s="2">
        <v>1410.34236313207</v>
      </c>
      <c r="AA666" s="2">
        <v>4.6317666666666701</v>
      </c>
      <c r="AB666" s="2">
        <v>-74.117483333333297</v>
      </c>
      <c r="AC666" s="2">
        <v>2590</v>
      </c>
      <c r="AD666" s="2">
        <v>10</v>
      </c>
      <c r="AE666" s="2" t="s">
        <v>59</v>
      </c>
      <c r="AF666" s="2" t="s">
        <v>70</v>
      </c>
      <c r="AG666" s="2" t="s">
        <v>61</v>
      </c>
      <c r="AH666" s="2" t="s">
        <v>62</v>
      </c>
      <c r="AI666" s="2" t="s">
        <v>267</v>
      </c>
      <c r="AJ666" s="2">
        <v>0.70573106363599802</v>
      </c>
      <c r="AK666" s="2">
        <v>5.1364967079326798</v>
      </c>
      <c r="AL666" s="2">
        <v>2.55170292907937</v>
      </c>
      <c r="AM666" s="2">
        <v>0.35621134260336301</v>
      </c>
      <c r="AN666" s="2">
        <v>0.89861101942435895</v>
      </c>
      <c r="AO666" s="2">
        <v>0.44431420857394799</v>
      </c>
      <c r="AP666" s="2">
        <v>0.44431420857394799</v>
      </c>
      <c r="AQ666" s="2">
        <v>0</v>
      </c>
      <c r="AR666" s="2">
        <v>3</v>
      </c>
      <c r="AS666" s="2">
        <v>0</v>
      </c>
      <c r="AT666" s="2">
        <v>0</v>
      </c>
      <c r="AU666" s="2">
        <v>0</v>
      </c>
      <c r="AV666" s="2">
        <v>14</v>
      </c>
      <c r="AW666" s="2">
        <v>1</v>
      </c>
      <c r="AX666" s="2">
        <v>0</v>
      </c>
      <c r="AY666" s="2">
        <v>16.600000000000001</v>
      </c>
      <c r="AZ666" s="2">
        <v>101.7</v>
      </c>
      <c r="BA666" s="2">
        <v>19.899999999999999</v>
      </c>
      <c r="BB666" s="2">
        <v>564</v>
      </c>
      <c r="BC666" s="2">
        <v>71</v>
      </c>
      <c r="BD666" s="2">
        <v>1.7</v>
      </c>
      <c r="BE666" s="2">
        <v>185</v>
      </c>
      <c r="BF666" s="2">
        <v>0.8</v>
      </c>
      <c r="BG666" s="2">
        <v>162</v>
      </c>
      <c r="BH666" s="2">
        <v>19.5</v>
      </c>
      <c r="BI666" s="2">
        <v>15.6</v>
      </c>
      <c r="BJ666" s="2">
        <v>35</v>
      </c>
      <c r="BK666" s="2">
        <v>0.68</v>
      </c>
      <c r="BL666" s="2">
        <v>5.4</v>
      </c>
      <c r="BM666" s="2">
        <v>0.9</v>
      </c>
      <c r="BN666" s="2">
        <v>4.5999999999999996</v>
      </c>
      <c r="BO666" s="2">
        <v>2.1</v>
      </c>
      <c r="BP666" s="2">
        <f t="shared" si="20"/>
        <v>94.842285186165228</v>
      </c>
      <c r="BQ666" s="2">
        <f t="shared" si="21"/>
        <v>19.237692680884678</v>
      </c>
    </row>
    <row r="667" spans="1:69" x14ac:dyDescent="0.2">
      <c r="A667" s="2" t="s">
        <v>1245</v>
      </c>
      <c r="B667" s="2" t="s">
        <v>47</v>
      </c>
      <c r="C667" s="2" t="s">
        <v>48</v>
      </c>
      <c r="D667" s="2" t="s">
        <v>49</v>
      </c>
      <c r="E667" s="2" t="s">
        <v>1246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89</v>
      </c>
      <c r="L667" s="6" t="s">
        <v>90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1247</v>
      </c>
      <c r="R667" s="2">
        <v>6539104.5889999997</v>
      </c>
      <c r="S667" s="2">
        <v>0</v>
      </c>
      <c r="T667" s="2" t="s">
        <v>483</v>
      </c>
      <c r="U667" s="2" t="s">
        <v>484</v>
      </c>
      <c r="V667" s="2" t="s">
        <v>56</v>
      </c>
      <c r="W667" s="2" t="s">
        <v>67</v>
      </c>
      <c r="X667" s="2" t="s">
        <v>485</v>
      </c>
      <c r="Y667" s="2">
        <v>0.921703730078411</v>
      </c>
      <c r="Z667" s="2">
        <v>921.70373007841101</v>
      </c>
      <c r="AA667" s="2">
        <v>4.6085000000000003</v>
      </c>
      <c r="AB667" s="2">
        <v>-74.114944444444404</v>
      </c>
      <c r="AC667" s="2">
        <v>2559</v>
      </c>
      <c r="AD667" s="2">
        <v>0</v>
      </c>
      <c r="AE667" s="2" t="s">
        <v>59</v>
      </c>
      <c r="AF667" s="2" t="s">
        <v>486</v>
      </c>
      <c r="AG667" s="2" t="s">
        <v>61</v>
      </c>
      <c r="AH667" s="2" t="s">
        <v>62</v>
      </c>
      <c r="AI667" s="2" t="s">
        <v>267</v>
      </c>
      <c r="AJ667" s="2">
        <v>0.64168519057722595</v>
      </c>
      <c r="AK667" s="2">
        <v>5.3880085143120802</v>
      </c>
      <c r="AL667" s="2">
        <v>2.30454282140927</v>
      </c>
      <c r="AM667" s="2">
        <v>0.26848072445350202</v>
      </c>
      <c r="AN667" s="2">
        <v>1.75372487263562</v>
      </c>
      <c r="AO667" s="2">
        <v>1.7076148037051601E-2</v>
      </c>
      <c r="AP667" s="2">
        <v>1.7076148037051601E-2</v>
      </c>
      <c r="AQ667" s="2">
        <v>0</v>
      </c>
      <c r="AR667" s="2">
        <v>2</v>
      </c>
      <c r="AS667" s="2">
        <v>0</v>
      </c>
      <c r="AT667" s="2">
        <v>0</v>
      </c>
      <c r="AU667" s="2">
        <v>0</v>
      </c>
      <c r="AV667" s="2">
        <v>15</v>
      </c>
      <c r="AW667" s="2">
        <v>0</v>
      </c>
      <c r="AX667" s="2">
        <v>0</v>
      </c>
      <c r="AY667" s="2">
        <v>16.600000000000001</v>
      </c>
      <c r="AZ667" s="2">
        <v>101.7</v>
      </c>
      <c r="BA667" s="2">
        <v>19.899999999999999</v>
      </c>
      <c r="BB667" s="2">
        <v>564</v>
      </c>
      <c r="BC667" s="2">
        <v>71</v>
      </c>
      <c r="BD667" s="2">
        <v>1.7</v>
      </c>
      <c r="BE667" s="2">
        <v>185</v>
      </c>
      <c r="BF667" s="2">
        <v>0.8</v>
      </c>
      <c r="BG667" s="2">
        <v>162</v>
      </c>
      <c r="BH667" s="2">
        <v>19.5</v>
      </c>
      <c r="BI667" s="2">
        <v>15.6</v>
      </c>
      <c r="BJ667" s="2">
        <v>35</v>
      </c>
      <c r="BK667" s="2">
        <v>0.68</v>
      </c>
      <c r="BL667" s="2">
        <v>5.4</v>
      </c>
      <c r="BM667" s="2">
        <v>0.9</v>
      </c>
      <c r="BN667" s="2">
        <v>4.5999999999999996</v>
      </c>
      <c r="BO667" s="2">
        <v>2.1</v>
      </c>
      <c r="BP667" s="2">
        <f t="shared" si="20"/>
        <v>97.164261947079154</v>
      </c>
      <c r="BQ667" s="2">
        <f t="shared" si="21"/>
        <v>19.464627465774676</v>
      </c>
    </row>
    <row r="668" spans="1:69" x14ac:dyDescent="0.2">
      <c r="A668" s="2" t="s">
        <v>459</v>
      </c>
      <c r="B668" s="2" t="s">
        <v>47</v>
      </c>
      <c r="C668" s="2" t="s">
        <v>48</v>
      </c>
      <c r="D668" s="2" t="s">
        <v>49</v>
      </c>
      <c r="E668" s="2" t="s">
        <v>280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51</v>
      </c>
      <c r="L668" s="6" t="s">
        <v>52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460</v>
      </c>
      <c r="R668" s="2">
        <v>7983031.2379999999</v>
      </c>
      <c r="S668" s="2">
        <v>0</v>
      </c>
      <c r="T668" s="2" t="s">
        <v>67</v>
      </c>
      <c r="U668" s="2" t="s">
        <v>68</v>
      </c>
      <c r="V668" s="2" t="s">
        <v>56</v>
      </c>
      <c r="W668" s="2" t="s">
        <v>67</v>
      </c>
      <c r="X668" s="2" t="s">
        <v>69</v>
      </c>
      <c r="Y668" s="2">
        <v>1.41034236313207</v>
      </c>
      <c r="Z668" s="2">
        <v>1410.34236313207</v>
      </c>
      <c r="AA668" s="2">
        <v>4.6317666666666701</v>
      </c>
      <c r="AB668" s="2">
        <v>-74.117483333333297</v>
      </c>
      <c r="AC668" s="2">
        <v>2590</v>
      </c>
      <c r="AD668" s="2">
        <v>10</v>
      </c>
      <c r="AE668" s="2" t="s">
        <v>59</v>
      </c>
      <c r="AF668" s="2" t="s">
        <v>70</v>
      </c>
      <c r="AG668" s="2" t="s">
        <v>61</v>
      </c>
      <c r="AH668" s="2" t="s">
        <v>62</v>
      </c>
      <c r="AI668" s="2" t="s">
        <v>267</v>
      </c>
      <c r="AJ668" s="2">
        <v>0.70573106363599802</v>
      </c>
      <c r="AK668" s="2">
        <v>5.1364967079326798</v>
      </c>
      <c r="AL668" s="2">
        <v>2.55170292907937</v>
      </c>
      <c r="AM668" s="2">
        <v>0.35621134260336301</v>
      </c>
      <c r="AN668" s="2">
        <v>0.89861101942435895</v>
      </c>
      <c r="AO668" s="2">
        <v>0.44431420857394799</v>
      </c>
      <c r="AP668" s="2">
        <v>0.44431420857394799</v>
      </c>
      <c r="AQ668" s="2">
        <v>0</v>
      </c>
      <c r="AR668" s="2">
        <v>3</v>
      </c>
      <c r="AS668" s="2">
        <v>0</v>
      </c>
      <c r="AT668" s="2">
        <v>0</v>
      </c>
      <c r="AU668" s="2">
        <v>0</v>
      </c>
      <c r="AV668" s="2">
        <v>14</v>
      </c>
      <c r="AW668" s="2">
        <v>1</v>
      </c>
      <c r="AX668" s="2">
        <v>0</v>
      </c>
      <c r="AY668" s="2">
        <v>16.600000000000001</v>
      </c>
      <c r="AZ668" s="2">
        <v>101.7</v>
      </c>
      <c r="BA668" s="2">
        <v>19.899999999999999</v>
      </c>
      <c r="BB668" s="2">
        <v>564</v>
      </c>
      <c r="BC668" s="2">
        <v>71</v>
      </c>
      <c r="BD668" s="2">
        <v>1.7</v>
      </c>
      <c r="BE668" s="2">
        <v>185</v>
      </c>
      <c r="BF668" s="2">
        <v>0.8</v>
      </c>
      <c r="BG668" s="2">
        <v>162</v>
      </c>
      <c r="BH668" s="2">
        <v>19.5</v>
      </c>
      <c r="BI668" s="2">
        <v>15.6</v>
      </c>
      <c r="BJ668" s="2">
        <v>35</v>
      </c>
      <c r="BK668" s="2">
        <v>0.68</v>
      </c>
      <c r="BL668" s="2">
        <v>5.4</v>
      </c>
      <c r="BM668" s="2">
        <v>0.9</v>
      </c>
      <c r="BN668" s="2">
        <v>4.5999999999999996</v>
      </c>
      <c r="BO668" s="2">
        <v>2.1</v>
      </c>
      <c r="BP668" s="2">
        <f t="shared" si="20"/>
        <v>94.842285186165228</v>
      </c>
      <c r="BQ668" s="2">
        <f t="shared" si="21"/>
        <v>19.237692680884678</v>
      </c>
    </row>
    <row r="669" spans="1:69" x14ac:dyDescent="0.2">
      <c r="A669" s="2" t="s">
        <v>274</v>
      </c>
      <c r="B669" s="2" t="s">
        <v>47</v>
      </c>
      <c r="C669" s="2" t="s">
        <v>48</v>
      </c>
      <c r="D669" s="2" t="s">
        <v>49</v>
      </c>
      <c r="E669" s="2" t="s">
        <v>275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51</v>
      </c>
      <c r="L669" s="6" t="s">
        <v>52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276</v>
      </c>
      <c r="R669" s="2">
        <v>9259810.8450000007</v>
      </c>
      <c r="S669" s="2">
        <v>0</v>
      </c>
      <c r="T669" s="2" t="s">
        <v>67</v>
      </c>
      <c r="U669" s="2" t="s">
        <v>68</v>
      </c>
      <c r="V669" s="2" t="s">
        <v>56</v>
      </c>
      <c r="W669" s="2" t="s">
        <v>67</v>
      </c>
      <c r="X669" s="2" t="s">
        <v>69</v>
      </c>
      <c r="Y669" s="2">
        <v>1.7443151642725301</v>
      </c>
      <c r="Z669" s="2">
        <v>1744.31516427253</v>
      </c>
      <c r="AA669" s="2">
        <v>4.6317666666666701</v>
      </c>
      <c r="AB669" s="2">
        <v>-74.117483333333297</v>
      </c>
      <c r="AC669" s="2">
        <v>2590</v>
      </c>
      <c r="AD669" s="2">
        <v>10</v>
      </c>
      <c r="AE669" s="2" t="s">
        <v>59</v>
      </c>
      <c r="AF669" s="2" t="s">
        <v>70</v>
      </c>
      <c r="AG669" s="2" t="s">
        <v>61</v>
      </c>
      <c r="AH669" s="2" t="s">
        <v>62</v>
      </c>
      <c r="AI669" s="2" t="s">
        <v>71</v>
      </c>
      <c r="AJ669" s="2">
        <v>1.84488475579095</v>
      </c>
      <c r="AK669" s="2">
        <v>3.9776146963822301</v>
      </c>
      <c r="AL669" s="2">
        <v>0.57825767745824197</v>
      </c>
      <c r="AM669" s="2">
        <v>0.20112158476043501</v>
      </c>
      <c r="AN669" s="2">
        <v>1.31220652562471</v>
      </c>
      <c r="AO669" s="2">
        <v>3.8607558916069502E-3</v>
      </c>
      <c r="AP669" s="2">
        <v>3.8607558916069502E-3</v>
      </c>
      <c r="AQ669" s="2">
        <v>0</v>
      </c>
      <c r="AR669" s="2">
        <v>0</v>
      </c>
      <c r="AS669" s="2">
        <v>0</v>
      </c>
      <c r="AT669" s="2">
        <v>0</v>
      </c>
      <c r="AU669" s="2">
        <v>1</v>
      </c>
      <c r="AV669" s="2">
        <v>14</v>
      </c>
      <c r="AW669" s="2">
        <v>0</v>
      </c>
      <c r="AX669" s="2">
        <v>0</v>
      </c>
      <c r="AY669" s="2">
        <v>16.600000000000001</v>
      </c>
      <c r="AZ669" s="2">
        <v>101.7</v>
      </c>
      <c r="BA669" s="2">
        <v>19.899999999999999</v>
      </c>
      <c r="BB669" s="2">
        <v>564</v>
      </c>
      <c r="BC669" s="2">
        <v>71</v>
      </c>
      <c r="BD669" s="2">
        <v>1.7</v>
      </c>
      <c r="BE669" s="2">
        <v>185</v>
      </c>
      <c r="BF669" s="2">
        <v>0.8</v>
      </c>
      <c r="BG669" s="2">
        <v>162</v>
      </c>
      <c r="BH669" s="2">
        <v>19.5</v>
      </c>
      <c r="BI669" s="2">
        <v>15.6</v>
      </c>
      <c r="BJ669" s="2">
        <v>35</v>
      </c>
      <c r="BK669" s="2">
        <v>0.68</v>
      </c>
      <c r="BL669" s="2">
        <v>5.4</v>
      </c>
      <c r="BM669" s="2">
        <v>0.9</v>
      </c>
      <c r="BN669" s="2">
        <v>4.5999999999999996</v>
      </c>
      <c r="BO669" s="2">
        <v>2.1</v>
      </c>
      <c r="BP669" s="2">
        <f t="shared" si="20"/>
        <v>93.287274241306449</v>
      </c>
      <c r="BQ669" s="2">
        <f t="shared" si="21"/>
        <v>19.084112216808048</v>
      </c>
    </row>
    <row r="670" spans="1:69" x14ac:dyDescent="0.2">
      <c r="A670" s="2" t="s">
        <v>919</v>
      </c>
      <c r="B670" s="2" t="s">
        <v>47</v>
      </c>
      <c r="C670" s="2" t="s">
        <v>48</v>
      </c>
      <c r="D670" s="2" t="s">
        <v>49</v>
      </c>
      <c r="E670" s="2" t="s">
        <v>280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51</v>
      </c>
      <c r="L670" s="6" t="s">
        <v>52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920</v>
      </c>
      <c r="R670" s="2">
        <v>7853513.9709999999</v>
      </c>
      <c r="S670" s="2">
        <v>0</v>
      </c>
      <c r="T670" s="2" t="s">
        <v>67</v>
      </c>
      <c r="U670" s="2" t="s">
        <v>68</v>
      </c>
      <c r="V670" s="2" t="s">
        <v>56</v>
      </c>
      <c r="W670" s="2" t="s">
        <v>67</v>
      </c>
      <c r="X670" s="2" t="s">
        <v>69</v>
      </c>
      <c r="Y670" s="2">
        <v>1.41034236313207</v>
      </c>
      <c r="Z670" s="2">
        <v>1410.34236313207</v>
      </c>
      <c r="AA670" s="2">
        <v>4.6317666666666701</v>
      </c>
      <c r="AB670" s="2">
        <v>-74.117483333333297</v>
      </c>
      <c r="AC670" s="2">
        <v>2590</v>
      </c>
      <c r="AD670" s="2">
        <v>10</v>
      </c>
      <c r="AE670" s="2" t="s">
        <v>59</v>
      </c>
      <c r="AF670" s="2" t="s">
        <v>70</v>
      </c>
      <c r="AG670" s="2" t="s">
        <v>61</v>
      </c>
      <c r="AH670" s="2" t="s">
        <v>62</v>
      </c>
      <c r="AI670" s="2" t="s">
        <v>267</v>
      </c>
      <c r="AJ670" s="2">
        <v>0.70573106363599802</v>
      </c>
      <c r="AK670" s="2">
        <v>5.1364967079326798</v>
      </c>
      <c r="AL670" s="2">
        <v>2.55170292907937</v>
      </c>
      <c r="AM670" s="2">
        <v>0.35621134260336301</v>
      </c>
      <c r="AN670" s="2">
        <v>0.89861101942435895</v>
      </c>
      <c r="AO670" s="2">
        <v>0.44431420857394799</v>
      </c>
      <c r="AP670" s="2">
        <v>0.44431420857394799</v>
      </c>
      <c r="AQ670" s="2">
        <v>0</v>
      </c>
      <c r="AR670" s="2">
        <v>3</v>
      </c>
      <c r="AS670" s="2">
        <v>0</v>
      </c>
      <c r="AT670" s="2">
        <v>0</v>
      </c>
      <c r="AU670" s="2">
        <v>0</v>
      </c>
      <c r="AV670" s="2">
        <v>14</v>
      </c>
      <c r="AW670" s="2">
        <v>1</v>
      </c>
      <c r="AX670" s="2">
        <v>0</v>
      </c>
      <c r="AY670" s="2">
        <v>16.600000000000001</v>
      </c>
      <c r="AZ670" s="2">
        <v>101.7</v>
      </c>
      <c r="BA670" s="2">
        <v>19.899999999999999</v>
      </c>
      <c r="BB670" s="2">
        <v>564</v>
      </c>
      <c r="BC670" s="2">
        <v>71</v>
      </c>
      <c r="BD670" s="2">
        <v>1.7</v>
      </c>
      <c r="BE670" s="2">
        <v>185</v>
      </c>
      <c r="BF670" s="2">
        <v>0.8</v>
      </c>
      <c r="BG670" s="2">
        <v>162</v>
      </c>
      <c r="BH670" s="2">
        <v>19.5</v>
      </c>
      <c r="BI670" s="2">
        <v>15.6</v>
      </c>
      <c r="BJ670" s="2">
        <v>35</v>
      </c>
      <c r="BK670" s="2">
        <v>0.68</v>
      </c>
      <c r="BL670" s="2">
        <v>5.4</v>
      </c>
      <c r="BM670" s="2">
        <v>0.9</v>
      </c>
      <c r="BN670" s="2">
        <v>4.5999999999999996</v>
      </c>
      <c r="BO670" s="2">
        <v>2.1</v>
      </c>
      <c r="BP670" s="2">
        <f t="shared" si="20"/>
        <v>94.842285186165228</v>
      </c>
      <c r="BQ670" s="2">
        <f t="shared" si="21"/>
        <v>19.237692680884678</v>
      </c>
    </row>
    <row r="671" spans="1:69" x14ac:dyDescent="0.2">
      <c r="A671" s="2" t="s">
        <v>623</v>
      </c>
      <c r="B671" s="2" t="s">
        <v>47</v>
      </c>
      <c r="C671" s="2" t="s">
        <v>48</v>
      </c>
      <c r="D671" s="2" t="s">
        <v>49</v>
      </c>
      <c r="E671" s="2" t="s">
        <v>280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51</v>
      </c>
      <c r="L671" s="6" t="s">
        <v>52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624</v>
      </c>
      <c r="R671" s="2">
        <v>7747671.4649999999</v>
      </c>
      <c r="S671" s="2">
        <v>0</v>
      </c>
      <c r="T671" s="2" t="s">
        <v>67</v>
      </c>
      <c r="U671" s="2" t="s">
        <v>68</v>
      </c>
      <c r="V671" s="2" t="s">
        <v>56</v>
      </c>
      <c r="W671" s="2" t="s">
        <v>67</v>
      </c>
      <c r="X671" s="2" t="s">
        <v>69</v>
      </c>
      <c r="Y671" s="2">
        <v>1.41034236313207</v>
      </c>
      <c r="Z671" s="2">
        <v>1410.34236313207</v>
      </c>
      <c r="AA671" s="2">
        <v>4.6317666666666701</v>
      </c>
      <c r="AB671" s="2">
        <v>-74.117483333333297</v>
      </c>
      <c r="AC671" s="2">
        <v>2590</v>
      </c>
      <c r="AD671" s="2">
        <v>10</v>
      </c>
      <c r="AE671" s="2" t="s">
        <v>59</v>
      </c>
      <c r="AF671" s="2" t="s">
        <v>70</v>
      </c>
      <c r="AG671" s="2" t="s">
        <v>61</v>
      </c>
      <c r="AH671" s="2" t="s">
        <v>62</v>
      </c>
      <c r="AI671" s="2" t="s">
        <v>267</v>
      </c>
      <c r="AJ671" s="2">
        <v>0.70573106363599802</v>
      </c>
      <c r="AK671" s="2">
        <v>5.1364967079326798</v>
      </c>
      <c r="AL671" s="2">
        <v>2.55170292907937</v>
      </c>
      <c r="AM671" s="2">
        <v>0.35621134260336301</v>
      </c>
      <c r="AN671" s="2">
        <v>0.89861101942435895</v>
      </c>
      <c r="AO671" s="2">
        <v>0.44431420857394799</v>
      </c>
      <c r="AP671" s="2">
        <v>0.44431420857394799</v>
      </c>
      <c r="AQ671" s="2">
        <v>0</v>
      </c>
      <c r="AR671" s="2">
        <v>3</v>
      </c>
      <c r="AS671" s="2">
        <v>0</v>
      </c>
      <c r="AT671" s="2">
        <v>0</v>
      </c>
      <c r="AU671" s="2">
        <v>0</v>
      </c>
      <c r="AV671" s="2">
        <v>14</v>
      </c>
      <c r="AW671" s="2">
        <v>1</v>
      </c>
      <c r="AX671" s="2">
        <v>0</v>
      </c>
      <c r="AY671" s="2">
        <v>16.600000000000001</v>
      </c>
      <c r="AZ671" s="2">
        <v>101.7</v>
      </c>
      <c r="BA671" s="2">
        <v>19.899999999999999</v>
      </c>
      <c r="BB671" s="2">
        <v>564</v>
      </c>
      <c r="BC671" s="2">
        <v>71</v>
      </c>
      <c r="BD671" s="2">
        <v>1.7</v>
      </c>
      <c r="BE671" s="2">
        <v>185</v>
      </c>
      <c r="BF671" s="2">
        <v>0.8</v>
      </c>
      <c r="BG671" s="2">
        <v>162</v>
      </c>
      <c r="BH671" s="2">
        <v>19.5</v>
      </c>
      <c r="BI671" s="2">
        <v>15.6</v>
      </c>
      <c r="BJ671" s="2">
        <v>35</v>
      </c>
      <c r="BK671" s="2">
        <v>0.68</v>
      </c>
      <c r="BL671" s="2">
        <v>5.4</v>
      </c>
      <c r="BM671" s="2">
        <v>0.9</v>
      </c>
      <c r="BN671" s="2">
        <v>4.5999999999999996</v>
      </c>
      <c r="BO671" s="2">
        <v>2.1</v>
      </c>
      <c r="BP671" s="2">
        <f t="shared" si="20"/>
        <v>94.842285186165228</v>
      </c>
      <c r="BQ671" s="2">
        <f t="shared" si="21"/>
        <v>19.237692680884678</v>
      </c>
    </row>
    <row r="672" spans="1:69" x14ac:dyDescent="0.2">
      <c r="A672" s="2" t="s">
        <v>4646</v>
      </c>
      <c r="B672" s="2" t="s">
        <v>47</v>
      </c>
      <c r="C672" s="2" t="s">
        <v>3273</v>
      </c>
      <c r="D672" s="2" t="s">
        <v>49</v>
      </c>
      <c r="E672" s="2" t="s">
        <v>147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89</v>
      </c>
      <c r="L672" s="6" t="s">
        <v>112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4647</v>
      </c>
      <c r="R672" s="2">
        <v>9333333.3330000006</v>
      </c>
      <c r="S672" s="2">
        <v>0</v>
      </c>
      <c r="T672" s="2" t="s">
        <v>67</v>
      </c>
      <c r="U672" s="2" t="s">
        <v>68</v>
      </c>
      <c r="V672" s="2" t="s">
        <v>56</v>
      </c>
      <c r="W672" s="2" t="s">
        <v>67</v>
      </c>
      <c r="X672" s="2" t="s">
        <v>69</v>
      </c>
      <c r="Y672" s="2">
        <v>2.4325139334704402</v>
      </c>
      <c r="Z672" s="2">
        <v>2432.51393347044</v>
      </c>
      <c r="AA672" s="2">
        <v>4.6317666666666701</v>
      </c>
      <c r="AB672" s="2">
        <v>-74.117483333333297</v>
      </c>
      <c r="AC672" s="2">
        <v>2590</v>
      </c>
      <c r="AD672" s="2">
        <v>10</v>
      </c>
      <c r="AE672" s="2" t="s">
        <v>59</v>
      </c>
      <c r="AF672" s="2" t="s">
        <v>70</v>
      </c>
      <c r="AG672" s="2" t="s">
        <v>61</v>
      </c>
      <c r="AH672" s="2" t="s">
        <v>62</v>
      </c>
      <c r="AI672" s="2" t="s">
        <v>63</v>
      </c>
      <c r="AJ672" s="2">
        <v>0.59641686886103595</v>
      </c>
      <c r="AK672" s="2">
        <v>3.8624241826482599</v>
      </c>
      <c r="AL672" s="2">
        <v>0.98007540635996404</v>
      </c>
      <c r="AM672" s="2">
        <v>9.6040692947989004E-2</v>
      </c>
      <c r="AN672" s="2">
        <v>1.85329593191723</v>
      </c>
      <c r="AO672" s="2">
        <v>0.48669433850770799</v>
      </c>
      <c r="AP672" s="2">
        <v>0.48669433850770799</v>
      </c>
      <c r="AQ672" s="2">
        <v>0</v>
      </c>
      <c r="AR672" s="2">
        <v>2</v>
      </c>
      <c r="AS672" s="2">
        <v>0</v>
      </c>
      <c r="AT672" s="2">
        <v>0</v>
      </c>
      <c r="AU672" s="2">
        <v>1</v>
      </c>
      <c r="AV672" s="2">
        <v>17</v>
      </c>
      <c r="AW672" s="2">
        <v>0</v>
      </c>
      <c r="AX672" s="2">
        <v>0</v>
      </c>
      <c r="AY672" s="2">
        <v>16.600000000000001</v>
      </c>
      <c r="AZ672" s="2">
        <v>101.7</v>
      </c>
      <c r="BA672" s="2">
        <v>19.899999999999999</v>
      </c>
      <c r="BB672" s="2">
        <v>564</v>
      </c>
      <c r="BC672" s="2">
        <v>71</v>
      </c>
      <c r="BD672" s="2">
        <v>1.7</v>
      </c>
      <c r="BE672" s="2">
        <v>185</v>
      </c>
      <c r="BF672" s="2">
        <v>0.8</v>
      </c>
      <c r="BG672" s="2">
        <v>162</v>
      </c>
      <c r="BH672" s="2">
        <v>19.5</v>
      </c>
      <c r="BI672" s="2">
        <v>15.6</v>
      </c>
      <c r="BJ672" s="2">
        <v>35</v>
      </c>
      <c r="BK672" s="2">
        <v>0.68</v>
      </c>
      <c r="BL672" s="2">
        <v>5.4</v>
      </c>
      <c r="BM672" s="2">
        <v>0.9</v>
      </c>
      <c r="BN672" s="2">
        <v>4.5999999999999996</v>
      </c>
      <c r="BO672" s="2">
        <v>2.1</v>
      </c>
      <c r="BP672" s="2">
        <f t="shared" si="20"/>
        <v>90.162884590581186</v>
      </c>
      <c r="BQ672" s="2">
        <f t="shared" si="21"/>
        <v>18.771493151485295</v>
      </c>
    </row>
    <row r="673" spans="1:69" x14ac:dyDescent="0.2">
      <c r="A673" s="2" t="s">
        <v>452</v>
      </c>
      <c r="B673" s="2" t="s">
        <v>47</v>
      </c>
      <c r="C673" s="2" t="s">
        <v>48</v>
      </c>
      <c r="D673" s="2" t="s">
        <v>49</v>
      </c>
      <c r="E673" s="2" t="s">
        <v>275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51</v>
      </c>
      <c r="L673" s="6" t="s">
        <v>52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453</v>
      </c>
      <c r="R673" s="2">
        <v>9561784.4419999998</v>
      </c>
      <c r="S673" s="2">
        <v>0</v>
      </c>
      <c r="T673" s="2" t="s">
        <v>67</v>
      </c>
      <c r="U673" s="2" t="s">
        <v>68</v>
      </c>
      <c r="V673" s="2" t="s">
        <v>56</v>
      </c>
      <c r="W673" s="2" t="s">
        <v>67</v>
      </c>
      <c r="X673" s="2" t="s">
        <v>69</v>
      </c>
      <c r="Y673" s="2">
        <v>1.7443151642725301</v>
      </c>
      <c r="Z673" s="2">
        <v>1744.31516427253</v>
      </c>
      <c r="AA673" s="2">
        <v>4.6317666666666701</v>
      </c>
      <c r="AB673" s="2">
        <v>-74.117483333333297</v>
      </c>
      <c r="AC673" s="2">
        <v>2590</v>
      </c>
      <c r="AD673" s="2">
        <v>10</v>
      </c>
      <c r="AE673" s="2" t="s">
        <v>59</v>
      </c>
      <c r="AF673" s="2" t="s">
        <v>70</v>
      </c>
      <c r="AG673" s="2" t="s">
        <v>61</v>
      </c>
      <c r="AH673" s="2" t="s">
        <v>62</v>
      </c>
      <c r="AI673" s="2" t="s">
        <v>71</v>
      </c>
      <c r="AJ673" s="2">
        <v>1.84488475579095</v>
      </c>
      <c r="AK673" s="2">
        <v>3.9776146963822301</v>
      </c>
      <c r="AL673" s="2">
        <v>0.57825767745824197</v>
      </c>
      <c r="AM673" s="2">
        <v>0.20112158476043501</v>
      </c>
      <c r="AN673" s="2">
        <v>1.31220652562471</v>
      </c>
      <c r="AO673" s="2">
        <v>3.8607558916069502E-3</v>
      </c>
      <c r="AP673" s="2">
        <v>3.8607558916069502E-3</v>
      </c>
      <c r="AQ673" s="2">
        <v>0</v>
      </c>
      <c r="AR673" s="2">
        <v>0</v>
      </c>
      <c r="AS673" s="2">
        <v>0</v>
      </c>
      <c r="AT673" s="2">
        <v>0</v>
      </c>
      <c r="AU673" s="2">
        <v>1</v>
      </c>
      <c r="AV673" s="2">
        <v>14</v>
      </c>
      <c r="AW673" s="2">
        <v>0</v>
      </c>
      <c r="AX673" s="2">
        <v>0</v>
      </c>
      <c r="AY673" s="2">
        <v>16.600000000000001</v>
      </c>
      <c r="AZ673" s="2">
        <v>101.7</v>
      </c>
      <c r="BA673" s="2">
        <v>19.899999999999999</v>
      </c>
      <c r="BB673" s="2">
        <v>564</v>
      </c>
      <c r="BC673" s="2">
        <v>71</v>
      </c>
      <c r="BD673" s="2">
        <v>1.7</v>
      </c>
      <c r="BE673" s="2">
        <v>185</v>
      </c>
      <c r="BF673" s="2">
        <v>0.8</v>
      </c>
      <c r="BG673" s="2">
        <v>162</v>
      </c>
      <c r="BH673" s="2">
        <v>19.5</v>
      </c>
      <c r="BI673" s="2">
        <v>15.6</v>
      </c>
      <c r="BJ673" s="2">
        <v>35</v>
      </c>
      <c r="BK673" s="2">
        <v>0.68</v>
      </c>
      <c r="BL673" s="2">
        <v>5.4</v>
      </c>
      <c r="BM673" s="2">
        <v>0.9</v>
      </c>
      <c r="BN673" s="2">
        <v>4.5999999999999996</v>
      </c>
      <c r="BO673" s="2">
        <v>2.1</v>
      </c>
      <c r="BP673" s="2">
        <f t="shared" si="20"/>
        <v>93.287274241306449</v>
      </c>
      <c r="BQ673" s="2">
        <f t="shared" si="21"/>
        <v>19.084112216808048</v>
      </c>
    </row>
    <row r="674" spans="1:69" x14ac:dyDescent="0.2">
      <c r="A674" s="2" t="s">
        <v>1177</v>
      </c>
      <c r="B674" s="2" t="s">
        <v>47</v>
      </c>
      <c r="C674" s="2" t="s">
        <v>48</v>
      </c>
      <c r="D674" s="2" t="s">
        <v>49</v>
      </c>
      <c r="E674" s="2" t="s">
        <v>1088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89</v>
      </c>
      <c r="L674" s="6" t="s">
        <v>90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1178</v>
      </c>
      <c r="R674" s="2">
        <v>5821917.8080000002</v>
      </c>
      <c r="S674" s="2">
        <v>0</v>
      </c>
      <c r="T674" s="2" t="s">
        <v>67</v>
      </c>
      <c r="U674" s="2" t="s">
        <v>68</v>
      </c>
      <c r="V674" s="2" t="s">
        <v>56</v>
      </c>
      <c r="W674" s="2" t="s">
        <v>67</v>
      </c>
      <c r="X674" s="2" t="s">
        <v>69</v>
      </c>
      <c r="Y674" s="2">
        <v>0.26984111900369601</v>
      </c>
      <c r="Z674" s="2">
        <v>269.84111900369601</v>
      </c>
      <c r="AA674" s="2">
        <v>4.6317666666666701</v>
      </c>
      <c r="AB674" s="2">
        <v>-74.117483333333297</v>
      </c>
      <c r="AC674" s="2">
        <v>2590</v>
      </c>
      <c r="AD674" s="2">
        <v>10</v>
      </c>
      <c r="AE674" s="2" t="s">
        <v>59</v>
      </c>
      <c r="AF674" s="2" t="s">
        <v>70</v>
      </c>
      <c r="AG674" s="2" t="s">
        <v>61</v>
      </c>
      <c r="AH674" s="2" t="s">
        <v>62</v>
      </c>
      <c r="AI674" s="2" t="s">
        <v>267</v>
      </c>
      <c r="AJ674" s="2">
        <v>0.25215761656691099</v>
      </c>
      <c r="AK674" s="2">
        <v>5.3363056658121897</v>
      </c>
      <c r="AL674" s="2">
        <v>1.1875996198465899</v>
      </c>
      <c r="AM674" s="2">
        <v>1.6477288322511399E-2</v>
      </c>
      <c r="AN674" s="2">
        <v>2.3387778660861001</v>
      </c>
      <c r="AO674" s="2">
        <v>0.127659249970766</v>
      </c>
      <c r="AP674" s="2">
        <v>0.127659249970766</v>
      </c>
      <c r="AQ674" s="2">
        <v>1</v>
      </c>
      <c r="AR674" s="2">
        <v>2</v>
      </c>
      <c r="AS674" s="2">
        <v>0</v>
      </c>
      <c r="AT674" s="2">
        <v>0</v>
      </c>
      <c r="AU674" s="2">
        <v>0</v>
      </c>
      <c r="AV674" s="2">
        <v>47</v>
      </c>
      <c r="AW674" s="2">
        <v>0</v>
      </c>
      <c r="AX674" s="2">
        <v>0</v>
      </c>
      <c r="AY674" s="2">
        <v>16.600000000000001</v>
      </c>
      <c r="AZ674" s="2">
        <v>101.7</v>
      </c>
      <c r="BA674" s="2">
        <v>19.899999999999999</v>
      </c>
      <c r="BB674" s="2">
        <v>564</v>
      </c>
      <c r="BC674" s="2">
        <v>71</v>
      </c>
      <c r="BD674" s="2">
        <v>1.7</v>
      </c>
      <c r="BE674" s="2">
        <v>185</v>
      </c>
      <c r="BF674" s="2">
        <v>0.8</v>
      </c>
      <c r="BG674" s="2">
        <v>162</v>
      </c>
      <c r="BH674" s="2">
        <v>19.5</v>
      </c>
      <c r="BI674" s="2">
        <v>15.6</v>
      </c>
      <c r="BJ674" s="2">
        <v>35</v>
      </c>
      <c r="BK674" s="2">
        <v>0.68</v>
      </c>
      <c r="BL674" s="2">
        <v>5.4</v>
      </c>
      <c r="BM674" s="2">
        <v>0.9</v>
      </c>
      <c r="BN674" s="2">
        <v>4.5999999999999996</v>
      </c>
      <c r="BO674" s="2">
        <v>2.1</v>
      </c>
      <c r="BP674" s="2">
        <f t="shared" si="20"/>
        <v>100.35061137635832</v>
      </c>
      <c r="BQ674" s="2">
        <f t="shared" si="21"/>
        <v>19.771540295067165</v>
      </c>
    </row>
    <row r="675" spans="1:69" x14ac:dyDescent="0.2">
      <c r="A675" s="2" t="s">
        <v>1669</v>
      </c>
      <c r="B675" s="2" t="s">
        <v>47</v>
      </c>
      <c r="C675" s="2" t="s">
        <v>48</v>
      </c>
      <c r="D675" s="2" t="s">
        <v>49</v>
      </c>
      <c r="E675" s="2" t="s">
        <v>1034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89</v>
      </c>
      <c r="L675" s="6" t="s">
        <v>90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1670</v>
      </c>
      <c r="R675" s="2">
        <v>7139567.0199999996</v>
      </c>
      <c r="S675" s="2">
        <v>0</v>
      </c>
      <c r="T675" s="2" t="s">
        <v>483</v>
      </c>
      <c r="U675" s="2" t="s">
        <v>484</v>
      </c>
      <c r="V675" s="2" t="s">
        <v>56</v>
      </c>
      <c r="W675" s="2" t="s">
        <v>67</v>
      </c>
      <c r="X675" s="2" t="s">
        <v>485</v>
      </c>
      <c r="Y675" s="2">
        <v>1.6569239190673299</v>
      </c>
      <c r="Z675" s="2">
        <v>1656.92391906733</v>
      </c>
      <c r="AA675" s="2">
        <v>4.6085000000000003</v>
      </c>
      <c r="AB675" s="2">
        <v>-74.114944444444404</v>
      </c>
      <c r="AC675" s="2">
        <v>2559</v>
      </c>
      <c r="AD675" s="2">
        <v>0</v>
      </c>
      <c r="AE675" s="2" t="s">
        <v>59</v>
      </c>
      <c r="AF675" s="2" t="s">
        <v>486</v>
      </c>
      <c r="AG675" s="2" t="s">
        <v>61</v>
      </c>
      <c r="AH675" s="2" t="s">
        <v>62</v>
      </c>
      <c r="AI675" s="2" t="s">
        <v>966</v>
      </c>
      <c r="AJ675" s="2">
        <v>0.34575121529525199</v>
      </c>
      <c r="AK675" s="2">
        <v>4.5439762649475997</v>
      </c>
      <c r="AL675" s="2">
        <v>1.8174060788754001</v>
      </c>
      <c r="AM675" s="2">
        <v>9.0234538885487103E-2</v>
      </c>
      <c r="AN675" s="2">
        <v>0.979079817634389</v>
      </c>
      <c r="AO675" s="2">
        <v>0.20957301889443899</v>
      </c>
      <c r="AP675" s="2">
        <v>0.20957301889443899</v>
      </c>
      <c r="AQ675" s="2">
        <v>1</v>
      </c>
      <c r="AR675" s="2">
        <v>2</v>
      </c>
      <c r="AS675" s="2">
        <v>0</v>
      </c>
      <c r="AT675" s="2">
        <v>0</v>
      </c>
      <c r="AU675" s="2">
        <v>0</v>
      </c>
      <c r="AV675" s="2">
        <v>17</v>
      </c>
      <c r="AW675" s="2">
        <v>1</v>
      </c>
      <c r="AX675" s="2">
        <v>0</v>
      </c>
      <c r="AY675" s="2">
        <v>16.600000000000001</v>
      </c>
      <c r="AZ675" s="2">
        <v>101.7</v>
      </c>
      <c r="BA675" s="2">
        <v>19.899999999999999</v>
      </c>
      <c r="BB675" s="2">
        <v>564</v>
      </c>
      <c r="BC675" s="2">
        <v>71</v>
      </c>
      <c r="BD675" s="2">
        <v>1.7</v>
      </c>
      <c r="BE675" s="2">
        <v>185</v>
      </c>
      <c r="BF675" s="2">
        <v>0.8</v>
      </c>
      <c r="BG675" s="2">
        <v>162</v>
      </c>
      <c r="BH675" s="2">
        <v>19.5</v>
      </c>
      <c r="BI675" s="2">
        <v>15.6</v>
      </c>
      <c r="BJ675" s="2">
        <v>35</v>
      </c>
      <c r="BK675" s="2">
        <v>0.68</v>
      </c>
      <c r="BL675" s="2">
        <v>5.4</v>
      </c>
      <c r="BM675" s="2">
        <v>0.9</v>
      </c>
      <c r="BN675" s="2">
        <v>4.5999999999999996</v>
      </c>
      <c r="BO675" s="2">
        <v>2.1</v>
      </c>
      <c r="BP675" s="2">
        <f t="shared" si="20"/>
        <v>93.691696656715109</v>
      </c>
      <c r="BQ675" s="2">
        <f t="shared" si="21"/>
        <v>19.124181046024187</v>
      </c>
    </row>
    <row r="676" spans="1:69" x14ac:dyDescent="0.2">
      <c r="A676" s="2" t="s">
        <v>692</v>
      </c>
      <c r="B676" s="2" t="s">
        <v>47</v>
      </c>
      <c r="C676" s="2" t="s">
        <v>48</v>
      </c>
      <c r="D676" s="2" t="s">
        <v>49</v>
      </c>
      <c r="E676" s="2" t="s">
        <v>275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89</v>
      </c>
      <c r="L676" s="6" t="s">
        <v>90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693</v>
      </c>
      <c r="R676" s="2">
        <v>7790697.6739999996</v>
      </c>
      <c r="S676" s="2">
        <v>0</v>
      </c>
      <c r="T676" s="2" t="s">
        <v>67</v>
      </c>
      <c r="U676" s="2" t="s">
        <v>68</v>
      </c>
      <c r="V676" s="2" t="s">
        <v>56</v>
      </c>
      <c r="W676" s="2" t="s">
        <v>67</v>
      </c>
      <c r="X676" s="2" t="s">
        <v>69</v>
      </c>
      <c r="Y676" s="2">
        <v>1.88983745235687</v>
      </c>
      <c r="Z676" s="2">
        <v>1889.83745235687</v>
      </c>
      <c r="AA676" s="2">
        <v>4.6317666666666701</v>
      </c>
      <c r="AB676" s="2">
        <v>-74.117483333333297</v>
      </c>
      <c r="AC676" s="2">
        <v>2590</v>
      </c>
      <c r="AD676" s="2">
        <v>10</v>
      </c>
      <c r="AE676" s="2" t="s">
        <v>59</v>
      </c>
      <c r="AF676" s="2" t="s">
        <v>70</v>
      </c>
      <c r="AG676" s="2" t="s">
        <v>61</v>
      </c>
      <c r="AH676" s="2" t="s">
        <v>62</v>
      </c>
      <c r="AI676" s="2" t="s">
        <v>71</v>
      </c>
      <c r="AJ676" s="2">
        <v>1.5526984292050701</v>
      </c>
      <c r="AK676" s="2">
        <v>4.7068324225197404</v>
      </c>
      <c r="AL676" s="2">
        <v>1.06165248879336</v>
      </c>
      <c r="AM676" s="2">
        <v>0.52870516141198398</v>
      </c>
      <c r="AN676" s="2">
        <v>0.37390603246318399</v>
      </c>
      <c r="AO676" s="2">
        <v>0.26314763129002</v>
      </c>
      <c r="AP676" s="2">
        <v>0.26314763129002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21</v>
      </c>
      <c r="AW676" s="2">
        <v>1</v>
      </c>
      <c r="AX676" s="2">
        <v>0</v>
      </c>
      <c r="AY676" s="2">
        <v>16.600000000000001</v>
      </c>
      <c r="AZ676" s="2">
        <v>101.7</v>
      </c>
      <c r="BA676" s="2">
        <v>19.899999999999999</v>
      </c>
      <c r="BB676" s="2">
        <v>564</v>
      </c>
      <c r="BC676" s="2">
        <v>71</v>
      </c>
      <c r="BD676" s="2">
        <v>1.7</v>
      </c>
      <c r="BE676" s="2">
        <v>185</v>
      </c>
      <c r="BF676" s="2">
        <v>0.8</v>
      </c>
      <c r="BG676" s="2">
        <v>162</v>
      </c>
      <c r="BH676" s="2">
        <v>19.5</v>
      </c>
      <c r="BI676" s="2">
        <v>15.6</v>
      </c>
      <c r="BJ676" s="2">
        <v>35</v>
      </c>
      <c r="BK676" s="2">
        <v>0.68</v>
      </c>
      <c r="BL676" s="2">
        <v>5.4</v>
      </c>
      <c r="BM676" s="2">
        <v>0.9</v>
      </c>
      <c r="BN676" s="2">
        <v>4.5999999999999996</v>
      </c>
      <c r="BO676" s="2">
        <v>2.1</v>
      </c>
      <c r="BP676" s="2">
        <f t="shared" si="20"/>
        <v>92.617707508342605</v>
      </c>
      <c r="BQ676" s="2">
        <f t="shared" si="21"/>
        <v>19.017576545297963</v>
      </c>
    </row>
    <row r="677" spans="1:69" x14ac:dyDescent="0.2">
      <c r="A677" s="2" t="s">
        <v>1959</v>
      </c>
      <c r="B677" s="2" t="s">
        <v>47</v>
      </c>
      <c r="C677" s="2" t="s">
        <v>1935</v>
      </c>
      <c r="D677" s="2" t="s">
        <v>49</v>
      </c>
      <c r="E677" s="2" t="s">
        <v>1960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89</v>
      </c>
      <c r="L677" s="6" t="s">
        <v>103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1961</v>
      </c>
      <c r="R677" s="2">
        <v>8237232.29</v>
      </c>
      <c r="S677" s="2">
        <v>0</v>
      </c>
      <c r="T677" s="2" t="s">
        <v>67</v>
      </c>
      <c r="U677" s="2" t="s">
        <v>68</v>
      </c>
      <c r="V677" s="2" t="s">
        <v>56</v>
      </c>
      <c r="W677" s="2" t="s">
        <v>67</v>
      </c>
      <c r="X677" s="2" t="s">
        <v>69</v>
      </c>
      <c r="Y677" s="2">
        <v>1.47892165113067</v>
      </c>
      <c r="Z677" s="2">
        <v>1478.9216511306699</v>
      </c>
      <c r="AA677" s="2">
        <v>4.6317666666666701</v>
      </c>
      <c r="AB677" s="2">
        <v>-74.117483333333297</v>
      </c>
      <c r="AC677" s="2">
        <v>2590</v>
      </c>
      <c r="AD677" s="2">
        <v>10</v>
      </c>
      <c r="AE677" s="2" t="s">
        <v>59</v>
      </c>
      <c r="AF677" s="2" t="s">
        <v>70</v>
      </c>
      <c r="AG677" s="2" t="s">
        <v>61</v>
      </c>
      <c r="AH677" s="2" t="s">
        <v>62</v>
      </c>
      <c r="AI677" s="2" t="s">
        <v>200</v>
      </c>
      <c r="AJ677" s="2">
        <v>1.2143958722755399</v>
      </c>
      <c r="AK677" s="2">
        <v>3.9857819309959899</v>
      </c>
      <c r="AL677" s="2">
        <v>0.57253571717271001</v>
      </c>
      <c r="AM677" s="2">
        <v>0.57309584923849</v>
      </c>
      <c r="AN677" s="2">
        <v>1.87730441507968</v>
      </c>
      <c r="AO677" s="2">
        <v>5.5692549904330202E-2</v>
      </c>
      <c r="AP677" s="2">
        <v>5.5692549904330202E-2</v>
      </c>
      <c r="AQ677" s="2">
        <v>0</v>
      </c>
      <c r="AR677" s="2">
        <v>0</v>
      </c>
      <c r="AS677" s="2">
        <v>0</v>
      </c>
      <c r="AT677" s="2">
        <v>0</v>
      </c>
      <c r="AU677" s="2">
        <v>1</v>
      </c>
      <c r="AV677" s="2">
        <v>8</v>
      </c>
      <c r="AW677" s="2">
        <v>0</v>
      </c>
      <c r="AX677" s="2">
        <v>0</v>
      </c>
      <c r="AY677" s="2">
        <v>16.600000000000001</v>
      </c>
      <c r="AZ677" s="2">
        <v>101.7</v>
      </c>
      <c r="BA677" s="2">
        <v>19.899999999999999</v>
      </c>
      <c r="BB677" s="2">
        <v>564</v>
      </c>
      <c r="BC677" s="2">
        <v>71</v>
      </c>
      <c r="BD677" s="2">
        <v>1.7</v>
      </c>
      <c r="BE677" s="2">
        <v>185</v>
      </c>
      <c r="BF677" s="2">
        <v>0.8</v>
      </c>
      <c r="BG677" s="2">
        <v>162</v>
      </c>
      <c r="BH677" s="2">
        <v>19.5</v>
      </c>
      <c r="BI677" s="2">
        <v>15.6</v>
      </c>
      <c r="BJ677" s="2">
        <v>35</v>
      </c>
      <c r="BK677" s="2">
        <v>0.68</v>
      </c>
      <c r="BL677" s="2">
        <v>5.4</v>
      </c>
      <c r="BM677" s="2">
        <v>0.9</v>
      </c>
      <c r="BN677" s="2">
        <v>4.5999999999999996</v>
      </c>
      <c r="BO677" s="2">
        <v>2.1</v>
      </c>
      <c r="BP677" s="2">
        <f t="shared" si="20"/>
        <v>94.520872329562749</v>
      </c>
      <c r="BQ677" s="2">
        <f t="shared" si="21"/>
        <v>19.206055349611649</v>
      </c>
    </row>
    <row r="678" spans="1:69" x14ac:dyDescent="0.2">
      <c r="A678" s="2" t="s">
        <v>1172</v>
      </c>
      <c r="B678" s="2" t="s">
        <v>47</v>
      </c>
      <c r="C678" s="2" t="s">
        <v>48</v>
      </c>
      <c r="D678" s="2" t="s">
        <v>49</v>
      </c>
      <c r="E678" s="2" t="s">
        <v>1088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89</v>
      </c>
      <c r="L678" s="6" t="s">
        <v>90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1173</v>
      </c>
      <c r="R678" s="2">
        <v>5797444.392</v>
      </c>
      <c r="S678" s="2">
        <v>0</v>
      </c>
      <c r="T678" s="2" t="s">
        <v>67</v>
      </c>
      <c r="U678" s="2" t="s">
        <v>68</v>
      </c>
      <c r="V678" s="2" t="s">
        <v>56</v>
      </c>
      <c r="W678" s="2" t="s">
        <v>67</v>
      </c>
      <c r="X678" s="2" t="s">
        <v>69</v>
      </c>
      <c r="Y678" s="2">
        <v>0.26984111900369601</v>
      </c>
      <c r="Z678" s="2">
        <v>269.84111900369601</v>
      </c>
      <c r="AA678" s="2">
        <v>4.6317666666666701</v>
      </c>
      <c r="AB678" s="2">
        <v>-74.117483333333297</v>
      </c>
      <c r="AC678" s="2">
        <v>2590</v>
      </c>
      <c r="AD678" s="2">
        <v>10</v>
      </c>
      <c r="AE678" s="2" t="s">
        <v>59</v>
      </c>
      <c r="AF678" s="2" t="s">
        <v>70</v>
      </c>
      <c r="AG678" s="2" t="s">
        <v>61</v>
      </c>
      <c r="AH678" s="2" t="s">
        <v>62</v>
      </c>
      <c r="AI678" s="2" t="s">
        <v>267</v>
      </c>
      <c r="AJ678" s="2">
        <v>0.25215761656691099</v>
      </c>
      <c r="AK678" s="2">
        <v>5.3363056658121897</v>
      </c>
      <c r="AL678" s="2">
        <v>1.1875996198465899</v>
      </c>
      <c r="AM678" s="2">
        <v>1.6477288322511399E-2</v>
      </c>
      <c r="AN678" s="2">
        <v>2.3387778660861001</v>
      </c>
      <c r="AO678" s="2">
        <v>0.127659249970766</v>
      </c>
      <c r="AP678" s="2">
        <v>0.127659249970766</v>
      </c>
      <c r="AQ678" s="2">
        <v>1</v>
      </c>
      <c r="AR678" s="2">
        <v>2</v>
      </c>
      <c r="AS678" s="2">
        <v>0</v>
      </c>
      <c r="AT678" s="2">
        <v>0</v>
      </c>
      <c r="AU678" s="2">
        <v>0</v>
      </c>
      <c r="AV678" s="2">
        <v>47</v>
      </c>
      <c r="AW678" s="2">
        <v>0</v>
      </c>
      <c r="AX678" s="2">
        <v>0</v>
      </c>
      <c r="AY678" s="2">
        <v>16.600000000000001</v>
      </c>
      <c r="AZ678" s="2">
        <v>101.7</v>
      </c>
      <c r="BA678" s="2">
        <v>19.899999999999999</v>
      </c>
      <c r="BB678" s="2">
        <v>564</v>
      </c>
      <c r="BC678" s="2">
        <v>71</v>
      </c>
      <c r="BD678" s="2">
        <v>1.7</v>
      </c>
      <c r="BE678" s="2">
        <v>185</v>
      </c>
      <c r="BF678" s="2">
        <v>0.8</v>
      </c>
      <c r="BG678" s="2">
        <v>162</v>
      </c>
      <c r="BH678" s="2">
        <v>19.5</v>
      </c>
      <c r="BI678" s="2">
        <v>15.6</v>
      </c>
      <c r="BJ678" s="2">
        <v>35</v>
      </c>
      <c r="BK678" s="2">
        <v>0.68</v>
      </c>
      <c r="BL678" s="2">
        <v>5.4</v>
      </c>
      <c r="BM678" s="2">
        <v>0.9</v>
      </c>
      <c r="BN678" s="2">
        <v>4.5999999999999996</v>
      </c>
      <c r="BO678" s="2">
        <v>2.1</v>
      </c>
      <c r="BP678" s="2">
        <f t="shared" si="20"/>
        <v>100.35061137635832</v>
      </c>
      <c r="BQ678" s="2">
        <f t="shared" si="21"/>
        <v>19.771540295067165</v>
      </c>
    </row>
    <row r="679" spans="1:69" x14ac:dyDescent="0.2">
      <c r="A679" s="2" t="s">
        <v>3504</v>
      </c>
      <c r="B679" s="2" t="s">
        <v>47</v>
      </c>
      <c r="C679" s="2" t="s">
        <v>3273</v>
      </c>
      <c r="D679" s="2" t="s">
        <v>49</v>
      </c>
      <c r="E679" s="2" t="s">
        <v>3505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89</v>
      </c>
      <c r="L679" s="6" t="s">
        <v>90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3506</v>
      </c>
      <c r="R679" s="2">
        <v>7958536.585</v>
      </c>
      <c r="S679" s="2">
        <v>0</v>
      </c>
      <c r="T679" s="2" t="s">
        <v>67</v>
      </c>
      <c r="U679" s="2" t="s">
        <v>68</v>
      </c>
      <c r="V679" s="2" t="s">
        <v>56</v>
      </c>
      <c r="W679" s="2" t="s">
        <v>67</v>
      </c>
      <c r="X679" s="2" t="s">
        <v>69</v>
      </c>
      <c r="Y679" s="2">
        <v>1.71877334289316</v>
      </c>
      <c r="Z679" s="2">
        <v>1718.7733428931599</v>
      </c>
      <c r="AA679" s="2">
        <v>4.6317666666666701</v>
      </c>
      <c r="AB679" s="2">
        <v>-74.117483333333297</v>
      </c>
      <c r="AC679" s="2">
        <v>2590</v>
      </c>
      <c r="AD679" s="2">
        <v>10</v>
      </c>
      <c r="AE679" s="2" t="s">
        <v>59</v>
      </c>
      <c r="AF679" s="2" t="s">
        <v>70</v>
      </c>
      <c r="AG679" s="2" t="s">
        <v>61</v>
      </c>
      <c r="AH679" s="2" t="s">
        <v>62</v>
      </c>
      <c r="AI679" s="2" t="s">
        <v>71</v>
      </c>
      <c r="AJ679" s="2">
        <v>1.7695529067048399</v>
      </c>
      <c r="AK679" s="2">
        <v>4.6180188959193504</v>
      </c>
      <c r="AL679" s="2">
        <v>0.83997835854626401</v>
      </c>
      <c r="AM679" s="2">
        <v>0.34819435820965</v>
      </c>
      <c r="AN679" s="2">
        <v>0.59579786283151304</v>
      </c>
      <c r="AO679" s="2">
        <v>0.26325357673023397</v>
      </c>
      <c r="AP679" s="2">
        <v>0.26325357673023397</v>
      </c>
      <c r="AQ679" s="2">
        <v>0</v>
      </c>
      <c r="AR679" s="2">
        <v>0</v>
      </c>
      <c r="AS679" s="2">
        <v>0</v>
      </c>
      <c r="AT679" s="2">
        <v>0</v>
      </c>
      <c r="AU679" s="2">
        <v>1</v>
      </c>
      <c r="AV679" s="2">
        <v>16</v>
      </c>
      <c r="AW679" s="2">
        <v>1</v>
      </c>
      <c r="AX679" s="2">
        <v>0</v>
      </c>
      <c r="AY679" s="2">
        <v>16.600000000000001</v>
      </c>
      <c r="AZ679" s="2">
        <v>101.7</v>
      </c>
      <c r="BA679" s="2">
        <v>19.899999999999999</v>
      </c>
      <c r="BB679" s="2">
        <v>564</v>
      </c>
      <c r="BC679" s="2">
        <v>71</v>
      </c>
      <c r="BD679" s="2">
        <v>1.7</v>
      </c>
      <c r="BE679" s="2">
        <v>185</v>
      </c>
      <c r="BF679" s="2">
        <v>0.8</v>
      </c>
      <c r="BG679" s="2">
        <v>162</v>
      </c>
      <c r="BH679" s="2">
        <v>19.5</v>
      </c>
      <c r="BI679" s="2">
        <v>15.6</v>
      </c>
      <c r="BJ679" s="2">
        <v>35</v>
      </c>
      <c r="BK679" s="2">
        <v>0.68</v>
      </c>
      <c r="BL679" s="2">
        <v>5.4</v>
      </c>
      <c r="BM679" s="2">
        <v>0.9</v>
      </c>
      <c r="BN679" s="2">
        <v>4.5999999999999996</v>
      </c>
      <c r="BO679" s="2">
        <v>2.1</v>
      </c>
      <c r="BP679" s="2">
        <f t="shared" si="20"/>
        <v>93.405293814181917</v>
      </c>
      <c r="BQ679" s="2">
        <f t="shared" si="21"/>
        <v>19.095814434843366</v>
      </c>
    </row>
    <row r="680" spans="1:69" x14ac:dyDescent="0.2">
      <c r="A680" s="2" t="s">
        <v>3697</v>
      </c>
      <c r="B680" s="2" t="s">
        <v>47</v>
      </c>
      <c r="C680" s="2" t="s">
        <v>3273</v>
      </c>
      <c r="D680" s="2" t="s">
        <v>49</v>
      </c>
      <c r="E680" s="2" t="s">
        <v>178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89</v>
      </c>
      <c r="L680" s="6" t="s">
        <v>90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3698</v>
      </c>
      <c r="R680" s="2">
        <v>7804878.0489999996</v>
      </c>
      <c r="S680" s="2">
        <v>0</v>
      </c>
      <c r="T680" s="2" t="s">
        <v>67</v>
      </c>
      <c r="U680" s="2" t="s">
        <v>68</v>
      </c>
      <c r="V680" s="2" t="s">
        <v>56</v>
      </c>
      <c r="W680" s="2" t="s">
        <v>67</v>
      </c>
      <c r="X680" s="2" t="s">
        <v>69</v>
      </c>
      <c r="Y680" s="2">
        <v>1.8184743650841599</v>
      </c>
      <c r="Z680" s="2">
        <v>1818.4743650841599</v>
      </c>
      <c r="AA680" s="2">
        <v>4.6317666666666701</v>
      </c>
      <c r="AB680" s="2">
        <v>-74.117483333333297</v>
      </c>
      <c r="AC680" s="2">
        <v>2590</v>
      </c>
      <c r="AD680" s="2">
        <v>10</v>
      </c>
      <c r="AE680" s="2" t="s">
        <v>59</v>
      </c>
      <c r="AF680" s="2" t="s">
        <v>70</v>
      </c>
      <c r="AG680" s="2" t="s">
        <v>61</v>
      </c>
      <c r="AH680" s="2" t="s">
        <v>62</v>
      </c>
      <c r="AI680" s="2" t="s">
        <v>71</v>
      </c>
      <c r="AJ680" s="2">
        <v>1.6829165069984</v>
      </c>
      <c r="AK680" s="2">
        <v>4.6201744202477704</v>
      </c>
      <c r="AL680" s="2">
        <v>0.94159367036971497</v>
      </c>
      <c r="AM680" s="2">
        <v>0.44683003643996499</v>
      </c>
      <c r="AN680" s="2">
        <v>0.50210492570613696</v>
      </c>
      <c r="AO680" s="2">
        <v>0.22294483401401999</v>
      </c>
      <c r="AP680" s="2">
        <v>0.22294483401401999</v>
      </c>
      <c r="AQ680" s="2">
        <v>0</v>
      </c>
      <c r="AR680" s="2">
        <v>0</v>
      </c>
      <c r="AS680" s="2">
        <v>0</v>
      </c>
      <c r="AT680" s="2">
        <v>0</v>
      </c>
      <c r="AU680" s="2">
        <v>1</v>
      </c>
      <c r="AV680" s="2">
        <v>18</v>
      </c>
      <c r="AW680" s="2">
        <v>1</v>
      </c>
      <c r="AX680" s="2">
        <v>0</v>
      </c>
      <c r="AY680" s="2">
        <v>16.600000000000001</v>
      </c>
      <c r="AZ680" s="2">
        <v>101.7</v>
      </c>
      <c r="BA680" s="2">
        <v>19.899999999999999</v>
      </c>
      <c r="BB680" s="2">
        <v>564</v>
      </c>
      <c r="BC680" s="2">
        <v>71</v>
      </c>
      <c r="BD680" s="2">
        <v>1.7</v>
      </c>
      <c r="BE680" s="2">
        <v>185</v>
      </c>
      <c r="BF680" s="2">
        <v>0.8</v>
      </c>
      <c r="BG680" s="2">
        <v>162</v>
      </c>
      <c r="BH680" s="2">
        <v>19.5</v>
      </c>
      <c r="BI680" s="2">
        <v>15.6</v>
      </c>
      <c r="BJ680" s="2">
        <v>35</v>
      </c>
      <c r="BK680" s="2">
        <v>0.68</v>
      </c>
      <c r="BL680" s="2">
        <v>5.4</v>
      </c>
      <c r="BM680" s="2">
        <v>0.9</v>
      </c>
      <c r="BN680" s="2">
        <v>4.5999999999999996</v>
      </c>
      <c r="BO680" s="2">
        <v>2.1</v>
      </c>
      <c r="BP680" s="2">
        <f t="shared" si="20"/>
        <v>92.94545558253516</v>
      </c>
      <c r="BQ680" s="2">
        <f t="shared" si="21"/>
        <v>19.050176125602579</v>
      </c>
    </row>
    <row r="681" spans="1:69" x14ac:dyDescent="0.2">
      <c r="A681" s="2" t="s">
        <v>917</v>
      </c>
      <c r="B681" s="2" t="s">
        <v>47</v>
      </c>
      <c r="C681" s="2" t="s">
        <v>48</v>
      </c>
      <c r="D681" s="2" t="s">
        <v>49</v>
      </c>
      <c r="E681" s="2" t="s">
        <v>267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51</v>
      </c>
      <c r="L681" s="6" t="s">
        <v>52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918</v>
      </c>
      <c r="R681" s="2">
        <v>6972511.9680000003</v>
      </c>
      <c r="S681" s="2">
        <v>0</v>
      </c>
      <c r="T681" s="2" t="s">
        <v>67</v>
      </c>
      <c r="U681" s="2" t="s">
        <v>68</v>
      </c>
      <c r="V681" s="2" t="s">
        <v>56</v>
      </c>
      <c r="W681" s="2" t="s">
        <v>67</v>
      </c>
      <c r="X681" s="2" t="s">
        <v>69</v>
      </c>
      <c r="Y681" s="2">
        <v>1.14945645985316</v>
      </c>
      <c r="Z681" s="2">
        <v>1149.4564598531599</v>
      </c>
      <c r="AA681" s="2">
        <v>4.6317666666666701</v>
      </c>
      <c r="AB681" s="2">
        <v>-74.117483333333297</v>
      </c>
      <c r="AC681" s="2">
        <v>2590</v>
      </c>
      <c r="AD681" s="2">
        <v>10</v>
      </c>
      <c r="AE681" s="2" t="s">
        <v>59</v>
      </c>
      <c r="AF681" s="2" t="s">
        <v>70</v>
      </c>
      <c r="AG681" s="2" t="s">
        <v>61</v>
      </c>
      <c r="AH681" s="2" t="s">
        <v>62</v>
      </c>
      <c r="AI681" s="2" t="s">
        <v>267</v>
      </c>
      <c r="AJ681" s="2">
        <v>0.36374906044271299</v>
      </c>
      <c r="AK681" s="2">
        <v>5.1584968977881198</v>
      </c>
      <c r="AL681" s="2">
        <v>2.2459465802415601</v>
      </c>
      <c r="AM681" s="2">
        <v>8.5962718635282306E-2</v>
      </c>
      <c r="AN681" s="2">
        <v>1.1423473969882101</v>
      </c>
      <c r="AO681" s="2">
        <v>0.46258128850125502</v>
      </c>
      <c r="AP681" s="2">
        <v>0.46258128850125502</v>
      </c>
      <c r="AQ681" s="2">
        <v>2</v>
      </c>
      <c r="AR681" s="2">
        <v>3</v>
      </c>
      <c r="AS681" s="2">
        <v>0</v>
      </c>
      <c r="AT681" s="2">
        <v>0</v>
      </c>
      <c r="AU681" s="2">
        <v>0</v>
      </c>
      <c r="AV681" s="2">
        <v>19</v>
      </c>
      <c r="AW681" s="2">
        <v>0</v>
      </c>
      <c r="AX681" s="2">
        <v>0</v>
      </c>
      <c r="AY681" s="2">
        <v>16.600000000000001</v>
      </c>
      <c r="AZ681" s="2">
        <v>101.7</v>
      </c>
      <c r="BA681" s="2">
        <v>19.899999999999999</v>
      </c>
      <c r="BB681" s="2">
        <v>564</v>
      </c>
      <c r="BC681" s="2">
        <v>71</v>
      </c>
      <c r="BD681" s="2">
        <v>1.7</v>
      </c>
      <c r="BE681" s="2">
        <v>185</v>
      </c>
      <c r="BF681" s="2">
        <v>0.8</v>
      </c>
      <c r="BG681" s="2">
        <v>162</v>
      </c>
      <c r="BH681" s="2">
        <v>19.5</v>
      </c>
      <c r="BI681" s="2">
        <v>15.6</v>
      </c>
      <c r="BJ681" s="2">
        <v>35</v>
      </c>
      <c r="BK681" s="2">
        <v>0.68</v>
      </c>
      <c r="BL681" s="2">
        <v>5.4</v>
      </c>
      <c r="BM681" s="2">
        <v>0.9</v>
      </c>
      <c r="BN681" s="2">
        <v>4.5999999999999996</v>
      </c>
      <c r="BO681" s="2">
        <v>2.1</v>
      </c>
      <c r="BP681" s="2">
        <f t="shared" si="20"/>
        <v>96.075006902112335</v>
      </c>
      <c r="BQ681" s="2">
        <f t="shared" si="21"/>
        <v>19.358522788569793</v>
      </c>
    </row>
    <row r="682" spans="1:69" x14ac:dyDescent="0.2">
      <c r="A682" s="2" t="s">
        <v>1126</v>
      </c>
      <c r="B682" s="2" t="s">
        <v>47</v>
      </c>
      <c r="C682" s="2" t="s">
        <v>48</v>
      </c>
      <c r="D682" s="2" t="s">
        <v>49</v>
      </c>
      <c r="E682" s="2" t="s">
        <v>481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89</v>
      </c>
      <c r="L682" s="6" t="s">
        <v>90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1127</v>
      </c>
      <c r="R682" s="2">
        <v>6447368.4210000001</v>
      </c>
      <c r="S682" s="2">
        <v>0</v>
      </c>
      <c r="T682" s="2" t="s">
        <v>483</v>
      </c>
      <c r="U682" s="2" t="s">
        <v>484</v>
      </c>
      <c r="V682" s="2" t="s">
        <v>56</v>
      </c>
      <c r="W682" s="2" t="s">
        <v>67</v>
      </c>
      <c r="X682" s="2" t="s">
        <v>485</v>
      </c>
      <c r="Y682" s="2">
        <v>1.15857091618799</v>
      </c>
      <c r="Z682" s="2">
        <v>1158.57091618799</v>
      </c>
      <c r="AA682" s="2">
        <v>4.6085000000000003</v>
      </c>
      <c r="AB682" s="2">
        <v>-74.114944444444404</v>
      </c>
      <c r="AC682" s="2">
        <v>2559</v>
      </c>
      <c r="AD682" s="2">
        <v>0</v>
      </c>
      <c r="AE682" s="2" t="s">
        <v>59</v>
      </c>
      <c r="AF682" s="2" t="s">
        <v>486</v>
      </c>
      <c r="AG682" s="2" t="s">
        <v>61</v>
      </c>
      <c r="AH682" s="2" t="s">
        <v>62</v>
      </c>
      <c r="AI682" s="2" t="s">
        <v>267</v>
      </c>
      <c r="AJ682" s="2">
        <v>0.74220098852403404</v>
      </c>
      <c r="AK682" s="2">
        <v>4.3970103337315702</v>
      </c>
      <c r="AL682" s="2">
        <v>2.0003490245584898</v>
      </c>
      <c r="AM682" s="2">
        <v>0.46606840628753998</v>
      </c>
      <c r="AN682" s="2">
        <v>0.95737827285423505</v>
      </c>
      <c r="AO682" s="2">
        <v>0.57405051800932905</v>
      </c>
      <c r="AP682" s="2">
        <v>0.57405051800932905</v>
      </c>
      <c r="AQ682" s="2">
        <v>0</v>
      </c>
      <c r="AR682" s="2">
        <v>2</v>
      </c>
      <c r="AS682" s="2">
        <v>0</v>
      </c>
      <c r="AT682" s="2">
        <v>0</v>
      </c>
      <c r="AU682" s="2">
        <v>0</v>
      </c>
      <c r="AV682" s="2">
        <v>14</v>
      </c>
      <c r="AW682" s="2">
        <v>1</v>
      </c>
      <c r="AX682" s="2">
        <v>0</v>
      </c>
      <c r="AY682" s="2">
        <v>16.600000000000001</v>
      </c>
      <c r="AZ682" s="2">
        <v>101.7</v>
      </c>
      <c r="BA682" s="2">
        <v>19.899999999999999</v>
      </c>
      <c r="BB682" s="2">
        <v>564</v>
      </c>
      <c r="BC682" s="2">
        <v>71</v>
      </c>
      <c r="BD682" s="2">
        <v>1.7</v>
      </c>
      <c r="BE682" s="2">
        <v>185</v>
      </c>
      <c r="BF682" s="2">
        <v>0.8</v>
      </c>
      <c r="BG682" s="2">
        <v>162</v>
      </c>
      <c r="BH682" s="2">
        <v>19.5</v>
      </c>
      <c r="BI682" s="2">
        <v>15.6</v>
      </c>
      <c r="BJ682" s="2">
        <v>35</v>
      </c>
      <c r="BK682" s="2">
        <v>0.68</v>
      </c>
      <c r="BL682" s="2">
        <v>5.4</v>
      </c>
      <c r="BM682" s="2">
        <v>0.9</v>
      </c>
      <c r="BN682" s="2">
        <v>4.5999999999999996</v>
      </c>
      <c r="BO682" s="2">
        <v>2.1</v>
      </c>
      <c r="BP682" s="2">
        <f t="shared" si="20"/>
        <v>96.031670941658234</v>
      </c>
      <c r="BQ682" s="2">
        <f t="shared" si="21"/>
        <v>19.35428863383498</v>
      </c>
    </row>
    <row r="683" spans="1:69" x14ac:dyDescent="0.2">
      <c r="A683" s="2" t="s">
        <v>3507</v>
      </c>
      <c r="B683" s="2" t="s">
        <v>47</v>
      </c>
      <c r="C683" s="2" t="s">
        <v>3273</v>
      </c>
      <c r="D683" s="2" t="s">
        <v>49</v>
      </c>
      <c r="E683" s="2" t="s">
        <v>3508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89</v>
      </c>
      <c r="L683" s="6" t="s">
        <v>90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3509</v>
      </c>
      <c r="R683" s="2">
        <v>6000000</v>
      </c>
      <c r="S683" s="2">
        <v>0</v>
      </c>
      <c r="T683" s="2" t="s">
        <v>67</v>
      </c>
      <c r="U683" s="2" t="s">
        <v>68</v>
      </c>
      <c r="V683" s="2" t="s">
        <v>56</v>
      </c>
      <c r="W683" s="2" t="s">
        <v>67</v>
      </c>
      <c r="X683" s="2" t="s">
        <v>69</v>
      </c>
      <c r="Y683" s="2">
        <v>2.62652740823758</v>
      </c>
      <c r="Z683" s="2">
        <v>2626.5274082375799</v>
      </c>
      <c r="AA683" s="2">
        <v>4.6317666666666701</v>
      </c>
      <c r="AB683" s="2">
        <v>-74.117483333333297</v>
      </c>
      <c r="AC683" s="2">
        <v>2590</v>
      </c>
      <c r="AD683" s="2">
        <v>10</v>
      </c>
      <c r="AE683" s="2" t="s">
        <v>59</v>
      </c>
      <c r="AF683" s="2" t="s">
        <v>70</v>
      </c>
      <c r="AG683" s="2" t="s">
        <v>61</v>
      </c>
      <c r="AH683" s="2" t="s">
        <v>62</v>
      </c>
      <c r="AI683" s="2" t="s">
        <v>200</v>
      </c>
      <c r="AJ683" s="2">
        <v>1.9099448211557699</v>
      </c>
      <c r="AK683" s="2">
        <v>2.8655322729914401</v>
      </c>
      <c r="AL683" s="2">
        <v>1.58099370444333</v>
      </c>
      <c r="AM683" s="2">
        <v>0.35621441395019499</v>
      </c>
      <c r="AN683" s="2">
        <v>2.33267442886322</v>
      </c>
      <c r="AO683" s="2">
        <v>7.6575781450120397E-3</v>
      </c>
      <c r="AP683" s="2">
        <v>7.6575781450120397E-3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14</v>
      </c>
      <c r="AW683" s="2">
        <v>0</v>
      </c>
      <c r="AX683" s="2">
        <v>0</v>
      </c>
      <c r="AY683" s="2">
        <v>16.600000000000001</v>
      </c>
      <c r="AZ683" s="2">
        <v>101.7</v>
      </c>
      <c r="BA683" s="2">
        <v>19.899999999999999</v>
      </c>
      <c r="BB683" s="2">
        <v>564</v>
      </c>
      <c r="BC683" s="2">
        <v>71</v>
      </c>
      <c r="BD683" s="2">
        <v>1.7</v>
      </c>
      <c r="BE683" s="2">
        <v>185</v>
      </c>
      <c r="BF683" s="2">
        <v>0.8</v>
      </c>
      <c r="BG683" s="2">
        <v>162</v>
      </c>
      <c r="BH683" s="2">
        <v>19.5</v>
      </c>
      <c r="BI683" s="2">
        <v>15.6</v>
      </c>
      <c r="BJ683" s="2">
        <v>35</v>
      </c>
      <c r="BK683" s="2">
        <v>0.68</v>
      </c>
      <c r="BL683" s="2">
        <v>5.4</v>
      </c>
      <c r="BM683" s="2">
        <v>0.9</v>
      </c>
      <c r="BN683" s="2">
        <v>4.5999999999999996</v>
      </c>
      <c r="BO683" s="2">
        <v>2.1</v>
      </c>
      <c r="BP683" s="2">
        <f t="shared" si="20"/>
        <v>89.301134873073281</v>
      </c>
      <c r="BQ683" s="2">
        <f t="shared" si="21"/>
        <v>18.684290188929729</v>
      </c>
    </row>
    <row r="684" spans="1:69" x14ac:dyDescent="0.2">
      <c r="A684" s="2" t="s">
        <v>3955</v>
      </c>
      <c r="B684" s="2" t="s">
        <v>47</v>
      </c>
      <c r="C684" s="2" t="s">
        <v>3273</v>
      </c>
      <c r="D684" s="2" t="s">
        <v>49</v>
      </c>
      <c r="E684" s="2" t="s">
        <v>3956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89</v>
      </c>
      <c r="L684" s="6" t="s">
        <v>90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3957</v>
      </c>
      <c r="R684" s="2">
        <v>11805555.560000001</v>
      </c>
      <c r="S684" s="2">
        <v>0</v>
      </c>
      <c r="T684" s="2" t="s">
        <v>483</v>
      </c>
      <c r="U684" s="2" t="s">
        <v>484</v>
      </c>
      <c r="V684" s="2" t="s">
        <v>56</v>
      </c>
      <c r="W684" s="2" t="s">
        <v>67</v>
      </c>
      <c r="X684" s="2" t="s">
        <v>485</v>
      </c>
      <c r="Y684" s="2">
        <v>2.7490991486681802</v>
      </c>
      <c r="Z684" s="2">
        <v>2749.0991486681801</v>
      </c>
      <c r="AA684" s="2">
        <v>4.6085000000000003</v>
      </c>
      <c r="AB684" s="2">
        <v>-74.114944444444404</v>
      </c>
      <c r="AC684" s="2">
        <v>2559</v>
      </c>
      <c r="AD684" s="2">
        <v>0</v>
      </c>
      <c r="AE684" s="2" t="s">
        <v>59</v>
      </c>
      <c r="AF684" s="2" t="s">
        <v>486</v>
      </c>
      <c r="AG684" s="2" t="s">
        <v>61</v>
      </c>
      <c r="AH684" s="2" t="s">
        <v>62</v>
      </c>
      <c r="AI684" s="2" t="s">
        <v>287</v>
      </c>
      <c r="AJ684" s="2">
        <v>0.32104607943653002</v>
      </c>
      <c r="AK684" s="2">
        <v>2.8330272685354698</v>
      </c>
      <c r="AL684" s="2">
        <v>0.56712203288832996</v>
      </c>
      <c r="AM684" s="2">
        <v>0.43982669578281502</v>
      </c>
      <c r="AN684" s="2">
        <v>1.02839015191562</v>
      </c>
      <c r="AO684" s="2">
        <v>0.27083825596772998</v>
      </c>
      <c r="AP684" s="2">
        <v>0.27083825596772998</v>
      </c>
      <c r="AQ684" s="2">
        <v>1</v>
      </c>
      <c r="AR684" s="2">
        <v>4</v>
      </c>
      <c r="AS684" s="2">
        <v>0</v>
      </c>
      <c r="AT684" s="2">
        <v>0</v>
      </c>
      <c r="AU684" s="2">
        <v>1</v>
      </c>
      <c r="AV684" s="2">
        <v>18</v>
      </c>
      <c r="AW684" s="2">
        <v>0</v>
      </c>
      <c r="AX684" s="2">
        <v>0</v>
      </c>
      <c r="AY684" s="2">
        <v>16.600000000000001</v>
      </c>
      <c r="AZ684" s="2">
        <v>101.7</v>
      </c>
      <c r="BA684" s="2">
        <v>19.899999999999999</v>
      </c>
      <c r="BB684" s="2">
        <v>564</v>
      </c>
      <c r="BC684" s="2">
        <v>71</v>
      </c>
      <c r="BD684" s="2">
        <v>1.7</v>
      </c>
      <c r="BE684" s="2">
        <v>185</v>
      </c>
      <c r="BF684" s="2">
        <v>0.8</v>
      </c>
      <c r="BG684" s="2">
        <v>162</v>
      </c>
      <c r="BH684" s="2">
        <v>19.5</v>
      </c>
      <c r="BI684" s="2">
        <v>15.6</v>
      </c>
      <c r="BJ684" s="2">
        <v>35</v>
      </c>
      <c r="BK684" s="2">
        <v>0.68</v>
      </c>
      <c r="BL684" s="2">
        <v>5.4</v>
      </c>
      <c r="BM684" s="2">
        <v>0.9</v>
      </c>
      <c r="BN684" s="2">
        <v>4.5999999999999996</v>
      </c>
      <c r="BO684" s="2">
        <v>2.1</v>
      </c>
      <c r="BP684" s="2">
        <f t="shared" si="20"/>
        <v>88.760958358525414</v>
      </c>
      <c r="BQ684" s="2">
        <f t="shared" si="21"/>
        <v>18.629406970875088</v>
      </c>
    </row>
    <row r="685" spans="1:69" x14ac:dyDescent="0.2">
      <c r="A685" s="2" t="s">
        <v>3526</v>
      </c>
      <c r="B685" s="2" t="s">
        <v>47</v>
      </c>
      <c r="C685" s="2" t="s">
        <v>3273</v>
      </c>
      <c r="D685" s="2" t="s">
        <v>49</v>
      </c>
      <c r="E685" s="2" t="s">
        <v>3527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89</v>
      </c>
      <c r="L685" s="6" t="s">
        <v>90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3528</v>
      </c>
      <c r="R685" s="2">
        <v>6669444.4440000001</v>
      </c>
      <c r="S685" s="2">
        <v>0</v>
      </c>
      <c r="T685" s="2" t="s">
        <v>483</v>
      </c>
      <c r="U685" s="2" t="s">
        <v>484</v>
      </c>
      <c r="V685" s="2" t="s">
        <v>56</v>
      </c>
      <c r="W685" s="2" t="s">
        <v>67</v>
      </c>
      <c r="X685" s="2" t="s">
        <v>485</v>
      </c>
      <c r="Y685" s="2">
        <v>1.2090462920232701</v>
      </c>
      <c r="Z685" s="2">
        <v>1209.0462920232701</v>
      </c>
      <c r="AA685" s="2">
        <v>4.6085000000000003</v>
      </c>
      <c r="AB685" s="2">
        <v>-74.114944444444404</v>
      </c>
      <c r="AC685" s="2">
        <v>2559</v>
      </c>
      <c r="AD685" s="2">
        <v>0</v>
      </c>
      <c r="AE685" s="2" t="s">
        <v>59</v>
      </c>
      <c r="AF685" s="2" t="s">
        <v>486</v>
      </c>
      <c r="AG685" s="2" t="s">
        <v>61</v>
      </c>
      <c r="AH685" s="2" t="s">
        <v>62</v>
      </c>
      <c r="AI685" s="2" t="s">
        <v>267</v>
      </c>
      <c r="AJ685" s="2">
        <v>1.0581854580083401</v>
      </c>
      <c r="AK685" s="2">
        <v>4.5066358403461804</v>
      </c>
      <c r="AL685" s="2">
        <v>2.2610084136458002</v>
      </c>
      <c r="AM685" s="2">
        <v>0.65605832625475502</v>
      </c>
      <c r="AN685" s="2">
        <v>0.54084103844988296</v>
      </c>
      <c r="AO685" s="2">
        <v>0.13157206227137699</v>
      </c>
      <c r="AP685" s="2">
        <v>0.13157206227137699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4</v>
      </c>
      <c r="AW685" s="2">
        <v>1</v>
      </c>
      <c r="AX685" s="2">
        <v>0</v>
      </c>
      <c r="AY685" s="2">
        <v>16.600000000000001</v>
      </c>
      <c r="AZ685" s="2">
        <v>101.7</v>
      </c>
      <c r="BA685" s="2">
        <v>19.899999999999999</v>
      </c>
      <c r="BB685" s="2">
        <v>564</v>
      </c>
      <c r="BC685" s="2">
        <v>71</v>
      </c>
      <c r="BD685" s="2">
        <v>1.7</v>
      </c>
      <c r="BE685" s="2">
        <v>185</v>
      </c>
      <c r="BF685" s="2">
        <v>0.8</v>
      </c>
      <c r="BG685" s="2">
        <v>162</v>
      </c>
      <c r="BH685" s="2">
        <v>19.5</v>
      </c>
      <c r="BI685" s="2">
        <v>15.6</v>
      </c>
      <c r="BJ685" s="2">
        <v>35</v>
      </c>
      <c r="BK685" s="2">
        <v>0.68</v>
      </c>
      <c r="BL685" s="2">
        <v>5.4</v>
      </c>
      <c r="BM685" s="2">
        <v>0.9</v>
      </c>
      <c r="BN685" s="2">
        <v>4.5999999999999996</v>
      </c>
      <c r="BO685" s="2">
        <v>2.1</v>
      </c>
      <c r="BP685" s="2">
        <f t="shared" si="20"/>
        <v>95.792032321793997</v>
      </c>
      <c r="BQ685" s="2">
        <f t="shared" si="21"/>
        <v>19.330856869598172</v>
      </c>
    </row>
    <row r="686" spans="1:69" x14ac:dyDescent="0.2">
      <c r="A686" s="2" t="s">
        <v>4160</v>
      </c>
      <c r="B686" s="2" t="s">
        <v>47</v>
      </c>
      <c r="C686" s="2" t="s">
        <v>3273</v>
      </c>
      <c r="D686" s="2" t="s">
        <v>49</v>
      </c>
      <c r="E686" s="2" t="s">
        <v>1653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89</v>
      </c>
      <c r="L686" s="6" t="s">
        <v>90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4161</v>
      </c>
      <c r="R686" s="2">
        <v>6666666.6670000004</v>
      </c>
      <c r="S686" s="2">
        <v>0</v>
      </c>
      <c r="T686" s="2" t="s">
        <v>483</v>
      </c>
      <c r="U686" s="2" t="s">
        <v>484</v>
      </c>
      <c r="V686" s="2" t="s">
        <v>56</v>
      </c>
      <c r="W686" s="2" t="s">
        <v>67</v>
      </c>
      <c r="X686" s="2" t="s">
        <v>485</v>
      </c>
      <c r="Y686" s="2">
        <v>1.01175826029492</v>
      </c>
      <c r="Z686" s="2">
        <v>1011.75826029492</v>
      </c>
      <c r="AA686" s="2">
        <v>4.6085000000000003</v>
      </c>
      <c r="AB686" s="2">
        <v>-74.114944444444404</v>
      </c>
      <c r="AC686" s="2">
        <v>2559</v>
      </c>
      <c r="AD686" s="2">
        <v>0</v>
      </c>
      <c r="AE686" s="2" t="s">
        <v>59</v>
      </c>
      <c r="AF686" s="2" t="s">
        <v>486</v>
      </c>
      <c r="AG686" s="2" t="s">
        <v>61</v>
      </c>
      <c r="AH686" s="2" t="s">
        <v>62</v>
      </c>
      <c r="AI686" s="2" t="s">
        <v>267</v>
      </c>
      <c r="AJ686" s="2">
        <v>1.2036638889004401</v>
      </c>
      <c r="AK686" s="2">
        <v>4.7686217066441596</v>
      </c>
      <c r="AL686" s="2">
        <v>2.5109346472595999</v>
      </c>
      <c r="AM686" s="2">
        <v>0.475084335505431</v>
      </c>
      <c r="AN686" s="2">
        <v>0.67329839990805995</v>
      </c>
      <c r="AO686" s="2">
        <v>0.20474229328417101</v>
      </c>
      <c r="AP686" s="2">
        <v>0.20474229328417101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2</v>
      </c>
      <c r="AW686" s="2">
        <v>1</v>
      </c>
      <c r="AX686" s="2">
        <v>0</v>
      </c>
      <c r="AY686" s="2">
        <v>16.600000000000001</v>
      </c>
      <c r="AZ686" s="2">
        <v>101.7</v>
      </c>
      <c r="BA686" s="2">
        <v>19.899999999999999</v>
      </c>
      <c r="BB686" s="2">
        <v>564</v>
      </c>
      <c r="BC686" s="2">
        <v>71</v>
      </c>
      <c r="BD686" s="2">
        <v>1.7</v>
      </c>
      <c r="BE686" s="2">
        <v>185</v>
      </c>
      <c r="BF686" s="2">
        <v>0.8</v>
      </c>
      <c r="BG686" s="2">
        <v>162</v>
      </c>
      <c r="BH686" s="2">
        <v>19.5</v>
      </c>
      <c r="BI686" s="2">
        <v>15.6</v>
      </c>
      <c r="BJ686" s="2">
        <v>35</v>
      </c>
      <c r="BK686" s="2">
        <v>0.68</v>
      </c>
      <c r="BL686" s="2">
        <v>5.4</v>
      </c>
      <c r="BM686" s="2">
        <v>0.9</v>
      </c>
      <c r="BN686" s="2">
        <v>4.5999999999999996</v>
      </c>
      <c r="BO686" s="2">
        <v>2.1</v>
      </c>
      <c r="BP686" s="2">
        <f t="shared" si="20"/>
        <v>96.732096836562718</v>
      </c>
      <c r="BQ686" s="2">
        <f t="shared" si="21"/>
        <v>19.422603825988467</v>
      </c>
    </row>
    <row r="687" spans="1:69" x14ac:dyDescent="0.2">
      <c r="A687" s="2" t="s">
        <v>4235</v>
      </c>
      <c r="B687" s="2" t="s">
        <v>47</v>
      </c>
      <c r="C687" s="2" t="s">
        <v>3273</v>
      </c>
      <c r="D687" s="2" t="s">
        <v>49</v>
      </c>
      <c r="E687" s="2" t="s">
        <v>73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89</v>
      </c>
      <c r="L687" s="6" t="s">
        <v>90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4236</v>
      </c>
      <c r="R687" s="2">
        <v>7571428.5710000005</v>
      </c>
      <c r="S687" s="2">
        <v>0</v>
      </c>
      <c r="T687" s="2" t="s">
        <v>67</v>
      </c>
      <c r="U687" s="2" t="s">
        <v>68</v>
      </c>
      <c r="V687" s="2" t="s">
        <v>56</v>
      </c>
      <c r="W687" s="2" t="s">
        <v>67</v>
      </c>
      <c r="X687" s="2" t="s">
        <v>69</v>
      </c>
      <c r="Y687" s="2">
        <v>2.9172488546870698</v>
      </c>
      <c r="Z687" s="2">
        <v>2917.24885468707</v>
      </c>
      <c r="AA687" s="2">
        <v>4.6317666666666701</v>
      </c>
      <c r="AB687" s="2">
        <v>-74.117483333333297</v>
      </c>
      <c r="AC687" s="2">
        <v>2590</v>
      </c>
      <c r="AD687" s="2">
        <v>10</v>
      </c>
      <c r="AE687" s="2" t="s">
        <v>59</v>
      </c>
      <c r="AF687" s="2" t="s">
        <v>70</v>
      </c>
      <c r="AG687" s="2" t="s">
        <v>61</v>
      </c>
      <c r="AH687" s="2" t="s">
        <v>62</v>
      </c>
      <c r="AI687" s="2" t="s">
        <v>71</v>
      </c>
      <c r="AJ687" s="2">
        <v>1.81927113122011</v>
      </c>
      <c r="AK687" s="2">
        <v>3.7145406586442098</v>
      </c>
      <c r="AL687" s="2">
        <v>1.7914529659768801</v>
      </c>
      <c r="AM687" s="2">
        <v>0.53978783834276001</v>
      </c>
      <c r="AN687" s="2">
        <v>1.2836536860885699</v>
      </c>
      <c r="AO687" s="2">
        <v>0.29419366297365501</v>
      </c>
      <c r="AP687" s="2">
        <v>0.29419366297365501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20</v>
      </c>
      <c r="AW687" s="2">
        <v>0</v>
      </c>
      <c r="AX687" s="2">
        <v>0</v>
      </c>
      <c r="AY687" s="2">
        <v>16.600000000000001</v>
      </c>
      <c r="AZ687" s="2">
        <v>101.7</v>
      </c>
      <c r="BA687" s="2">
        <v>19.899999999999999</v>
      </c>
      <c r="BB687" s="2">
        <v>564</v>
      </c>
      <c r="BC687" s="2">
        <v>71</v>
      </c>
      <c r="BD687" s="2">
        <v>1.7</v>
      </c>
      <c r="BE687" s="2">
        <v>185</v>
      </c>
      <c r="BF687" s="2">
        <v>0.8</v>
      </c>
      <c r="BG687" s="2">
        <v>162</v>
      </c>
      <c r="BH687" s="2">
        <v>19.5</v>
      </c>
      <c r="BI687" s="2">
        <v>15.6</v>
      </c>
      <c r="BJ687" s="2">
        <v>35</v>
      </c>
      <c r="BK687" s="2">
        <v>0.68</v>
      </c>
      <c r="BL687" s="2">
        <v>5.4</v>
      </c>
      <c r="BM687" s="2">
        <v>0.9</v>
      </c>
      <c r="BN687" s="2">
        <v>4.5999999999999996</v>
      </c>
      <c r="BO687" s="2">
        <v>2.1</v>
      </c>
      <c r="BP687" s="2">
        <f t="shared" si="20"/>
        <v>88.02523059995687</v>
      </c>
      <c r="BQ687" s="2">
        <f t="shared" si="21"/>
        <v>18.554377763042133</v>
      </c>
    </row>
    <row r="688" spans="1:69" x14ac:dyDescent="0.2">
      <c r="A688" s="2" t="s">
        <v>1327</v>
      </c>
      <c r="B688" s="2" t="s">
        <v>47</v>
      </c>
      <c r="C688" s="2" t="s">
        <v>48</v>
      </c>
      <c r="D688" s="2" t="s">
        <v>49</v>
      </c>
      <c r="E688" s="2" t="s">
        <v>1187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89</v>
      </c>
      <c r="L688" s="6" t="s">
        <v>90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1328</v>
      </c>
      <c r="R688" s="2">
        <v>6442857.1430000002</v>
      </c>
      <c r="S688" s="2">
        <v>0</v>
      </c>
      <c r="T688" s="2" t="s">
        <v>483</v>
      </c>
      <c r="U688" s="2" t="s">
        <v>484</v>
      </c>
      <c r="V688" s="2" t="s">
        <v>56</v>
      </c>
      <c r="W688" s="2" t="s">
        <v>67</v>
      </c>
      <c r="X688" s="2" t="s">
        <v>485</v>
      </c>
      <c r="Y688" s="2">
        <v>2.77202318643914</v>
      </c>
      <c r="Z688" s="2">
        <v>2772.0231864391399</v>
      </c>
      <c r="AA688" s="2">
        <v>4.6085000000000003</v>
      </c>
      <c r="AB688" s="2">
        <v>-74.114944444444404</v>
      </c>
      <c r="AC688" s="2">
        <v>2559</v>
      </c>
      <c r="AD688" s="2">
        <v>0</v>
      </c>
      <c r="AE688" s="2" t="s">
        <v>59</v>
      </c>
      <c r="AF688" s="2" t="s">
        <v>486</v>
      </c>
      <c r="AG688" s="2" t="s">
        <v>61</v>
      </c>
      <c r="AH688" s="2" t="s">
        <v>62</v>
      </c>
      <c r="AI688" s="2" t="s">
        <v>287</v>
      </c>
      <c r="AJ688" s="2">
        <v>0.35453272978192701</v>
      </c>
      <c r="AK688" s="2">
        <v>2.7884234813280302</v>
      </c>
      <c r="AL688" s="2">
        <v>0.75483800661564804</v>
      </c>
      <c r="AM688" s="2">
        <v>0.204401064184974</v>
      </c>
      <c r="AN688" s="2">
        <v>0.161958138777135</v>
      </c>
      <c r="AO688" s="2">
        <v>0.108849502217195</v>
      </c>
      <c r="AP688" s="2">
        <v>0.108849502217195</v>
      </c>
      <c r="AQ688" s="2">
        <v>3</v>
      </c>
      <c r="AR688" s="2">
        <v>6</v>
      </c>
      <c r="AS688" s="2">
        <v>0</v>
      </c>
      <c r="AT688" s="2">
        <v>0</v>
      </c>
      <c r="AU688" s="2">
        <v>2</v>
      </c>
      <c r="AV688" s="2">
        <v>9</v>
      </c>
      <c r="AW688" s="2">
        <v>1</v>
      </c>
      <c r="AX688" s="2">
        <v>0</v>
      </c>
      <c r="AY688" s="2">
        <v>16.600000000000001</v>
      </c>
      <c r="AZ688" s="2">
        <v>101.7</v>
      </c>
      <c r="BA688" s="2">
        <v>19.899999999999999</v>
      </c>
      <c r="BB688" s="2">
        <v>564</v>
      </c>
      <c r="BC688" s="2">
        <v>71</v>
      </c>
      <c r="BD688" s="2">
        <v>1.7</v>
      </c>
      <c r="BE688" s="2">
        <v>185</v>
      </c>
      <c r="BF688" s="2">
        <v>0.8</v>
      </c>
      <c r="BG688" s="2">
        <v>162</v>
      </c>
      <c r="BH688" s="2">
        <v>19.5</v>
      </c>
      <c r="BI688" s="2">
        <v>15.6</v>
      </c>
      <c r="BJ688" s="2">
        <v>35</v>
      </c>
      <c r="BK688" s="2">
        <v>0.68</v>
      </c>
      <c r="BL688" s="2">
        <v>5.4</v>
      </c>
      <c r="BM688" s="2">
        <v>0.9</v>
      </c>
      <c r="BN688" s="2">
        <v>4.5999999999999996</v>
      </c>
      <c r="BO688" s="2">
        <v>2.1</v>
      </c>
      <c r="BP688" s="2">
        <f t="shared" si="20"/>
        <v>88.660294884436752</v>
      </c>
      <c r="BQ688" s="2">
        <f t="shared" si="21"/>
        <v>18.619160320371574</v>
      </c>
    </row>
    <row r="689" spans="1:69" x14ac:dyDescent="0.2">
      <c r="A689" s="2" t="s">
        <v>779</v>
      </c>
      <c r="B689" s="2" t="s">
        <v>47</v>
      </c>
      <c r="C689" s="2" t="s">
        <v>48</v>
      </c>
      <c r="D689" s="2" t="s">
        <v>49</v>
      </c>
      <c r="E689" s="2" t="s">
        <v>780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89</v>
      </c>
      <c r="L689" s="6" t="s">
        <v>90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781</v>
      </c>
      <c r="R689" s="2">
        <v>9558823.5289999992</v>
      </c>
      <c r="S689" s="2">
        <v>0</v>
      </c>
      <c r="T689" s="2" t="s">
        <v>483</v>
      </c>
      <c r="U689" s="2" t="s">
        <v>484</v>
      </c>
      <c r="V689" s="2" t="s">
        <v>56</v>
      </c>
      <c r="W689" s="2" t="s">
        <v>67</v>
      </c>
      <c r="X689" s="2" t="s">
        <v>485</v>
      </c>
      <c r="Y689" s="2">
        <v>2.7971169740046302</v>
      </c>
      <c r="Z689" s="2">
        <v>2797.1169740046298</v>
      </c>
      <c r="AA689" s="2">
        <v>4.6085000000000003</v>
      </c>
      <c r="AB689" s="2">
        <v>-74.114944444444404</v>
      </c>
      <c r="AC689" s="2">
        <v>2559</v>
      </c>
      <c r="AD689" s="2">
        <v>0</v>
      </c>
      <c r="AE689" s="2" t="s">
        <v>59</v>
      </c>
      <c r="AF689" s="2" t="s">
        <v>486</v>
      </c>
      <c r="AG689" s="2" t="s">
        <v>61</v>
      </c>
      <c r="AH689" s="2" t="s">
        <v>62</v>
      </c>
      <c r="AI689" s="2" t="s">
        <v>267</v>
      </c>
      <c r="AJ689" s="2">
        <v>0.18656290338899501</v>
      </c>
      <c r="AK689" s="2">
        <v>2.9837972013457699</v>
      </c>
      <c r="AL689" s="2">
        <v>1.4518916133764399</v>
      </c>
      <c r="AM689" s="2">
        <v>0.34244250814974397</v>
      </c>
      <c r="AN689" s="2">
        <v>0.80014686817988701</v>
      </c>
      <c r="AO689" s="2">
        <v>0.48378107999574699</v>
      </c>
      <c r="AP689" s="2">
        <v>0.48378107999574699</v>
      </c>
      <c r="AQ689" s="2">
        <v>3</v>
      </c>
      <c r="AR689" s="2">
        <v>5</v>
      </c>
      <c r="AS689" s="2">
        <v>0</v>
      </c>
      <c r="AT689" s="2">
        <v>0</v>
      </c>
      <c r="AU689" s="2">
        <v>0</v>
      </c>
      <c r="AV689" s="2">
        <v>11</v>
      </c>
      <c r="AW689" s="2">
        <v>1</v>
      </c>
      <c r="AX689" s="2">
        <v>0</v>
      </c>
      <c r="AY689" s="2">
        <v>16.600000000000001</v>
      </c>
      <c r="AZ689" s="2">
        <v>101.7</v>
      </c>
      <c r="BA689" s="2">
        <v>19.899999999999999</v>
      </c>
      <c r="BB689" s="2">
        <v>564</v>
      </c>
      <c r="BC689" s="2">
        <v>71</v>
      </c>
      <c r="BD689" s="2">
        <v>1.7</v>
      </c>
      <c r="BE689" s="2">
        <v>185</v>
      </c>
      <c r="BF689" s="2">
        <v>0.8</v>
      </c>
      <c r="BG689" s="2">
        <v>162</v>
      </c>
      <c r="BH689" s="2">
        <v>19.5</v>
      </c>
      <c r="BI689" s="2">
        <v>15.6</v>
      </c>
      <c r="BJ689" s="2">
        <v>35</v>
      </c>
      <c r="BK689" s="2">
        <v>0.68</v>
      </c>
      <c r="BL689" s="2">
        <v>5.4</v>
      </c>
      <c r="BM689" s="2">
        <v>0.9</v>
      </c>
      <c r="BN689" s="2">
        <v>4.5999999999999996</v>
      </c>
      <c r="BO689" s="2">
        <v>2.1</v>
      </c>
      <c r="BP689" s="2">
        <f t="shared" si="20"/>
        <v>88.550234534942376</v>
      </c>
      <c r="BQ689" s="2">
        <f t="shared" si="21"/>
        <v>18.607950290246322</v>
      </c>
    </row>
    <row r="690" spans="1:69" x14ac:dyDescent="0.2">
      <c r="A690" s="2" t="s">
        <v>1186</v>
      </c>
      <c r="B690" s="2" t="s">
        <v>47</v>
      </c>
      <c r="C690" s="2" t="s">
        <v>48</v>
      </c>
      <c r="D690" s="2" t="s">
        <v>49</v>
      </c>
      <c r="E690" s="2" t="s">
        <v>1187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89</v>
      </c>
      <c r="L690" s="6" t="s">
        <v>90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1188</v>
      </c>
      <c r="R690" s="2">
        <v>7058823.5290000001</v>
      </c>
      <c r="S690" s="2">
        <v>0</v>
      </c>
      <c r="T690" s="2" t="s">
        <v>483</v>
      </c>
      <c r="U690" s="2" t="s">
        <v>484</v>
      </c>
      <c r="V690" s="2" t="s">
        <v>56</v>
      </c>
      <c r="W690" s="2" t="s">
        <v>67</v>
      </c>
      <c r="X690" s="2" t="s">
        <v>485</v>
      </c>
      <c r="Y690" s="2">
        <v>2.77202318643914</v>
      </c>
      <c r="Z690" s="2">
        <v>2772.0231864391399</v>
      </c>
      <c r="AA690" s="2">
        <v>4.6085000000000003</v>
      </c>
      <c r="AB690" s="2">
        <v>-74.114944444444404</v>
      </c>
      <c r="AC690" s="2">
        <v>2559</v>
      </c>
      <c r="AD690" s="2">
        <v>0</v>
      </c>
      <c r="AE690" s="2" t="s">
        <v>59</v>
      </c>
      <c r="AF690" s="2" t="s">
        <v>486</v>
      </c>
      <c r="AG690" s="2" t="s">
        <v>61</v>
      </c>
      <c r="AH690" s="2" t="s">
        <v>62</v>
      </c>
      <c r="AI690" s="2" t="s">
        <v>287</v>
      </c>
      <c r="AJ690" s="2">
        <v>0.35453272978192701</v>
      </c>
      <c r="AK690" s="2">
        <v>2.7884234813280302</v>
      </c>
      <c r="AL690" s="2">
        <v>0.75483800661564804</v>
      </c>
      <c r="AM690" s="2">
        <v>0.204401064184974</v>
      </c>
      <c r="AN690" s="2">
        <v>0.161958138777135</v>
      </c>
      <c r="AO690" s="2">
        <v>0.108849502217195</v>
      </c>
      <c r="AP690" s="2">
        <v>0.108849502217195</v>
      </c>
      <c r="AQ690" s="2">
        <v>3</v>
      </c>
      <c r="AR690" s="2">
        <v>6</v>
      </c>
      <c r="AS690" s="2">
        <v>0</v>
      </c>
      <c r="AT690" s="2">
        <v>0</v>
      </c>
      <c r="AU690" s="2">
        <v>2</v>
      </c>
      <c r="AV690" s="2">
        <v>9</v>
      </c>
      <c r="AW690" s="2">
        <v>1</v>
      </c>
      <c r="AX690" s="2">
        <v>0</v>
      </c>
      <c r="AY690" s="2">
        <v>16.600000000000001</v>
      </c>
      <c r="AZ690" s="2">
        <v>101.7</v>
      </c>
      <c r="BA690" s="2">
        <v>19.899999999999999</v>
      </c>
      <c r="BB690" s="2">
        <v>564</v>
      </c>
      <c r="BC690" s="2">
        <v>71</v>
      </c>
      <c r="BD690" s="2">
        <v>1.7</v>
      </c>
      <c r="BE690" s="2">
        <v>185</v>
      </c>
      <c r="BF690" s="2">
        <v>0.8</v>
      </c>
      <c r="BG690" s="2">
        <v>162</v>
      </c>
      <c r="BH690" s="2">
        <v>19.5</v>
      </c>
      <c r="BI690" s="2">
        <v>15.6</v>
      </c>
      <c r="BJ690" s="2">
        <v>35</v>
      </c>
      <c r="BK690" s="2">
        <v>0.68</v>
      </c>
      <c r="BL690" s="2">
        <v>5.4</v>
      </c>
      <c r="BM690" s="2">
        <v>0.9</v>
      </c>
      <c r="BN690" s="2">
        <v>4.5999999999999996</v>
      </c>
      <c r="BO690" s="2">
        <v>2.1</v>
      </c>
      <c r="BP690" s="2">
        <f t="shared" si="20"/>
        <v>88.660294884436752</v>
      </c>
      <c r="BQ690" s="2">
        <f t="shared" si="21"/>
        <v>18.619160320371574</v>
      </c>
    </row>
    <row r="691" spans="1:69" x14ac:dyDescent="0.2">
      <c r="A691" s="2" t="s">
        <v>4392</v>
      </c>
      <c r="B691" s="2" t="s">
        <v>47</v>
      </c>
      <c r="C691" s="2" t="s">
        <v>3273</v>
      </c>
      <c r="D691" s="2" t="s">
        <v>49</v>
      </c>
      <c r="E691" s="2" t="s">
        <v>4393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89</v>
      </c>
      <c r="L691" s="6" t="s">
        <v>112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4394</v>
      </c>
      <c r="R691" s="2">
        <v>5882352.9409999996</v>
      </c>
      <c r="S691" s="2">
        <v>0</v>
      </c>
      <c r="T691" s="2" t="s">
        <v>483</v>
      </c>
      <c r="U691" s="2" t="s">
        <v>484</v>
      </c>
      <c r="V691" s="2" t="s">
        <v>56</v>
      </c>
      <c r="W691" s="2" t="s">
        <v>67</v>
      </c>
      <c r="X691" s="2" t="s">
        <v>485</v>
      </c>
      <c r="Y691" s="2">
        <v>2.6568907532186699</v>
      </c>
      <c r="Z691" s="2">
        <v>2656.8907532186699</v>
      </c>
      <c r="AA691" s="2">
        <v>4.6085000000000003</v>
      </c>
      <c r="AB691" s="2">
        <v>-74.114944444444404</v>
      </c>
      <c r="AC691" s="2">
        <v>2559</v>
      </c>
      <c r="AD691" s="2">
        <v>0</v>
      </c>
      <c r="AE691" s="2" t="s">
        <v>59</v>
      </c>
      <c r="AF691" s="2" t="s">
        <v>486</v>
      </c>
      <c r="AG691" s="2" t="s">
        <v>61</v>
      </c>
      <c r="AH691" s="2" t="s">
        <v>62</v>
      </c>
      <c r="AI691" s="2" t="s">
        <v>966</v>
      </c>
      <c r="AJ691" s="2">
        <v>0.72968168008626999</v>
      </c>
      <c r="AK691" s="2">
        <v>3.7460166720666201</v>
      </c>
      <c r="AL691" s="2">
        <v>1.0407687237525001</v>
      </c>
      <c r="AM691" s="2">
        <v>0.26815184031994399</v>
      </c>
      <c r="AN691" s="2">
        <v>0.36415961080834403</v>
      </c>
      <c r="AO691" s="2">
        <v>0.42234754703580502</v>
      </c>
      <c r="AP691" s="2">
        <v>0.42234754703580502</v>
      </c>
      <c r="AQ691" s="2">
        <v>0</v>
      </c>
      <c r="AR691" s="2">
        <v>3</v>
      </c>
      <c r="AS691" s="2">
        <v>0</v>
      </c>
      <c r="AT691" s="2">
        <v>0</v>
      </c>
      <c r="AU691" s="2">
        <v>0</v>
      </c>
      <c r="AV691" s="2">
        <v>81</v>
      </c>
      <c r="AW691" s="2">
        <v>2</v>
      </c>
      <c r="AX691" s="2">
        <v>0</v>
      </c>
      <c r="AY691" s="2">
        <v>16.600000000000001</v>
      </c>
      <c r="AZ691" s="2">
        <v>101.7</v>
      </c>
      <c r="BA691" s="2">
        <v>19.899999999999999</v>
      </c>
      <c r="BB691" s="2">
        <v>564</v>
      </c>
      <c r="BC691" s="2">
        <v>71</v>
      </c>
      <c r="BD691" s="2">
        <v>1.7</v>
      </c>
      <c r="BE691" s="2">
        <v>185</v>
      </c>
      <c r="BF691" s="2">
        <v>0.8</v>
      </c>
      <c r="BG691" s="2">
        <v>162</v>
      </c>
      <c r="BH691" s="2">
        <v>19.5</v>
      </c>
      <c r="BI691" s="2">
        <v>15.6</v>
      </c>
      <c r="BJ691" s="2">
        <v>35</v>
      </c>
      <c r="BK691" s="2">
        <v>0.68</v>
      </c>
      <c r="BL691" s="2">
        <v>5.4</v>
      </c>
      <c r="BM691" s="2">
        <v>0.9</v>
      </c>
      <c r="BN691" s="2">
        <v>4.5999999999999996</v>
      </c>
      <c r="BO691" s="2">
        <v>2.1</v>
      </c>
      <c r="BP691" s="2">
        <f t="shared" si="20"/>
        <v>89.167017368972608</v>
      </c>
      <c r="BQ691" s="2">
        <f t="shared" si="21"/>
        <v>18.670679527544923</v>
      </c>
    </row>
    <row r="692" spans="1:69" x14ac:dyDescent="0.2">
      <c r="A692" s="2" t="s">
        <v>3764</v>
      </c>
      <c r="B692" s="2" t="s">
        <v>47</v>
      </c>
      <c r="C692" s="2" t="s">
        <v>3273</v>
      </c>
      <c r="D692" s="2" t="s">
        <v>49</v>
      </c>
      <c r="E692" s="2" t="s">
        <v>81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89</v>
      </c>
      <c r="L692" s="6" t="s">
        <v>141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3765</v>
      </c>
      <c r="R692" s="2">
        <v>10622154.779999999</v>
      </c>
      <c r="S692" s="2">
        <v>0</v>
      </c>
      <c r="T692" s="2" t="s">
        <v>483</v>
      </c>
      <c r="U692" s="2" t="s">
        <v>484</v>
      </c>
      <c r="V692" s="2" t="s">
        <v>56</v>
      </c>
      <c r="W692" s="2" t="s">
        <v>67</v>
      </c>
      <c r="X692" s="2" t="s">
        <v>485</v>
      </c>
      <c r="Y692" s="2">
        <v>2.30753530047458</v>
      </c>
      <c r="Z692" s="2">
        <v>2307.5353004745798</v>
      </c>
      <c r="AA692" s="2">
        <v>4.6085000000000003</v>
      </c>
      <c r="AB692" s="2">
        <v>-74.114944444444404</v>
      </c>
      <c r="AC692" s="2">
        <v>2559</v>
      </c>
      <c r="AD692" s="2">
        <v>0</v>
      </c>
      <c r="AE692" s="2" t="s">
        <v>59</v>
      </c>
      <c r="AF692" s="2" t="s">
        <v>486</v>
      </c>
      <c r="AG692" s="2" t="s">
        <v>61</v>
      </c>
      <c r="AH692" s="2" t="s">
        <v>62</v>
      </c>
      <c r="AI692" s="2" t="s">
        <v>267</v>
      </c>
      <c r="AJ692" s="2">
        <v>0.21804062815622899</v>
      </c>
      <c r="AK692" s="2">
        <v>3.3620400069638601</v>
      </c>
      <c r="AL692" s="2">
        <v>1.39688223072769</v>
      </c>
      <c r="AM692" s="2">
        <v>0.304520844627369</v>
      </c>
      <c r="AN692" s="2">
        <v>0.84283046839257603</v>
      </c>
      <c r="AO692" s="2">
        <v>7.6674454561057395E-4</v>
      </c>
      <c r="AP692" s="2">
        <v>7.6674454561057395E-4</v>
      </c>
      <c r="AQ692" s="2">
        <v>3</v>
      </c>
      <c r="AR692" s="2">
        <v>6</v>
      </c>
      <c r="AS692" s="2">
        <v>0</v>
      </c>
      <c r="AT692" s="2">
        <v>0</v>
      </c>
      <c r="AU692" s="2">
        <v>0</v>
      </c>
      <c r="AV692" s="2">
        <v>8</v>
      </c>
      <c r="AW692" s="2">
        <v>2</v>
      </c>
      <c r="AX692" s="2">
        <v>0</v>
      </c>
      <c r="AY692" s="2">
        <v>16.600000000000001</v>
      </c>
      <c r="AZ692" s="2">
        <v>101.7</v>
      </c>
      <c r="BA692" s="2">
        <v>19.899999999999999</v>
      </c>
      <c r="BB692" s="2">
        <v>564</v>
      </c>
      <c r="BC692" s="2">
        <v>71</v>
      </c>
      <c r="BD692" s="2">
        <v>1.7</v>
      </c>
      <c r="BE692" s="2">
        <v>185</v>
      </c>
      <c r="BF692" s="2">
        <v>0.8</v>
      </c>
      <c r="BG692" s="2">
        <v>162</v>
      </c>
      <c r="BH692" s="2">
        <v>19.5</v>
      </c>
      <c r="BI692" s="2">
        <v>15.6</v>
      </c>
      <c r="BJ692" s="2">
        <v>35</v>
      </c>
      <c r="BK692" s="2">
        <v>0.68</v>
      </c>
      <c r="BL692" s="2">
        <v>5.4</v>
      </c>
      <c r="BM692" s="2">
        <v>0.9</v>
      </c>
      <c r="BN692" s="2">
        <v>4.5999999999999996</v>
      </c>
      <c r="BO692" s="2">
        <v>2.1</v>
      </c>
      <c r="BP692" s="2">
        <f t="shared" si="20"/>
        <v>90.722401000219335</v>
      </c>
      <c r="BQ692" s="2">
        <f t="shared" si="21"/>
        <v>18.827882532100912</v>
      </c>
    </row>
    <row r="693" spans="1:69" x14ac:dyDescent="0.2">
      <c r="A693" s="2" t="s">
        <v>3609</v>
      </c>
      <c r="B693" s="2" t="s">
        <v>47</v>
      </c>
      <c r="C693" s="2" t="s">
        <v>3273</v>
      </c>
      <c r="D693" s="2" t="s">
        <v>49</v>
      </c>
      <c r="E693" s="2" t="s">
        <v>2919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89</v>
      </c>
      <c r="L693" s="6" t="s">
        <v>112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3610</v>
      </c>
      <c r="R693" s="2">
        <v>7843740.3880000003</v>
      </c>
      <c r="S693" s="2">
        <v>0</v>
      </c>
      <c r="T693" s="2" t="s">
        <v>483</v>
      </c>
      <c r="U693" s="2" t="s">
        <v>484</v>
      </c>
      <c r="V693" s="2" t="s">
        <v>56</v>
      </c>
      <c r="W693" s="2" t="s">
        <v>67</v>
      </c>
      <c r="X693" s="2" t="s">
        <v>485</v>
      </c>
      <c r="Y693" s="2">
        <v>1.91446708816788</v>
      </c>
      <c r="Z693" s="2">
        <v>1914.4670881678801</v>
      </c>
      <c r="AA693" s="2">
        <v>4.6085000000000003</v>
      </c>
      <c r="AB693" s="2">
        <v>-74.114944444444404</v>
      </c>
      <c r="AC693" s="2">
        <v>2559</v>
      </c>
      <c r="AD693" s="2">
        <v>0</v>
      </c>
      <c r="AE693" s="2" t="s">
        <v>59</v>
      </c>
      <c r="AF693" s="2" t="s">
        <v>486</v>
      </c>
      <c r="AG693" s="2" t="s">
        <v>61</v>
      </c>
      <c r="AH693" s="2" t="s">
        <v>62</v>
      </c>
      <c r="AI693" s="2" t="s">
        <v>287</v>
      </c>
      <c r="AJ693" s="2">
        <v>0.58710479773959301</v>
      </c>
      <c r="AK693" s="2">
        <v>3.9243609781147502</v>
      </c>
      <c r="AL693" s="2">
        <v>1.3961671250883501</v>
      </c>
      <c r="AM693" s="2">
        <v>0.381924413066971</v>
      </c>
      <c r="AN693" s="2">
        <v>1.1895116059216799</v>
      </c>
      <c r="AO693" s="2">
        <v>0.64196684244731295</v>
      </c>
      <c r="AP693" s="2">
        <v>0.64196684244731295</v>
      </c>
      <c r="AQ693" s="2">
        <v>0</v>
      </c>
      <c r="AR693" s="2">
        <v>3</v>
      </c>
      <c r="AS693" s="2">
        <v>0</v>
      </c>
      <c r="AT693" s="2">
        <v>0</v>
      </c>
      <c r="AU693" s="2">
        <v>0</v>
      </c>
      <c r="AV693" s="2">
        <v>31</v>
      </c>
      <c r="AW693" s="2">
        <v>0</v>
      </c>
      <c r="AX693" s="2">
        <v>0</v>
      </c>
      <c r="AY693" s="2">
        <v>16.600000000000001</v>
      </c>
      <c r="AZ693" s="2">
        <v>101.7</v>
      </c>
      <c r="BA693" s="2">
        <v>19.899999999999999</v>
      </c>
      <c r="BB693" s="2">
        <v>564</v>
      </c>
      <c r="BC693" s="2">
        <v>71</v>
      </c>
      <c r="BD693" s="2">
        <v>1.7</v>
      </c>
      <c r="BE693" s="2">
        <v>185</v>
      </c>
      <c r="BF693" s="2">
        <v>0.8</v>
      </c>
      <c r="BG693" s="2">
        <v>162</v>
      </c>
      <c r="BH693" s="2">
        <v>19.5</v>
      </c>
      <c r="BI693" s="2">
        <v>15.6</v>
      </c>
      <c r="BJ693" s="2">
        <v>35</v>
      </c>
      <c r="BK693" s="2">
        <v>0.68</v>
      </c>
      <c r="BL693" s="2">
        <v>5.4</v>
      </c>
      <c r="BM693" s="2">
        <v>0.9</v>
      </c>
      <c r="BN693" s="2">
        <v>4.5999999999999996</v>
      </c>
      <c r="BO693" s="2">
        <v>2.1</v>
      </c>
      <c r="BP693" s="2">
        <f t="shared" si="20"/>
        <v>92.504859862305594</v>
      </c>
      <c r="BQ693" s="2">
        <f t="shared" si="21"/>
        <v>19.006338363509443</v>
      </c>
    </row>
    <row r="694" spans="1:69" x14ac:dyDescent="0.2">
      <c r="A694" s="2" t="s">
        <v>1652</v>
      </c>
      <c r="B694" s="2" t="s">
        <v>47</v>
      </c>
      <c r="C694" s="2" t="s">
        <v>48</v>
      </c>
      <c r="D694" s="2" t="s">
        <v>49</v>
      </c>
      <c r="E694" s="2" t="s">
        <v>1653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89</v>
      </c>
      <c r="L694" s="6" t="s">
        <v>90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1654</v>
      </c>
      <c r="R694" s="2">
        <v>7167341.8509999998</v>
      </c>
      <c r="S694" s="2">
        <v>0</v>
      </c>
      <c r="T694" s="2" t="s">
        <v>483</v>
      </c>
      <c r="U694" s="2" t="s">
        <v>484</v>
      </c>
      <c r="V694" s="2" t="s">
        <v>56</v>
      </c>
      <c r="W694" s="2" t="s">
        <v>67</v>
      </c>
      <c r="X694" s="2" t="s">
        <v>485</v>
      </c>
      <c r="Y694" s="2">
        <v>1.17151434759257</v>
      </c>
      <c r="Z694" s="2">
        <v>1171.5143475925699</v>
      </c>
      <c r="AA694" s="2">
        <v>4.6085000000000003</v>
      </c>
      <c r="AB694" s="2">
        <v>-74.114944444444404</v>
      </c>
      <c r="AC694" s="2">
        <v>2559</v>
      </c>
      <c r="AD694" s="2">
        <v>0</v>
      </c>
      <c r="AE694" s="2" t="s">
        <v>59</v>
      </c>
      <c r="AF694" s="2" t="s">
        <v>486</v>
      </c>
      <c r="AG694" s="2" t="s">
        <v>61</v>
      </c>
      <c r="AH694" s="2" t="s">
        <v>62</v>
      </c>
      <c r="AI694" s="2" t="s">
        <v>267</v>
      </c>
      <c r="AJ694" s="2">
        <v>1.05903055671974</v>
      </c>
      <c r="AK694" s="2">
        <v>4.6454341778547299</v>
      </c>
      <c r="AL694" s="2">
        <v>2.4360431884323299</v>
      </c>
      <c r="AM694" s="2">
        <v>0.58993344576526097</v>
      </c>
      <c r="AN694" s="2">
        <v>0.51502446637437505</v>
      </c>
      <c r="AO694" s="2">
        <v>0.17588149702575701</v>
      </c>
      <c r="AP694" s="2">
        <v>0.17588149702575701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2</v>
      </c>
      <c r="AW694" s="2">
        <v>1</v>
      </c>
      <c r="AX694" s="2">
        <v>0</v>
      </c>
      <c r="AY694" s="2">
        <v>16.600000000000001</v>
      </c>
      <c r="AZ694" s="2">
        <v>101.7</v>
      </c>
      <c r="BA694" s="2">
        <v>19.899999999999999</v>
      </c>
      <c r="BB694" s="2">
        <v>564</v>
      </c>
      <c r="BC694" s="2">
        <v>71</v>
      </c>
      <c r="BD694" s="2">
        <v>1.7</v>
      </c>
      <c r="BE694" s="2">
        <v>185</v>
      </c>
      <c r="BF694" s="2">
        <v>0.8</v>
      </c>
      <c r="BG694" s="2">
        <v>162</v>
      </c>
      <c r="BH694" s="2">
        <v>19.5</v>
      </c>
      <c r="BI694" s="2">
        <v>15.6</v>
      </c>
      <c r="BJ694" s="2">
        <v>35</v>
      </c>
      <c r="BK694" s="2">
        <v>0.68</v>
      </c>
      <c r="BL694" s="2">
        <v>5.4</v>
      </c>
      <c r="BM694" s="2">
        <v>0.9</v>
      </c>
      <c r="BN694" s="2">
        <v>4.5999999999999996</v>
      </c>
      <c r="BO694" s="2">
        <v>2.1</v>
      </c>
      <c r="BP694" s="2">
        <f t="shared" si="20"/>
        <v>95.970163170170125</v>
      </c>
      <c r="BQ694" s="2">
        <f t="shared" si="21"/>
        <v>19.348277305794269</v>
      </c>
    </row>
    <row r="695" spans="1:69" x14ac:dyDescent="0.2">
      <c r="A695" s="2" t="s">
        <v>3861</v>
      </c>
      <c r="B695" s="2" t="s">
        <v>47</v>
      </c>
      <c r="C695" s="2" t="s">
        <v>3273</v>
      </c>
      <c r="D695" s="2" t="s">
        <v>49</v>
      </c>
      <c r="E695" s="2" t="s">
        <v>1187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89</v>
      </c>
      <c r="L695" s="6" t="s">
        <v>90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3862</v>
      </c>
      <c r="R695" s="2">
        <v>7099064.2139999997</v>
      </c>
      <c r="S695" s="2">
        <v>0</v>
      </c>
      <c r="T695" s="2" t="s">
        <v>483</v>
      </c>
      <c r="U695" s="2" t="s">
        <v>484</v>
      </c>
      <c r="V695" s="2" t="s">
        <v>56</v>
      </c>
      <c r="W695" s="2" t="s">
        <v>67</v>
      </c>
      <c r="X695" s="2" t="s">
        <v>485</v>
      </c>
      <c r="Y695" s="2">
        <v>2.0459876724487498</v>
      </c>
      <c r="Z695" s="2">
        <v>2045.9876724487499</v>
      </c>
      <c r="AA695" s="2">
        <v>4.6085000000000003</v>
      </c>
      <c r="AB695" s="2">
        <v>-74.114944444444404</v>
      </c>
      <c r="AC695" s="2">
        <v>2559</v>
      </c>
      <c r="AD695" s="2">
        <v>0</v>
      </c>
      <c r="AE695" s="2" t="s">
        <v>59</v>
      </c>
      <c r="AF695" s="2" t="s">
        <v>486</v>
      </c>
      <c r="AG695" s="2" t="s">
        <v>61</v>
      </c>
      <c r="AH695" s="2" t="s">
        <v>62</v>
      </c>
      <c r="AI695" s="2" t="s">
        <v>287</v>
      </c>
      <c r="AJ695" s="2">
        <v>0.283227606724337</v>
      </c>
      <c r="AK695" s="2">
        <v>3.5265450448830702</v>
      </c>
      <c r="AL695" s="2">
        <v>1.06890322015136</v>
      </c>
      <c r="AM695" s="2">
        <v>0.273379514533442</v>
      </c>
      <c r="AN695" s="2">
        <v>0.94700011835684506</v>
      </c>
      <c r="AO695" s="2">
        <v>0.42298275420428499</v>
      </c>
      <c r="AP695" s="2">
        <v>0.42298275420428499</v>
      </c>
      <c r="AQ695" s="2">
        <v>2</v>
      </c>
      <c r="AR695" s="2">
        <v>4</v>
      </c>
      <c r="AS695" s="2">
        <v>0</v>
      </c>
      <c r="AT695" s="2">
        <v>0</v>
      </c>
      <c r="AU695" s="2">
        <v>0</v>
      </c>
      <c r="AV695" s="2">
        <v>21</v>
      </c>
      <c r="AW695" s="2">
        <v>1</v>
      </c>
      <c r="AX695" s="2">
        <v>0</v>
      </c>
      <c r="AY695" s="2">
        <v>16.600000000000001</v>
      </c>
      <c r="AZ695" s="2">
        <v>101.7</v>
      </c>
      <c r="BA695" s="2">
        <v>19.899999999999999</v>
      </c>
      <c r="BB695" s="2">
        <v>564</v>
      </c>
      <c r="BC695" s="2">
        <v>71</v>
      </c>
      <c r="BD695" s="2">
        <v>1.7</v>
      </c>
      <c r="BE695" s="2">
        <v>185</v>
      </c>
      <c r="BF695" s="2">
        <v>0.8</v>
      </c>
      <c r="BG695" s="2">
        <v>162</v>
      </c>
      <c r="BH695" s="2">
        <v>19.5</v>
      </c>
      <c r="BI695" s="2">
        <v>15.6</v>
      </c>
      <c r="BJ695" s="2">
        <v>35</v>
      </c>
      <c r="BK695" s="2">
        <v>0.68</v>
      </c>
      <c r="BL695" s="2">
        <v>5.4</v>
      </c>
      <c r="BM695" s="2">
        <v>0.9</v>
      </c>
      <c r="BN695" s="2">
        <v>4.5999999999999996</v>
      </c>
      <c r="BO695" s="2">
        <v>2.1</v>
      </c>
      <c r="BP695" s="2">
        <f t="shared" si="20"/>
        <v>91.904584445366098</v>
      </c>
      <c r="BQ695" s="2">
        <f t="shared" si="21"/>
        <v>18.946439554919721</v>
      </c>
    </row>
    <row r="696" spans="1:69" x14ac:dyDescent="0.2">
      <c r="A696" s="2" t="s">
        <v>4231</v>
      </c>
      <c r="B696" s="2" t="s">
        <v>47</v>
      </c>
      <c r="C696" s="2" t="s">
        <v>3273</v>
      </c>
      <c r="D696" s="2" t="s">
        <v>49</v>
      </c>
      <c r="E696" s="2" t="s">
        <v>4204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89</v>
      </c>
      <c r="L696" s="6" t="s">
        <v>90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4232</v>
      </c>
      <c r="R696" s="2">
        <v>9666666.6669999994</v>
      </c>
      <c r="S696" s="2">
        <v>0</v>
      </c>
      <c r="T696" s="2" t="s">
        <v>483</v>
      </c>
      <c r="U696" s="2" t="s">
        <v>484</v>
      </c>
      <c r="V696" s="2" t="s">
        <v>56</v>
      </c>
      <c r="W696" s="2" t="s">
        <v>67</v>
      </c>
      <c r="X696" s="2" t="s">
        <v>485</v>
      </c>
      <c r="Y696" s="2">
        <v>2.3975385536393001</v>
      </c>
      <c r="Z696" s="2">
        <v>2397.5385536393001</v>
      </c>
      <c r="AA696" s="2">
        <v>4.6085000000000003</v>
      </c>
      <c r="AB696" s="2">
        <v>-74.114944444444404</v>
      </c>
      <c r="AC696" s="2">
        <v>2559</v>
      </c>
      <c r="AD696" s="2">
        <v>0</v>
      </c>
      <c r="AE696" s="2" t="s">
        <v>59</v>
      </c>
      <c r="AF696" s="2" t="s">
        <v>486</v>
      </c>
      <c r="AG696" s="2" t="s">
        <v>61</v>
      </c>
      <c r="AH696" s="2" t="s">
        <v>62</v>
      </c>
      <c r="AI696" s="2" t="s">
        <v>267</v>
      </c>
      <c r="AJ696" s="2">
        <v>0.16694277602486299</v>
      </c>
      <c r="AK696" s="2">
        <v>3.7692821349278698</v>
      </c>
      <c r="AL696" s="2">
        <v>2.2033412529427201</v>
      </c>
      <c r="AM696" s="2">
        <v>0.385300793581074</v>
      </c>
      <c r="AN696" s="2">
        <v>0.71095502543294098</v>
      </c>
      <c r="AO696" s="2">
        <v>0.186315199705991</v>
      </c>
      <c r="AP696" s="2">
        <v>0.186315199705991</v>
      </c>
      <c r="AQ696" s="2">
        <v>2</v>
      </c>
      <c r="AR696" s="2">
        <v>5</v>
      </c>
      <c r="AS696" s="2">
        <v>0</v>
      </c>
      <c r="AT696" s="2">
        <v>0</v>
      </c>
      <c r="AU696" s="2">
        <v>0</v>
      </c>
      <c r="AV696" s="2">
        <v>11</v>
      </c>
      <c r="AW696" s="2">
        <v>1</v>
      </c>
      <c r="AX696" s="2">
        <v>0</v>
      </c>
      <c r="AY696" s="2">
        <v>16.600000000000001</v>
      </c>
      <c r="AZ696" s="2">
        <v>101.7</v>
      </c>
      <c r="BA696" s="2">
        <v>19.899999999999999</v>
      </c>
      <c r="BB696" s="2">
        <v>564</v>
      </c>
      <c r="BC696" s="2">
        <v>71</v>
      </c>
      <c r="BD696" s="2">
        <v>1.7</v>
      </c>
      <c r="BE696" s="2">
        <v>185</v>
      </c>
      <c r="BF696" s="2">
        <v>0.8</v>
      </c>
      <c r="BG696" s="2">
        <v>162</v>
      </c>
      <c r="BH696" s="2">
        <v>19.5</v>
      </c>
      <c r="BI696" s="2">
        <v>15.6</v>
      </c>
      <c r="BJ696" s="2">
        <v>35</v>
      </c>
      <c r="BK696" s="2">
        <v>0.68</v>
      </c>
      <c r="BL696" s="2">
        <v>5.4</v>
      </c>
      <c r="BM696" s="2">
        <v>0.9</v>
      </c>
      <c r="BN696" s="2">
        <v>4.5999999999999996</v>
      </c>
      <c r="BO696" s="2">
        <v>2.1</v>
      </c>
      <c r="BP696" s="2">
        <f t="shared" si="20"/>
        <v>90.319117108970374</v>
      </c>
      <c r="BQ696" s="2">
        <f t="shared" si="21"/>
        <v>18.787256729076365</v>
      </c>
    </row>
    <row r="697" spans="1:69" x14ac:dyDescent="0.2">
      <c r="A697" s="2" t="s">
        <v>4528</v>
      </c>
      <c r="B697" s="2" t="s">
        <v>47</v>
      </c>
      <c r="C697" s="2" t="s">
        <v>3273</v>
      </c>
      <c r="D697" s="2" t="s">
        <v>49</v>
      </c>
      <c r="E697" s="2" t="s">
        <v>267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89</v>
      </c>
      <c r="L697" s="6" t="s">
        <v>90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4529</v>
      </c>
      <c r="R697" s="2">
        <v>9500000</v>
      </c>
      <c r="S697" s="2">
        <v>0</v>
      </c>
      <c r="T697" s="2" t="s">
        <v>67</v>
      </c>
      <c r="U697" s="2" t="s">
        <v>68</v>
      </c>
      <c r="V697" s="2" t="s">
        <v>56</v>
      </c>
      <c r="W697" s="2" t="s">
        <v>67</v>
      </c>
      <c r="X697" s="2" t="s">
        <v>69</v>
      </c>
      <c r="Y697" s="2">
        <v>0.47554866011305602</v>
      </c>
      <c r="Z697" s="2">
        <v>475.54866011305597</v>
      </c>
      <c r="AA697" s="2">
        <v>4.6317666666666701</v>
      </c>
      <c r="AB697" s="2">
        <v>-74.117483333333297</v>
      </c>
      <c r="AC697" s="2">
        <v>2590</v>
      </c>
      <c r="AD697" s="2">
        <v>10</v>
      </c>
      <c r="AE697" s="2" t="s">
        <v>59</v>
      </c>
      <c r="AF697" s="2" t="s">
        <v>70</v>
      </c>
      <c r="AG697" s="2" t="s">
        <v>61</v>
      </c>
      <c r="AH697" s="2" t="s">
        <v>62</v>
      </c>
      <c r="AI697" s="2" t="s">
        <v>267</v>
      </c>
      <c r="AJ697" s="2">
        <v>0.346694523301528</v>
      </c>
      <c r="AK697" s="2">
        <v>5.2172165079142401</v>
      </c>
      <c r="AL697" s="2">
        <v>1.2099171004682401</v>
      </c>
      <c r="AM697" s="2">
        <v>0.19167162804572599</v>
      </c>
      <c r="AN697" s="2">
        <v>2.4518281834284501</v>
      </c>
      <c r="AO697" s="2">
        <v>0.185350989137644</v>
      </c>
      <c r="AP697" s="2">
        <v>0.185350989137644</v>
      </c>
      <c r="AQ697" s="2">
        <v>1</v>
      </c>
      <c r="AR697" s="2">
        <v>2</v>
      </c>
      <c r="AS697" s="2">
        <v>0</v>
      </c>
      <c r="AT697" s="2">
        <v>0</v>
      </c>
      <c r="AU697" s="2">
        <v>0</v>
      </c>
      <c r="AV697" s="2">
        <v>45</v>
      </c>
      <c r="AW697" s="2">
        <v>0</v>
      </c>
      <c r="AX697" s="2">
        <v>0</v>
      </c>
      <c r="AY697" s="2">
        <v>16.600000000000001</v>
      </c>
      <c r="AZ697" s="2">
        <v>101.7</v>
      </c>
      <c r="BA697" s="2">
        <v>19.899999999999999</v>
      </c>
      <c r="BB697" s="2">
        <v>564</v>
      </c>
      <c r="BC697" s="2">
        <v>71</v>
      </c>
      <c r="BD697" s="2">
        <v>1.7</v>
      </c>
      <c r="BE697" s="2">
        <v>185</v>
      </c>
      <c r="BF697" s="2">
        <v>0.8</v>
      </c>
      <c r="BG697" s="2">
        <v>162</v>
      </c>
      <c r="BH697" s="2">
        <v>19.5</v>
      </c>
      <c r="BI697" s="2">
        <v>15.6</v>
      </c>
      <c r="BJ697" s="2">
        <v>35</v>
      </c>
      <c r="BK697" s="2">
        <v>0.68</v>
      </c>
      <c r="BL697" s="2">
        <v>5.4</v>
      </c>
      <c r="BM697" s="2">
        <v>0.9</v>
      </c>
      <c r="BN697" s="2">
        <v>4.5999999999999996</v>
      </c>
      <c r="BO697" s="2">
        <v>2.1</v>
      </c>
      <c r="BP697" s="2">
        <f t="shared" si="20"/>
        <v>99.333973691865282</v>
      </c>
      <c r="BQ697" s="2">
        <f t="shared" si="21"/>
        <v>19.674169134114472</v>
      </c>
    </row>
    <row r="698" spans="1:69" x14ac:dyDescent="0.2">
      <c r="A698" s="2" t="s">
        <v>3838</v>
      </c>
      <c r="B698" s="2" t="s">
        <v>47</v>
      </c>
      <c r="C698" s="2" t="s">
        <v>3273</v>
      </c>
      <c r="D698" s="2" t="s">
        <v>49</v>
      </c>
      <c r="E698" s="2" t="s">
        <v>3839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89</v>
      </c>
      <c r="L698" s="6" t="s">
        <v>112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3840</v>
      </c>
      <c r="R698" s="2">
        <v>5766666.6670000004</v>
      </c>
      <c r="S698" s="2">
        <v>0</v>
      </c>
      <c r="T698" s="2" t="s">
        <v>483</v>
      </c>
      <c r="U698" s="2" t="s">
        <v>484</v>
      </c>
      <c r="V698" s="2" t="s">
        <v>56</v>
      </c>
      <c r="W698" s="2" t="s">
        <v>67</v>
      </c>
      <c r="X698" s="2" t="s">
        <v>485</v>
      </c>
      <c r="Y698" s="2">
        <v>0.77640671932656302</v>
      </c>
      <c r="Z698" s="2">
        <v>776.40671932656301</v>
      </c>
      <c r="AA698" s="2">
        <v>4.6085000000000003</v>
      </c>
      <c r="AB698" s="2">
        <v>-74.114944444444404</v>
      </c>
      <c r="AC698" s="2">
        <v>2559</v>
      </c>
      <c r="AD698" s="2">
        <v>0</v>
      </c>
      <c r="AE698" s="2" t="s">
        <v>59</v>
      </c>
      <c r="AF698" s="2" t="s">
        <v>486</v>
      </c>
      <c r="AG698" s="2" t="s">
        <v>61</v>
      </c>
      <c r="AH698" s="2" t="s">
        <v>62</v>
      </c>
      <c r="AI698" s="2" t="s">
        <v>267</v>
      </c>
      <c r="AJ698" s="2">
        <v>0.80560901363246595</v>
      </c>
      <c r="AK698" s="2">
        <v>4.7803840340352401</v>
      </c>
      <c r="AL698" s="2">
        <v>2.3389846220011399</v>
      </c>
      <c r="AM698" s="2">
        <v>0.36493195436348702</v>
      </c>
      <c r="AN698" s="2">
        <v>1.40603775205335</v>
      </c>
      <c r="AO698" s="2">
        <v>0.89568407142957496</v>
      </c>
      <c r="AP698" s="2">
        <v>0.89568407142957496</v>
      </c>
      <c r="AQ698" s="2">
        <v>0</v>
      </c>
      <c r="AR698" s="2">
        <v>2</v>
      </c>
      <c r="AS698" s="2">
        <v>0</v>
      </c>
      <c r="AT698" s="2">
        <v>0</v>
      </c>
      <c r="AU698" s="2">
        <v>0</v>
      </c>
      <c r="AV698" s="2">
        <v>14</v>
      </c>
      <c r="AW698" s="2">
        <v>0</v>
      </c>
      <c r="AX698" s="2">
        <v>0</v>
      </c>
      <c r="AY698" s="2">
        <v>16.600000000000001</v>
      </c>
      <c r="AZ698" s="2">
        <v>101.7</v>
      </c>
      <c r="BA698" s="2">
        <v>19.899999999999999</v>
      </c>
      <c r="BB698" s="2">
        <v>564</v>
      </c>
      <c r="BC698" s="2">
        <v>71</v>
      </c>
      <c r="BD698" s="2">
        <v>1.7</v>
      </c>
      <c r="BE698" s="2">
        <v>185</v>
      </c>
      <c r="BF698" s="2">
        <v>0.8</v>
      </c>
      <c r="BG698" s="2">
        <v>162</v>
      </c>
      <c r="BH698" s="2">
        <v>19.5</v>
      </c>
      <c r="BI698" s="2">
        <v>15.6</v>
      </c>
      <c r="BJ698" s="2">
        <v>35</v>
      </c>
      <c r="BK698" s="2">
        <v>0.68</v>
      </c>
      <c r="BL698" s="2">
        <v>5.4</v>
      </c>
      <c r="BM698" s="2">
        <v>0.9</v>
      </c>
      <c r="BN698" s="2">
        <v>4.5999999999999996</v>
      </c>
      <c r="BO698" s="2">
        <v>2.1</v>
      </c>
      <c r="BP698" s="2">
        <f t="shared" si="20"/>
        <v>97.86560603023932</v>
      </c>
      <c r="BQ698" s="2">
        <f t="shared" si="21"/>
        <v>19.53262160147781</v>
      </c>
    </row>
    <row r="699" spans="1:69" x14ac:dyDescent="0.2">
      <c r="A699" s="2" t="s">
        <v>4215</v>
      </c>
      <c r="B699" s="2" t="s">
        <v>47</v>
      </c>
      <c r="C699" s="2" t="s">
        <v>3273</v>
      </c>
      <c r="D699" s="2" t="s">
        <v>49</v>
      </c>
      <c r="E699" s="2" t="s">
        <v>3312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89</v>
      </c>
      <c r="L699" s="6" t="s">
        <v>90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4216</v>
      </c>
      <c r="R699" s="2">
        <v>10178571.43</v>
      </c>
      <c r="S699" s="2">
        <v>0</v>
      </c>
      <c r="T699" s="2" t="s">
        <v>67</v>
      </c>
      <c r="U699" s="2" t="s">
        <v>68</v>
      </c>
      <c r="V699" s="2" t="s">
        <v>56</v>
      </c>
      <c r="W699" s="2" t="s">
        <v>67</v>
      </c>
      <c r="X699" s="2" t="s">
        <v>69</v>
      </c>
      <c r="Y699" s="2">
        <v>2.5755482346260998</v>
      </c>
      <c r="Z699" s="2">
        <v>2575.5482346261001</v>
      </c>
      <c r="AA699" s="2">
        <v>4.6317666666666701</v>
      </c>
      <c r="AB699" s="2">
        <v>-74.117483333333297</v>
      </c>
      <c r="AC699" s="2">
        <v>2590</v>
      </c>
      <c r="AD699" s="2">
        <v>10</v>
      </c>
      <c r="AE699" s="2" t="s">
        <v>59</v>
      </c>
      <c r="AF699" s="2" t="s">
        <v>70</v>
      </c>
      <c r="AG699" s="2" t="s">
        <v>61</v>
      </c>
      <c r="AH699" s="2" t="s">
        <v>62</v>
      </c>
      <c r="AI699" s="2" t="s">
        <v>71</v>
      </c>
      <c r="AJ699" s="2">
        <v>1.2743011794272801</v>
      </c>
      <c r="AK699" s="2">
        <v>4.4722360459010497</v>
      </c>
      <c r="AL699" s="2">
        <v>1.27094407129919</v>
      </c>
      <c r="AM699" s="2">
        <v>0.37044015331984098</v>
      </c>
      <c r="AN699" s="2">
        <v>0.55664427708175801</v>
      </c>
      <c r="AO699" s="2">
        <v>0.33278610776345302</v>
      </c>
      <c r="AP699" s="2">
        <v>0.33278610776345302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18</v>
      </c>
      <c r="AW699" s="2">
        <v>1</v>
      </c>
      <c r="AX699" s="2">
        <v>0</v>
      </c>
      <c r="AY699" s="2">
        <v>16.600000000000001</v>
      </c>
      <c r="AZ699" s="2">
        <v>101.7</v>
      </c>
      <c r="BA699" s="2">
        <v>19.899999999999999</v>
      </c>
      <c r="BB699" s="2">
        <v>564</v>
      </c>
      <c r="BC699" s="2">
        <v>71</v>
      </c>
      <c r="BD699" s="2">
        <v>1.7</v>
      </c>
      <c r="BE699" s="2">
        <v>185</v>
      </c>
      <c r="BF699" s="2">
        <v>0.8</v>
      </c>
      <c r="BG699" s="2">
        <v>162</v>
      </c>
      <c r="BH699" s="2">
        <v>19.5</v>
      </c>
      <c r="BI699" s="2">
        <v>15.6</v>
      </c>
      <c r="BJ699" s="2">
        <v>35</v>
      </c>
      <c r="BK699" s="2">
        <v>0.68</v>
      </c>
      <c r="BL699" s="2">
        <v>5.4</v>
      </c>
      <c r="BM699" s="2">
        <v>0.9</v>
      </c>
      <c r="BN699" s="2">
        <v>4.5999999999999996</v>
      </c>
      <c r="BO699" s="2">
        <v>2.1</v>
      </c>
      <c r="BP699" s="2">
        <f t="shared" si="20"/>
        <v>89.526768096462717</v>
      </c>
      <c r="BQ699" s="2">
        <f t="shared" si="21"/>
        <v>18.70716441154422</v>
      </c>
    </row>
    <row r="700" spans="1:69" x14ac:dyDescent="0.2">
      <c r="A700" s="2" t="s">
        <v>3288</v>
      </c>
      <c r="B700" s="2" t="s">
        <v>47</v>
      </c>
      <c r="C700" s="2" t="s">
        <v>3273</v>
      </c>
      <c r="D700" s="2" t="s">
        <v>49</v>
      </c>
      <c r="E700" s="2" t="s">
        <v>3289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89</v>
      </c>
      <c r="L700" s="6" t="s">
        <v>90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3290</v>
      </c>
      <c r="R700" s="2">
        <v>9821428.5710000005</v>
      </c>
      <c r="S700" s="2">
        <v>0</v>
      </c>
      <c r="T700" s="2" t="s">
        <v>67</v>
      </c>
      <c r="U700" s="2" t="s">
        <v>68</v>
      </c>
      <c r="V700" s="2" t="s">
        <v>56</v>
      </c>
      <c r="W700" s="2" t="s">
        <v>67</v>
      </c>
      <c r="X700" s="2" t="s">
        <v>69</v>
      </c>
      <c r="Y700" s="2">
        <v>2.3245404642750702</v>
      </c>
      <c r="Z700" s="2">
        <v>2324.54046427507</v>
      </c>
      <c r="AA700" s="2">
        <v>4.6317666666666701</v>
      </c>
      <c r="AB700" s="2">
        <v>-74.117483333333297</v>
      </c>
      <c r="AC700" s="2">
        <v>2590</v>
      </c>
      <c r="AD700" s="2">
        <v>10</v>
      </c>
      <c r="AE700" s="2" t="s">
        <v>59</v>
      </c>
      <c r="AF700" s="2" t="s">
        <v>70</v>
      </c>
      <c r="AG700" s="2" t="s">
        <v>61</v>
      </c>
      <c r="AH700" s="2" t="s">
        <v>62</v>
      </c>
      <c r="AI700" s="2" t="s">
        <v>71</v>
      </c>
      <c r="AJ700" s="2">
        <v>1.13193371180297</v>
      </c>
      <c r="AK700" s="2">
        <v>4.8513249352361401</v>
      </c>
      <c r="AL700" s="2">
        <v>1.0653099201926599</v>
      </c>
      <c r="AM700" s="2">
        <v>0.31484282038205502</v>
      </c>
      <c r="AN700" s="2">
        <v>0.15046646864369201</v>
      </c>
      <c r="AO700" s="2">
        <v>0.113057707802848</v>
      </c>
      <c r="AP700" s="2">
        <v>0.113057707802848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28</v>
      </c>
      <c r="AW700" s="2">
        <v>1</v>
      </c>
      <c r="AX700" s="2">
        <v>0</v>
      </c>
      <c r="AY700" s="2">
        <v>16.600000000000001</v>
      </c>
      <c r="AZ700" s="2">
        <v>101.7</v>
      </c>
      <c r="BA700" s="2">
        <v>19.899999999999999</v>
      </c>
      <c r="BB700" s="2">
        <v>564</v>
      </c>
      <c r="BC700" s="2">
        <v>71</v>
      </c>
      <c r="BD700" s="2">
        <v>1.7</v>
      </c>
      <c r="BE700" s="2">
        <v>185</v>
      </c>
      <c r="BF700" s="2">
        <v>0.8</v>
      </c>
      <c r="BG700" s="2">
        <v>162</v>
      </c>
      <c r="BH700" s="2">
        <v>19.5</v>
      </c>
      <c r="BI700" s="2">
        <v>15.6</v>
      </c>
      <c r="BJ700" s="2">
        <v>35</v>
      </c>
      <c r="BK700" s="2">
        <v>0.68</v>
      </c>
      <c r="BL700" s="2">
        <v>5.4</v>
      </c>
      <c r="BM700" s="2">
        <v>0.9</v>
      </c>
      <c r="BN700" s="2">
        <v>4.5999999999999996</v>
      </c>
      <c r="BO700" s="2">
        <v>2.1</v>
      </c>
      <c r="BP700" s="2">
        <f t="shared" si="20"/>
        <v>90.646067042170756</v>
      </c>
      <c r="BQ700" s="2">
        <f t="shared" si="21"/>
        <v>18.820199990486696</v>
      </c>
    </row>
    <row r="701" spans="1:69" x14ac:dyDescent="0.2">
      <c r="A701" s="2" t="s">
        <v>3462</v>
      </c>
      <c r="B701" s="2" t="s">
        <v>47</v>
      </c>
      <c r="C701" s="2" t="s">
        <v>3273</v>
      </c>
      <c r="D701" s="2" t="s">
        <v>49</v>
      </c>
      <c r="E701" s="2" t="s">
        <v>1653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89</v>
      </c>
      <c r="L701" s="6" t="s">
        <v>90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3463</v>
      </c>
      <c r="R701" s="2">
        <v>7222222.2220000001</v>
      </c>
      <c r="S701" s="2">
        <v>0</v>
      </c>
      <c r="T701" s="2" t="s">
        <v>483</v>
      </c>
      <c r="U701" s="2" t="s">
        <v>484</v>
      </c>
      <c r="V701" s="2" t="s">
        <v>56</v>
      </c>
      <c r="W701" s="2" t="s">
        <v>67</v>
      </c>
      <c r="X701" s="2" t="s">
        <v>485</v>
      </c>
      <c r="Y701" s="2">
        <v>0.71883753807395101</v>
      </c>
      <c r="Z701" s="2">
        <v>718.83753807395101</v>
      </c>
      <c r="AA701" s="2">
        <v>4.6085000000000003</v>
      </c>
      <c r="AB701" s="2">
        <v>-74.114944444444404</v>
      </c>
      <c r="AC701" s="2">
        <v>2559</v>
      </c>
      <c r="AD701" s="2">
        <v>0</v>
      </c>
      <c r="AE701" s="2" t="s">
        <v>59</v>
      </c>
      <c r="AF701" s="2" t="s">
        <v>486</v>
      </c>
      <c r="AG701" s="2" t="s">
        <v>61</v>
      </c>
      <c r="AH701" s="2" t="s">
        <v>62</v>
      </c>
      <c r="AI701" s="2" t="s">
        <v>267</v>
      </c>
      <c r="AJ701" s="2">
        <v>1.4578296537306401</v>
      </c>
      <c r="AK701" s="2">
        <v>5.5102716624155299</v>
      </c>
      <c r="AL701" s="2">
        <v>3.0241666710869102</v>
      </c>
      <c r="AM701" s="2">
        <v>0.27993196438872098</v>
      </c>
      <c r="AN701" s="2">
        <v>1.2910748428949901</v>
      </c>
      <c r="AO701" s="2">
        <v>0.21791078866764799</v>
      </c>
      <c r="AP701" s="2">
        <v>0.21791078866764799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5</v>
      </c>
      <c r="AW701" s="2">
        <v>0</v>
      </c>
      <c r="AX701" s="2">
        <v>0</v>
      </c>
      <c r="AY701" s="2">
        <v>16.600000000000001</v>
      </c>
      <c r="AZ701" s="2">
        <v>101.7</v>
      </c>
      <c r="BA701" s="2">
        <v>19.899999999999999</v>
      </c>
      <c r="BB701" s="2">
        <v>564</v>
      </c>
      <c r="BC701" s="2">
        <v>71</v>
      </c>
      <c r="BD701" s="2">
        <v>1.7</v>
      </c>
      <c r="BE701" s="2">
        <v>185</v>
      </c>
      <c r="BF701" s="2">
        <v>0.8</v>
      </c>
      <c r="BG701" s="2">
        <v>162</v>
      </c>
      <c r="BH701" s="2">
        <v>19.5</v>
      </c>
      <c r="BI701" s="2">
        <v>15.6</v>
      </c>
      <c r="BJ701" s="2">
        <v>35</v>
      </c>
      <c r="BK701" s="2">
        <v>0.68</v>
      </c>
      <c r="BL701" s="2">
        <v>5.4</v>
      </c>
      <c r="BM701" s="2">
        <v>0.9</v>
      </c>
      <c r="BN701" s="2">
        <v>4.5999999999999996</v>
      </c>
      <c r="BO701" s="2">
        <v>2.1</v>
      </c>
      <c r="BP701" s="2">
        <f t="shared" si="20"/>
        <v>98.144888893056859</v>
      </c>
      <c r="BQ701" s="2">
        <f t="shared" si="21"/>
        <v>19.559627702610737</v>
      </c>
    </row>
    <row r="702" spans="1:69" x14ac:dyDescent="0.2">
      <c r="A702" s="2" t="s">
        <v>4203</v>
      </c>
      <c r="B702" s="2" t="s">
        <v>47</v>
      </c>
      <c r="C702" s="2" t="s">
        <v>3273</v>
      </c>
      <c r="D702" s="2" t="s">
        <v>49</v>
      </c>
      <c r="E702" s="2" t="s">
        <v>4204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89</v>
      </c>
      <c r="L702" s="6" t="s">
        <v>90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4205</v>
      </c>
      <c r="R702" s="2">
        <v>11081893.310000001</v>
      </c>
      <c r="S702" s="2">
        <v>0</v>
      </c>
      <c r="T702" s="2" t="s">
        <v>483</v>
      </c>
      <c r="U702" s="2" t="s">
        <v>484</v>
      </c>
      <c r="V702" s="2" t="s">
        <v>56</v>
      </c>
      <c r="W702" s="2" t="s">
        <v>67</v>
      </c>
      <c r="X702" s="2" t="s">
        <v>485</v>
      </c>
      <c r="Y702" s="2">
        <v>2.2992778579692801</v>
      </c>
      <c r="Z702" s="2">
        <v>2299.2778579692799</v>
      </c>
      <c r="AA702" s="2">
        <v>4.6085000000000003</v>
      </c>
      <c r="AB702" s="2">
        <v>-74.114944444444404</v>
      </c>
      <c r="AC702" s="2">
        <v>2559</v>
      </c>
      <c r="AD702" s="2">
        <v>0</v>
      </c>
      <c r="AE702" s="2" t="s">
        <v>59</v>
      </c>
      <c r="AF702" s="2" t="s">
        <v>486</v>
      </c>
      <c r="AG702" s="2" t="s">
        <v>61</v>
      </c>
      <c r="AH702" s="2" t="s">
        <v>62</v>
      </c>
      <c r="AI702" s="2" t="s">
        <v>267</v>
      </c>
      <c r="AJ702" s="2">
        <v>6.7148026834992797E-2</v>
      </c>
      <c r="AK702" s="2">
        <v>3.8506174629754599</v>
      </c>
      <c r="AL702" s="2">
        <v>2.2625055241488199</v>
      </c>
      <c r="AM702" s="2">
        <v>0.40456375709284897</v>
      </c>
      <c r="AN702" s="2">
        <v>0.61206504604721301</v>
      </c>
      <c r="AO702" s="2">
        <v>8.7824911363001898E-2</v>
      </c>
      <c r="AP702" s="2">
        <v>8.7824911363001898E-2</v>
      </c>
      <c r="AQ702" s="2">
        <v>2</v>
      </c>
      <c r="AR702" s="2">
        <v>4</v>
      </c>
      <c r="AS702" s="2">
        <v>0</v>
      </c>
      <c r="AT702" s="2">
        <v>0</v>
      </c>
      <c r="AU702" s="2">
        <v>0</v>
      </c>
      <c r="AV702" s="2">
        <v>9</v>
      </c>
      <c r="AW702" s="2">
        <v>1</v>
      </c>
      <c r="AX702" s="2">
        <v>0</v>
      </c>
      <c r="AY702" s="2">
        <v>16.600000000000001</v>
      </c>
      <c r="AZ702" s="2">
        <v>101.7</v>
      </c>
      <c r="BA702" s="2">
        <v>19.899999999999999</v>
      </c>
      <c r="BB702" s="2">
        <v>564</v>
      </c>
      <c r="BC702" s="2">
        <v>71</v>
      </c>
      <c r="BD702" s="2">
        <v>1.7</v>
      </c>
      <c r="BE702" s="2">
        <v>185</v>
      </c>
      <c r="BF702" s="2">
        <v>0.8</v>
      </c>
      <c r="BG702" s="2">
        <v>162</v>
      </c>
      <c r="BH702" s="2">
        <v>19.5</v>
      </c>
      <c r="BI702" s="2">
        <v>15.6</v>
      </c>
      <c r="BJ702" s="2">
        <v>35</v>
      </c>
      <c r="BK702" s="2">
        <v>0.68</v>
      </c>
      <c r="BL702" s="2">
        <v>5.4</v>
      </c>
      <c r="BM702" s="2">
        <v>0.9</v>
      </c>
      <c r="BN702" s="2">
        <v>4.5999999999999996</v>
      </c>
      <c r="BO702" s="2">
        <v>2.1</v>
      </c>
      <c r="BP702" s="2">
        <f t="shared" si="20"/>
        <v>90.759490762805854</v>
      </c>
      <c r="BQ702" s="2">
        <f t="shared" si="21"/>
        <v>18.8316141856358</v>
      </c>
    </row>
    <row r="703" spans="1:69" x14ac:dyDescent="0.2">
      <c r="A703" s="2" t="s">
        <v>4619</v>
      </c>
      <c r="B703" s="2" t="s">
        <v>47</v>
      </c>
      <c r="C703" s="2" t="s">
        <v>3273</v>
      </c>
      <c r="D703" s="2" t="s">
        <v>49</v>
      </c>
      <c r="E703" s="2" t="s">
        <v>4620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89</v>
      </c>
      <c r="L703" s="6" t="s">
        <v>90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4621</v>
      </c>
      <c r="R703" s="2">
        <v>11081893.310000001</v>
      </c>
      <c r="S703" s="2">
        <v>0</v>
      </c>
      <c r="T703" s="2" t="s">
        <v>483</v>
      </c>
      <c r="U703" s="2" t="s">
        <v>484</v>
      </c>
      <c r="V703" s="2" t="s">
        <v>56</v>
      </c>
      <c r="W703" s="2" t="s">
        <v>67</v>
      </c>
      <c r="X703" s="2" t="s">
        <v>485</v>
      </c>
      <c r="Y703" s="2">
        <v>2.1235868637799298</v>
      </c>
      <c r="Z703" s="2">
        <v>2123.5868637799299</v>
      </c>
      <c r="AA703" s="2">
        <v>4.6085000000000003</v>
      </c>
      <c r="AB703" s="2">
        <v>-74.114944444444404</v>
      </c>
      <c r="AC703" s="2">
        <v>2559</v>
      </c>
      <c r="AD703" s="2">
        <v>0</v>
      </c>
      <c r="AE703" s="2" t="s">
        <v>59</v>
      </c>
      <c r="AF703" s="2" t="s">
        <v>486</v>
      </c>
      <c r="AG703" s="2" t="s">
        <v>61</v>
      </c>
      <c r="AH703" s="2" t="s">
        <v>62</v>
      </c>
      <c r="AI703" s="2" t="s">
        <v>267</v>
      </c>
      <c r="AJ703" s="2">
        <v>0.11510411100667201</v>
      </c>
      <c r="AK703" s="2">
        <v>4.0076499358316902</v>
      </c>
      <c r="AL703" s="2">
        <v>2.3029788723361699</v>
      </c>
      <c r="AM703" s="2">
        <v>0.466398623509931</v>
      </c>
      <c r="AN703" s="2">
        <v>0.43595011600635403</v>
      </c>
      <c r="AO703" s="2">
        <v>5.8019667235574598E-2</v>
      </c>
      <c r="AP703" s="2">
        <v>5.8019667235574598E-2</v>
      </c>
      <c r="AQ703" s="2">
        <v>2</v>
      </c>
      <c r="AR703" s="2">
        <v>4</v>
      </c>
      <c r="AS703" s="2">
        <v>0</v>
      </c>
      <c r="AT703" s="2">
        <v>0</v>
      </c>
      <c r="AU703" s="2">
        <v>0</v>
      </c>
      <c r="AV703" s="2">
        <v>6</v>
      </c>
      <c r="AW703" s="2">
        <v>1</v>
      </c>
      <c r="AX703" s="2">
        <v>0</v>
      </c>
      <c r="AY703" s="2">
        <v>16.600000000000001</v>
      </c>
      <c r="AZ703" s="2">
        <v>101.7</v>
      </c>
      <c r="BA703" s="2">
        <v>19.899999999999999</v>
      </c>
      <c r="BB703" s="2">
        <v>564</v>
      </c>
      <c r="BC703" s="2">
        <v>71</v>
      </c>
      <c r="BD703" s="2">
        <v>1.7</v>
      </c>
      <c r="BE703" s="2">
        <v>185</v>
      </c>
      <c r="BF703" s="2">
        <v>0.8</v>
      </c>
      <c r="BG703" s="2">
        <v>162</v>
      </c>
      <c r="BH703" s="2">
        <v>19.5</v>
      </c>
      <c r="BI703" s="2">
        <v>15.6</v>
      </c>
      <c r="BJ703" s="2">
        <v>35</v>
      </c>
      <c r="BK703" s="2">
        <v>0.68</v>
      </c>
      <c r="BL703" s="2">
        <v>5.4</v>
      </c>
      <c r="BM703" s="2">
        <v>0.9</v>
      </c>
      <c r="BN703" s="2">
        <v>4.5999999999999996</v>
      </c>
      <c r="BO703" s="2">
        <v>2.1</v>
      </c>
      <c r="BP703" s="2">
        <f t="shared" si="20"/>
        <v>91.552241370730798</v>
      </c>
      <c r="BQ703" s="2">
        <f t="shared" si="21"/>
        <v>18.911186910715678</v>
      </c>
    </row>
    <row r="704" spans="1:69" x14ac:dyDescent="0.2">
      <c r="A704" s="2" t="s">
        <v>1087</v>
      </c>
      <c r="B704" s="2" t="s">
        <v>47</v>
      </c>
      <c r="C704" s="2" t="s">
        <v>48</v>
      </c>
      <c r="D704" s="2" t="s">
        <v>49</v>
      </c>
      <c r="E704" s="2" t="s">
        <v>1088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89</v>
      </c>
      <c r="L704" s="6" t="s">
        <v>90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1089</v>
      </c>
      <c r="R704" s="2">
        <v>10000000</v>
      </c>
      <c r="S704" s="2">
        <v>0</v>
      </c>
      <c r="T704" s="2" t="s">
        <v>67</v>
      </c>
      <c r="U704" s="2" t="s">
        <v>68</v>
      </c>
      <c r="V704" s="2" t="s">
        <v>56</v>
      </c>
      <c r="W704" s="2" t="s">
        <v>67</v>
      </c>
      <c r="X704" s="2" t="s">
        <v>69</v>
      </c>
      <c r="Y704" s="2">
        <v>0.53754129474474999</v>
      </c>
      <c r="Z704" s="2">
        <v>537.54129474474996</v>
      </c>
      <c r="AA704" s="2">
        <v>4.6317666666666701</v>
      </c>
      <c r="AB704" s="2">
        <v>-74.117483333333297</v>
      </c>
      <c r="AC704" s="2">
        <v>2590</v>
      </c>
      <c r="AD704" s="2">
        <v>10</v>
      </c>
      <c r="AE704" s="2" t="s">
        <v>59</v>
      </c>
      <c r="AF704" s="2" t="s">
        <v>70</v>
      </c>
      <c r="AG704" s="2" t="s">
        <v>61</v>
      </c>
      <c r="AH704" s="2" t="s">
        <v>62</v>
      </c>
      <c r="AI704" s="2" t="s">
        <v>267</v>
      </c>
      <c r="AJ704" s="2">
        <v>0.35399472938465898</v>
      </c>
      <c r="AK704" s="2">
        <v>5.2314287437130602</v>
      </c>
      <c r="AL704" s="2">
        <v>1.2727577125043701</v>
      </c>
      <c r="AM704" s="2">
        <v>0.154042461416878</v>
      </c>
      <c r="AN704" s="2">
        <v>2.48029832043416</v>
      </c>
      <c r="AO704" s="2">
        <v>0.25191701468262201</v>
      </c>
      <c r="AP704" s="2">
        <v>0.25191701468262201</v>
      </c>
      <c r="AQ704" s="2">
        <v>1</v>
      </c>
      <c r="AR704" s="2">
        <v>2</v>
      </c>
      <c r="AS704" s="2">
        <v>0</v>
      </c>
      <c r="AT704" s="2">
        <v>0</v>
      </c>
      <c r="AU704" s="2">
        <v>0</v>
      </c>
      <c r="AV704" s="2">
        <v>44</v>
      </c>
      <c r="AW704" s="2">
        <v>0</v>
      </c>
      <c r="AX704" s="2">
        <v>0</v>
      </c>
      <c r="AY704" s="2">
        <v>16.600000000000001</v>
      </c>
      <c r="AZ704" s="2">
        <v>101.7</v>
      </c>
      <c r="BA704" s="2">
        <v>19.899999999999999</v>
      </c>
      <c r="BB704" s="2">
        <v>564</v>
      </c>
      <c r="BC704" s="2">
        <v>71</v>
      </c>
      <c r="BD704" s="2">
        <v>1.7</v>
      </c>
      <c r="BE704" s="2">
        <v>185</v>
      </c>
      <c r="BF704" s="2">
        <v>0.8</v>
      </c>
      <c r="BG704" s="2">
        <v>162</v>
      </c>
      <c r="BH704" s="2">
        <v>19.5</v>
      </c>
      <c r="BI704" s="2">
        <v>15.6</v>
      </c>
      <c r="BJ704" s="2">
        <v>35</v>
      </c>
      <c r="BK704" s="2">
        <v>0.68</v>
      </c>
      <c r="BL704" s="2">
        <v>5.4</v>
      </c>
      <c r="BM704" s="2">
        <v>0.9</v>
      </c>
      <c r="BN704" s="2">
        <v>4.5999999999999996</v>
      </c>
      <c r="BO704" s="2">
        <v>2.1</v>
      </c>
      <c r="BP704" s="2">
        <f t="shared" si="20"/>
        <v>99.02962115466994</v>
      </c>
      <c r="BQ704" s="2">
        <f t="shared" si="21"/>
        <v>19.64491921297472</v>
      </c>
    </row>
    <row r="705" spans="1:69" x14ac:dyDescent="0.2">
      <c r="A705" s="2" t="s">
        <v>3725</v>
      </c>
      <c r="B705" s="2" t="s">
        <v>47</v>
      </c>
      <c r="C705" s="2" t="s">
        <v>3273</v>
      </c>
      <c r="D705" s="2" t="s">
        <v>49</v>
      </c>
      <c r="E705" s="2" t="s">
        <v>2965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89</v>
      </c>
      <c r="L705" s="6" t="s">
        <v>112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3726</v>
      </c>
      <c r="R705" s="2">
        <v>7708333.3329999996</v>
      </c>
      <c r="S705" s="2">
        <v>0</v>
      </c>
      <c r="T705" s="2" t="s">
        <v>483</v>
      </c>
      <c r="U705" s="2" t="s">
        <v>484</v>
      </c>
      <c r="V705" s="2" t="s">
        <v>56</v>
      </c>
      <c r="W705" s="2" t="s">
        <v>67</v>
      </c>
      <c r="X705" s="2" t="s">
        <v>485</v>
      </c>
      <c r="Y705" s="2">
        <v>1.62848758390218</v>
      </c>
      <c r="Z705" s="2">
        <v>1628.4875839021799</v>
      </c>
      <c r="AA705" s="2">
        <v>4.6085000000000003</v>
      </c>
      <c r="AB705" s="2">
        <v>-74.114944444444404</v>
      </c>
      <c r="AC705" s="2">
        <v>2559</v>
      </c>
      <c r="AD705" s="2">
        <v>0</v>
      </c>
      <c r="AE705" s="2" t="s">
        <v>59</v>
      </c>
      <c r="AF705" s="2" t="s">
        <v>486</v>
      </c>
      <c r="AG705" s="2" t="s">
        <v>61</v>
      </c>
      <c r="AH705" s="2" t="s">
        <v>62</v>
      </c>
      <c r="AI705" s="2" t="s">
        <v>267</v>
      </c>
      <c r="AJ705" s="2">
        <v>0.11194744421722801</v>
      </c>
      <c r="AK705" s="2">
        <v>3.92494896469189</v>
      </c>
      <c r="AL705" s="2">
        <v>1.48439196490678</v>
      </c>
      <c r="AM705" s="2">
        <v>0.16231904282871201</v>
      </c>
      <c r="AN705" s="2">
        <v>1.4275523821191101</v>
      </c>
      <c r="AO705" s="2">
        <v>0.16453542357343601</v>
      </c>
      <c r="AP705" s="2">
        <v>0.16453542357343601</v>
      </c>
      <c r="AQ705" s="2">
        <v>2</v>
      </c>
      <c r="AR705" s="2">
        <v>3</v>
      </c>
      <c r="AS705" s="2">
        <v>0</v>
      </c>
      <c r="AT705" s="2">
        <v>0</v>
      </c>
      <c r="AU705" s="2">
        <v>0</v>
      </c>
      <c r="AV705" s="2">
        <v>23</v>
      </c>
      <c r="AW705" s="2">
        <v>0</v>
      </c>
      <c r="AX705" s="2">
        <v>0</v>
      </c>
      <c r="AY705" s="2">
        <v>16.600000000000001</v>
      </c>
      <c r="AZ705" s="2">
        <v>101.7</v>
      </c>
      <c r="BA705" s="2">
        <v>19.899999999999999</v>
      </c>
      <c r="BB705" s="2">
        <v>564</v>
      </c>
      <c r="BC705" s="2">
        <v>71</v>
      </c>
      <c r="BD705" s="2">
        <v>1.7</v>
      </c>
      <c r="BE705" s="2">
        <v>185</v>
      </c>
      <c r="BF705" s="2">
        <v>0.8</v>
      </c>
      <c r="BG705" s="2">
        <v>162</v>
      </c>
      <c r="BH705" s="2">
        <v>19.5</v>
      </c>
      <c r="BI705" s="2">
        <v>15.6</v>
      </c>
      <c r="BJ705" s="2">
        <v>35</v>
      </c>
      <c r="BK705" s="2">
        <v>0.68</v>
      </c>
      <c r="BL705" s="2">
        <v>5.4</v>
      </c>
      <c r="BM705" s="2">
        <v>0.9</v>
      </c>
      <c r="BN705" s="2">
        <v>4.5999999999999996</v>
      </c>
      <c r="BO705" s="2">
        <v>2.1</v>
      </c>
      <c r="BP705" s="2">
        <f t="shared" si="20"/>
        <v>93.823669817714517</v>
      </c>
      <c r="BQ705" s="2">
        <f t="shared" si="21"/>
        <v>19.137237219681793</v>
      </c>
    </row>
    <row r="706" spans="1:69" x14ac:dyDescent="0.2">
      <c r="A706" s="2" t="s">
        <v>3138</v>
      </c>
      <c r="B706" s="2" t="s">
        <v>47</v>
      </c>
      <c r="C706" s="2" t="s">
        <v>1935</v>
      </c>
      <c r="D706" s="2" t="s">
        <v>49</v>
      </c>
      <c r="E706" s="2" t="s">
        <v>1124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89</v>
      </c>
      <c r="L706" s="6" t="s">
        <v>141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3139</v>
      </c>
      <c r="R706" s="2">
        <v>2428571.429</v>
      </c>
      <c r="S706" s="2">
        <v>0</v>
      </c>
      <c r="T706" s="2" t="s">
        <v>54</v>
      </c>
      <c r="U706" s="2" t="s">
        <v>55</v>
      </c>
      <c r="V706" s="2" t="s">
        <v>56</v>
      </c>
      <c r="W706" s="2" t="s">
        <v>57</v>
      </c>
      <c r="X706" s="2" t="s">
        <v>58</v>
      </c>
      <c r="Y706" s="2">
        <v>2.4456029259714702</v>
      </c>
      <c r="Z706" s="2">
        <v>2445.6029259714701</v>
      </c>
      <c r="AA706" s="2">
        <v>4.6584666666666701</v>
      </c>
      <c r="AB706" s="2">
        <v>-74.083966666666697</v>
      </c>
      <c r="AC706" s="2">
        <v>2552</v>
      </c>
      <c r="AD706" s="2">
        <v>0</v>
      </c>
      <c r="AE706" s="2" t="s">
        <v>59</v>
      </c>
      <c r="AF706" s="2" t="s">
        <v>60</v>
      </c>
      <c r="AG706" s="2" t="s">
        <v>61</v>
      </c>
      <c r="AH706" s="2" t="s">
        <v>62</v>
      </c>
      <c r="AI706" s="2" t="s">
        <v>391</v>
      </c>
      <c r="AJ706" s="2">
        <v>1.1344577194352301</v>
      </c>
      <c r="AK706" s="2">
        <v>5.9535298056065402</v>
      </c>
      <c r="AL706" s="2">
        <v>1.43709960104598</v>
      </c>
      <c r="AM706" s="2">
        <v>6.5734622516183894E-2</v>
      </c>
      <c r="AN706" s="2">
        <v>2.19441244635457</v>
      </c>
      <c r="AO706" s="2">
        <v>0.45176713435278198</v>
      </c>
      <c r="AP706" s="2">
        <v>0.45176713435278198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30</v>
      </c>
      <c r="AW706" s="2">
        <v>0</v>
      </c>
      <c r="AX706" s="2">
        <v>0</v>
      </c>
      <c r="AZ706" s="2">
        <v>6.8</v>
      </c>
      <c r="BA706" s="2">
        <v>19.899999999999999</v>
      </c>
      <c r="BB706" s="2">
        <v>564</v>
      </c>
      <c r="BC706" s="2">
        <v>68</v>
      </c>
      <c r="BD706" s="2">
        <v>1.5</v>
      </c>
      <c r="BE706" s="2">
        <v>135</v>
      </c>
      <c r="BF706" s="2">
        <v>0.8</v>
      </c>
      <c r="BG706" s="2">
        <v>162</v>
      </c>
      <c r="BH706" s="2">
        <v>9.1</v>
      </c>
      <c r="BI706" s="2">
        <v>9.1999999999999993</v>
      </c>
      <c r="BJ706" s="2">
        <v>18.3</v>
      </c>
      <c r="BK706" s="2">
        <v>0.34</v>
      </c>
      <c r="BL706" s="2">
        <v>7.3</v>
      </c>
      <c r="BM706" s="2">
        <v>0.9</v>
      </c>
      <c r="BN706" s="2">
        <v>7.5</v>
      </c>
      <c r="BO706" s="2">
        <v>2.9</v>
      </c>
      <c r="BP706" s="2">
        <f t="shared" ref="BP706:BP769" si="22">+AZ706*EXP(-0.0495*Y706)</f>
        <v>6.024685430729992</v>
      </c>
      <c r="BQ706" s="2">
        <f t="shared" ref="BQ706:BQ769" si="23">+BA706*EXP(-0.024*Y706)</f>
        <v>18.765597279191887</v>
      </c>
    </row>
    <row r="707" spans="1:69" x14ac:dyDescent="0.2">
      <c r="A707" s="2" t="s">
        <v>2153</v>
      </c>
      <c r="B707" s="2" t="s">
        <v>47</v>
      </c>
      <c r="C707" s="2" t="s">
        <v>1935</v>
      </c>
      <c r="D707" s="2" t="s">
        <v>49</v>
      </c>
      <c r="E707" s="2" t="s">
        <v>1170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89</v>
      </c>
      <c r="L707" s="6" t="s">
        <v>141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2154</v>
      </c>
      <c r="R707" s="2">
        <v>3970588.2349999999</v>
      </c>
      <c r="S707" s="2">
        <v>0</v>
      </c>
      <c r="T707" s="2" t="s">
        <v>54</v>
      </c>
      <c r="U707" s="2" t="s">
        <v>55</v>
      </c>
      <c r="V707" s="2" t="s">
        <v>56</v>
      </c>
      <c r="W707" s="2" t="s">
        <v>57</v>
      </c>
      <c r="X707" s="2" t="s">
        <v>58</v>
      </c>
      <c r="Y707" s="2">
        <v>2.6721840419879399</v>
      </c>
      <c r="Z707" s="2">
        <v>2672.18404198794</v>
      </c>
      <c r="AA707" s="2">
        <v>4.6584666666666701</v>
      </c>
      <c r="AB707" s="2">
        <v>-74.083966666666697</v>
      </c>
      <c r="AC707" s="2">
        <v>2552</v>
      </c>
      <c r="AD707" s="2">
        <v>0</v>
      </c>
      <c r="AE707" s="2" t="s">
        <v>59</v>
      </c>
      <c r="AF707" s="2" t="s">
        <v>60</v>
      </c>
      <c r="AG707" s="2" t="s">
        <v>61</v>
      </c>
      <c r="AH707" s="2" t="s">
        <v>62</v>
      </c>
      <c r="AI707" s="2" t="s">
        <v>109</v>
      </c>
      <c r="AJ707" s="2">
        <v>0.39143358827290398</v>
      </c>
      <c r="AK707" s="2">
        <v>1.1081952671976301</v>
      </c>
      <c r="AL707" s="2">
        <v>0.15887575705823101</v>
      </c>
      <c r="AM707" s="2">
        <v>4.2418293031545998E-2</v>
      </c>
      <c r="AN707" s="2">
        <v>1.1992845981124201</v>
      </c>
      <c r="AO707" s="2">
        <v>8.0737157147833492E-3</v>
      </c>
      <c r="AP707" s="2">
        <v>8.0737157147833492E-3</v>
      </c>
      <c r="AQ707" s="2">
        <v>1</v>
      </c>
      <c r="AR707" s="2">
        <v>3</v>
      </c>
      <c r="AS707" s="2">
        <v>0</v>
      </c>
      <c r="AT707" s="2">
        <v>0</v>
      </c>
      <c r="AU707" s="2">
        <v>21</v>
      </c>
      <c r="AV707" s="2">
        <v>79</v>
      </c>
      <c r="AW707" s="2">
        <v>0</v>
      </c>
      <c r="AX707" s="2">
        <v>0</v>
      </c>
      <c r="AZ707" s="2">
        <v>6.8</v>
      </c>
      <c r="BA707" s="2">
        <v>19.899999999999999</v>
      </c>
      <c r="BB707" s="2">
        <v>564</v>
      </c>
      <c r="BC707" s="2">
        <v>68</v>
      </c>
      <c r="BD707" s="2">
        <v>1.5</v>
      </c>
      <c r="BE707" s="2">
        <v>135</v>
      </c>
      <c r="BF707" s="2">
        <v>0.8</v>
      </c>
      <c r="BG707" s="2">
        <v>162</v>
      </c>
      <c r="BH707" s="2">
        <v>9.1</v>
      </c>
      <c r="BI707" s="2">
        <v>9.1999999999999993</v>
      </c>
      <c r="BJ707" s="2">
        <v>18.3</v>
      </c>
      <c r="BK707" s="2">
        <v>0.34</v>
      </c>
      <c r="BL707" s="2">
        <v>7.3</v>
      </c>
      <c r="BM707" s="2">
        <v>0.9</v>
      </c>
      <c r="BN707" s="2">
        <v>7.5</v>
      </c>
      <c r="BO707" s="2">
        <v>2.9</v>
      </c>
      <c r="BP707" s="2">
        <f t="shared" si="22"/>
        <v>5.9574914933686616</v>
      </c>
      <c r="BQ707" s="2">
        <f t="shared" si="23"/>
        <v>18.663827918780623</v>
      </c>
    </row>
    <row r="708" spans="1:69" x14ac:dyDescent="0.2">
      <c r="A708" s="2" t="s">
        <v>2258</v>
      </c>
      <c r="B708" s="2" t="s">
        <v>47</v>
      </c>
      <c r="C708" s="2" t="s">
        <v>1935</v>
      </c>
      <c r="D708" s="2" t="s">
        <v>49</v>
      </c>
      <c r="E708" s="2" t="s">
        <v>272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89</v>
      </c>
      <c r="L708" s="6" t="s">
        <v>141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2259</v>
      </c>
      <c r="R708" s="2">
        <v>4255319.1490000002</v>
      </c>
      <c r="S708" s="2">
        <v>0</v>
      </c>
      <c r="T708" s="2" t="s">
        <v>105</v>
      </c>
      <c r="U708" s="2" t="s">
        <v>106</v>
      </c>
      <c r="V708" s="2" t="s">
        <v>56</v>
      </c>
      <c r="W708" s="2" t="s">
        <v>107</v>
      </c>
      <c r="X708" s="2" t="s">
        <v>108</v>
      </c>
      <c r="Y708" s="2">
        <v>1.28014419478371</v>
      </c>
      <c r="Z708" s="2">
        <v>1280.14419478371</v>
      </c>
      <c r="AA708" s="2">
        <v>4.6254861111111101</v>
      </c>
      <c r="AB708" s="2">
        <v>-74.066980555555503</v>
      </c>
      <c r="AC708" s="2">
        <v>2621</v>
      </c>
      <c r="AD708" s="2">
        <v>15</v>
      </c>
      <c r="AE708" s="2" t="s">
        <v>59</v>
      </c>
      <c r="AF708" s="2" t="s">
        <v>60</v>
      </c>
      <c r="AG708" s="2" t="s">
        <v>61</v>
      </c>
      <c r="AH708" s="2" t="s">
        <v>62</v>
      </c>
      <c r="AI708" s="2" t="s">
        <v>117</v>
      </c>
      <c r="AJ708" s="2">
        <v>0.18536733381345599</v>
      </c>
      <c r="AK708" s="2">
        <v>0.86806832905159104</v>
      </c>
      <c r="AL708" s="2">
        <v>0.249578023172773</v>
      </c>
      <c r="AM708" s="2">
        <v>0.106232067493285</v>
      </c>
      <c r="AN708" s="2">
        <v>0.59954422866162904</v>
      </c>
      <c r="AO708" s="2">
        <v>0.28065880158380202</v>
      </c>
      <c r="AP708" s="2">
        <v>0.28065880158380202</v>
      </c>
      <c r="AQ708" s="2">
        <v>3</v>
      </c>
      <c r="AR708" s="2">
        <v>7</v>
      </c>
      <c r="AS708" s="2">
        <v>0</v>
      </c>
      <c r="AT708" s="2">
        <v>1</v>
      </c>
      <c r="AU708" s="2">
        <v>8</v>
      </c>
      <c r="AV708" s="2">
        <v>67</v>
      </c>
      <c r="AW708" s="2">
        <v>1</v>
      </c>
      <c r="AX708" s="2">
        <v>4</v>
      </c>
      <c r="AZ708" s="2">
        <v>6.8</v>
      </c>
      <c r="BA708" s="2">
        <v>19.899999999999999</v>
      </c>
      <c r="BB708" s="2">
        <v>564</v>
      </c>
      <c r="BC708" s="2">
        <v>68</v>
      </c>
      <c r="BD708" s="2">
        <v>1.5</v>
      </c>
      <c r="BE708" s="2">
        <v>135</v>
      </c>
      <c r="BF708" s="2">
        <v>0.8</v>
      </c>
      <c r="BG708" s="2">
        <v>162</v>
      </c>
      <c r="BH708" s="2">
        <v>9.1</v>
      </c>
      <c r="BI708" s="2">
        <v>9.1999999999999993</v>
      </c>
      <c r="BJ708" s="2">
        <v>18.3</v>
      </c>
      <c r="BK708" s="2">
        <v>0.34</v>
      </c>
      <c r="BL708" s="2">
        <v>7.3</v>
      </c>
      <c r="BM708" s="2">
        <v>0.9</v>
      </c>
      <c r="BN708" s="2">
        <v>7.5</v>
      </c>
      <c r="BO708" s="2">
        <v>2.9</v>
      </c>
      <c r="BP708" s="2">
        <f t="shared" si="22"/>
        <v>6.3824719451878398</v>
      </c>
      <c r="BQ708" s="2">
        <f t="shared" si="23"/>
        <v>19.297899794573944</v>
      </c>
    </row>
    <row r="709" spans="1:69" x14ac:dyDescent="0.2">
      <c r="A709" s="2" t="s">
        <v>2383</v>
      </c>
      <c r="B709" s="2" t="s">
        <v>47</v>
      </c>
      <c r="C709" s="2" t="s">
        <v>1935</v>
      </c>
      <c r="D709" s="2" t="s">
        <v>49</v>
      </c>
      <c r="E709" s="2" t="s">
        <v>2384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89</v>
      </c>
      <c r="L709" s="6" t="s">
        <v>90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2385</v>
      </c>
      <c r="R709" s="2">
        <v>5455357.1430000002</v>
      </c>
      <c r="S709" s="2">
        <v>0</v>
      </c>
      <c r="T709" s="2" t="s">
        <v>54</v>
      </c>
      <c r="U709" s="2" t="s">
        <v>55</v>
      </c>
      <c r="V709" s="2" t="s">
        <v>56</v>
      </c>
      <c r="W709" s="2" t="s">
        <v>57</v>
      </c>
      <c r="X709" s="2" t="s">
        <v>58</v>
      </c>
      <c r="Y709" s="2">
        <v>1.95353306843476</v>
      </c>
      <c r="Z709" s="2">
        <v>1953.53306843476</v>
      </c>
      <c r="AA709" s="2">
        <v>4.6584666666666701</v>
      </c>
      <c r="AB709" s="2">
        <v>-74.083966666666697</v>
      </c>
      <c r="AC709" s="2">
        <v>2552</v>
      </c>
      <c r="AD709" s="2">
        <v>0</v>
      </c>
      <c r="AE709" s="2" t="s">
        <v>59</v>
      </c>
      <c r="AF709" s="2" t="s">
        <v>60</v>
      </c>
      <c r="AG709" s="2" t="s">
        <v>61</v>
      </c>
      <c r="AH709" s="2" t="s">
        <v>62</v>
      </c>
      <c r="AI709" s="2" t="s">
        <v>321</v>
      </c>
      <c r="AJ709" s="2">
        <v>0.41340206733656898</v>
      </c>
      <c r="AK709" s="2">
        <v>1.83553149755685</v>
      </c>
      <c r="AL709" s="2">
        <v>0.26611012078056601</v>
      </c>
      <c r="AM709" s="2">
        <v>0.18810890223891999</v>
      </c>
      <c r="AN709" s="2">
        <v>1.73135888457756</v>
      </c>
      <c r="AO709" s="2">
        <v>1.00966899416601E-2</v>
      </c>
      <c r="AP709" s="2">
        <v>1.00966899416601E-2</v>
      </c>
      <c r="AQ709" s="2">
        <v>1</v>
      </c>
      <c r="AR709" s="2">
        <v>3</v>
      </c>
      <c r="AS709" s="2">
        <v>0</v>
      </c>
      <c r="AT709" s="2">
        <v>0</v>
      </c>
      <c r="AU709" s="2">
        <v>19</v>
      </c>
      <c r="AV709" s="2">
        <v>75</v>
      </c>
      <c r="AW709" s="2">
        <v>0</v>
      </c>
      <c r="AX709" s="2">
        <v>0</v>
      </c>
      <c r="AZ709" s="2">
        <v>6.8</v>
      </c>
      <c r="BA709" s="2">
        <v>19.899999999999999</v>
      </c>
      <c r="BB709" s="2">
        <v>564</v>
      </c>
      <c r="BC709" s="2">
        <v>68</v>
      </c>
      <c r="BD709" s="2">
        <v>1.5</v>
      </c>
      <c r="BE709" s="2">
        <v>135</v>
      </c>
      <c r="BF709" s="2">
        <v>0.8</v>
      </c>
      <c r="BG709" s="2">
        <v>162</v>
      </c>
      <c r="BH709" s="2">
        <v>9.1</v>
      </c>
      <c r="BI709" s="2">
        <v>9.1999999999999993</v>
      </c>
      <c r="BJ709" s="2">
        <v>18.3</v>
      </c>
      <c r="BK709" s="2">
        <v>0.34</v>
      </c>
      <c r="BL709" s="2">
        <v>7.3</v>
      </c>
      <c r="BM709" s="2">
        <v>0.9</v>
      </c>
      <c r="BN709" s="2">
        <v>7.5</v>
      </c>
      <c r="BO709" s="2">
        <v>2.9</v>
      </c>
      <c r="BP709" s="2">
        <f t="shared" si="22"/>
        <v>6.1732332319683545</v>
      </c>
      <c r="BQ709" s="2">
        <f t="shared" si="23"/>
        <v>18.988526685035492</v>
      </c>
    </row>
    <row r="710" spans="1:69" x14ac:dyDescent="0.2">
      <c r="A710" s="2" t="s">
        <v>2437</v>
      </c>
      <c r="B710" s="2" t="s">
        <v>47</v>
      </c>
      <c r="C710" s="2" t="s">
        <v>1935</v>
      </c>
      <c r="D710" s="2" t="s">
        <v>49</v>
      </c>
      <c r="E710" s="2" t="s">
        <v>109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89</v>
      </c>
      <c r="L710" s="6" t="s">
        <v>141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2438</v>
      </c>
      <c r="R710" s="2">
        <v>3914454.841</v>
      </c>
      <c r="S710" s="2">
        <v>0</v>
      </c>
      <c r="T710" s="2" t="s">
        <v>105</v>
      </c>
      <c r="U710" s="2" t="s">
        <v>106</v>
      </c>
      <c r="V710" s="2" t="s">
        <v>56</v>
      </c>
      <c r="W710" s="2" t="s">
        <v>107</v>
      </c>
      <c r="X710" s="2" t="s">
        <v>108</v>
      </c>
      <c r="Y710" s="2">
        <v>0.34559675648635702</v>
      </c>
      <c r="Z710" s="2">
        <v>345.59675648635698</v>
      </c>
      <c r="AA710" s="2">
        <v>4.6254861111111101</v>
      </c>
      <c r="AB710" s="2">
        <v>-74.066980555555503</v>
      </c>
      <c r="AC710" s="2">
        <v>2621</v>
      </c>
      <c r="AD710" s="2">
        <v>15</v>
      </c>
      <c r="AE710" s="2" t="s">
        <v>59</v>
      </c>
      <c r="AF710" s="2" t="s">
        <v>60</v>
      </c>
      <c r="AG710" s="2" t="s">
        <v>61</v>
      </c>
      <c r="AH710" s="2" t="s">
        <v>62</v>
      </c>
      <c r="AI710" s="2" t="s">
        <v>109</v>
      </c>
      <c r="AJ710" s="2">
        <v>0.212001933779249</v>
      </c>
      <c r="AK710" s="2">
        <v>0.74680886920634304</v>
      </c>
      <c r="AL710" s="2">
        <v>0.164909424478553</v>
      </c>
      <c r="AM710" s="2">
        <v>9.1007391324608694E-2</v>
      </c>
      <c r="AN710" s="2">
        <v>0.159500188138884</v>
      </c>
      <c r="AO710" s="2">
        <v>0.102652309210954</v>
      </c>
      <c r="AP710" s="2">
        <v>0.102652309210954</v>
      </c>
      <c r="AQ710" s="2">
        <v>3</v>
      </c>
      <c r="AR710" s="2">
        <v>4</v>
      </c>
      <c r="AS710" s="2">
        <v>0</v>
      </c>
      <c r="AT710" s="2">
        <v>14</v>
      </c>
      <c r="AU710" s="2">
        <v>19</v>
      </c>
      <c r="AV710" s="2">
        <v>139</v>
      </c>
      <c r="AW710" s="2">
        <v>1</v>
      </c>
      <c r="AX710" s="2">
        <v>1</v>
      </c>
      <c r="AZ710" s="2">
        <v>6.8</v>
      </c>
      <c r="BA710" s="2">
        <v>19.899999999999999</v>
      </c>
      <c r="BB710" s="2">
        <v>564</v>
      </c>
      <c r="BC710" s="2">
        <v>68</v>
      </c>
      <c r="BD710" s="2">
        <v>1.5</v>
      </c>
      <c r="BE710" s="2">
        <v>135</v>
      </c>
      <c r="BF710" s="2">
        <v>0.8</v>
      </c>
      <c r="BG710" s="2">
        <v>162</v>
      </c>
      <c r="BH710" s="2">
        <v>9.1</v>
      </c>
      <c r="BI710" s="2">
        <v>9.1999999999999993</v>
      </c>
      <c r="BJ710" s="2">
        <v>18.3</v>
      </c>
      <c r="BK710" s="2">
        <v>0.34</v>
      </c>
      <c r="BL710" s="2">
        <v>7.3</v>
      </c>
      <c r="BM710" s="2">
        <v>0.9</v>
      </c>
      <c r="BN710" s="2">
        <v>7.5</v>
      </c>
      <c r="BO710" s="2">
        <v>2.9</v>
      </c>
      <c r="BP710" s="2">
        <f t="shared" si="22"/>
        <v>6.6846614947578598</v>
      </c>
      <c r="BQ710" s="2">
        <f t="shared" si="23"/>
        <v>19.735625618493525</v>
      </c>
    </row>
    <row r="711" spans="1:69" x14ac:dyDescent="0.2">
      <c r="A711" s="2" t="s">
        <v>2970</v>
      </c>
      <c r="B711" s="2" t="s">
        <v>47</v>
      </c>
      <c r="C711" s="2" t="s">
        <v>1935</v>
      </c>
      <c r="D711" s="2" t="s">
        <v>49</v>
      </c>
      <c r="E711" s="2" t="s">
        <v>2971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89</v>
      </c>
      <c r="L711" s="6" t="s">
        <v>141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2972</v>
      </c>
      <c r="R711" s="2">
        <v>1713395.639</v>
      </c>
      <c r="S711" s="2">
        <v>0</v>
      </c>
      <c r="T711" s="2" t="s">
        <v>54</v>
      </c>
      <c r="U711" s="2" t="s">
        <v>55</v>
      </c>
      <c r="V711" s="2" t="s">
        <v>56</v>
      </c>
      <c r="W711" s="2" t="s">
        <v>57</v>
      </c>
      <c r="X711" s="2" t="s">
        <v>58</v>
      </c>
      <c r="Y711" s="2">
        <v>2.4561821241264199</v>
      </c>
      <c r="Z711" s="2">
        <v>2456.1821241264201</v>
      </c>
      <c r="AA711" s="2">
        <v>4.6584666666666701</v>
      </c>
      <c r="AB711" s="2">
        <v>-74.083966666666697</v>
      </c>
      <c r="AC711" s="2">
        <v>2552</v>
      </c>
      <c r="AD711" s="2">
        <v>0</v>
      </c>
      <c r="AE711" s="2" t="s">
        <v>59</v>
      </c>
      <c r="AF711" s="2" t="s">
        <v>60</v>
      </c>
      <c r="AG711" s="2" t="s">
        <v>61</v>
      </c>
      <c r="AH711" s="2" t="s">
        <v>62</v>
      </c>
      <c r="AI711" s="2" t="s">
        <v>391</v>
      </c>
      <c r="AJ711" s="2">
        <v>1.15279774250805</v>
      </c>
      <c r="AK711" s="2">
        <v>5.1577498219750098</v>
      </c>
      <c r="AL711" s="2">
        <v>1.7409819362213801</v>
      </c>
      <c r="AM711" s="2">
        <v>0.12780144398689899</v>
      </c>
      <c r="AN711" s="2">
        <v>1.0521101305499101</v>
      </c>
      <c r="AO711" s="2">
        <v>9.0081148816427304E-3</v>
      </c>
      <c r="AP711" s="2">
        <v>9.0081148816427304E-3</v>
      </c>
      <c r="AQ711" s="2">
        <v>0</v>
      </c>
      <c r="AR711" s="2">
        <v>0</v>
      </c>
      <c r="AS711" s="2">
        <v>0</v>
      </c>
      <c r="AT711" s="2">
        <v>0</v>
      </c>
      <c r="AU711" s="2">
        <v>0</v>
      </c>
      <c r="AV711" s="2">
        <v>20</v>
      </c>
      <c r="AW711" s="2">
        <v>0</v>
      </c>
      <c r="AX711" s="2">
        <v>0</v>
      </c>
      <c r="AZ711" s="2">
        <v>6.8</v>
      </c>
      <c r="BA711" s="2">
        <v>19.899999999999999</v>
      </c>
      <c r="BB711" s="2">
        <v>564</v>
      </c>
      <c r="BC711" s="2">
        <v>68</v>
      </c>
      <c r="BD711" s="2">
        <v>1.5</v>
      </c>
      <c r="BE711" s="2">
        <v>135</v>
      </c>
      <c r="BF711" s="2">
        <v>0.8</v>
      </c>
      <c r="BG711" s="2">
        <v>162</v>
      </c>
      <c r="BH711" s="2">
        <v>9.1</v>
      </c>
      <c r="BI711" s="2">
        <v>9.1999999999999993</v>
      </c>
      <c r="BJ711" s="2">
        <v>18.3</v>
      </c>
      <c r="BK711" s="2">
        <v>0.34</v>
      </c>
      <c r="BL711" s="2">
        <v>7.3</v>
      </c>
      <c r="BM711" s="2">
        <v>0.9</v>
      </c>
      <c r="BN711" s="2">
        <v>7.5</v>
      </c>
      <c r="BO711" s="2">
        <v>2.9</v>
      </c>
      <c r="BP711" s="2">
        <f t="shared" si="22"/>
        <v>6.0215313077831913</v>
      </c>
      <c r="BQ711" s="2">
        <f t="shared" si="23"/>
        <v>18.760833284677684</v>
      </c>
    </row>
    <row r="712" spans="1:69" x14ac:dyDescent="0.2">
      <c r="A712" s="2" t="s">
        <v>2071</v>
      </c>
      <c r="B712" s="2" t="s">
        <v>47</v>
      </c>
      <c r="C712" s="2" t="s">
        <v>1935</v>
      </c>
      <c r="D712" s="2" t="s">
        <v>49</v>
      </c>
      <c r="E712" s="2" t="s">
        <v>2072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89</v>
      </c>
      <c r="L712" s="6" t="s">
        <v>141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2073</v>
      </c>
      <c r="R712" s="2">
        <v>3444881.89</v>
      </c>
      <c r="S712" s="2">
        <v>0</v>
      </c>
      <c r="T712" s="2" t="s">
        <v>54</v>
      </c>
      <c r="U712" s="2" t="s">
        <v>55</v>
      </c>
      <c r="V712" s="2" t="s">
        <v>56</v>
      </c>
      <c r="W712" s="2" t="s">
        <v>57</v>
      </c>
      <c r="X712" s="2" t="s">
        <v>58</v>
      </c>
      <c r="Y712" s="2">
        <v>3.34376730023155</v>
      </c>
      <c r="Z712" s="2">
        <v>3343.7673002315501</v>
      </c>
      <c r="AA712" s="2">
        <v>4.6584666666666701</v>
      </c>
      <c r="AB712" s="2">
        <v>-74.083966666666697</v>
      </c>
      <c r="AC712" s="2">
        <v>2552</v>
      </c>
      <c r="AD712" s="2">
        <v>0</v>
      </c>
      <c r="AE712" s="2" t="s">
        <v>59</v>
      </c>
      <c r="AF712" s="2" t="s">
        <v>60</v>
      </c>
      <c r="AG712" s="2" t="s">
        <v>61</v>
      </c>
      <c r="AH712" s="2" t="s">
        <v>62</v>
      </c>
      <c r="AI712" s="2" t="s">
        <v>391</v>
      </c>
      <c r="AJ712" s="2">
        <v>0.39961463616695297</v>
      </c>
      <c r="AK712" s="2">
        <v>5.2169901758561199</v>
      </c>
      <c r="AL712" s="2">
        <v>1.61030822589427</v>
      </c>
      <c r="AM712" s="2">
        <v>0.20257162401083201</v>
      </c>
      <c r="AN712" s="2">
        <v>2.21405958111515</v>
      </c>
      <c r="AO712" s="2">
        <v>0.242322011841137</v>
      </c>
      <c r="AP712" s="2">
        <v>0.242322011841137</v>
      </c>
      <c r="AQ712" s="2">
        <v>1</v>
      </c>
      <c r="AR712" s="2">
        <v>2</v>
      </c>
      <c r="AS712" s="2">
        <v>0</v>
      </c>
      <c r="AT712" s="2">
        <v>0</v>
      </c>
      <c r="AU712" s="2">
        <v>0</v>
      </c>
      <c r="AV712" s="2">
        <v>34</v>
      </c>
      <c r="AW712" s="2">
        <v>0</v>
      </c>
      <c r="AX712" s="2">
        <v>0</v>
      </c>
      <c r="AZ712" s="2">
        <v>6.8</v>
      </c>
      <c r="BA712" s="2">
        <v>19.899999999999999</v>
      </c>
      <c r="BB712" s="2">
        <v>564</v>
      </c>
      <c r="BC712" s="2">
        <v>68</v>
      </c>
      <c r="BD712" s="2">
        <v>1.5</v>
      </c>
      <c r="BE712" s="2">
        <v>135</v>
      </c>
      <c r="BF712" s="2">
        <v>0.8</v>
      </c>
      <c r="BG712" s="2">
        <v>162</v>
      </c>
      <c r="BH712" s="2">
        <v>9.1</v>
      </c>
      <c r="BI712" s="2">
        <v>9.1999999999999993</v>
      </c>
      <c r="BJ712" s="2">
        <v>18.3</v>
      </c>
      <c r="BK712" s="2">
        <v>0.34</v>
      </c>
      <c r="BL712" s="2">
        <v>7.3</v>
      </c>
      <c r="BM712" s="2">
        <v>0.9</v>
      </c>
      <c r="BN712" s="2">
        <v>7.5</v>
      </c>
      <c r="BO712" s="2">
        <v>2.9</v>
      </c>
      <c r="BP712" s="2">
        <f t="shared" si="22"/>
        <v>5.7627000918675835</v>
      </c>
      <c r="BQ712" s="2">
        <f t="shared" si="23"/>
        <v>18.36541573786166</v>
      </c>
    </row>
    <row r="713" spans="1:69" x14ac:dyDescent="0.2">
      <c r="A713" s="2" t="s">
        <v>2889</v>
      </c>
      <c r="B713" s="2" t="s">
        <v>47</v>
      </c>
      <c r="C713" s="2" t="s">
        <v>1935</v>
      </c>
      <c r="D713" s="2" t="s">
        <v>49</v>
      </c>
      <c r="E713" s="2" t="s">
        <v>612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89</v>
      </c>
      <c r="L713" s="6" t="s">
        <v>141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2890</v>
      </c>
      <c r="R713" s="2">
        <v>5000000</v>
      </c>
      <c r="S713" s="2">
        <v>0</v>
      </c>
      <c r="T713" s="2" t="s">
        <v>105</v>
      </c>
      <c r="U713" s="2" t="s">
        <v>106</v>
      </c>
      <c r="V713" s="2" t="s">
        <v>56</v>
      </c>
      <c r="W713" s="2" t="s">
        <v>107</v>
      </c>
      <c r="X713" s="2" t="s">
        <v>108</v>
      </c>
      <c r="Y713" s="2">
        <v>0.458406346821982</v>
      </c>
      <c r="Z713" s="2">
        <v>458.40634682198203</v>
      </c>
      <c r="AA713" s="2">
        <v>4.6254861111111101</v>
      </c>
      <c r="AB713" s="2">
        <v>-74.066980555555503</v>
      </c>
      <c r="AC713" s="2">
        <v>2621</v>
      </c>
      <c r="AD713" s="2">
        <v>15</v>
      </c>
      <c r="AE713" s="2" t="s">
        <v>59</v>
      </c>
      <c r="AF713" s="2" t="s">
        <v>60</v>
      </c>
      <c r="AG713" s="2" t="s">
        <v>61</v>
      </c>
      <c r="AH713" s="2" t="s">
        <v>62</v>
      </c>
      <c r="AI713" s="2" t="s">
        <v>63</v>
      </c>
      <c r="AJ713" s="2">
        <v>0.244119855042744</v>
      </c>
      <c r="AK713" s="2">
        <v>1.1247234569020199</v>
      </c>
      <c r="AL713" s="2">
        <v>0.127910796077675</v>
      </c>
      <c r="AM713" s="2">
        <v>5.99495520680123E-2</v>
      </c>
      <c r="AN713" s="2">
        <v>0.52346078318324796</v>
      </c>
      <c r="AO713" s="2">
        <v>0.13467407968062001</v>
      </c>
      <c r="AP713" s="2">
        <v>0.13467407968062001</v>
      </c>
      <c r="AQ713" s="2">
        <v>2</v>
      </c>
      <c r="AR713" s="2">
        <v>5</v>
      </c>
      <c r="AS713" s="2">
        <v>0</v>
      </c>
      <c r="AT713" s="2">
        <v>0</v>
      </c>
      <c r="AU713" s="2">
        <v>18</v>
      </c>
      <c r="AV713" s="2">
        <v>120</v>
      </c>
      <c r="AW713" s="2">
        <v>1</v>
      </c>
      <c r="AX713" s="2">
        <v>1</v>
      </c>
      <c r="AZ713" s="2">
        <v>6.8</v>
      </c>
      <c r="BA713" s="2">
        <v>19.899999999999999</v>
      </c>
      <c r="BB713" s="2">
        <v>564</v>
      </c>
      <c r="BC713" s="2">
        <v>68</v>
      </c>
      <c r="BD713" s="2">
        <v>1.5</v>
      </c>
      <c r="BE713" s="2">
        <v>135</v>
      </c>
      <c r="BF713" s="2">
        <v>0.8</v>
      </c>
      <c r="BG713" s="2">
        <v>162</v>
      </c>
      <c r="BH713" s="2">
        <v>9.1</v>
      </c>
      <c r="BI713" s="2">
        <v>9.1999999999999993</v>
      </c>
      <c r="BJ713" s="2">
        <v>18.3</v>
      </c>
      <c r="BK713" s="2">
        <v>0.34</v>
      </c>
      <c r="BL713" s="2">
        <v>7.3</v>
      </c>
      <c r="BM713" s="2">
        <v>0.9</v>
      </c>
      <c r="BN713" s="2">
        <v>7.5</v>
      </c>
      <c r="BO713" s="2">
        <v>2.9</v>
      </c>
      <c r="BP713" s="2">
        <f t="shared" si="22"/>
        <v>6.6474378719532083</v>
      </c>
      <c r="BQ713" s="2">
        <f t="shared" si="23"/>
        <v>19.682265057899542</v>
      </c>
    </row>
    <row r="714" spans="1:69" x14ac:dyDescent="0.2">
      <c r="A714" s="2" t="s">
        <v>2845</v>
      </c>
      <c r="B714" s="2" t="s">
        <v>47</v>
      </c>
      <c r="C714" s="2" t="s">
        <v>1935</v>
      </c>
      <c r="D714" s="2" t="s">
        <v>49</v>
      </c>
      <c r="E714" s="2" t="s">
        <v>63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89</v>
      </c>
      <c r="L714" s="6" t="s">
        <v>141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2846</v>
      </c>
      <c r="R714" s="2">
        <v>3760000</v>
      </c>
      <c r="S714" s="2">
        <v>0</v>
      </c>
      <c r="T714" s="2" t="s">
        <v>105</v>
      </c>
      <c r="U714" s="2" t="s">
        <v>106</v>
      </c>
      <c r="V714" s="2" t="s">
        <v>56</v>
      </c>
      <c r="W714" s="2" t="s">
        <v>107</v>
      </c>
      <c r="X714" s="2" t="s">
        <v>108</v>
      </c>
      <c r="Y714" s="2">
        <v>0.55267016043369599</v>
      </c>
      <c r="Z714" s="2">
        <v>552.67016043369597</v>
      </c>
      <c r="AA714" s="2">
        <v>4.6254861111111101</v>
      </c>
      <c r="AB714" s="2">
        <v>-74.066980555555503</v>
      </c>
      <c r="AC714" s="2">
        <v>2621</v>
      </c>
      <c r="AD714" s="2">
        <v>15</v>
      </c>
      <c r="AE714" s="2" t="s">
        <v>59</v>
      </c>
      <c r="AF714" s="2" t="s">
        <v>60</v>
      </c>
      <c r="AG714" s="2" t="s">
        <v>61</v>
      </c>
      <c r="AH714" s="2" t="s">
        <v>62</v>
      </c>
      <c r="AI714" s="2" t="s">
        <v>63</v>
      </c>
      <c r="AJ714" s="2">
        <v>0.31098217996959998</v>
      </c>
      <c r="AK714" s="2">
        <v>1.02734485310915</v>
      </c>
      <c r="AL714" s="2">
        <v>3.9249289941335398E-2</v>
      </c>
      <c r="AM714" s="2">
        <v>7.5899565748374406E-2</v>
      </c>
      <c r="AN714" s="2">
        <v>0.44082898540346499</v>
      </c>
      <c r="AO714" s="2">
        <v>1.3178116957570499E-4</v>
      </c>
      <c r="AP714" s="2">
        <v>1.3178116957570499E-4</v>
      </c>
      <c r="AQ714" s="2">
        <v>3</v>
      </c>
      <c r="AR714" s="2">
        <v>6</v>
      </c>
      <c r="AS714" s="2">
        <v>0</v>
      </c>
      <c r="AT714" s="2">
        <v>0</v>
      </c>
      <c r="AU714" s="2">
        <v>19</v>
      </c>
      <c r="AV714" s="2">
        <v>161</v>
      </c>
      <c r="AW714" s="2">
        <v>1</v>
      </c>
      <c r="AX714" s="2">
        <v>1</v>
      </c>
      <c r="AZ714" s="2">
        <v>6.8</v>
      </c>
      <c r="BA714" s="2">
        <v>19.899999999999999</v>
      </c>
      <c r="BB714" s="2">
        <v>564</v>
      </c>
      <c r="BC714" s="2">
        <v>68</v>
      </c>
      <c r="BD714" s="2">
        <v>1.5</v>
      </c>
      <c r="BE714" s="2">
        <v>135</v>
      </c>
      <c r="BF714" s="2">
        <v>0.8</v>
      </c>
      <c r="BG714" s="2">
        <v>162</v>
      </c>
      <c r="BH714" s="2">
        <v>9.1</v>
      </c>
      <c r="BI714" s="2">
        <v>9.1999999999999993</v>
      </c>
      <c r="BJ714" s="2">
        <v>18.3</v>
      </c>
      <c r="BK714" s="2">
        <v>0.34</v>
      </c>
      <c r="BL714" s="2">
        <v>7.3</v>
      </c>
      <c r="BM714" s="2">
        <v>0.9</v>
      </c>
      <c r="BN714" s="2">
        <v>7.5</v>
      </c>
      <c r="BO714" s="2">
        <v>2.9</v>
      </c>
      <c r="BP714" s="2">
        <f t="shared" si="22"/>
        <v>6.6164927880826205</v>
      </c>
      <c r="BQ714" s="2">
        <f t="shared" si="23"/>
        <v>19.637787579513532</v>
      </c>
    </row>
    <row r="715" spans="1:69" x14ac:dyDescent="0.2">
      <c r="A715" s="2" t="s">
        <v>3228</v>
      </c>
      <c r="B715" s="2" t="s">
        <v>47</v>
      </c>
      <c r="C715" s="2" t="s">
        <v>1935</v>
      </c>
      <c r="D715" s="2" t="s">
        <v>49</v>
      </c>
      <c r="E715" s="2" t="s">
        <v>2162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89</v>
      </c>
      <c r="L715" s="6" t="s">
        <v>141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3229</v>
      </c>
      <c r="R715" s="2">
        <v>4937629.9380000001</v>
      </c>
      <c r="S715" s="2">
        <v>0</v>
      </c>
      <c r="T715" s="2" t="s">
        <v>105</v>
      </c>
      <c r="U715" s="2" t="s">
        <v>106</v>
      </c>
      <c r="V715" s="2" t="s">
        <v>56</v>
      </c>
      <c r="W715" s="2" t="s">
        <v>107</v>
      </c>
      <c r="X715" s="2" t="s">
        <v>108</v>
      </c>
      <c r="Y715" s="2">
        <v>0.58698530356381895</v>
      </c>
      <c r="Z715" s="2">
        <v>586.985303563819</v>
      </c>
      <c r="AA715" s="2">
        <v>4.6254861111111101</v>
      </c>
      <c r="AB715" s="2">
        <v>-74.066980555555503</v>
      </c>
      <c r="AC715" s="2">
        <v>2621</v>
      </c>
      <c r="AD715" s="2">
        <v>15</v>
      </c>
      <c r="AE715" s="2" t="s">
        <v>59</v>
      </c>
      <c r="AF715" s="2" t="s">
        <v>60</v>
      </c>
      <c r="AG715" s="2" t="s">
        <v>61</v>
      </c>
      <c r="AH715" s="2" t="s">
        <v>62</v>
      </c>
      <c r="AI715" s="2" t="s">
        <v>109</v>
      </c>
      <c r="AJ715" s="2">
        <v>0.103935642824174</v>
      </c>
      <c r="AK715" s="2">
        <v>0.72657051122361305</v>
      </c>
      <c r="AL715" s="2">
        <v>9.3165920895006193E-2</v>
      </c>
      <c r="AM715" s="2">
        <v>5.0666652216638901E-2</v>
      </c>
      <c r="AN715" s="2">
        <v>0.36559859486227803</v>
      </c>
      <c r="AO715" s="2">
        <v>0.32465100238878603</v>
      </c>
      <c r="AP715" s="2">
        <v>0.32465100238878603</v>
      </c>
      <c r="AQ715" s="2">
        <v>2</v>
      </c>
      <c r="AR715" s="2">
        <v>5</v>
      </c>
      <c r="AS715" s="2">
        <v>0</v>
      </c>
      <c r="AT715" s="2">
        <v>16</v>
      </c>
      <c r="AU715" s="2">
        <v>19</v>
      </c>
      <c r="AV715" s="2">
        <v>177</v>
      </c>
      <c r="AW715" s="2">
        <v>1</v>
      </c>
      <c r="AX715" s="2">
        <v>1</v>
      </c>
      <c r="AZ715" s="2">
        <v>6.8</v>
      </c>
      <c r="BA715" s="2">
        <v>19.899999999999999</v>
      </c>
      <c r="BB715" s="2">
        <v>564</v>
      </c>
      <c r="BC715" s="2">
        <v>68</v>
      </c>
      <c r="BD715" s="2">
        <v>1.5</v>
      </c>
      <c r="BE715" s="2">
        <v>135</v>
      </c>
      <c r="BF715" s="2">
        <v>0.8</v>
      </c>
      <c r="BG715" s="2">
        <v>162</v>
      </c>
      <c r="BH715" s="2">
        <v>9.1</v>
      </c>
      <c r="BI715" s="2">
        <v>9.1999999999999993</v>
      </c>
      <c r="BJ715" s="2">
        <v>18.3</v>
      </c>
      <c r="BK715" s="2">
        <v>0.34</v>
      </c>
      <c r="BL715" s="2">
        <v>7.3</v>
      </c>
      <c r="BM715" s="2">
        <v>0.9</v>
      </c>
      <c r="BN715" s="2">
        <v>7.5</v>
      </c>
      <c r="BO715" s="2">
        <v>2.9</v>
      </c>
      <c r="BP715" s="2">
        <f t="shared" si="22"/>
        <v>6.6052635558635311</v>
      </c>
      <c r="BQ715" s="2">
        <f t="shared" si="23"/>
        <v>19.621621273619279</v>
      </c>
    </row>
    <row r="716" spans="1:69" x14ac:dyDescent="0.2">
      <c r="A716" s="2" t="s">
        <v>2983</v>
      </c>
      <c r="B716" s="2" t="s">
        <v>47</v>
      </c>
      <c r="C716" s="2" t="s">
        <v>1935</v>
      </c>
      <c r="D716" s="2" t="s">
        <v>49</v>
      </c>
      <c r="E716" s="2" t="s">
        <v>2984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89</v>
      </c>
      <c r="L716" s="6" t="s">
        <v>141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2985</v>
      </c>
      <c r="R716" s="2">
        <v>2922755.7409999999</v>
      </c>
      <c r="S716" s="2">
        <v>0</v>
      </c>
      <c r="T716" s="2" t="s">
        <v>54</v>
      </c>
      <c r="U716" s="2" t="s">
        <v>55</v>
      </c>
      <c r="V716" s="2" t="s">
        <v>56</v>
      </c>
      <c r="W716" s="2" t="s">
        <v>57</v>
      </c>
      <c r="X716" s="2" t="s">
        <v>58</v>
      </c>
      <c r="Y716" s="2">
        <v>1.68912225819724</v>
      </c>
      <c r="Z716" s="2">
        <v>1689.1222581972399</v>
      </c>
      <c r="AA716" s="2">
        <v>4.6584666666666701</v>
      </c>
      <c r="AB716" s="2">
        <v>-74.083966666666697</v>
      </c>
      <c r="AC716" s="2">
        <v>2552</v>
      </c>
      <c r="AD716" s="2">
        <v>0</v>
      </c>
      <c r="AE716" s="2" t="s">
        <v>59</v>
      </c>
      <c r="AF716" s="2" t="s">
        <v>60</v>
      </c>
      <c r="AG716" s="2" t="s">
        <v>61</v>
      </c>
      <c r="AH716" s="2" t="s">
        <v>62</v>
      </c>
      <c r="AI716" s="2" t="s">
        <v>63</v>
      </c>
      <c r="AJ716" s="2">
        <v>0.52539707495071197</v>
      </c>
      <c r="AK716" s="2">
        <v>4.8040827685323002</v>
      </c>
      <c r="AL716" s="2">
        <v>0.96897906178416204</v>
      </c>
      <c r="AM716" s="2">
        <v>0.114191424094558</v>
      </c>
      <c r="AN716" s="2">
        <v>1.7993073249012099</v>
      </c>
      <c r="AO716" s="2">
        <v>0.59632376317445801</v>
      </c>
      <c r="AP716" s="2">
        <v>0.59632376317445801</v>
      </c>
      <c r="AQ716" s="2">
        <v>0</v>
      </c>
      <c r="AR716" s="2">
        <v>3</v>
      </c>
      <c r="AS716" s="2">
        <v>0</v>
      </c>
      <c r="AT716" s="2">
        <v>0</v>
      </c>
      <c r="AU716" s="2">
        <v>1</v>
      </c>
      <c r="AV716" s="2">
        <v>39</v>
      </c>
      <c r="AW716" s="2">
        <v>0</v>
      </c>
      <c r="AX716" s="2">
        <v>0</v>
      </c>
      <c r="AZ716" s="2">
        <v>6.8</v>
      </c>
      <c r="BA716" s="2">
        <v>19.899999999999999</v>
      </c>
      <c r="BB716" s="2">
        <v>564</v>
      </c>
      <c r="BC716" s="2">
        <v>68</v>
      </c>
      <c r="BD716" s="2">
        <v>1.5</v>
      </c>
      <c r="BE716" s="2">
        <v>135</v>
      </c>
      <c r="BF716" s="2">
        <v>0.8</v>
      </c>
      <c r="BG716" s="2">
        <v>162</v>
      </c>
      <c r="BH716" s="2">
        <v>9.1</v>
      </c>
      <c r="BI716" s="2">
        <v>9.1999999999999993</v>
      </c>
      <c r="BJ716" s="2">
        <v>18.3</v>
      </c>
      <c r="BK716" s="2">
        <v>0.34</v>
      </c>
      <c r="BL716" s="2">
        <v>7.3</v>
      </c>
      <c r="BM716" s="2">
        <v>0.9</v>
      </c>
      <c r="BN716" s="2">
        <v>7.5</v>
      </c>
      <c r="BO716" s="2">
        <v>2.9</v>
      </c>
      <c r="BP716" s="2">
        <f t="shared" si="22"/>
        <v>6.2545616429585378</v>
      </c>
      <c r="BQ716" s="2">
        <f t="shared" si="23"/>
        <v>19.109408349829067</v>
      </c>
    </row>
    <row r="717" spans="1:69" x14ac:dyDescent="0.2">
      <c r="A717" s="2" t="s">
        <v>982</v>
      </c>
      <c r="B717" s="2" t="s">
        <v>47</v>
      </c>
      <c r="C717" s="2" t="s">
        <v>48</v>
      </c>
      <c r="D717" s="2" t="s">
        <v>49</v>
      </c>
      <c r="E717" s="2" t="s">
        <v>811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89</v>
      </c>
      <c r="L717" s="6" t="s">
        <v>141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983</v>
      </c>
      <c r="R717" s="2">
        <v>8352300.0149999997</v>
      </c>
      <c r="S717" s="2">
        <v>0</v>
      </c>
      <c r="T717" s="2" t="s">
        <v>105</v>
      </c>
      <c r="U717" s="2" t="s">
        <v>106</v>
      </c>
      <c r="V717" s="2" t="s">
        <v>56</v>
      </c>
      <c r="W717" s="2" t="s">
        <v>107</v>
      </c>
      <c r="X717" s="2" t="s">
        <v>108</v>
      </c>
      <c r="Y717" s="2">
        <v>3.7811663652202001</v>
      </c>
      <c r="Z717" s="2">
        <v>3781.1663652202001</v>
      </c>
      <c r="AA717" s="2">
        <v>4.6254861111111101</v>
      </c>
      <c r="AB717" s="2">
        <v>-74.066980555555503</v>
      </c>
      <c r="AC717" s="2">
        <v>2621</v>
      </c>
      <c r="AD717" s="2">
        <v>15</v>
      </c>
      <c r="AE717" s="2" t="s">
        <v>59</v>
      </c>
      <c r="AF717" s="2" t="s">
        <v>60</v>
      </c>
      <c r="AG717" s="2" t="s">
        <v>61</v>
      </c>
      <c r="AH717" s="2" t="s">
        <v>62</v>
      </c>
      <c r="AI717" s="2" t="s">
        <v>109</v>
      </c>
      <c r="AJ717" s="2">
        <v>1.4737963045637399</v>
      </c>
      <c r="AK717" s="2">
        <v>0.114969921885405</v>
      </c>
      <c r="AL717" s="2">
        <v>0.98117141715999001</v>
      </c>
      <c r="AM717" s="2">
        <v>0.56035660363158801</v>
      </c>
      <c r="AN717" s="2">
        <v>1.7469430851290999</v>
      </c>
      <c r="AO717" s="2">
        <v>0.259157172535178</v>
      </c>
      <c r="AP717" s="2">
        <v>0.259157172535178</v>
      </c>
      <c r="AQ717" s="2">
        <v>0</v>
      </c>
      <c r="AR717" s="2">
        <v>0</v>
      </c>
      <c r="AS717" s="2">
        <v>18</v>
      </c>
      <c r="AT717" s="2">
        <v>43</v>
      </c>
      <c r="AU717" s="2">
        <v>1</v>
      </c>
      <c r="AV717" s="2">
        <v>13</v>
      </c>
      <c r="AW717" s="2">
        <v>0</v>
      </c>
      <c r="AX717" s="2">
        <v>0</v>
      </c>
      <c r="AZ717" s="2">
        <v>6.8</v>
      </c>
      <c r="BA717" s="2">
        <v>19.899999999999999</v>
      </c>
      <c r="BB717" s="2">
        <v>564</v>
      </c>
      <c r="BC717" s="2">
        <v>68</v>
      </c>
      <c r="BD717" s="2">
        <v>1.5</v>
      </c>
      <c r="BE717" s="2">
        <v>135</v>
      </c>
      <c r="BF717" s="2">
        <v>0.8</v>
      </c>
      <c r="BG717" s="2">
        <v>162</v>
      </c>
      <c r="BH717" s="2">
        <v>9.1</v>
      </c>
      <c r="BI717" s="2">
        <v>9.1999999999999993</v>
      </c>
      <c r="BJ717" s="2">
        <v>18.3</v>
      </c>
      <c r="BK717" s="2">
        <v>0.34</v>
      </c>
      <c r="BL717" s="2">
        <v>7.3</v>
      </c>
      <c r="BM717" s="2">
        <v>0.9</v>
      </c>
      <c r="BN717" s="2">
        <v>7.5</v>
      </c>
      <c r="BO717" s="2">
        <v>2.9</v>
      </c>
      <c r="BP717" s="2">
        <f t="shared" si="22"/>
        <v>5.6392714244512012</v>
      </c>
      <c r="BQ717" s="2">
        <f t="shared" si="23"/>
        <v>18.173631756545269</v>
      </c>
    </row>
    <row r="718" spans="1:69" x14ac:dyDescent="0.2">
      <c r="A718" s="2" t="s">
        <v>2055</v>
      </c>
      <c r="B718" s="2" t="s">
        <v>47</v>
      </c>
      <c r="C718" s="2" t="s">
        <v>1935</v>
      </c>
      <c r="D718" s="2" t="s">
        <v>49</v>
      </c>
      <c r="E718" s="2" t="s">
        <v>673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89</v>
      </c>
      <c r="L718" s="6" t="s">
        <v>141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2056</v>
      </c>
      <c r="R718" s="2">
        <v>6113537.1179999998</v>
      </c>
      <c r="S718" s="2">
        <v>0</v>
      </c>
      <c r="T718" s="2" t="s">
        <v>105</v>
      </c>
      <c r="U718" s="2" t="s">
        <v>106</v>
      </c>
      <c r="V718" s="2" t="s">
        <v>56</v>
      </c>
      <c r="W718" s="2" t="s">
        <v>107</v>
      </c>
      <c r="X718" s="2" t="s">
        <v>108</v>
      </c>
      <c r="Y718" s="2">
        <v>2.1871925216867898</v>
      </c>
      <c r="Z718" s="2">
        <v>2187.1925216867899</v>
      </c>
      <c r="AA718" s="2">
        <v>4.6254861111111101</v>
      </c>
      <c r="AB718" s="2">
        <v>-74.066980555555503</v>
      </c>
      <c r="AC718" s="2">
        <v>2621</v>
      </c>
      <c r="AD718" s="2">
        <v>15</v>
      </c>
      <c r="AE718" s="2" t="s">
        <v>59</v>
      </c>
      <c r="AF718" s="2" t="s">
        <v>60</v>
      </c>
      <c r="AG718" s="2" t="s">
        <v>61</v>
      </c>
      <c r="AH718" s="2" t="s">
        <v>62</v>
      </c>
      <c r="AI718" s="2" t="s">
        <v>109</v>
      </c>
      <c r="AJ718" s="2">
        <v>0.55181693209264604</v>
      </c>
      <c r="AK718" s="2">
        <v>0.52716220180092299</v>
      </c>
      <c r="AL718" s="2">
        <v>0.119495549060274</v>
      </c>
      <c r="AM718" s="2">
        <v>8.6531553935872502E-2</v>
      </c>
      <c r="AN718" s="2">
        <v>0.40790667439785</v>
      </c>
      <c r="AO718" s="2">
        <v>0.173922159925917</v>
      </c>
      <c r="AP718" s="2">
        <v>0.173922159925917</v>
      </c>
      <c r="AQ718" s="2">
        <v>0</v>
      </c>
      <c r="AR718" s="2">
        <v>4</v>
      </c>
      <c r="AS718" s="2">
        <v>0</v>
      </c>
      <c r="AT718" s="2">
        <v>23</v>
      </c>
      <c r="AU718" s="2">
        <v>10</v>
      </c>
      <c r="AV718" s="2">
        <v>110</v>
      </c>
      <c r="AW718" s="2">
        <v>1</v>
      </c>
      <c r="AX718" s="2">
        <v>0</v>
      </c>
      <c r="AZ718" s="2">
        <v>6.8</v>
      </c>
      <c r="BA718" s="2">
        <v>19.899999999999999</v>
      </c>
      <c r="BB718" s="2">
        <v>564</v>
      </c>
      <c r="BC718" s="2">
        <v>68</v>
      </c>
      <c r="BD718" s="2">
        <v>1.5</v>
      </c>
      <c r="BE718" s="2">
        <v>135</v>
      </c>
      <c r="BF718" s="2">
        <v>0.8</v>
      </c>
      <c r="BG718" s="2">
        <v>162</v>
      </c>
      <c r="BH718" s="2">
        <v>9.1</v>
      </c>
      <c r="BI718" s="2">
        <v>9.1999999999999993</v>
      </c>
      <c r="BJ718" s="2">
        <v>18.3</v>
      </c>
      <c r="BK718" s="2">
        <v>0.34</v>
      </c>
      <c r="BL718" s="2">
        <v>7.3</v>
      </c>
      <c r="BM718" s="2">
        <v>0.9</v>
      </c>
      <c r="BN718" s="2">
        <v>7.5</v>
      </c>
      <c r="BO718" s="2">
        <v>2.9</v>
      </c>
      <c r="BP718" s="2">
        <f t="shared" si="22"/>
        <v>6.1022440608637627</v>
      </c>
      <c r="BQ718" s="2">
        <f t="shared" si="23"/>
        <v>18.882340330340014</v>
      </c>
    </row>
    <row r="719" spans="1:69" x14ac:dyDescent="0.2">
      <c r="A719" s="2" t="s">
        <v>3037</v>
      </c>
      <c r="B719" s="2" t="s">
        <v>47</v>
      </c>
      <c r="C719" s="2" t="s">
        <v>1935</v>
      </c>
      <c r="D719" s="2" t="s">
        <v>49</v>
      </c>
      <c r="E719" s="2" t="s">
        <v>3038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89</v>
      </c>
      <c r="L719" s="6" t="s">
        <v>141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3039</v>
      </c>
      <c r="R719" s="2">
        <v>2620087.3360000001</v>
      </c>
      <c r="S719" s="2">
        <v>0</v>
      </c>
      <c r="T719" s="2" t="s">
        <v>54</v>
      </c>
      <c r="U719" s="2" t="s">
        <v>55</v>
      </c>
      <c r="V719" s="2" t="s">
        <v>56</v>
      </c>
      <c r="W719" s="2" t="s">
        <v>57</v>
      </c>
      <c r="X719" s="2" t="s">
        <v>58</v>
      </c>
      <c r="Y719" s="2">
        <v>1.7605448737984499</v>
      </c>
      <c r="Z719" s="2">
        <v>1760.54487379845</v>
      </c>
      <c r="AA719" s="2">
        <v>4.6584666666666701</v>
      </c>
      <c r="AB719" s="2">
        <v>-74.083966666666697</v>
      </c>
      <c r="AC719" s="2">
        <v>2552</v>
      </c>
      <c r="AD719" s="2">
        <v>0</v>
      </c>
      <c r="AE719" s="2" t="s">
        <v>59</v>
      </c>
      <c r="AF719" s="2" t="s">
        <v>60</v>
      </c>
      <c r="AG719" s="2" t="s">
        <v>61</v>
      </c>
      <c r="AH719" s="2" t="s">
        <v>62</v>
      </c>
      <c r="AI719" s="2" t="s">
        <v>321</v>
      </c>
      <c r="AJ719" s="2">
        <v>0.68126163270392204</v>
      </c>
      <c r="AK719" s="2">
        <v>1.83818196686482</v>
      </c>
      <c r="AL719" s="2">
        <v>0.31995237933644199</v>
      </c>
      <c r="AM719" s="2">
        <v>5.5516919634495197E-2</v>
      </c>
      <c r="AN719" s="2">
        <v>1.7203053908197801</v>
      </c>
      <c r="AO719" s="2">
        <v>6.2398143272201596E-3</v>
      </c>
      <c r="AP719" s="2">
        <v>6.2398143272201596E-3</v>
      </c>
      <c r="AQ719" s="2">
        <v>0</v>
      </c>
      <c r="AR719" s="2">
        <v>3</v>
      </c>
      <c r="AS719" s="2">
        <v>0</v>
      </c>
      <c r="AT719" s="2">
        <v>0</v>
      </c>
      <c r="AU719" s="2">
        <v>15</v>
      </c>
      <c r="AV719" s="2">
        <v>65</v>
      </c>
      <c r="AW719" s="2">
        <v>0</v>
      </c>
      <c r="AX719" s="2">
        <v>0</v>
      </c>
      <c r="AZ719" s="2">
        <v>6.8</v>
      </c>
      <c r="BA719" s="2">
        <v>19.899999999999999</v>
      </c>
      <c r="BB719" s="2">
        <v>564</v>
      </c>
      <c r="BC719" s="2">
        <v>68</v>
      </c>
      <c r="BD719" s="2">
        <v>1.5</v>
      </c>
      <c r="BE719" s="2">
        <v>135</v>
      </c>
      <c r="BF719" s="2">
        <v>0.8</v>
      </c>
      <c r="BG719" s="2">
        <v>162</v>
      </c>
      <c r="BH719" s="2">
        <v>9.1</v>
      </c>
      <c r="BI719" s="2">
        <v>9.1999999999999993</v>
      </c>
      <c r="BJ719" s="2">
        <v>18.3</v>
      </c>
      <c r="BK719" s="2">
        <v>0.34</v>
      </c>
      <c r="BL719" s="2">
        <v>7.3</v>
      </c>
      <c r="BM719" s="2">
        <v>0.9</v>
      </c>
      <c r="BN719" s="2">
        <v>7.5</v>
      </c>
      <c r="BO719" s="2">
        <v>2.9</v>
      </c>
      <c r="BP719" s="2">
        <f t="shared" si="22"/>
        <v>6.2324881863913468</v>
      </c>
      <c r="BQ719" s="2">
        <f t="shared" si="23"/>
        <v>19.076680153996527</v>
      </c>
    </row>
    <row r="720" spans="1:69" x14ac:dyDescent="0.2">
      <c r="A720" s="2" t="s">
        <v>2619</v>
      </c>
      <c r="B720" s="2" t="s">
        <v>47</v>
      </c>
      <c r="C720" s="2" t="s">
        <v>1935</v>
      </c>
      <c r="D720" s="2" t="s">
        <v>49</v>
      </c>
      <c r="E720" s="2" t="s">
        <v>2620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89</v>
      </c>
      <c r="L720" s="6" t="s">
        <v>141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2621</v>
      </c>
      <c r="R720" s="2">
        <v>1203501.094</v>
      </c>
      <c r="S720" s="2">
        <v>0</v>
      </c>
      <c r="T720" s="2" t="s">
        <v>344</v>
      </c>
      <c r="U720" s="2" t="s">
        <v>345</v>
      </c>
      <c r="V720" s="2" t="s">
        <v>56</v>
      </c>
      <c r="W720" s="2" t="s">
        <v>344</v>
      </c>
      <c r="X720" s="2" t="s">
        <v>346</v>
      </c>
      <c r="Y720" s="2">
        <v>2.38932448988716</v>
      </c>
      <c r="Z720" s="2">
        <v>2389.3244898871599</v>
      </c>
      <c r="AA720" s="2">
        <v>4.6056111111111102</v>
      </c>
      <c r="AB720" s="2">
        <v>-74.204055555555598</v>
      </c>
      <c r="AC720" s="2">
        <v>2546</v>
      </c>
      <c r="AD720" s="2">
        <v>0</v>
      </c>
      <c r="AE720" s="2" t="s">
        <v>59</v>
      </c>
      <c r="AF720" s="2" t="s">
        <v>86</v>
      </c>
      <c r="AG720" s="2" t="s">
        <v>61</v>
      </c>
      <c r="AH720" s="2" t="s">
        <v>62</v>
      </c>
      <c r="AI720" s="2" t="s">
        <v>347</v>
      </c>
      <c r="AJ720" s="2">
        <v>0.56641558129384895</v>
      </c>
      <c r="AK720" s="2">
        <v>3.4002929910813902</v>
      </c>
      <c r="AL720" s="2">
        <v>4.98438292891068</v>
      </c>
      <c r="AM720" s="2">
        <v>0.13171291171280899</v>
      </c>
      <c r="AN720" s="2">
        <v>0.467646229004129</v>
      </c>
      <c r="AO720" s="2">
        <v>7.0594879443187805E-2</v>
      </c>
      <c r="AP720" s="2">
        <v>7.0594879443187805E-2</v>
      </c>
      <c r="AQ720" s="2">
        <v>0</v>
      </c>
      <c r="AR720" s="2">
        <v>2</v>
      </c>
      <c r="AS720" s="2">
        <v>0</v>
      </c>
      <c r="AT720" s="2">
        <v>0</v>
      </c>
      <c r="AU720" s="2">
        <v>0</v>
      </c>
      <c r="AV720" s="2">
        <v>20</v>
      </c>
      <c r="AW720" s="2">
        <v>1</v>
      </c>
      <c r="AX720" s="2">
        <v>0</v>
      </c>
      <c r="AZ720" s="2">
        <v>6.8</v>
      </c>
      <c r="BA720" s="2">
        <v>19.899999999999999</v>
      </c>
      <c r="BB720" s="2">
        <v>564</v>
      </c>
      <c r="BC720" s="2">
        <v>68</v>
      </c>
      <c r="BD720" s="2">
        <v>1.5</v>
      </c>
      <c r="BE720" s="2">
        <v>135</v>
      </c>
      <c r="BF720" s="2">
        <v>0.8</v>
      </c>
      <c r="BG720" s="2">
        <v>162</v>
      </c>
      <c r="BH720" s="2">
        <v>9.1</v>
      </c>
      <c r="BI720" s="2">
        <v>9.1999999999999993</v>
      </c>
      <c r="BJ720" s="2">
        <v>18.3</v>
      </c>
      <c r="BK720" s="2">
        <v>0.34</v>
      </c>
      <c r="BL720" s="2">
        <v>7.3</v>
      </c>
      <c r="BM720" s="2">
        <v>0.9</v>
      </c>
      <c r="BN720" s="2">
        <v>7.5</v>
      </c>
      <c r="BO720" s="2">
        <v>2.9</v>
      </c>
      <c r="BP720" s="2">
        <f t="shared" si="22"/>
        <v>6.0414922937540076</v>
      </c>
      <c r="BQ720" s="2">
        <f t="shared" si="23"/>
        <v>18.790960767554878</v>
      </c>
    </row>
    <row r="721" spans="1:69" x14ac:dyDescent="0.2">
      <c r="A721" s="2" t="s">
        <v>2531</v>
      </c>
      <c r="B721" s="2" t="s">
        <v>47</v>
      </c>
      <c r="C721" s="2" t="s">
        <v>1935</v>
      </c>
      <c r="D721" s="2" t="s">
        <v>49</v>
      </c>
      <c r="E721" s="2" t="s">
        <v>1170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89</v>
      </c>
      <c r="L721" s="6" t="s">
        <v>141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2532</v>
      </c>
      <c r="R721" s="2">
        <v>5333333.3329999996</v>
      </c>
      <c r="S721" s="2">
        <v>0</v>
      </c>
      <c r="T721" s="2" t="s">
        <v>54</v>
      </c>
      <c r="U721" s="2" t="s">
        <v>55</v>
      </c>
      <c r="V721" s="2" t="s">
        <v>56</v>
      </c>
      <c r="W721" s="2" t="s">
        <v>57</v>
      </c>
      <c r="X721" s="2" t="s">
        <v>58</v>
      </c>
      <c r="Y721" s="2">
        <v>2.5143132677413398</v>
      </c>
      <c r="Z721" s="2">
        <v>2514.31326774134</v>
      </c>
      <c r="AA721" s="2">
        <v>4.6584666666666701</v>
      </c>
      <c r="AB721" s="2">
        <v>-74.083966666666697</v>
      </c>
      <c r="AC721" s="2">
        <v>2552</v>
      </c>
      <c r="AD721" s="2">
        <v>0</v>
      </c>
      <c r="AE721" s="2" t="s">
        <v>59</v>
      </c>
      <c r="AF721" s="2" t="s">
        <v>60</v>
      </c>
      <c r="AG721" s="2" t="s">
        <v>61</v>
      </c>
      <c r="AH721" s="2" t="s">
        <v>62</v>
      </c>
      <c r="AI721" s="2" t="s">
        <v>109</v>
      </c>
      <c r="AJ721" s="2">
        <v>0.17862573226859599</v>
      </c>
      <c r="AK721" s="2">
        <v>1.3016956366083801</v>
      </c>
      <c r="AL721" s="2">
        <v>0.13862753792846</v>
      </c>
      <c r="AM721" s="2">
        <v>5.8187022255209803E-2</v>
      </c>
      <c r="AN721" s="2">
        <v>1.40423134157041</v>
      </c>
      <c r="AO721" s="2">
        <v>8.2978507197789902E-2</v>
      </c>
      <c r="AP721" s="2">
        <v>8.2978507197789902E-2</v>
      </c>
      <c r="AQ721" s="2">
        <v>2</v>
      </c>
      <c r="AR721" s="2">
        <v>3</v>
      </c>
      <c r="AS721" s="2">
        <v>0</v>
      </c>
      <c r="AT721" s="2">
        <v>0</v>
      </c>
      <c r="AU721" s="2">
        <v>22</v>
      </c>
      <c r="AV721" s="2">
        <v>85</v>
      </c>
      <c r="AW721" s="2">
        <v>0</v>
      </c>
      <c r="AX721" s="2">
        <v>0</v>
      </c>
      <c r="AZ721" s="2">
        <v>6.8</v>
      </c>
      <c r="BA721" s="2">
        <v>19.899999999999999</v>
      </c>
      <c r="BB721" s="2">
        <v>564</v>
      </c>
      <c r="BC721" s="2">
        <v>68</v>
      </c>
      <c r="BD721" s="2">
        <v>1.5</v>
      </c>
      <c r="BE721" s="2">
        <v>135</v>
      </c>
      <c r="BF721" s="2">
        <v>0.8</v>
      </c>
      <c r="BG721" s="2">
        <v>162</v>
      </c>
      <c r="BH721" s="2">
        <v>9.1</v>
      </c>
      <c r="BI721" s="2">
        <v>9.1999999999999993</v>
      </c>
      <c r="BJ721" s="2">
        <v>18.3</v>
      </c>
      <c r="BK721" s="2">
        <v>0.34</v>
      </c>
      <c r="BL721" s="2">
        <v>7.3</v>
      </c>
      <c r="BM721" s="2">
        <v>0.9</v>
      </c>
      <c r="BN721" s="2">
        <v>7.5</v>
      </c>
      <c r="BO721" s="2">
        <v>2.9</v>
      </c>
      <c r="BP721" s="2">
        <f t="shared" si="22"/>
        <v>6.0042293070913066</v>
      </c>
      <c r="BQ721" s="2">
        <f t="shared" si="23"/>
        <v>18.734677405917807</v>
      </c>
    </row>
    <row r="722" spans="1:69" x14ac:dyDescent="0.2">
      <c r="A722" s="2" t="s">
        <v>2928</v>
      </c>
      <c r="B722" s="2" t="s">
        <v>47</v>
      </c>
      <c r="C722" s="2" t="s">
        <v>1935</v>
      </c>
      <c r="D722" s="2" t="s">
        <v>49</v>
      </c>
      <c r="E722" s="2" t="s">
        <v>330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89</v>
      </c>
      <c r="L722" s="6" t="s">
        <v>141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2929</v>
      </c>
      <c r="R722" s="2">
        <v>8744394.6190000009</v>
      </c>
      <c r="S722" s="2">
        <v>0</v>
      </c>
      <c r="T722" s="2" t="s">
        <v>105</v>
      </c>
      <c r="U722" s="2" t="s">
        <v>106</v>
      </c>
      <c r="V722" s="2" t="s">
        <v>56</v>
      </c>
      <c r="W722" s="2" t="s">
        <v>107</v>
      </c>
      <c r="X722" s="2" t="s">
        <v>108</v>
      </c>
      <c r="Y722" s="2">
        <v>3.6730230565448498</v>
      </c>
      <c r="Z722" s="2">
        <v>3673.0230565448501</v>
      </c>
      <c r="AA722" s="2">
        <v>4.6254861111111101</v>
      </c>
      <c r="AB722" s="2">
        <v>-74.066980555555503</v>
      </c>
      <c r="AC722" s="2">
        <v>2621</v>
      </c>
      <c r="AD722" s="2">
        <v>15</v>
      </c>
      <c r="AE722" s="2" t="s">
        <v>59</v>
      </c>
      <c r="AF722" s="2" t="s">
        <v>60</v>
      </c>
      <c r="AG722" s="2" t="s">
        <v>61</v>
      </c>
      <c r="AH722" s="2" t="s">
        <v>62</v>
      </c>
      <c r="AI722" s="2" t="s">
        <v>109</v>
      </c>
      <c r="AJ722" s="2">
        <v>1.4002732059958101</v>
      </c>
      <c r="AK722" s="2">
        <v>0.18166874780772199</v>
      </c>
      <c r="AL722" s="2">
        <v>0.889073344100208</v>
      </c>
      <c r="AM722" s="2">
        <v>0.45007462716412999</v>
      </c>
      <c r="AN722" s="2">
        <v>1.63623994642402</v>
      </c>
      <c r="AO722" s="2">
        <v>0.17487316970882399</v>
      </c>
      <c r="AP722" s="2">
        <v>0.17487316970882399</v>
      </c>
      <c r="AQ722" s="2">
        <v>0</v>
      </c>
      <c r="AR722" s="2">
        <v>0</v>
      </c>
      <c r="AS722" s="2">
        <v>16</v>
      </c>
      <c r="AT722" s="2">
        <v>43</v>
      </c>
      <c r="AU722" s="2">
        <v>3</v>
      </c>
      <c r="AV722" s="2">
        <v>19</v>
      </c>
      <c r="AW722" s="2">
        <v>0</v>
      </c>
      <c r="AX722" s="2">
        <v>0</v>
      </c>
      <c r="AZ722" s="2">
        <v>6.8</v>
      </c>
      <c r="BA722" s="2">
        <v>19.899999999999999</v>
      </c>
      <c r="BB722" s="2">
        <v>564</v>
      </c>
      <c r="BC722" s="2">
        <v>68</v>
      </c>
      <c r="BD722" s="2">
        <v>1.5</v>
      </c>
      <c r="BE722" s="2">
        <v>135</v>
      </c>
      <c r="BF722" s="2">
        <v>0.8</v>
      </c>
      <c r="BG722" s="2">
        <v>162</v>
      </c>
      <c r="BH722" s="2">
        <v>9.1</v>
      </c>
      <c r="BI722" s="2">
        <v>9.1999999999999993</v>
      </c>
      <c r="BJ722" s="2">
        <v>18.3</v>
      </c>
      <c r="BK722" s="2">
        <v>0.34</v>
      </c>
      <c r="BL722" s="2">
        <v>7.3</v>
      </c>
      <c r="BM722" s="2">
        <v>0.9</v>
      </c>
      <c r="BN722" s="2">
        <v>7.5</v>
      </c>
      <c r="BO722" s="2">
        <v>2.9</v>
      </c>
      <c r="BP722" s="2">
        <f t="shared" si="22"/>
        <v>5.6695399159906872</v>
      </c>
      <c r="BQ722" s="2">
        <f t="shared" si="23"/>
        <v>18.220861581157624</v>
      </c>
    </row>
    <row r="723" spans="1:69" x14ac:dyDescent="0.2">
      <c r="A723" s="2" t="s">
        <v>2249</v>
      </c>
      <c r="B723" s="2" t="s">
        <v>47</v>
      </c>
      <c r="C723" s="2" t="s">
        <v>1935</v>
      </c>
      <c r="D723" s="2" t="s">
        <v>49</v>
      </c>
      <c r="E723" s="2" t="s">
        <v>272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89</v>
      </c>
      <c r="L723" s="6" t="s">
        <v>141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2250</v>
      </c>
      <c r="R723" s="2">
        <v>4255319.1490000002</v>
      </c>
      <c r="S723" s="2">
        <v>0</v>
      </c>
      <c r="T723" s="2" t="s">
        <v>105</v>
      </c>
      <c r="U723" s="2" t="s">
        <v>106</v>
      </c>
      <c r="V723" s="2" t="s">
        <v>56</v>
      </c>
      <c r="W723" s="2" t="s">
        <v>107</v>
      </c>
      <c r="X723" s="2" t="s">
        <v>108</v>
      </c>
      <c r="Y723" s="2">
        <v>1.71822945827415</v>
      </c>
      <c r="Z723" s="2">
        <v>1718.2294582741499</v>
      </c>
      <c r="AA723" s="2">
        <v>4.6254861111111101</v>
      </c>
      <c r="AB723" s="2">
        <v>-74.066980555555503</v>
      </c>
      <c r="AC723" s="2">
        <v>2621</v>
      </c>
      <c r="AD723" s="2">
        <v>15</v>
      </c>
      <c r="AE723" s="2" t="s">
        <v>59</v>
      </c>
      <c r="AF723" s="2" t="s">
        <v>60</v>
      </c>
      <c r="AG723" s="2" t="s">
        <v>61</v>
      </c>
      <c r="AH723" s="2" t="s">
        <v>62</v>
      </c>
      <c r="AI723" s="2" t="s">
        <v>117</v>
      </c>
      <c r="AJ723" s="2">
        <v>0.473350271192438</v>
      </c>
      <c r="AK723" s="2">
        <v>0.30698328615998599</v>
      </c>
      <c r="AL723" s="2">
        <v>0.36284848923539398</v>
      </c>
      <c r="AM723" s="2">
        <v>0.43808411626325899</v>
      </c>
      <c r="AN723" s="2">
        <v>0.58735276907946699</v>
      </c>
      <c r="AO723" s="2">
        <v>3.2370505689852301E-2</v>
      </c>
      <c r="AP723" s="2">
        <v>3.2370505689852301E-2</v>
      </c>
      <c r="AQ723" s="2">
        <v>1</v>
      </c>
      <c r="AR723" s="2">
        <v>7</v>
      </c>
      <c r="AS723" s="2">
        <v>11</v>
      </c>
      <c r="AT723" s="2">
        <v>29</v>
      </c>
      <c r="AU723" s="2">
        <v>9</v>
      </c>
      <c r="AV723" s="2">
        <v>58</v>
      </c>
      <c r="AW723" s="2">
        <v>1</v>
      </c>
      <c r="AX723" s="2">
        <v>5</v>
      </c>
      <c r="AZ723" s="2">
        <v>6.8</v>
      </c>
      <c r="BA723" s="2">
        <v>19.899999999999999</v>
      </c>
      <c r="BB723" s="2">
        <v>564</v>
      </c>
      <c r="BC723" s="2">
        <v>68</v>
      </c>
      <c r="BD723" s="2">
        <v>1.5</v>
      </c>
      <c r="BE723" s="2">
        <v>135</v>
      </c>
      <c r="BF723" s="2">
        <v>0.8</v>
      </c>
      <c r="BG723" s="2">
        <v>162</v>
      </c>
      <c r="BH723" s="2">
        <v>9.1</v>
      </c>
      <c r="BI723" s="2">
        <v>9.1999999999999993</v>
      </c>
      <c r="BJ723" s="2">
        <v>18.3</v>
      </c>
      <c r="BK723" s="2">
        <v>0.34</v>
      </c>
      <c r="BL723" s="2">
        <v>7.3</v>
      </c>
      <c r="BM723" s="2">
        <v>0.9</v>
      </c>
      <c r="BN723" s="2">
        <v>7.5</v>
      </c>
      <c r="BO723" s="2">
        <v>2.9</v>
      </c>
      <c r="BP723" s="2">
        <f t="shared" si="22"/>
        <v>6.245556519368054</v>
      </c>
      <c r="BQ723" s="2">
        <f t="shared" si="23"/>
        <v>19.096063698544416</v>
      </c>
    </row>
    <row r="724" spans="1:69" x14ac:dyDescent="0.2">
      <c r="A724" s="2" t="s">
        <v>2708</v>
      </c>
      <c r="B724" s="2" t="s">
        <v>47</v>
      </c>
      <c r="C724" s="2" t="s">
        <v>1935</v>
      </c>
      <c r="D724" s="2" t="s">
        <v>49</v>
      </c>
      <c r="E724" s="2" t="s">
        <v>612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89</v>
      </c>
      <c r="L724" s="6" t="s">
        <v>141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2709</v>
      </c>
      <c r="R724" s="2">
        <v>4018912.53</v>
      </c>
      <c r="S724" s="2">
        <v>0</v>
      </c>
      <c r="T724" s="2" t="s">
        <v>105</v>
      </c>
      <c r="U724" s="2" t="s">
        <v>106</v>
      </c>
      <c r="V724" s="2" t="s">
        <v>56</v>
      </c>
      <c r="W724" s="2" t="s">
        <v>107</v>
      </c>
      <c r="X724" s="2" t="s">
        <v>108</v>
      </c>
      <c r="Y724" s="2">
        <v>1.2610654650274999</v>
      </c>
      <c r="Z724" s="2">
        <v>1261.0654650275001</v>
      </c>
      <c r="AA724" s="2">
        <v>4.6254861111111101</v>
      </c>
      <c r="AB724" s="2">
        <v>-74.066980555555503</v>
      </c>
      <c r="AC724" s="2">
        <v>2621</v>
      </c>
      <c r="AD724" s="2">
        <v>15</v>
      </c>
      <c r="AE724" s="2" t="s">
        <v>59</v>
      </c>
      <c r="AF724" s="2" t="s">
        <v>60</v>
      </c>
      <c r="AG724" s="2" t="s">
        <v>61</v>
      </c>
      <c r="AH724" s="2" t="s">
        <v>62</v>
      </c>
      <c r="AI724" s="2" t="s">
        <v>63</v>
      </c>
      <c r="AJ724" s="2">
        <v>0.25939126898076598</v>
      </c>
      <c r="AK724" s="2">
        <v>1.91428439016934</v>
      </c>
      <c r="AL724" s="2">
        <v>0.25528911431569201</v>
      </c>
      <c r="AM724" s="2">
        <v>0.199540723547943</v>
      </c>
      <c r="AN724" s="2">
        <v>1.2855695595063299</v>
      </c>
      <c r="AO724" s="2">
        <v>8.8778070760814107E-2</v>
      </c>
      <c r="AP724" s="2">
        <v>8.8778070760814107E-2</v>
      </c>
      <c r="AQ724" s="2">
        <v>2</v>
      </c>
      <c r="AR724" s="2">
        <v>5</v>
      </c>
      <c r="AS724" s="2">
        <v>0</v>
      </c>
      <c r="AT724" s="2">
        <v>0</v>
      </c>
      <c r="AU724" s="2">
        <v>9</v>
      </c>
      <c r="AV724" s="2">
        <v>73</v>
      </c>
      <c r="AW724" s="2">
        <v>0</v>
      </c>
      <c r="AX724" s="2">
        <v>0</v>
      </c>
      <c r="AZ724" s="2">
        <v>6.8</v>
      </c>
      <c r="BA724" s="2">
        <v>19.899999999999999</v>
      </c>
      <c r="BB724" s="2">
        <v>564</v>
      </c>
      <c r="BC724" s="2">
        <v>68</v>
      </c>
      <c r="BD724" s="2">
        <v>1.5</v>
      </c>
      <c r="BE724" s="2">
        <v>135</v>
      </c>
      <c r="BF724" s="2">
        <v>0.8</v>
      </c>
      <c r="BG724" s="2">
        <v>162</v>
      </c>
      <c r="BH724" s="2">
        <v>9.1</v>
      </c>
      <c r="BI724" s="2">
        <v>9.1999999999999993</v>
      </c>
      <c r="BJ724" s="2">
        <v>18.3</v>
      </c>
      <c r="BK724" s="2">
        <v>0.34</v>
      </c>
      <c r="BL724" s="2">
        <v>7.3</v>
      </c>
      <c r="BM724" s="2">
        <v>0.9</v>
      </c>
      <c r="BN724" s="2">
        <v>7.5</v>
      </c>
      <c r="BO724" s="2">
        <v>2.9</v>
      </c>
      <c r="BP724" s="2">
        <f t="shared" si="22"/>
        <v>6.3885023804447201</v>
      </c>
      <c r="BQ724" s="2">
        <f t="shared" si="23"/>
        <v>19.30673812386971</v>
      </c>
    </row>
    <row r="725" spans="1:69" x14ac:dyDescent="0.2">
      <c r="A725" s="2" t="s">
        <v>3182</v>
      </c>
      <c r="B725" s="2" t="s">
        <v>47</v>
      </c>
      <c r="C725" s="2" t="s">
        <v>1935</v>
      </c>
      <c r="D725" s="2" t="s">
        <v>49</v>
      </c>
      <c r="E725" s="2" t="s">
        <v>1170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89</v>
      </c>
      <c r="L725" s="6" t="s">
        <v>141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3183</v>
      </c>
      <c r="R725" s="2">
        <v>4263382.2829999998</v>
      </c>
      <c r="S725" s="2">
        <v>0</v>
      </c>
      <c r="T725" s="2" t="s">
        <v>54</v>
      </c>
      <c r="U725" s="2" t="s">
        <v>55</v>
      </c>
      <c r="V725" s="2" t="s">
        <v>56</v>
      </c>
      <c r="W725" s="2" t="s">
        <v>57</v>
      </c>
      <c r="X725" s="2" t="s">
        <v>58</v>
      </c>
      <c r="Y725" s="2">
        <v>2.6256971654583601</v>
      </c>
      <c r="Z725" s="2">
        <v>2625.6971654583599</v>
      </c>
      <c r="AA725" s="2">
        <v>4.6584666666666701</v>
      </c>
      <c r="AB725" s="2">
        <v>-74.083966666666697</v>
      </c>
      <c r="AC725" s="2">
        <v>2552</v>
      </c>
      <c r="AD725" s="2">
        <v>0</v>
      </c>
      <c r="AE725" s="2" t="s">
        <v>59</v>
      </c>
      <c r="AF725" s="2" t="s">
        <v>60</v>
      </c>
      <c r="AG725" s="2" t="s">
        <v>61</v>
      </c>
      <c r="AH725" s="2" t="s">
        <v>62</v>
      </c>
      <c r="AI725" s="2" t="s">
        <v>109</v>
      </c>
      <c r="AJ725" s="2">
        <v>0.266890505370942</v>
      </c>
      <c r="AK725" s="2">
        <v>1.23931739605323</v>
      </c>
      <c r="AL725" s="2">
        <v>7.7305414700667402E-2</v>
      </c>
      <c r="AM725" s="2">
        <v>8.9123217925163298E-2</v>
      </c>
      <c r="AN725" s="2">
        <v>1.45748149497151</v>
      </c>
      <c r="AO725" s="2">
        <v>0.217736528962165</v>
      </c>
      <c r="AP725" s="2">
        <v>0.217736528962165</v>
      </c>
      <c r="AQ725" s="2">
        <v>2</v>
      </c>
      <c r="AR725" s="2">
        <v>4</v>
      </c>
      <c r="AS725" s="2">
        <v>0</v>
      </c>
      <c r="AT725" s="2">
        <v>0</v>
      </c>
      <c r="AU725" s="2">
        <v>24</v>
      </c>
      <c r="AV725" s="2">
        <v>85</v>
      </c>
      <c r="AW725" s="2">
        <v>0</v>
      </c>
      <c r="AX725" s="2">
        <v>0</v>
      </c>
      <c r="AZ725" s="2">
        <v>6.8</v>
      </c>
      <c r="BA725" s="2">
        <v>19.899999999999999</v>
      </c>
      <c r="BB725" s="2">
        <v>564</v>
      </c>
      <c r="BC725" s="2">
        <v>68</v>
      </c>
      <c r="BD725" s="2">
        <v>1.5</v>
      </c>
      <c r="BE725" s="2">
        <v>135</v>
      </c>
      <c r="BF725" s="2">
        <v>0.8</v>
      </c>
      <c r="BG725" s="2">
        <v>162</v>
      </c>
      <c r="BH725" s="2">
        <v>9.1</v>
      </c>
      <c r="BI725" s="2">
        <v>9.1999999999999993</v>
      </c>
      <c r="BJ725" s="2">
        <v>18.3</v>
      </c>
      <c r="BK725" s="2">
        <v>0.34</v>
      </c>
      <c r="BL725" s="2">
        <v>7.3</v>
      </c>
      <c r="BM725" s="2">
        <v>0.9</v>
      </c>
      <c r="BN725" s="2">
        <v>7.5</v>
      </c>
      <c r="BO725" s="2">
        <v>2.9</v>
      </c>
      <c r="BP725" s="2">
        <f t="shared" si="22"/>
        <v>5.9712160641083258</v>
      </c>
      <c r="BQ725" s="2">
        <f t="shared" si="23"/>
        <v>18.684662492567284</v>
      </c>
    </row>
    <row r="726" spans="1:69" x14ac:dyDescent="0.2">
      <c r="A726" s="2" t="s">
        <v>3174</v>
      </c>
      <c r="B726" s="2" t="s">
        <v>47</v>
      </c>
      <c r="C726" s="2" t="s">
        <v>1935</v>
      </c>
      <c r="D726" s="2" t="s">
        <v>49</v>
      </c>
      <c r="E726" s="2" t="s">
        <v>1925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89</v>
      </c>
      <c r="L726" s="6" t="s">
        <v>141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3175</v>
      </c>
      <c r="R726" s="2">
        <v>3631961.2590000001</v>
      </c>
      <c r="S726" s="2">
        <v>0</v>
      </c>
      <c r="T726" s="2" t="s">
        <v>1822</v>
      </c>
      <c r="U726" s="2" t="s">
        <v>1823</v>
      </c>
      <c r="V726" s="2" t="s">
        <v>56</v>
      </c>
      <c r="W726" s="2" t="s">
        <v>1824</v>
      </c>
      <c r="X726" s="2" t="s">
        <v>1825</v>
      </c>
      <c r="Y726" s="2">
        <v>2.6629783668167599</v>
      </c>
      <c r="Z726" s="2">
        <v>2662.9783668167602</v>
      </c>
      <c r="AA726" s="2">
        <v>4.576225</v>
      </c>
      <c r="AB726" s="2">
        <v>-74.130955555555502</v>
      </c>
      <c r="AC726" s="2">
        <v>2589</v>
      </c>
      <c r="AD726" s="2">
        <v>0</v>
      </c>
      <c r="AE726" s="2" t="s">
        <v>59</v>
      </c>
      <c r="AF726" s="2" t="s">
        <v>86</v>
      </c>
      <c r="AG726" s="2" t="s">
        <v>61</v>
      </c>
      <c r="AH726" s="2" t="s">
        <v>62</v>
      </c>
      <c r="AI726" s="2" t="s">
        <v>1826</v>
      </c>
      <c r="AJ726" s="2">
        <v>7.2755423516672593E-2</v>
      </c>
      <c r="AK726" s="2">
        <v>3.64679499330621</v>
      </c>
      <c r="AL726" s="2">
        <v>1.28072622353679</v>
      </c>
      <c r="AM726" s="2">
        <v>9.8878926210988101E-3</v>
      </c>
      <c r="AN726" s="2">
        <v>0.74494200577879399</v>
      </c>
      <c r="AO726" s="2">
        <v>1.11852969647645E-2</v>
      </c>
      <c r="AP726" s="2">
        <v>1.11852969647645E-2</v>
      </c>
      <c r="AQ726" s="2">
        <v>1</v>
      </c>
      <c r="AR726" s="2">
        <v>4</v>
      </c>
      <c r="AS726" s="2">
        <v>0</v>
      </c>
      <c r="AT726" s="2">
        <v>0</v>
      </c>
      <c r="AU726" s="2">
        <v>0</v>
      </c>
      <c r="AV726" s="2">
        <v>58</v>
      </c>
      <c r="AW726" s="2">
        <v>2</v>
      </c>
      <c r="AX726" s="2">
        <v>0</v>
      </c>
      <c r="AZ726" s="2">
        <v>6.8</v>
      </c>
      <c r="BA726" s="2">
        <v>19.899999999999999</v>
      </c>
      <c r="BB726" s="2">
        <v>564</v>
      </c>
      <c r="BC726" s="2">
        <v>68</v>
      </c>
      <c r="BD726" s="2">
        <v>1.5</v>
      </c>
      <c r="BE726" s="2">
        <v>135</v>
      </c>
      <c r="BF726" s="2">
        <v>0.8</v>
      </c>
      <c r="BG726" s="2">
        <v>162</v>
      </c>
      <c r="BH726" s="2">
        <v>9.1</v>
      </c>
      <c r="BI726" s="2">
        <v>9.1999999999999993</v>
      </c>
      <c r="BJ726" s="2">
        <v>18.3</v>
      </c>
      <c r="BK726" s="2">
        <v>0.34</v>
      </c>
      <c r="BL726" s="2">
        <v>7.3</v>
      </c>
      <c r="BM726" s="2">
        <v>0.9</v>
      </c>
      <c r="BN726" s="2">
        <v>7.5</v>
      </c>
      <c r="BO726" s="2">
        <v>2.9</v>
      </c>
      <c r="BP726" s="2">
        <f t="shared" si="22"/>
        <v>5.9602068271949751</v>
      </c>
      <c r="BQ726" s="2">
        <f t="shared" si="23"/>
        <v>18.667951889625584</v>
      </c>
    </row>
    <row r="727" spans="1:69" x14ac:dyDescent="0.2">
      <c r="A727" s="2" t="s">
        <v>2752</v>
      </c>
      <c r="B727" s="2" t="s">
        <v>47</v>
      </c>
      <c r="C727" s="2" t="s">
        <v>1935</v>
      </c>
      <c r="D727" s="2" t="s">
        <v>49</v>
      </c>
      <c r="E727" s="2" t="s">
        <v>721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89</v>
      </c>
      <c r="L727" s="6" t="s">
        <v>141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2753</v>
      </c>
      <c r="R727" s="2">
        <v>7497500</v>
      </c>
      <c r="S727" s="2">
        <v>0</v>
      </c>
      <c r="T727" s="2" t="s">
        <v>54</v>
      </c>
      <c r="U727" s="2" t="s">
        <v>55</v>
      </c>
      <c r="V727" s="2" t="s">
        <v>56</v>
      </c>
      <c r="W727" s="2" t="s">
        <v>57</v>
      </c>
      <c r="X727" s="2" t="s">
        <v>58</v>
      </c>
      <c r="Y727" s="2">
        <v>2.9706733830932901</v>
      </c>
      <c r="Z727" s="2">
        <v>2970.6733830932899</v>
      </c>
      <c r="AA727" s="2">
        <v>4.6584666666666701</v>
      </c>
      <c r="AB727" s="2">
        <v>-74.083966666666697</v>
      </c>
      <c r="AC727" s="2">
        <v>2552</v>
      </c>
      <c r="AD727" s="2">
        <v>0</v>
      </c>
      <c r="AE727" s="2" t="s">
        <v>59</v>
      </c>
      <c r="AF727" s="2" t="s">
        <v>60</v>
      </c>
      <c r="AG727" s="2" t="s">
        <v>61</v>
      </c>
      <c r="AH727" s="2" t="s">
        <v>62</v>
      </c>
      <c r="AI727" s="2" t="s">
        <v>109</v>
      </c>
      <c r="AJ727" s="2">
        <v>0.55046072780202204</v>
      </c>
      <c r="AK727" s="2">
        <v>1.1319369505379999</v>
      </c>
      <c r="AL727" s="2">
        <v>0.12975686784659199</v>
      </c>
      <c r="AM727" s="2">
        <v>4.10566985576621E-2</v>
      </c>
      <c r="AN727" s="2">
        <v>1.95138320410352</v>
      </c>
      <c r="AO727" s="2">
        <v>0.222553969876186</v>
      </c>
      <c r="AP727" s="2">
        <v>0.222553969876186</v>
      </c>
      <c r="AQ727" s="2">
        <v>0</v>
      </c>
      <c r="AR727" s="2">
        <v>3</v>
      </c>
      <c r="AS727" s="2">
        <v>0</v>
      </c>
      <c r="AT727" s="2">
        <v>0</v>
      </c>
      <c r="AU727" s="2">
        <v>23</v>
      </c>
      <c r="AV727" s="2">
        <v>112</v>
      </c>
      <c r="AW727" s="2">
        <v>0</v>
      </c>
      <c r="AX727" s="2">
        <v>0</v>
      </c>
      <c r="AZ727" s="2">
        <v>6.8</v>
      </c>
      <c r="BA727" s="2">
        <v>19.899999999999999</v>
      </c>
      <c r="BB727" s="2">
        <v>564</v>
      </c>
      <c r="BC727" s="2">
        <v>68</v>
      </c>
      <c r="BD727" s="2">
        <v>1.5</v>
      </c>
      <c r="BE727" s="2">
        <v>135</v>
      </c>
      <c r="BF727" s="2">
        <v>0.8</v>
      </c>
      <c r="BG727" s="2">
        <v>162</v>
      </c>
      <c r="BH727" s="2">
        <v>9.1</v>
      </c>
      <c r="BI727" s="2">
        <v>9.1999999999999993</v>
      </c>
      <c r="BJ727" s="2">
        <v>18.3</v>
      </c>
      <c r="BK727" s="2">
        <v>0.34</v>
      </c>
      <c r="BL727" s="2">
        <v>7.3</v>
      </c>
      <c r="BM727" s="2">
        <v>0.9</v>
      </c>
      <c r="BN727" s="2">
        <v>7.5</v>
      </c>
      <c r="BO727" s="2">
        <v>2.9</v>
      </c>
      <c r="BP727" s="2">
        <f t="shared" si="22"/>
        <v>5.8701153224421683</v>
      </c>
      <c r="BQ727" s="2">
        <f t="shared" si="23"/>
        <v>18.530602795132026</v>
      </c>
    </row>
    <row r="728" spans="1:69" x14ac:dyDescent="0.2">
      <c r="A728" s="2" t="s">
        <v>1437</v>
      </c>
      <c r="B728" s="2" t="s">
        <v>47</v>
      </c>
      <c r="C728" s="2" t="s">
        <v>48</v>
      </c>
      <c r="D728" s="2" t="s">
        <v>49</v>
      </c>
      <c r="E728" s="2" t="s">
        <v>111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89</v>
      </c>
      <c r="L728" s="6" t="s">
        <v>141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1438</v>
      </c>
      <c r="R728" s="2">
        <v>9358974.3589999992</v>
      </c>
      <c r="S728" s="2">
        <v>0</v>
      </c>
      <c r="T728" s="2" t="s">
        <v>54</v>
      </c>
      <c r="U728" s="2" t="s">
        <v>55</v>
      </c>
      <c r="V728" s="2" t="s">
        <v>56</v>
      </c>
      <c r="W728" s="2" t="s">
        <v>57</v>
      </c>
      <c r="X728" s="2" t="s">
        <v>58</v>
      </c>
      <c r="Y728" s="2">
        <v>4.4704586509294897</v>
      </c>
      <c r="Z728" s="2">
        <v>4470.4586509294904</v>
      </c>
      <c r="AA728" s="2">
        <v>4.6584666666666701</v>
      </c>
      <c r="AB728" s="2">
        <v>-74.083966666666697</v>
      </c>
      <c r="AC728" s="2">
        <v>2552</v>
      </c>
      <c r="AD728" s="2">
        <v>0</v>
      </c>
      <c r="AE728" s="2" t="s">
        <v>59</v>
      </c>
      <c r="AF728" s="2" t="s">
        <v>60</v>
      </c>
      <c r="AG728" s="2" t="s">
        <v>61</v>
      </c>
      <c r="AH728" s="2" t="s">
        <v>62</v>
      </c>
      <c r="AI728" s="2" t="s">
        <v>109</v>
      </c>
      <c r="AJ728" s="2">
        <v>1.55914965764624</v>
      </c>
      <c r="AK728" s="2">
        <v>0.38903870606310698</v>
      </c>
      <c r="AL728" s="2">
        <v>1.11409504127714</v>
      </c>
      <c r="AM728" s="2">
        <v>0.43113338825584702</v>
      </c>
      <c r="AN728" s="2">
        <v>3.5310484411412499</v>
      </c>
      <c r="AO728" s="2">
        <v>0.618543984409619</v>
      </c>
      <c r="AP728" s="2">
        <v>0.618543984409619</v>
      </c>
      <c r="AQ728" s="2">
        <v>0</v>
      </c>
      <c r="AR728" s="2">
        <v>0</v>
      </c>
      <c r="AS728" s="2">
        <v>5</v>
      </c>
      <c r="AT728" s="2">
        <v>32</v>
      </c>
      <c r="AU728" s="2">
        <v>0</v>
      </c>
      <c r="AV728" s="2">
        <v>45</v>
      </c>
      <c r="AW728" s="2">
        <v>0</v>
      </c>
      <c r="AX728" s="2">
        <v>0</v>
      </c>
      <c r="AZ728" s="2">
        <v>6.8</v>
      </c>
      <c r="BA728" s="2">
        <v>19.899999999999999</v>
      </c>
      <c r="BB728" s="2">
        <v>564</v>
      </c>
      <c r="BC728" s="2">
        <v>68</v>
      </c>
      <c r="BD728" s="2">
        <v>1.5</v>
      </c>
      <c r="BE728" s="2">
        <v>135</v>
      </c>
      <c r="BF728" s="2">
        <v>0.8</v>
      </c>
      <c r="BG728" s="2">
        <v>162</v>
      </c>
      <c r="BH728" s="2">
        <v>9.1</v>
      </c>
      <c r="BI728" s="2">
        <v>9.1999999999999993</v>
      </c>
      <c r="BJ728" s="2">
        <v>18.3</v>
      </c>
      <c r="BK728" s="2">
        <v>0.34</v>
      </c>
      <c r="BL728" s="2">
        <v>7.3</v>
      </c>
      <c r="BM728" s="2">
        <v>0.9</v>
      </c>
      <c r="BN728" s="2">
        <v>7.5</v>
      </c>
      <c r="BO728" s="2">
        <v>2.9</v>
      </c>
      <c r="BP728" s="2">
        <f t="shared" si="22"/>
        <v>5.4501051875732189</v>
      </c>
      <c r="BQ728" s="2">
        <f t="shared" si="23"/>
        <v>17.875458240937807</v>
      </c>
    </row>
    <row r="729" spans="1:69" x14ac:dyDescent="0.2">
      <c r="A729" s="2" t="s">
        <v>3076</v>
      </c>
      <c r="B729" s="2" t="s">
        <v>47</v>
      </c>
      <c r="C729" s="2" t="s">
        <v>1935</v>
      </c>
      <c r="D729" s="2" t="s">
        <v>49</v>
      </c>
      <c r="E729" s="2" t="s">
        <v>1170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89</v>
      </c>
      <c r="L729" s="6" t="s">
        <v>141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3077</v>
      </c>
      <c r="R729" s="2">
        <v>5927835.0520000001</v>
      </c>
      <c r="S729" s="2">
        <v>0</v>
      </c>
      <c r="T729" s="2" t="s">
        <v>54</v>
      </c>
      <c r="U729" s="2" t="s">
        <v>55</v>
      </c>
      <c r="V729" s="2" t="s">
        <v>56</v>
      </c>
      <c r="W729" s="2" t="s">
        <v>57</v>
      </c>
      <c r="X729" s="2" t="s">
        <v>58</v>
      </c>
      <c r="Y729" s="2">
        <v>2.6650332553203899</v>
      </c>
      <c r="Z729" s="2">
        <v>2665.0332553203898</v>
      </c>
      <c r="AA729" s="2">
        <v>4.6584666666666701</v>
      </c>
      <c r="AB729" s="2">
        <v>-74.083966666666697</v>
      </c>
      <c r="AC729" s="2">
        <v>2552</v>
      </c>
      <c r="AD729" s="2">
        <v>0</v>
      </c>
      <c r="AE729" s="2" t="s">
        <v>59</v>
      </c>
      <c r="AF729" s="2" t="s">
        <v>60</v>
      </c>
      <c r="AG729" s="2" t="s">
        <v>61</v>
      </c>
      <c r="AH729" s="2" t="s">
        <v>62</v>
      </c>
      <c r="AI729" s="2" t="s">
        <v>109</v>
      </c>
      <c r="AJ729" s="2">
        <v>0.31479989861494201</v>
      </c>
      <c r="AK729" s="2">
        <v>1.2332147706130201</v>
      </c>
      <c r="AL729" s="2">
        <v>0.12213913845749599</v>
      </c>
      <c r="AM729" s="2">
        <v>0.14972496395485899</v>
      </c>
      <c r="AN729" s="2">
        <v>1.50804382929641</v>
      </c>
      <c r="AO729" s="2">
        <v>0.240984969893869</v>
      </c>
      <c r="AP729" s="2">
        <v>0.240984969893869</v>
      </c>
      <c r="AQ729" s="2">
        <v>2</v>
      </c>
      <c r="AR729" s="2">
        <v>4</v>
      </c>
      <c r="AS729" s="2">
        <v>0</v>
      </c>
      <c r="AT729" s="2">
        <v>0</v>
      </c>
      <c r="AU729" s="2">
        <v>25</v>
      </c>
      <c r="AV729" s="2">
        <v>88</v>
      </c>
      <c r="AW729" s="2">
        <v>0</v>
      </c>
      <c r="AX729" s="2">
        <v>0</v>
      </c>
      <c r="AZ729" s="2">
        <v>6.8</v>
      </c>
      <c r="BA729" s="2">
        <v>19.899999999999999</v>
      </c>
      <c r="BB729" s="2">
        <v>564</v>
      </c>
      <c r="BC729" s="2">
        <v>68</v>
      </c>
      <c r="BD729" s="2">
        <v>1.5</v>
      </c>
      <c r="BE729" s="2">
        <v>135</v>
      </c>
      <c r="BF729" s="2">
        <v>0.8</v>
      </c>
      <c r="BG729" s="2">
        <v>162</v>
      </c>
      <c r="BH729" s="2">
        <v>9.1</v>
      </c>
      <c r="BI729" s="2">
        <v>9.1999999999999993</v>
      </c>
      <c r="BJ729" s="2">
        <v>18.3</v>
      </c>
      <c r="BK729" s="2">
        <v>0.34</v>
      </c>
      <c r="BL729" s="2">
        <v>7.3</v>
      </c>
      <c r="BM729" s="2">
        <v>0.9</v>
      </c>
      <c r="BN729" s="2">
        <v>7.5</v>
      </c>
      <c r="BO729" s="2">
        <v>2.9</v>
      </c>
      <c r="BP729" s="2">
        <f t="shared" si="22"/>
        <v>5.9596006037829268</v>
      </c>
      <c r="BQ729" s="2">
        <f t="shared" si="23"/>
        <v>18.667031258893907</v>
      </c>
    </row>
    <row r="730" spans="1:69" x14ac:dyDescent="0.2">
      <c r="A730" s="2" t="s">
        <v>2930</v>
      </c>
      <c r="B730" s="2" t="s">
        <v>47</v>
      </c>
      <c r="C730" s="2" t="s">
        <v>1935</v>
      </c>
      <c r="D730" s="2" t="s">
        <v>49</v>
      </c>
      <c r="E730" s="2" t="s">
        <v>2931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89</v>
      </c>
      <c r="L730" s="6" t="s">
        <v>141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2932</v>
      </c>
      <c r="R730" s="2">
        <v>2315789.4739999999</v>
      </c>
      <c r="S730" s="2">
        <v>0</v>
      </c>
      <c r="T730" s="2" t="s">
        <v>54</v>
      </c>
      <c r="U730" s="2" t="s">
        <v>55</v>
      </c>
      <c r="V730" s="2" t="s">
        <v>56</v>
      </c>
      <c r="W730" s="2" t="s">
        <v>57</v>
      </c>
      <c r="X730" s="2" t="s">
        <v>58</v>
      </c>
      <c r="Y730" s="2">
        <v>2.1757120665298499</v>
      </c>
      <c r="Z730" s="2">
        <v>2175.7120665298498</v>
      </c>
      <c r="AA730" s="2">
        <v>4.6584666666666701</v>
      </c>
      <c r="AB730" s="2">
        <v>-74.083966666666697</v>
      </c>
      <c r="AC730" s="2">
        <v>2552</v>
      </c>
      <c r="AD730" s="2">
        <v>0</v>
      </c>
      <c r="AE730" s="2" t="s">
        <v>59</v>
      </c>
      <c r="AF730" s="2" t="s">
        <v>60</v>
      </c>
      <c r="AG730" s="2" t="s">
        <v>61</v>
      </c>
      <c r="AH730" s="2" t="s">
        <v>62</v>
      </c>
      <c r="AI730" s="2" t="s">
        <v>391</v>
      </c>
      <c r="AJ730" s="2">
        <v>1.35655219799208</v>
      </c>
      <c r="AK730" s="2">
        <v>5.0775605975715203</v>
      </c>
      <c r="AL730" s="2">
        <v>1.8976753590722399</v>
      </c>
      <c r="AM730" s="2">
        <v>0.15652573119619101</v>
      </c>
      <c r="AN730" s="2">
        <v>0.90697343957223397</v>
      </c>
      <c r="AO730" s="2">
        <v>0.19013470464018101</v>
      </c>
      <c r="AP730" s="2">
        <v>0.19013470464018101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21</v>
      </c>
      <c r="AW730" s="2">
        <v>1</v>
      </c>
      <c r="AX730" s="2">
        <v>0</v>
      </c>
      <c r="AZ730" s="2">
        <v>6.8</v>
      </c>
      <c r="BA730" s="2">
        <v>19.899999999999999</v>
      </c>
      <c r="BB730" s="2">
        <v>564</v>
      </c>
      <c r="BC730" s="2">
        <v>68</v>
      </c>
      <c r="BD730" s="2">
        <v>1.5</v>
      </c>
      <c r="BE730" s="2">
        <v>135</v>
      </c>
      <c r="BF730" s="2">
        <v>0.8</v>
      </c>
      <c r="BG730" s="2">
        <v>162</v>
      </c>
      <c r="BH730" s="2">
        <v>9.1</v>
      </c>
      <c r="BI730" s="2">
        <v>9.1999999999999993</v>
      </c>
      <c r="BJ730" s="2">
        <v>18.3</v>
      </c>
      <c r="BK730" s="2">
        <v>0.34</v>
      </c>
      <c r="BL730" s="2">
        <v>7.3</v>
      </c>
      <c r="BM730" s="2">
        <v>0.9</v>
      </c>
      <c r="BN730" s="2">
        <v>7.5</v>
      </c>
      <c r="BO730" s="2">
        <v>2.9</v>
      </c>
      <c r="BP730" s="2">
        <f t="shared" si="22"/>
        <v>6.1057128450903733</v>
      </c>
      <c r="BQ730" s="2">
        <f t="shared" si="23"/>
        <v>18.887543715827992</v>
      </c>
    </row>
    <row r="731" spans="1:69" x14ac:dyDescent="0.2">
      <c r="A731" s="2" t="s">
        <v>3176</v>
      </c>
      <c r="B731" s="2" t="s">
        <v>47</v>
      </c>
      <c r="C731" s="2" t="s">
        <v>1935</v>
      </c>
      <c r="D731" s="2" t="s">
        <v>49</v>
      </c>
      <c r="E731" s="2" t="s">
        <v>1548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89</v>
      </c>
      <c r="L731" s="6" t="s">
        <v>141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3177</v>
      </c>
      <c r="R731" s="2">
        <v>2108179.42</v>
      </c>
      <c r="S731" s="2">
        <v>0</v>
      </c>
      <c r="T731" s="2" t="s">
        <v>398</v>
      </c>
      <c r="U731" s="2" t="s">
        <v>399</v>
      </c>
      <c r="V731" s="2" t="s">
        <v>56</v>
      </c>
      <c r="W731" s="2" t="s">
        <v>57</v>
      </c>
      <c r="X731" s="2" t="s">
        <v>400</v>
      </c>
      <c r="Y731" s="2">
        <v>4.3770671983529903</v>
      </c>
      <c r="Z731" s="2">
        <v>4377.0671983529901</v>
      </c>
      <c r="AA731" s="2">
        <v>4.7358055555555598</v>
      </c>
      <c r="AB731" s="2">
        <v>-74.125888888888895</v>
      </c>
      <c r="AC731" s="2">
        <v>2574</v>
      </c>
      <c r="AD731" s="2">
        <v>0</v>
      </c>
      <c r="AE731" s="2" t="s">
        <v>133</v>
      </c>
      <c r="AF731" s="2" t="s">
        <v>86</v>
      </c>
      <c r="AG731" s="2" t="s">
        <v>61</v>
      </c>
      <c r="AH731" s="2" t="s">
        <v>62</v>
      </c>
      <c r="AI731" s="2" t="s">
        <v>391</v>
      </c>
      <c r="AJ731" s="2">
        <v>0.24575434797463</v>
      </c>
      <c r="AK731" s="2">
        <v>3.4242991867838999</v>
      </c>
      <c r="AL731" s="2">
        <v>1.15231627344321</v>
      </c>
      <c r="AM731" s="2">
        <v>0.19184460829897301</v>
      </c>
      <c r="AN731" s="2">
        <v>1.4006184776335999</v>
      </c>
      <c r="AO731" s="2">
        <v>5.1028799133635602E-2</v>
      </c>
      <c r="AP731" s="2">
        <v>5.1028799133635602E-2</v>
      </c>
      <c r="AQ731" s="2">
        <v>1</v>
      </c>
      <c r="AR731" s="2">
        <v>3</v>
      </c>
      <c r="AS731" s="2">
        <v>0</v>
      </c>
      <c r="AT731" s="2">
        <v>0</v>
      </c>
      <c r="AU731" s="2">
        <v>0</v>
      </c>
      <c r="AV731" s="2">
        <v>31</v>
      </c>
      <c r="AW731" s="2">
        <v>0</v>
      </c>
      <c r="AX731" s="2">
        <v>0</v>
      </c>
      <c r="AZ731" s="2">
        <v>6.8</v>
      </c>
      <c r="BA731" s="2">
        <v>19.899999999999999</v>
      </c>
      <c r="BB731" s="2">
        <v>564</v>
      </c>
      <c r="BC731" s="2">
        <v>68</v>
      </c>
      <c r="BD731" s="2">
        <v>1.5</v>
      </c>
      <c r="BE731" s="2">
        <v>135</v>
      </c>
      <c r="BF731" s="2">
        <v>0.8</v>
      </c>
      <c r="BG731" s="2">
        <v>162</v>
      </c>
      <c r="BH731" s="2">
        <v>9.1</v>
      </c>
      <c r="BI731" s="2">
        <v>9.1999999999999993</v>
      </c>
      <c r="BJ731" s="2">
        <v>18.3</v>
      </c>
      <c r="BK731" s="2">
        <v>0.34</v>
      </c>
      <c r="BL731" s="2">
        <v>7.3</v>
      </c>
      <c r="BM731" s="2">
        <v>0.9</v>
      </c>
      <c r="BN731" s="2">
        <v>7.5</v>
      </c>
      <c r="BO731" s="2">
        <v>2.9</v>
      </c>
      <c r="BP731" s="2">
        <f t="shared" si="22"/>
        <v>5.4753586798800633</v>
      </c>
      <c r="BQ731" s="2">
        <f t="shared" si="23"/>
        <v>17.915569136577108</v>
      </c>
    </row>
    <row r="732" spans="1:69" x14ac:dyDescent="0.2">
      <c r="A732" s="2" t="s">
        <v>1598</v>
      </c>
      <c r="B732" s="2" t="s">
        <v>47</v>
      </c>
      <c r="C732" s="2" t="s">
        <v>48</v>
      </c>
      <c r="D732" s="2" t="s">
        <v>49</v>
      </c>
      <c r="E732" s="2" t="s">
        <v>811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89</v>
      </c>
      <c r="L732" s="6" t="s">
        <v>141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1599</v>
      </c>
      <c r="R732" s="2">
        <v>8862433.8619999997</v>
      </c>
      <c r="S732" s="2">
        <v>0</v>
      </c>
      <c r="T732" s="2" t="s">
        <v>105</v>
      </c>
      <c r="U732" s="2" t="s">
        <v>106</v>
      </c>
      <c r="V732" s="2" t="s">
        <v>56</v>
      </c>
      <c r="W732" s="2" t="s">
        <v>107</v>
      </c>
      <c r="X732" s="2" t="s">
        <v>108</v>
      </c>
      <c r="Y732" s="2">
        <v>3.3222475467974002</v>
      </c>
      <c r="Z732" s="2">
        <v>3322.2475467974</v>
      </c>
      <c r="AA732" s="2">
        <v>4.6254861111111101</v>
      </c>
      <c r="AB732" s="2">
        <v>-74.066980555555503</v>
      </c>
      <c r="AC732" s="2">
        <v>2621</v>
      </c>
      <c r="AD732" s="2">
        <v>15</v>
      </c>
      <c r="AE732" s="2" t="s">
        <v>59</v>
      </c>
      <c r="AF732" s="2" t="s">
        <v>60</v>
      </c>
      <c r="AG732" s="2" t="s">
        <v>61</v>
      </c>
      <c r="AH732" s="2" t="s">
        <v>62</v>
      </c>
      <c r="AI732" s="2" t="s">
        <v>109</v>
      </c>
      <c r="AJ732" s="2">
        <v>1.33162377294336</v>
      </c>
      <c r="AK732" s="2">
        <v>0.264673672094557</v>
      </c>
      <c r="AL732" s="2">
        <v>0.63280411260838898</v>
      </c>
      <c r="AM732" s="2">
        <v>0.37536255758863801</v>
      </c>
      <c r="AN732" s="2">
        <v>1.2899496474660901</v>
      </c>
      <c r="AO732" s="2">
        <v>0.100222373751368</v>
      </c>
      <c r="AP732" s="2">
        <v>0.100222373751368</v>
      </c>
      <c r="AQ732" s="2">
        <v>0</v>
      </c>
      <c r="AR732" s="2">
        <v>0</v>
      </c>
      <c r="AS732" s="2">
        <v>23</v>
      </c>
      <c r="AT732" s="2">
        <v>39</v>
      </c>
      <c r="AU732" s="2">
        <v>3</v>
      </c>
      <c r="AV732" s="2">
        <v>18</v>
      </c>
      <c r="AW732" s="2">
        <v>0</v>
      </c>
      <c r="AX732" s="2">
        <v>0</v>
      </c>
      <c r="AZ732" s="2">
        <v>6.8</v>
      </c>
      <c r="BA732" s="2">
        <v>19.899999999999999</v>
      </c>
      <c r="BB732" s="2">
        <v>564</v>
      </c>
      <c r="BC732" s="2">
        <v>68</v>
      </c>
      <c r="BD732" s="2">
        <v>1.5</v>
      </c>
      <c r="BE732" s="2">
        <v>135</v>
      </c>
      <c r="BF732" s="2">
        <v>0.8</v>
      </c>
      <c r="BG732" s="2">
        <v>162</v>
      </c>
      <c r="BH732" s="2">
        <v>9.1</v>
      </c>
      <c r="BI732" s="2">
        <v>9.1999999999999993</v>
      </c>
      <c r="BJ732" s="2">
        <v>18.3</v>
      </c>
      <c r="BK732" s="2">
        <v>0.34</v>
      </c>
      <c r="BL732" s="2">
        <v>7.3</v>
      </c>
      <c r="BM732" s="2">
        <v>0.9</v>
      </c>
      <c r="BN732" s="2">
        <v>7.5</v>
      </c>
      <c r="BO732" s="2">
        <v>2.9</v>
      </c>
      <c r="BP732" s="2">
        <f t="shared" si="22"/>
        <v>5.7688419508383095</v>
      </c>
      <c r="BQ732" s="2">
        <f t="shared" si="23"/>
        <v>18.374903448970674</v>
      </c>
    </row>
    <row r="733" spans="1:69" x14ac:dyDescent="0.2">
      <c r="A733" s="2" t="s">
        <v>336</v>
      </c>
      <c r="B733" s="2" t="s">
        <v>47</v>
      </c>
      <c r="C733" s="2" t="s">
        <v>48</v>
      </c>
      <c r="D733" s="2" t="s">
        <v>49</v>
      </c>
      <c r="E733" s="2" t="s">
        <v>289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89</v>
      </c>
      <c r="L733" s="6" t="s">
        <v>141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337</v>
      </c>
      <c r="R733" s="2">
        <v>7936507.9369999999</v>
      </c>
      <c r="S733" s="2">
        <v>0</v>
      </c>
      <c r="T733" s="2" t="s">
        <v>54</v>
      </c>
      <c r="U733" s="2" t="s">
        <v>55</v>
      </c>
      <c r="V733" s="2" t="s">
        <v>56</v>
      </c>
      <c r="W733" s="2" t="s">
        <v>57</v>
      </c>
      <c r="X733" s="2" t="s">
        <v>58</v>
      </c>
      <c r="Y733" s="2">
        <v>4.0074710729068999</v>
      </c>
      <c r="Z733" s="2">
        <v>4007.4710729069002</v>
      </c>
      <c r="AA733" s="2">
        <v>4.6584666666666701</v>
      </c>
      <c r="AB733" s="2">
        <v>-74.083966666666697</v>
      </c>
      <c r="AC733" s="2">
        <v>2552</v>
      </c>
      <c r="AD733" s="2">
        <v>0</v>
      </c>
      <c r="AE733" s="2" t="s">
        <v>59</v>
      </c>
      <c r="AF733" s="2" t="s">
        <v>60</v>
      </c>
      <c r="AG733" s="2" t="s">
        <v>61</v>
      </c>
      <c r="AH733" s="2" t="s">
        <v>62</v>
      </c>
      <c r="AI733" s="2" t="s">
        <v>109</v>
      </c>
      <c r="AJ733" s="2">
        <v>1.4814438658560101</v>
      </c>
      <c r="AK733" s="2">
        <v>0.21934984596433299</v>
      </c>
      <c r="AL733" s="2">
        <v>0.72572525222634998</v>
      </c>
      <c r="AM733" s="2">
        <v>0.16106089315952901</v>
      </c>
      <c r="AN733" s="2">
        <v>2.4884451701736698</v>
      </c>
      <c r="AO733" s="2">
        <v>0.421387744226834</v>
      </c>
      <c r="AP733" s="2">
        <v>0.421387744226834</v>
      </c>
      <c r="AQ733" s="2">
        <v>0</v>
      </c>
      <c r="AR733" s="2">
        <v>0</v>
      </c>
      <c r="AS733" s="2">
        <v>11</v>
      </c>
      <c r="AT733" s="2">
        <v>33</v>
      </c>
      <c r="AU733" s="2">
        <v>3</v>
      </c>
      <c r="AV733" s="2">
        <v>23</v>
      </c>
      <c r="AW733" s="2">
        <v>0</v>
      </c>
      <c r="AX733" s="2">
        <v>0</v>
      </c>
      <c r="AZ733" s="2">
        <v>6.8</v>
      </c>
      <c r="BA733" s="2">
        <v>19.899999999999999</v>
      </c>
      <c r="BB733" s="2">
        <v>564</v>
      </c>
      <c r="BC733" s="2">
        <v>68</v>
      </c>
      <c r="BD733" s="2">
        <v>1.5</v>
      </c>
      <c r="BE733" s="2">
        <v>135</v>
      </c>
      <c r="BF733" s="2">
        <v>0.8</v>
      </c>
      <c r="BG733" s="2">
        <v>162</v>
      </c>
      <c r="BH733" s="2">
        <v>9.1</v>
      </c>
      <c r="BI733" s="2">
        <v>9.1999999999999993</v>
      </c>
      <c r="BJ733" s="2">
        <v>18.3</v>
      </c>
      <c r="BK733" s="2">
        <v>0.34</v>
      </c>
      <c r="BL733" s="2">
        <v>7.3</v>
      </c>
      <c r="BM733" s="2">
        <v>0.9</v>
      </c>
      <c r="BN733" s="2">
        <v>7.5</v>
      </c>
      <c r="BO733" s="2">
        <v>2.9</v>
      </c>
      <c r="BP733" s="2">
        <f t="shared" si="22"/>
        <v>5.5764523468960236</v>
      </c>
      <c r="BQ733" s="2">
        <f t="shared" si="23"/>
        <v>18.075192643217125</v>
      </c>
    </row>
    <row r="734" spans="1:69" x14ac:dyDescent="0.2">
      <c r="A734" s="2" t="s">
        <v>2038</v>
      </c>
      <c r="B734" s="2" t="s">
        <v>47</v>
      </c>
      <c r="C734" s="2" t="s">
        <v>1935</v>
      </c>
      <c r="D734" s="2" t="s">
        <v>49</v>
      </c>
      <c r="E734" s="2" t="s">
        <v>2039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89</v>
      </c>
      <c r="L734" s="6" t="s">
        <v>112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2040</v>
      </c>
      <c r="R734" s="2">
        <v>4629629.63</v>
      </c>
      <c r="S734" s="2">
        <v>0</v>
      </c>
      <c r="T734" s="2" t="s">
        <v>105</v>
      </c>
      <c r="U734" s="2" t="s">
        <v>106</v>
      </c>
      <c r="V734" s="2" t="s">
        <v>56</v>
      </c>
      <c r="W734" s="2" t="s">
        <v>107</v>
      </c>
      <c r="X734" s="2" t="s">
        <v>108</v>
      </c>
      <c r="Y734" s="2">
        <v>0.83405307125158101</v>
      </c>
      <c r="Z734" s="2">
        <v>834.05307125158095</v>
      </c>
      <c r="AA734" s="2">
        <v>4.6254861111111101</v>
      </c>
      <c r="AB734" s="2">
        <v>-74.066980555555503</v>
      </c>
      <c r="AC734" s="2">
        <v>2621</v>
      </c>
      <c r="AD734" s="2">
        <v>15</v>
      </c>
      <c r="AE734" s="2" t="s">
        <v>59</v>
      </c>
      <c r="AF734" s="2" t="s">
        <v>60</v>
      </c>
      <c r="AG734" s="2" t="s">
        <v>61</v>
      </c>
      <c r="AH734" s="2" t="s">
        <v>62</v>
      </c>
      <c r="AI734" s="2" t="s">
        <v>63</v>
      </c>
      <c r="AJ734" s="2">
        <v>0.40778656933888502</v>
      </c>
      <c r="AK734" s="2">
        <v>1.2075018819980401</v>
      </c>
      <c r="AL734" s="2">
        <v>0.312636848726429</v>
      </c>
      <c r="AM734" s="2">
        <v>0.184382085382748</v>
      </c>
      <c r="AN734" s="2">
        <v>0.69666389899408698</v>
      </c>
      <c r="AO734" s="2">
        <v>5.5356625294249402E-2</v>
      </c>
      <c r="AP734" s="2">
        <v>5.5356625294249402E-2</v>
      </c>
      <c r="AQ734" s="2">
        <v>1</v>
      </c>
      <c r="AR734" s="2">
        <v>6</v>
      </c>
      <c r="AS734" s="2">
        <v>0</v>
      </c>
      <c r="AT734" s="2">
        <v>0</v>
      </c>
      <c r="AU734" s="2">
        <v>18</v>
      </c>
      <c r="AV734" s="2">
        <v>173</v>
      </c>
      <c r="AW734" s="2">
        <v>1</v>
      </c>
      <c r="AX734" s="2">
        <v>0</v>
      </c>
      <c r="AZ734" s="2">
        <v>6.8</v>
      </c>
      <c r="BA734" s="2">
        <v>19.899999999999999</v>
      </c>
      <c r="BB734" s="2">
        <v>564</v>
      </c>
      <c r="BC734" s="2">
        <v>68</v>
      </c>
      <c r="BD734" s="2">
        <v>1.5</v>
      </c>
      <c r="BE734" s="2">
        <v>135</v>
      </c>
      <c r="BF734" s="2">
        <v>0.8</v>
      </c>
      <c r="BG734" s="2">
        <v>162</v>
      </c>
      <c r="BH734" s="2">
        <v>9.1</v>
      </c>
      <c r="BI734" s="2">
        <v>9.1999999999999993</v>
      </c>
      <c r="BJ734" s="2">
        <v>18.3</v>
      </c>
      <c r="BK734" s="2">
        <v>0.34</v>
      </c>
      <c r="BL734" s="2">
        <v>7.3</v>
      </c>
      <c r="BM734" s="2">
        <v>0.9</v>
      </c>
      <c r="BN734" s="2">
        <v>7.5</v>
      </c>
      <c r="BO734" s="2">
        <v>2.9</v>
      </c>
      <c r="BP734" s="2">
        <f t="shared" si="22"/>
        <v>6.5249741085013069</v>
      </c>
      <c r="BQ734" s="2">
        <f t="shared" si="23"/>
        <v>19.505616661528038</v>
      </c>
    </row>
    <row r="735" spans="1:69" x14ac:dyDescent="0.2">
      <c r="A735" s="2" t="s">
        <v>2331</v>
      </c>
      <c r="B735" s="2" t="s">
        <v>47</v>
      </c>
      <c r="C735" s="2" t="s">
        <v>1935</v>
      </c>
      <c r="D735" s="2" t="s">
        <v>49</v>
      </c>
      <c r="E735" s="2" t="s">
        <v>811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89</v>
      </c>
      <c r="L735" s="6" t="s">
        <v>141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2332</v>
      </c>
      <c r="R735" s="2">
        <v>9116022.0989999995</v>
      </c>
      <c r="S735" s="2">
        <v>0</v>
      </c>
      <c r="T735" s="2" t="s">
        <v>54</v>
      </c>
      <c r="U735" s="2" t="s">
        <v>55</v>
      </c>
      <c r="V735" s="2" t="s">
        <v>56</v>
      </c>
      <c r="W735" s="2" t="s">
        <v>57</v>
      </c>
      <c r="X735" s="2" t="s">
        <v>58</v>
      </c>
      <c r="Y735" s="2">
        <v>3.4231541704114199</v>
      </c>
      <c r="Z735" s="2">
        <v>3423.1541704114202</v>
      </c>
      <c r="AA735" s="2">
        <v>4.6584666666666701</v>
      </c>
      <c r="AB735" s="2">
        <v>-74.083966666666697</v>
      </c>
      <c r="AC735" s="2">
        <v>2552</v>
      </c>
      <c r="AD735" s="2">
        <v>0</v>
      </c>
      <c r="AE735" s="2" t="s">
        <v>59</v>
      </c>
      <c r="AF735" s="2" t="s">
        <v>60</v>
      </c>
      <c r="AG735" s="2" t="s">
        <v>61</v>
      </c>
      <c r="AH735" s="2" t="s">
        <v>62</v>
      </c>
      <c r="AI735" s="2" t="s">
        <v>109</v>
      </c>
      <c r="AJ735" s="2">
        <v>1.0369777211990201</v>
      </c>
      <c r="AK735" s="2">
        <v>0.54535681626115196</v>
      </c>
      <c r="AL735" s="2">
        <v>0.56625286613839698</v>
      </c>
      <c r="AM735" s="2">
        <v>0.16980822962929601</v>
      </c>
      <c r="AN735" s="2">
        <v>1.57442250365346</v>
      </c>
      <c r="AO735" s="2">
        <v>6.77833974245611E-3</v>
      </c>
      <c r="AP735" s="2">
        <v>6.77833974245611E-3</v>
      </c>
      <c r="AQ735" s="2">
        <v>0</v>
      </c>
      <c r="AR735" s="2">
        <v>0</v>
      </c>
      <c r="AS735" s="2">
        <v>0</v>
      </c>
      <c r="AT735" s="2">
        <v>41</v>
      </c>
      <c r="AU735" s="2">
        <v>12</v>
      </c>
      <c r="AV735" s="2">
        <v>45</v>
      </c>
      <c r="AW735" s="2">
        <v>0</v>
      </c>
      <c r="AX735" s="2">
        <v>0</v>
      </c>
      <c r="AZ735" s="2">
        <v>6.8</v>
      </c>
      <c r="BA735" s="2">
        <v>19.899999999999999</v>
      </c>
      <c r="BB735" s="2">
        <v>564</v>
      </c>
      <c r="BC735" s="2">
        <v>68</v>
      </c>
      <c r="BD735" s="2">
        <v>1.5</v>
      </c>
      <c r="BE735" s="2">
        <v>135</v>
      </c>
      <c r="BF735" s="2">
        <v>0.8</v>
      </c>
      <c r="BG735" s="2">
        <v>162</v>
      </c>
      <c r="BH735" s="2">
        <v>9.1</v>
      </c>
      <c r="BI735" s="2">
        <v>9.1999999999999993</v>
      </c>
      <c r="BJ735" s="2">
        <v>18.3</v>
      </c>
      <c r="BK735" s="2">
        <v>0.34</v>
      </c>
      <c r="BL735" s="2">
        <v>7.3</v>
      </c>
      <c r="BM735" s="2">
        <v>0.9</v>
      </c>
      <c r="BN735" s="2">
        <v>7.5</v>
      </c>
      <c r="BO735" s="2">
        <v>2.9</v>
      </c>
      <c r="BP735" s="2">
        <f t="shared" si="22"/>
        <v>5.7400991330393989</v>
      </c>
      <c r="BQ735" s="2">
        <f t="shared" si="23"/>
        <v>18.330457701945953</v>
      </c>
    </row>
    <row r="736" spans="1:69" x14ac:dyDescent="0.2">
      <c r="A736" s="2" t="s">
        <v>1810</v>
      </c>
      <c r="B736" s="2" t="s">
        <v>47</v>
      </c>
      <c r="C736" s="2" t="s">
        <v>48</v>
      </c>
      <c r="D736" s="2" t="s">
        <v>49</v>
      </c>
      <c r="E736" s="2" t="s">
        <v>1811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89</v>
      </c>
      <c r="L736" s="6" t="s">
        <v>103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1812</v>
      </c>
      <c r="R736" s="2">
        <v>9722222.2219999991</v>
      </c>
      <c r="S736" s="2">
        <v>0</v>
      </c>
      <c r="T736" s="2" t="s">
        <v>54</v>
      </c>
      <c r="U736" s="2" t="s">
        <v>55</v>
      </c>
      <c r="V736" s="2" t="s">
        <v>56</v>
      </c>
      <c r="W736" s="2" t="s">
        <v>57</v>
      </c>
      <c r="X736" s="2" t="s">
        <v>58</v>
      </c>
      <c r="Y736" s="2">
        <v>4.35235626259926</v>
      </c>
      <c r="Z736" s="2">
        <v>4352.3562625992599</v>
      </c>
      <c r="AA736" s="2">
        <v>4.6584666666666701</v>
      </c>
      <c r="AB736" s="2">
        <v>-74.083966666666697</v>
      </c>
      <c r="AC736" s="2">
        <v>2552</v>
      </c>
      <c r="AD736" s="2">
        <v>0</v>
      </c>
      <c r="AE736" s="2" t="s">
        <v>59</v>
      </c>
      <c r="AF736" s="2" t="s">
        <v>60</v>
      </c>
      <c r="AG736" s="2" t="s">
        <v>61</v>
      </c>
      <c r="AH736" s="2" t="s">
        <v>62</v>
      </c>
      <c r="AI736" s="2" t="s">
        <v>109</v>
      </c>
      <c r="AJ736" s="2">
        <v>1.6413299338280101</v>
      </c>
      <c r="AK736" s="2">
        <v>0.20728502009000099</v>
      </c>
      <c r="AL736" s="2">
        <v>0.91619726278046099</v>
      </c>
      <c r="AM736" s="2">
        <v>0.23429897534282801</v>
      </c>
      <c r="AN736" s="2">
        <v>3.1016427439603498</v>
      </c>
      <c r="AO736" s="2">
        <v>0.39419451606758199</v>
      </c>
      <c r="AP736" s="2">
        <v>0.39419451606758199</v>
      </c>
      <c r="AQ736" s="2">
        <v>0</v>
      </c>
      <c r="AR736" s="2">
        <v>0</v>
      </c>
      <c r="AS736" s="2">
        <v>18</v>
      </c>
      <c r="AT736" s="2">
        <v>37</v>
      </c>
      <c r="AU736" s="2">
        <v>1</v>
      </c>
      <c r="AV736" s="2">
        <v>21</v>
      </c>
      <c r="AW736" s="2">
        <v>0</v>
      </c>
      <c r="AX736" s="2">
        <v>0</v>
      </c>
      <c r="AZ736" s="2">
        <v>6.8</v>
      </c>
      <c r="BA736" s="2">
        <v>19.899999999999999</v>
      </c>
      <c r="BB736" s="2">
        <v>564</v>
      </c>
      <c r="BC736" s="2">
        <v>68</v>
      </c>
      <c r="BD736" s="2">
        <v>1.5</v>
      </c>
      <c r="BE736" s="2">
        <v>135</v>
      </c>
      <c r="BF736" s="2">
        <v>0.8</v>
      </c>
      <c r="BG736" s="2">
        <v>162</v>
      </c>
      <c r="BH736" s="2">
        <v>9.1</v>
      </c>
      <c r="BI736" s="2">
        <v>9.1999999999999993</v>
      </c>
      <c r="BJ736" s="2">
        <v>18.3</v>
      </c>
      <c r="BK736" s="2">
        <v>0.34</v>
      </c>
      <c r="BL736" s="2">
        <v>7.3</v>
      </c>
      <c r="BM736" s="2">
        <v>0.9</v>
      </c>
      <c r="BN736" s="2">
        <v>7.5</v>
      </c>
      <c r="BO736" s="2">
        <v>2.9</v>
      </c>
      <c r="BP736" s="2">
        <f t="shared" si="22"/>
        <v>5.4820601888683846</v>
      </c>
      <c r="BQ736" s="2">
        <f t="shared" si="23"/>
        <v>17.926197339329828</v>
      </c>
    </row>
    <row r="737" spans="1:69" x14ac:dyDescent="0.2">
      <c r="A737" s="2" t="s">
        <v>2350</v>
      </c>
      <c r="B737" s="2" t="s">
        <v>47</v>
      </c>
      <c r="C737" s="2" t="s">
        <v>1935</v>
      </c>
      <c r="D737" s="2" t="s">
        <v>49</v>
      </c>
      <c r="E737" s="2" t="s">
        <v>251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89</v>
      </c>
      <c r="L737" s="6" t="s">
        <v>141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2351</v>
      </c>
      <c r="R737" s="2">
        <v>6944444.4440000001</v>
      </c>
      <c r="S737" s="2">
        <v>0</v>
      </c>
      <c r="T737" s="2" t="s">
        <v>105</v>
      </c>
      <c r="U737" s="2" t="s">
        <v>106</v>
      </c>
      <c r="V737" s="2" t="s">
        <v>56</v>
      </c>
      <c r="W737" s="2" t="s">
        <v>107</v>
      </c>
      <c r="X737" s="2" t="s">
        <v>108</v>
      </c>
      <c r="Y737" s="2">
        <v>2.6775369153745001</v>
      </c>
      <c r="Z737" s="2">
        <v>2677.5369153745</v>
      </c>
      <c r="AA737" s="2">
        <v>4.6254861111111101</v>
      </c>
      <c r="AB737" s="2">
        <v>-74.066980555555503</v>
      </c>
      <c r="AC737" s="2">
        <v>2621</v>
      </c>
      <c r="AD737" s="2">
        <v>15</v>
      </c>
      <c r="AE737" s="2" t="s">
        <v>59</v>
      </c>
      <c r="AF737" s="2" t="s">
        <v>60</v>
      </c>
      <c r="AG737" s="2" t="s">
        <v>61</v>
      </c>
      <c r="AH737" s="2" t="s">
        <v>62</v>
      </c>
      <c r="AI737" s="2" t="s">
        <v>267</v>
      </c>
      <c r="AJ737" s="2">
        <v>0.66743251898662503</v>
      </c>
      <c r="AK737" s="2">
        <v>3.1337604789985098</v>
      </c>
      <c r="AL737" s="2">
        <v>1.5332800914459901</v>
      </c>
      <c r="AM737" s="2">
        <v>6.5377647119212901E-2</v>
      </c>
      <c r="AN737" s="2">
        <v>1.4308107403660699</v>
      </c>
      <c r="AO737" s="2">
        <v>0.54905754830896403</v>
      </c>
      <c r="AP737" s="2">
        <v>0.54905754830896403</v>
      </c>
      <c r="AQ737" s="2">
        <v>0</v>
      </c>
      <c r="AR737" s="2">
        <v>4</v>
      </c>
      <c r="AS737" s="2">
        <v>0</v>
      </c>
      <c r="AT737" s="2">
        <v>0</v>
      </c>
      <c r="AU737" s="2">
        <v>0</v>
      </c>
      <c r="AV737" s="2">
        <v>16</v>
      </c>
      <c r="AW737" s="2">
        <v>0</v>
      </c>
      <c r="AX737" s="2">
        <v>0</v>
      </c>
      <c r="AZ737" s="2">
        <v>6.8</v>
      </c>
      <c r="BA737" s="2">
        <v>19.899999999999999</v>
      </c>
      <c r="BB737" s="2">
        <v>564</v>
      </c>
      <c r="BC737" s="2">
        <v>68</v>
      </c>
      <c r="BD737" s="2">
        <v>1.5</v>
      </c>
      <c r="BE737" s="2">
        <v>135</v>
      </c>
      <c r="BF737" s="2">
        <v>0.8</v>
      </c>
      <c r="BG737" s="2">
        <v>162</v>
      </c>
      <c r="BH737" s="2">
        <v>9.1</v>
      </c>
      <c r="BI737" s="2">
        <v>9.1999999999999993</v>
      </c>
      <c r="BJ737" s="2">
        <v>18.3</v>
      </c>
      <c r="BK737" s="2">
        <v>0.34</v>
      </c>
      <c r="BL737" s="2">
        <v>7.3</v>
      </c>
      <c r="BM737" s="2">
        <v>0.9</v>
      </c>
      <c r="BN737" s="2">
        <v>7.5</v>
      </c>
      <c r="BO737" s="2">
        <v>2.9</v>
      </c>
      <c r="BP737" s="2">
        <f t="shared" si="22"/>
        <v>5.9559131624464419</v>
      </c>
      <c r="BQ737" s="2">
        <f t="shared" si="23"/>
        <v>18.661430350204302</v>
      </c>
    </row>
    <row r="738" spans="1:69" x14ac:dyDescent="0.2">
      <c r="A738" s="2" t="s">
        <v>2296</v>
      </c>
      <c r="B738" s="2" t="s">
        <v>47</v>
      </c>
      <c r="C738" s="2" t="s">
        <v>1935</v>
      </c>
      <c r="D738" s="2" t="s">
        <v>49</v>
      </c>
      <c r="E738" s="2" t="s">
        <v>539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89</v>
      </c>
      <c r="L738" s="6" t="s">
        <v>103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2297</v>
      </c>
      <c r="R738" s="2">
        <v>2638888.889</v>
      </c>
      <c r="S738" s="2">
        <v>0</v>
      </c>
      <c r="T738" s="2" t="s">
        <v>398</v>
      </c>
      <c r="U738" s="2" t="s">
        <v>399</v>
      </c>
      <c r="V738" s="2" t="s">
        <v>56</v>
      </c>
      <c r="W738" s="2" t="s">
        <v>57</v>
      </c>
      <c r="X738" s="2" t="s">
        <v>400</v>
      </c>
      <c r="Y738" s="2">
        <v>0.80922048682024805</v>
      </c>
      <c r="Z738" s="2">
        <v>809.22048682024797</v>
      </c>
      <c r="AA738" s="2">
        <v>4.7358055555555598</v>
      </c>
      <c r="AB738" s="2">
        <v>-74.125888888888895</v>
      </c>
      <c r="AC738" s="2">
        <v>2574</v>
      </c>
      <c r="AD738" s="2">
        <v>0</v>
      </c>
      <c r="AE738" s="2" t="s">
        <v>133</v>
      </c>
      <c r="AF738" s="2" t="s">
        <v>86</v>
      </c>
      <c r="AG738" s="2" t="s">
        <v>61</v>
      </c>
      <c r="AH738" s="2" t="s">
        <v>62</v>
      </c>
      <c r="AI738" s="2" t="s">
        <v>100</v>
      </c>
      <c r="AJ738" s="2">
        <v>3.1792066156693801</v>
      </c>
      <c r="AK738" s="2">
        <v>0.496370435605686</v>
      </c>
      <c r="AL738" s="2">
        <v>5.7400559395505999</v>
      </c>
      <c r="AM738" s="2">
        <v>0.24368093964416301</v>
      </c>
      <c r="AN738" s="2">
        <v>4.1350840924155401</v>
      </c>
      <c r="AO738" s="2">
        <v>2.2622164865424701E-2</v>
      </c>
      <c r="AP738" s="2">
        <v>2.2622164865424701E-2</v>
      </c>
      <c r="AQ738" s="2">
        <v>0</v>
      </c>
      <c r="AR738" s="2">
        <v>0</v>
      </c>
      <c r="AS738" s="2">
        <v>1</v>
      </c>
      <c r="AT738" s="2">
        <v>12</v>
      </c>
      <c r="AU738" s="2">
        <v>0</v>
      </c>
      <c r="AV738" s="2">
        <v>1</v>
      </c>
      <c r="AW738" s="2">
        <v>0</v>
      </c>
      <c r="AX738" s="2">
        <v>0</v>
      </c>
      <c r="AZ738" s="2">
        <v>6.8</v>
      </c>
      <c r="BA738" s="2">
        <v>19.899999999999999</v>
      </c>
      <c r="BB738" s="2">
        <v>564</v>
      </c>
      <c r="BC738" s="2">
        <v>68</v>
      </c>
      <c r="BD738" s="2">
        <v>1.5</v>
      </c>
      <c r="BE738" s="2">
        <v>135</v>
      </c>
      <c r="BF738" s="2">
        <v>0.8</v>
      </c>
      <c r="BG738" s="2">
        <v>162</v>
      </c>
      <c r="BH738" s="2">
        <v>9.1</v>
      </c>
      <c r="BI738" s="2">
        <v>9.1999999999999993</v>
      </c>
      <c r="BJ738" s="2">
        <v>18.3</v>
      </c>
      <c r="BK738" s="2">
        <v>0.34</v>
      </c>
      <c r="BL738" s="2">
        <v>7.3</v>
      </c>
      <c r="BM738" s="2">
        <v>0.9</v>
      </c>
      <c r="BN738" s="2">
        <v>7.5</v>
      </c>
      <c r="BO738" s="2">
        <v>2.9</v>
      </c>
      <c r="BP738" s="2">
        <f t="shared" si="22"/>
        <v>6.5329996225614586</v>
      </c>
      <c r="BQ738" s="2">
        <f t="shared" si="23"/>
        <v>19.517245123304129</v>
      </c>
    </row>
    <row r="739" spans="1:69" x14ac:dyDescent="0.2">
      <c r="A739" s="2" t="s">
        <v>2685</v>
      </c>
      <c r="B739" s="2" t="s">
        <v>47</v>
      </c>
      <c r="C739" s="2" t="s">
        <v>1935</v>
      </c>
      <c r="D739" s="2" t="s">
        <v>49</v>
      </c>
      <c r="E739" s="2" t="s">
        <v>2686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89</v>
      </c>
      <c r="L739" s="6" t="s">
        <v>141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2687</v>
      </c>
      <c r="R739" s="2">
        <v>1250000</v>
      </c>
      <c r="S739" s="2">
        <v>0</v>
      </c>
      <c r="T739" s="2" t="s">
        <v>1822</v>
      </c>
      <c r="U739" s="2" t="s">
        <v>1823</v>
      </c>
      <c r="V739" s="2" t="s">
        <v>56</v>
      </c>
      <c r="W739" s="2" t="s">
        <v>1824</v>
      </c>
      <c r="X739" s="2" t="s">
        <v>1825</v>
      </c>
      <c r="Y739" s="2">
        <v>2.5207791283721099</v>
      </c>
      <c r="Z739" s="2">
        <v>2520.7791283721099</v>
      </c>
      <c r="AA739" s="2">
        <v>4.576225</v>
      </c>
      <c r="AB739" s="2">
        <v>-74.130955555555502</v>
      </c>
      <c r="AC739" s="2">
        <v>2589</v>
      </c>
      <c r="AD739" s="2">
        <v>0</v>
      </c>
      <c r="AE739" s="2" t="s">
        <v>59</v>
      </c>
      <c r="AF739" s="2" t="s">
        <v>86</v>
      </c>
      <c r="AG739" s="2" t="s">
        <v>61</v>
      </c>
      <c r="AH739" s="2" t="s">
        <v>62</v>
      </c>
      <c r="AI739" s="2" t="s">
        <v>1826</v>
      </c>
      <c r="AJ739" s="2">
        <v>0.51986519541292298</v>
      </c>
      <c r="AK739" s="2">
        <v>3.5505682232115698</v>
      </c>
      <c r="AL739" s="2">
        <v>1.7268336573983001</v>
      </c>
      <c r="AM739" s="2">
        <v>0.25943354112252698</v>
      </c>
      <c r="AN739" s="2">
        <v>1.24861748842762</v>
      </c>
      <c r="AO739" s="2">
        <v>5.2525134524167599E-2</v>
      </c>
      <c r="AP739" s="2">
        <v>5.2525134524167599E-2</v>
      </c>
      <c r="AQ739" s="2">
        <v>0</v>
      </c>
      <c r="AR739" s="2">
        <v>2</v>
      </c>
      <c r="AS739" s="2">
        <v>0</v>
      </c>
      <c r="AT739" s="2">
        <v>0</v>
      </c>
      <c r="AU739" s="2">
        <v>0</v>
      </c>
      <c r="AV739" s="2">
        <v>30</v>
      </c>
      <c r="AW739" s="2">
        <v>0</v>
      </c>
      <c r="AX739" s="2">
        <v>0</v>
      </c>
      <c r="AZ739" s="2">
        <v>6.8</v>
      </c>
      <c r="BA739" s="2">
        <v>19.899999999999999</v>
      </c>
      <c r="BB739" s="2">
        <v>564</v>
      </c>
      <c r="BC739" s="2">
        <v>68</v>
      </c>
      <c r="BD739" s="2">
        <v>1.5</v>
      </c>
      <c r="BE739" s="2">
        <v>135</v>
      </c>
      <c r="BF739" s="2">
        <v>0.8</v>
      </c>
      <c r="BG739" s="2">
        <v>162</v>
      </c>
      <c r="BH739" s="2">
        <v>9.1</v>
      </c>
      <c r="BI739" s="2">
        <v>9.1999999999999993</v>
      </c>
      <c r="BJ739" s="2">
        <v>18.3</v>
      </c>
      <c r="BK739" s="2">
        <v>0.34</v>
      </c>
      <c r="BL739" s="2">
        <v>7.3</v>
      </c>
      <c r="BM739" s="2">
        <v>0.9</v>
      </c>
      <c r="BN739" s="2">
        <v>7.5</v>
      </c>
      <c r="BO739" s="2">
        <v>2.9</v>
      </c>
      <c r="BP739" s="2">
        <f t="shared" si="22"/>
        <v>6.0023079003507327</v>
      </c>
      <c r="BQ739" s="2">
        <f t="shared" si="23"/>
        <v>18.731770371967698</v>
      </c>
    </row>
    <row r="740" spans="1:69" x14ac:dyDescent="0.2">
      <c r="A740" s="2" t="s">
        <v>967</v>
      </c>
      <c r="B740" s="2" t="s">
        <v>47</v>
      </c>
      <c r="C740" s="2" t="s">
        <v>48</v>
      </c>
      <c r="D740" s="2" t="s">
        <v>49</v>
      </c>
      <c r="E740" s="2" t="s">
        <v>968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89</v>
      </c>
      <c r="L740" s="6" t="s">
        <v>141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969</v>
      </c>
      <c r="R740" s="2">
        <v>7909604.5199999996</v>
      </c>
      <c r="S740" s="2">
        <v>0</v>
      </c>
      <c r="T740" s="2" t="s">
        <v>54</v>
      </c>
      <c r="U740" s="2" t="s">
        <v>55</v>
      </c>
      <c r="V740" s="2" t="s">
        <v>56</v>
      </c>
      <c r="W740" s="2" t="s">
        <v>57</v>
      </c>
      <c r="X740" s="2" t="s">
        <v>58</v>
      </c>
      <c r="Y740" s="2">
        <v>4.6732569220550104</v>
      </c>
      <c r="Z740" s="2">
        <v>4673.2569220550104</v>
      </c>
      <c r="AA740" s="2">
        <v>4.6584666666666701</v>
      </c>
      <c r="AB740" s="2">
        <v>-74.083966666666697</v>
      </c>
      <c r="AC740" s="2">
        <v>2552</v>
      </c>
      <c r="AD740" s="2">
        <v>0</v>
      </c>
      <c r="AE740" s="2" t="s">
        <v>59</v>
      </c>
      <c r="AF740" s="2" t="s">
        <v>60</v>
      </c>
      <c r="AG740" s="2" t="s">
        <v>61</v>
      </c>
      <c r="AH740" s="2" t="s">
        <v>62</v>
      </c>
      <c r="AI740" s="2" t="s">
        <v>109</v>
      </c>
      <c r="AJ740" s="2">
        <v>1.87091209236246</v>
      </c>
      <c r="AK740" s="2">
        <v>4.5232242227715998E-2</v>
      </c>
      <c r="AL740" s="2">
        <v>1.2471015092901601</v>
      </c>
      <c r="AM740" s="2">
        <v>0.54112401474991501</v>
      </c>
      <c r="AN740" s="2">
        <v>3.44674300339106</v>
      </c>
      <c r="AO740" s="2">
        <v>0.71107334971162695</v>
      </c>
      <c r="AP740" s="2">
        <v>0.71107334971162695</v>
      </c>
      <c r="AQ740" s="2">
        <v>0</v>
      </c>
      <c r="AR740" s="2">
        <v>0</v>
      </c>
      <c r="AS740" s="2">
        <v>26</v>
      </c>
      <c r="AT740" s="2">
        <v>33</v>
      </c>
      <c r="AU740" s="2">
        <v>0</v>
      </c>
      <c r="AV740" s="2">
        <v>10</v>
      </c>
      <c r="AW740" s="2">
        <v>0</v>
      </c>
      <c r="AX740" s="2">
        <v>0</v>
      </c>
      <c r="AZ740" s="2">
        <v>6.8</v>
      </c>
      <c r="BA740" s="2">
        <v>19.899999999999999</v>
      </c>
      <c r="BB740" s="2">
        <v>564</v>
      </c>
      <c r="BC740" s="2">
        <v>68</v>
      </c>
      <c r="BD740" s="2">
        <v>1.5</v>
      </c>
      <c r="BE740" s="2">
        <v>135</v>
      </c>
      <c r="BF740" s="2">
        <v>0.8</v>
      </c>
      <c r="BG740" s="2">
        <v>162</v>
      </c>
      <c r="BH740" s="2">
        <v>9.1</v>
      </c>
      <c r="BI740" s="2">
        <v>9.1999999999999993</v>
      </c>
      <c r="BJ740" s="2">
        <v>18.3</v>
      </c>
      <c r="BK740" s="2">
        <v>0.34</v>
      </c>
      <c r="BL740" s="2">
        <v>7.3</v>
      </c>
      <c r="BM740" s="2">
        <v>0.9</v>
      </c>
      <c r="BN740" s="2">
        <v>7.5</v>
      </c>
      <c r="BO740" s="2">
        <v>2.9</v>
      </c>
      <c r="BP740" s="2">
        <f t="shared" si="22"/>
        <v>5.3956679198461375</v>
      </c>
      <c r="BQ740" s="2">
        <f t="shared" si="23"/>
        <v>17.78866693714485</v>
      </c>
    </row>
    <row r="741" spans="1:69" x14ac:dyDescent="0.2">
      <c r="A741" s="2" t="s">
        <v>1762</v>
      </c>
      <c r="B741" s="2" t="s">
        <v>47</v>
      </c>
      <c r="C741" s="2" t="s">
        <v>48</v>
      </c>
      <c r="D741" s="2" t="s">
        <v>49</v>
      </c>
      <c r="E741" s="2" t="s">
        <v>211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89</v>
      </c>
      <c r="L741" s="6" t="s">
        <v>94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1763</v>
      </c>
      <c r="R741" s="2">
        <v>6428571.4289999995</v>
      </c>
      <c r="S741" s="2">
        <v>0</v>
      </c>
      <c r="T741" s="2" t="s">
        <v>54</v>
      </c>
      <c r="U741" s="2" t="s">
        <v>55</v>
      </c>
      <c r="V741" s="2" t="s">
        <v>56</v>
      </c>
      <c r="W741" s="2" t="s">
        <v>57</v>
      </c>
      <c r="X741" s="2" t="s">
        <v>58</v>
      </c>
      <c r="Y741" s="2">
        <v>4.06584118269501</v>
      </c>
      <c r="Z741" s="2">
        <v>4065.84118269501</v>
      </c>
      <c r="AA741" s="2">
        <v>4.6584666666666701</v>
      </c>
      <c r="AB741" s="2">
        <v>-74.083966666666697</v>
      </c>
      <c r="AC741" s="2">
        <v>2552</v>
      </c>
      <c r="AD741" s="2">
        <v>0</v>
      </c>
      <c r="AE741" s="2" t="s">
        <v>59</v>
      </c>
      <c r="AF741" s="2" t="s">
        <v>60</v>
      </c>
      <c r="AG741" s="2" t="s">
        <v>61</v>
      </c>
      <c r="AH741" s="2" t="s">
        <v>62</v>
      </c>
      <c r="AI741" s="2" t="s">
        <v>109</v>
      </c>
      <c r="AJ741" s="2">
        <v>1.4588489986192901</v>
      </c>
      <c r="AK741" s="2">
        <v>0.28280260423803499</v>
      </c>
      <c r="AL741" s="2">
        <v>0.65819132903626698</v>
      </c>
      <c r="AM741" s="2">
        <v>0.12838055237545201</v>
      </c>
      <c r="AN741" s="2">
        <v>2.7550533470112901</v>
      </c>
      <c r="AO741" s="2">
        <v>0.278227471370326</v>
      </c>
      <c r="AP741" s="2">
        <v>0.278227471370326</v>
      </c>
      <c r="AQ741" s="2">
        <v>0</v>
      </c>
      <c r="AR741" s="2">
        <v>0</v>
      </c>
      <c r="AS741" s="2">
        <v>6</v>
      </c>
      <c r="AT741" s="2">
        <v>31</v>
      </c>
      <c r="AU741" s="2">
        <v>4</v>
      </c>
      <c r="AV741" s="2">
        <v>25</v>
      </c>
      <c r="AW741" s="2">
        <v>0</v>
      </c>
      <c r="AX741" s="2">
        <v>0</v>
      </c>
      <c r="AZ741" s="2">
        <v>6.8</v>
      </c>
      <c r="BA741" s="2">
        <v>19.899999999999999</v>
      </c>
      <c r="BB741" s="2">
        <v>564</v>
      </c>
      <c r="BC741" s="2">
        <v>68</v>
      </c>
      <c r="BD741" s="2">
        <v>1.5</v>
      </c>
      <c r="BE741" s="2">
        <v>135</v>
      </c>
      <c r="BF741" s="2">
        <v>0.8</v>
      </c>
      <c r="BG741" s="2">
        <v>162</v>
      </c>
      <c r="BH741" s="2">
        <v>9.1</v>
      </c>
      <c r="BI741" s="2">
        <v>9.1999999999999993</v>
      </c>
      <c r="BJ741" s="2">
        <v>18.3</v>
      </c>
      <c r="BK741" s="2">
        <v>0.34</v>
      </c>
      <c r="BL741" s="2">
        <v>7.3</v>
      </c>
      <c r="BM741" s="2">
        <v>0.9</v>
      </c>
      <c r="BN741" s="2">
        <v>7.5</v>
      </c>
      <c r="BO741" s="2">
        <v>2.9</v>
      </c>
      <c r="BP741" s="2">
        <f t="shared" si="22"/>
        <v>5.5603634433696651</v>
      </c>
      <c r="BQ741" s="2">
        <f t="shared" si="23"/>
        <v>18.049889147472516</v>
      </c>
    </row>
    <row r="742" spans="1:69" x14ac:dyDescent="0.2">
      <c r="A742" s="2" t="s">
        <v>1735</v>
      </c>
      <c r="B742" s="2" t="s">
        <v>47</v>
      </c>
      <c r="C742" s="2" t="s">
        <v>48</v>
      </c>
      <c r="D742" s="2" t="s">
        <v>49</v>
      </c>
      <c r="E742" s="2" t="s">
        <v>721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89</v>
      </c>
      <c r="L742" s="6" t="s">
        <v>103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1736</v>
      </c>
      <c r="R742" s="2">
        <v>10850439.880000001</v>
      </c>
      <c r="S742" s="2">
        <v>0</v>
      </c>
      <c r="T742" s="2" t="s">
        <v>54</v>
      </c>
      <c r="U742" s="2" t="s">
        <v>55</v>
      </c>
      <c r="V742" s="2" t="s">
        <v>56</v>
      </c>
      <c r="W742" s="2" t="s">
        <v>57</v>
      </c>
      <c r="X742" s="2" t="s">
        <v>58</v>
      </c>
      <c r="Y742" s="2">
        <v>3.8017358581459999</v>
      </c>
      <c r="Z742" s="2">
        <v>3801.7358581459998</v>
      </c>
      <c r="AA742" s="2">
        <v>4.6584666666666701</v>
      </c>
      <c r="AB742" s="2">
        <v>-74.083966666666697</v>
      </c>
      <c r="AC742" s="2">
        <v>2552</v>
      </c>
      <c r="AD742" s="2">
        <v>0</v>
      </c>
      <c r="AE742" s="2" t="s">
        <v>59</v>
      </c>
      <c r="AF742" s="2" t="s">
        <v>60</v>
      </c>
      <c r="AG742" s="2" t="s">
        <v>61</v>
      </c>
      <c r="AH742" s="2" t="s">
        <v>62</v>
      </c>
      <c r="AI742" s="2" t="s">
        <v>109</v>
      </c>
      <c r="AJ742" s="2">
        <v>1.1893686675075199</v>
      </c>
      <c r="AK742" s="2">
        <v>0.554421494944348</v>
      </c>
      <c r="AL742" s="2">
        <v>0.382935679436264</v>
      </c>
      <c r="AM742" s="2">
        <v>0.107601839271023</v>
      </c>
      <c r="AN742" s="2">
        <v>2.6811435780650101</v>
      </c>
      <c r="AO742" s="2">
        <v>6.4528948774528694E-2</v>
      </c>
      <c r="AP742" s="2">
        <v>6.4528948774528694E-2</v>
      </c>
      <c r="AQ742" s="2">
        <v>0</v>
      </c>
      <c r="AR742" s="2">
        <v>0</v>
      </c>
      <c r="AS742" s="2">
        <v>0</v>
      </c>
      <c r="AT742" s="2">
        <v>27</v>
      </c>
      <c r="AU742" s="2">
        <v>8</v>
      </c>
      <c r="AV742" s="2">
        <v>142</v>
      </c>
      <c r="AW742" s="2">
        <v>0</v>
      </c>
      <c r="AX742" s="2">
        <v>0</v>
      </c>
      <c r="AZ742" s="2">
        <v>6.8</v>
      </c>
      <c r="BA742" s="2">
        <v>19.899999999999999</v>
      </c>
      <c r="BB742" s="2">
        <v>564</v>
      </c>
      <c r="BC742" s="2">
        <v>68</v>
      </c>
      <c r="BD742" s="2">
        <v>1.5</v>
      </c>
      <c r="BE742" s="2">
        <v>135</v>
      </c>
      <c r="BF742" s="2">
        <v>0.8</v>
      </c>
      <c r="BG742" s="2">
        <v>162</v>
      </c>
      <c r="BH742" s="2">
        <v>9.1</v>
      </c>
      <c r="BI742" s="2">
        <v>9.1999999999999993</v>
      </c>
      <c r="BJ742" s="2">
        <v>18.3</v>
      </c>
      <c r="BK742" s="2">
        <v>0.34</v>
      </c>
      <c r="BL742" s="2">
        <v>7.3</v>
      </c>
      <c r="BM742" s="2">
        <v>0.9</v>
      </c>
      <c r="BN742" s="2">
        <v>7.5</v>
      </c>
      <c r="BO742" s="2">
        <v>2.9</v>
      </c>
      <c r="BP742" s="2">
        <f t="shared" si="22"/>
        <v>5.6335324973990231</v>
      </c>
      <c r="BQ742" s="2">
        <f t="shared" si="23"/>
        <v>18.164662233353503</v>
      </c>
    </row>
    <row r="743" spans="1:69" x14ac:dyDescent="0.2">
      <c r="A743" s="2" t="s">
        <v>2181</v>
      </c>
      <c r="B743" s="2" t="s">
        <v>47</v>
      </c>
      <c r="C743" s="2" t="s">
        <v>1935</v>
      </c>
      <c r="D743" s="2" t="s">
        <v>49</v>
      </c>
      <c r="E743" s="2" t="s">
        <v>1124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89</v>
      </c>
      <c r="L743" s="6" t="s">
        <v>141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2182</v>
      </c>
      <c r="R743" s="2">
        <v>3880597.0150000001</v>
      </c>
      <c r="S743" s="2">
        <v>0</v>
      </c>
      <c r="T743" s="2" t="s">
        <v>54</v>
      </c>
      <c r="U743" s="2" t="s">
        <v>55</v>
      </c>
      <c r="V743" s="2" t="s">
        <v>56</v>
      </c>
      <c r="W743" s="2" t="s">
        <v>57</v>
      </c>
      <c r="X743" s="2" t="s">
        <v>58</v>
      </c>
      <c r="Y743" s="2">
        <v>2.5270729377209902</v>
      </c>
      <c r="Z743" s="2">
        <v>2527.07293772099</v>
      </c>
      <c r="AA743" s="2">
        <v>4.6584666666666701</v>
      </c>
      <c r="AB743" s="2">
        <v>-74.083966666666697</v>
      </c>
      <c r="AC743" s="2">
        <v>2552</v>
      </c>
      <c r="AD743" s="2">
        <v>0</v>
      </c>
      <c r="AE743" s="2" t="s">
        <v>59</v>
      </c>
      <c r="AF743" s="2" t="s">
        <v>60</v>
      </c>
      <c r="AG743" s="2" t="s">
        <v>61</v>
      </c>
      <c r="AH743" s="2" t="s">
        <v>62</v>
      </c>
      <c r="AI743" s="2" t="s">
        <v>391</v>
      </c>
      <c r="AJ743" s="2">
        <v>1.13572842765354</v>
      </c>
      <c r="AK743" s="2">
        <v>6.0349082647641401</v>
      </c>
      <c r="AL743" s="2">
        <v>1.4737010239389901</v>
      </c>
      <c r="AM743" s="2">
        <v>5.35475064988334E-2</v>
      </c>
      <c r="AN743" s="2">
        <v>2.1381497041699702</v>
      </c>
      <c r="AO743" s="2">
        <v>0.47091755102294902</v>
      </c>
      <c r="AP743" s="2">
        <v>0.47091755102294902</v>
      </c>
      <c r="AQ743" s="2">
        <v>0</v>
      </c>
      <c r="AR743" s="2">
        <v>0</v>
      </c>
      <c r="AS743" s="2">
        <v>0</v>
      </c>
      <c r="AT743" s="2">
        <v>0</v>
      </c>
      <c r="AU743" s="2">
        <v>0</v>
      </c>
      <c r="AV743" s="2">
        <v>31</v>
      </c>
      <c r="AW743" s="2">
        <v>0</v>
      </c>
      <c r="AX743" s="2">
        <v>0</v>
      </c>
      <c r="AZ743" s="2">
        <v>6.8</v>
      </c>
      <c r="BA743" s="2">
        <v>19.899999999999999</v>
      </c>
      <c r="BB743" s="2">
        <v>564</v>
      </c>
      <c r="BC743" s="2">
        <v>68</v>
      </c>
      <c r="BD743" s="2">
        <v>1.5</v>
      </c>
      <c r="BE743" s="2">
        <v>135</v>
      </c>
      <c r="BF743" s="2">
        <v>0.8</v>
      </c>
      <c r="BG743" s="2">
        <v>162</v>
      </c>
      <c r="BH743" s="2">
        <v>9.1</v>
      </c>
      <c r="BI743" s="2">
        <v>9.1999999999999993</v>
      </c>
      <c r="BJ743" s="2">
        <v>18.3</v>
      </c>
      <c r="BK743" s="2">
        <v>0.34</v>
      </c>
      <c r="BL743" s="2">
        <v>7.3</v>
      </c>
      <c r="BM743" s="2">
        <v>0.9</v>
      </c>
      <c r="BN743" s="2">
        <v>7.5</v>
      </c>
      <c r="BO743" s="2">
        <v>2.9</v>
      </c>
      <c r="BP743" s="2">
        <f t="shared" si="22"/>
        <v>6.0004382112225461</v>
      </c>
      <c r="BQ743" s="2">
        <f t="shared" si="23"/>
        <v>18.728941125058252</v>
      </c>
    </row>
    <row r="744" spans="1:69" x14ac:dyDescent="0.2">
      <c r="A744" s="2" t="s">
        <v>2740</v>
      </c>
      <c r="B744" s="2" t="s">
        <v>47</v>
      </c>
      <c r="C744" s="2" t="s">
        <v>1935</v>
      </c>
      <c r="D744" s="2" t="s">
        <v>49</v>
      </c>
      <c r="E744" s="2" t="s">
        <v>2741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89</v>
      </c>
      <c r="L744" s="6" t="s">
        <v>141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2742</v>
      </c>
      <c r="R744" s="2">
        <v>2398081.5350000001</v>
      </c>
      <c r="S744" s="2">
        <v>0</v>
      </c>
      <c r="T744" s="2" t="s">
        <v>398</v>
      </c>
      <c r="U744" s="2" t="s">
        <v>399</v>
      </c>
      <c r="V744" s="2" t="s">
        <v>56</v>
      </c>
      <c r="W744" s="2" t="s">
        <v>57</v>
      </c>
      <c r="X744" s="2" t="s">
        <v>400</v>
      </c>
      <c r="Y744" s="2">
        <v>3.2670548391330101</v>
      </c>
      <c r="Z744" s="2">
        <v>3267.0548391330099</v>
      </c>
      <c r="AA744" s="2">
        <v>4.7358055555555598</v>
      </c>
      <c r="AB744" s="2">
        <v>-74.125888888888895</v>
      </c>
      <c r="AC744" s="2">
        <v>2574</v>
      </c>
      <c r="AD744" s="2">
        <v>0</v>
      </c>
      <c r="AE744" s="2" t="s">
        <v>133</v>
      </c>
      <c r="AF744" s="2" t="s">
        <v>86</v>
      </c>
      <c r="AG744" s="2" t="s">
        <v>61</v>
      </c>
      <c r="AH744" s="2" t="s">
        <v>62</v>
      </c>
      <c r="AI744" s="2" t="s">
        <v>100</v>
      </c>
      <c r="AJ744" s="2">
        <v>1.9946862184193901</v>
      </c>
      <c r="AK744" s="2">
        <v>2.9661538486791699</v>
      </c>
      <c r="AL744" s="2">
        <v>2.78427293974103</v>
      </c>
      <c r="AM744" s="2">
        <v>0.60280271000415198</v>
      </c>
      <c r="AN744" s="2">
        <v>2.32456417616245</v>
      </c>
      <c r="AO744" s="2">
        <v>0.224451216393799</v>
      </c>
      <c r="AP744" s="2">
        <v>0.224451216393799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4</v>
      </c>
      <c r="AW744" s="2">
        <v>0</v>
      </c>
      <c r="AX744" s="2">
        <v>0</v>
      </c>
      <c r="AZ744" s="2">
        <v>6.8</v>
      </c>
      <c r="BA744" s="2">
        <v>19.899999999999999</v>
      </c>
      <c r="BB744" s="2">
        <v>564</v>
      </c>
      <c r="BC744" s="2">
        <v>68</v>
      </c>
      <c r="BD744" s="2">
        <v>1.5</v>
      </c>
      <c r="BE744" s="2">
        <v>135</v>
      </c>
      <c r="BF744" s="2">
        <v>0.8</v>
      </c>
      <c r="BG744" s="2">
        <v>162</v>
      </c>
      <c r="BH744" s="2">
        <v>9.1</v>
      </c>
      <c r="BI744" s="2">
        <v>9.1999999999999993</v>
      </c>
      <c r="BJ744" s="2">
        <v>18.3</v>
      </c>
      <c r="BK744" s="2">
        <v>0.34</v>
      </c>
      <c r="BL744" s="2">
        <v>7.3</v>
      </c>
      <c r="BM744" s="2">
        <v>0.9</v>
      </c>
      <c r="BN744" s="2">
        <v>7.5</v>
      </c>
      <c r="BO744" s="2">
        <v>2.9</v>
      </c>
      <c r="BP744" s="2">
        <f t="shared" si="22"/>
        <v>5.7846242012478042</v>
      </c>
      <c r="BQ744" s="2">
        <f t="shared" si="23"/>
        <v>18.399259432867836</v>
      </c>
    </row>
    <row r="745" spans="1:69" x14ac:dyDescent="0.2">
      <c r="A745" s="2" t="s">
        <v>1884</v>
      </c>
      <c r="B745" s="2" t="s">
        <v>47</v>
      </c>
      <c r="C745" s="2" t="s">
        <v>48</v>
      </c>
      <c r="D745" s="2" t="s">
        <v>49</v>
      </c>
      <c r="E745" s="2" t="s">
        <v>308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89</v>
      </c>
      <c r="L745" s="6" t="s">
        <v>112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1885</v>
      </c>
      <c r="R745" s="2">
        <v>10060975.609999999</v>
      </c>
      <c r="S745" s="2">
        <v>0</v>
      </c>
      <c r="T745" s="2" t="s">
        <v>54</v>
      </c>
      <c r="U745" s="2" t="s">
        <v>55</v>
      </c>
      <c r="V745" s="2" t="s">
        <v>56</v>
      </c>
      <c r="W745" s="2" t="s">
        <v>57</v>
      </c>
      <c r="X745" s="2" t="s">
        <v>58</v>
      </c>
      <c r="Y745" s="2">
        <v>4.2688057787260902</v>
      </c>
      <c r="Z745" s="2">
        <v>4268.8057787260896</v>
      </c>
      <c r="AA745" s="2">
        <v>4.6584666666666701</v>
      </c>
      <c r="AB745" s="2">
        <v>-74.083966666666697</v>
      </c>
      <c r="AC745" s="2">
        <v>2552</v>
      </c>
      <c r="AD745" s="2">
        <v>0</v>
      </c>
      <c r="AE745" s="2" t="s">
        <v>59</v>
      </c>
      <c r="AF745" s="2" t="s">
        <v>60</v>
      </c>
      <c r="AG745" s="2" t="s">
        <v>61</v>
      </c>
      <c r="AH745" s="2" t="s">
        <v>62</v>
      </c>
      <c r="AI745" s="2" t="s">
        <v>100</v>
      </c>
      <c r="AJ745" s="2">
        <v>0.63637337561917995</v>
      </c>
      <c r="AK745" s="2">
        <v>5.3371689802200599</v>
      </c>
      <c r="AL745" s="2">
        <v>0.95312713371362001</v>
      </c>
      <c r="AM745" s="2">
        <v>0.473500973002769</v>
      </c>
      <c r="AN745" s="2">
        <v>2.3966478659061701</v>
      </c>
      <c r="AO745" s="2">
        <v>0.58405157318440903</v>
      </c>
      <c r="AP745" s="2">
        <v>0.58405157318440903</v>
      </c>
      <c r="AQ745" s="2">
        <v>0</v>
      </c>
      <c r="AR745" s="2">
        <v>2</v>
      </c>
      <c r="AS745" s="2">
        <v>0</v>
      </c>
      <c r="AT745" s="2">
        <v>0</v>
      </c>
      <c r="AU745" s="2">
        <v>2</v>
      </c>
      <c r="AV745" s="2">
        <v>33</v>
      </c>
      <c r="AW745" s="2">
        <v>0</v>
      </c>
      <c r="AX745" s="2">
        <v>0</v>
      </c>
      <c r="AZ745" s="2">
        <v>6.8</v>
      </c>
      <c r="BA745" s="2">
        <v>19.899999999999999</v>
      </c>
      <c r="BB745" s="2">
        <v>564</v>
      </c>
      <c r="BC745" s="2">
        <v>68</v>
      </c>
      <c r="BD745" s="2">
        <v>1.5</v>
      </c>
      <c r="BE745" s="2">
        <v>135</v>
      </c>
      <c r="BF745" s="2">
        <v>0.8</v>
      </c>
      <c r="BG745" s="2">
        <v>162</v>
      </c>
      <c r="BH745" s="2">
        <v>9.1</v>
      </c>
      <c r="BI745" s="2">
        <v>9.1999999999999993</v>
      </c>
      <c r="BJ745" s="2">
        <v>18.3</v>
      </c>
      <c r="BK745" s="2">
        <v>0.34</v>
      </c>
      <c r="BL745" s="2">
        <v>7.3</v>
      </c>
      <c r="BM745" s="2">
        <v>0.9</v>
      </c>
      <c r="BN745" s="2">
        <v>7.5</v>
      </c>
      <c r="BO745" s="2">
        <v>2.9</v>
      </c>
      <c r="BP745" s="2">
        <f t="shared" si="22"/>
        <v>5.5047795619760649</v>
      </c>
      <c r="BQ745" s="2">
        <f t="shared" si="23"/>
        <v>17.962179221998738</v>
      </c>
    </row>
    <row r="746" spans="1:69" x14ac:dyDescent="0.2">
      <c r="A746" s="2" t="s">
        <v>598</v>
      </c>
      <c r="B746" s="2" t="s">
        <v>47</v>
      </c>
      <c r="C746" s="2" t="s">
        <v>48</v>
      </c>
      <c r="D746" s="2" t="s">
        <v>49</v>
      </c>
      <c r="E746" s="2" t="s">
        <v>599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89</v>
      </c>
      <c r="L746" s="6" t="s">
        <v>103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600</v>
      </c>
      <c r="R746" s="2">
        <v>9593750</v>
      </c>
      <c r="S746" s="2">
        <v>0</v>
      </c>
      <c r="T746" s="2" t="s">
        <v>54</v>
      </c>
      <c r="U746" s="2" t="s">
        <v>55</v>
      </c>
      <c r="V746" s="2" t="s">
        <v>56</v>
      </c>
      <c r="W746" s="2" t="s">
        <v>57</v>
      </c>
      <c r="X746" s="2" t="s">
        <v>58</v>
      </c>
      <c r="Y746" s="2">
        <v>3.7822732461742699</v>
      </c>
      <c r="Z746" s="2">
        <v>3782.2732461742698</v>
      </c>
      <c r="AA746" s="2">
        <v>4.6584666666666701</v>
      </c>
      <c r="AB746" s="2">
        <v>-74.083966666666697</v>
      </c>
      <c r="AC746" s="2">
        <v>2552</v>
      </c>
      <c r="AD746" s="2">
        <v>0</v>
      </c>
      <c r="AE746" s="2" t="s">
        <v>59</v>
      </c>
      <c r="AF746" s="2" t="s">
        <v>60</v>
      </c>
      <c r="AG746" s="2" t="s">
        <v>61</v>
      </c>
      <c r="AH746" s="2" t="s">
        <v>62</v>
      </c>
      <c r="AI746" s="2" t="s">
        <v>109</v>
      </c>
      <c r="AJ746" s="2">
        <v>1.0124549455509699</v>
      </c>
      <c r="AK746" s="2">
        <v>0.751208090037503</v>
      </c>
      <c r="AL746" s="2">
        <v>0.42863293521194101</v>
      </c>
      <c r="AM746" s="2">
        <v>0.20622339769255299</v>
      </c>
      <c r="AN746" s="2">
        <v>3.0011782204214201</v>
      </c>
      <c r="AO746" s="2">
        <v>0.26551830697072998</v>
      </c>
      <c r="AP746" s="2">
        <v>0.26551830697072998</v>
      </c>
      <c r="AQ746" s="2">
        <v>0</v>
      </c>
      <c r="AR746" s="2">
        <v>0</v>
      </c>
      <c r="AS746" s="2">
        <v>0</v>
      </c>
      <c r="AT746" s="2">
        <v>19</v>
      </c>
      <c r="AU746" s="2">
        <v>9</v>
      </c>
      <c r="AV746" s="2">
        <v>211</v>
      </c>
      <c r="AW746" s="2">
        <v>0</v>
      </c>
      <c r="AX746" s="2">
        <v>0</v>
      </c>
      <c r="AZ746" s="2">
        <v>6.8</v>
      </c>
      <c r="BA746" s="2">
        <v>19.899999999999999</v>
      </c>
      <c r="BB746" s="2">
        <v>564</v>
      </c>
      <c r="BC746" s="2">
        <v>68</v>
      </c>
      <c r="BD746" s="2">
        <v>1.5</v>
      </c>
      <c r="BE746" s="2">
        <v>135</v>
      </c>
      <c r="BF746" s="2">
        <v>0.8</v>
      </c>
      <c r="BG746" s="2">
        <v>162</v>
      </c>
      <c r="BH746" s="2">
        <v>9.1</v>
      </c>
      <c r="BI746" s="2">
        <v>9.1999999999999993</v>
      </c>
      <c r="BJ746" s="2">
        <v>18.3</v>
      </c>
      <c r="BK746" s="2">
        <v>0.34</v>
      </c>
      <c r="BL746" s="2">
        <v>7.3</v>
      </c>
      <c r="BM746" s="2">
        <v>0.9</v>
      </c>
      <c r="BN746" s="2">
        <v>7.5</v>
      </c>
      <c r="BO746" s="2">
        <v>2.9</v>
      </c>
      <c r="BP746" s="2">
        <f t="shared" si="22"/>
        <v>5.6389624538099632</v>
      </c>
      <c r="BQ746" s="2">
        <f t="shared" si="23"/>
        <v>18.173148977833261</v>
      </c>
    </row>
    <row r="747" spans="1:69" x14ac:dyDescent="0.2">
      <c r="A747" s="2" t="s">
        <v>2899</v>
      </c>
      <c r="B747" s="2" t="s">
        <v>47</v>
      </c>
      <c r="C747" s="2" t="s">
        <v>1935</v>
      </c>
      <c r="D747" s="2" t="s">
        <v>49</v>
      </c>
      <c r="E747" s="2" t="s">
        <v>50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89</v>
      </c>
      <c r="L747" s="6" t="s">
        <v>141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2900</v>
      </c>
      <c r="R747" s="2">
        <v>5937500</v>
      </c>
      <c r="S747" s="2">
        <v>0</v>
      </c>
      <c r="T747" s="2" t="s">
        <v>54</v>
      </c>
      <c r="U747" s="2" t="s">
        <v>55</v>
      </c>
      <c r="V747" s="2" t="s">
        <v>56</v>
      </c>
      <c r="W747" s="2" t="s">
        <v>57</v>
      </c>
      <c r="X747" s="2" t="s">
        <v>58</v>
      </c>
      <c r="Y747" s="2">
        <v>2.1822174614440399</v>
      </c>
      <c r="Z747" s="2">
        <v>2182.2174614440401</v>
      </c>
      <c r="AA747" s="2">
        <v>4.6584666666666701</v>
      </c>
      <c r="AB747" s="2">
        <v>-74.083966666666697</v>
      </c>
      <c r="AC747" s="2">
        <v>2552</v>
      </c>
      <c r="AD747" s="2">
        <v>0</v>
      </c>
      <c r="AE747" s="2" t="s">
        <v>59</v>
      </c>
      <c r="AF747" s="2" t="s">
        <v>60</v>
      </c>
      <c r="AG747" s="2" t="s">
        <v>61</v>
      </c>
      <c r="AH747" s="2" t="s">
        <v>62</v>
      </c>
      <c r="AI747" s="2" t="s">
        <v>63</v>
      </c>
      <c r="AJ747" s="2">
        <v>0.48527644648027701</v>
      </c>
      <c r="AK747" s="2">
        <v>1.42421907737762</v>
      </c>
      <c r="AL747" s="2">
        <v>0.269409104328523</v>
      </c>
      <c r="AM747" s="2">
        <v>0.118931922049839</v>
      </c>
      <c r="AN747" s="2">
        <v>1.3123535418000001</v>
      </c>
      <c r="AO747" s="2">
        <v>5.93180038313149E-2</v>
      </c>
      <c r="AP747" s="2">
        <v>5.93180038313149E-2</v>
      </c>
      <c r="AQ747" s="2">
        <v>1</v>
      </c>
      <c r="AR747" s="2">
        <v>5</v>
      </c>
      <c r="AS747" s="2">
        <v>0</v>
      </c>
      <c r="AT747" s="2">
        <v>0</v>
      </c>
      <c r="AU747" s="2">
        <v>10</v>
      </c>
      <c r="AV747" s="2">
        <v>124</v>
      </c>
      <c r="AW747" s="2">
        <v>0</v>
      </c>
      <c r="AX747" s="2">
        <v>0</v>
      </c>
      <c r="AZ747" s="2">
        <v>6.8</v>
      </c>
      <c r="BA747" s="2">
        <v>19.899999999999999</v>
      </c>
      <c r="BB747" s="2">
        <v>564</v>
      </c>
      <c r="BC747" s="2">
        <v>68</v>
      </c>
      <c r="BD747" s="2">
        <v>1.5</v>
      </c>
      <c r="BE747" s="2">
        <v>135</v>
      </c>
      <c r="BF747" s="2">
        <v>0.8</v>
      </c>
      <c r="BG747" s="2">
        <v>162</v>
      </c>
      <c r="BH747" s="2">
        <v>9.1</v>
      </c>
      <c r="BI747" s="2">
        <v>9.1999999999999993</v>
      </c>
      <c r="BJ747" s="2">
        <v>18.3</v>
      </c>
      <c r="BK747" s="2">
        <v>0.34</v>
      </c>
      <c r="BL747" s="2">
        <v>7.3</v>
      </c>
      <c r="BM747" s="2">
        <v>0.9</v>
      </c>
      <c r="BN747" s="2">
        <v>7.5</v>
      </c>
      <c r="BO747" s="2">
        <v>2.9</v>
      </c>
      <c r="BP747" s="2">
        <f t="shared" si="22"/>
        <v>6.1037470179944275</v>
      </c>
      <c r="BQ747" s="2">
        <f t="shared" si="23"/>
        <v>18.884595043681372</v>
      </c>
    </row>
    <row r="748" spans="1:69" x14ac:dyDescent="0.2">
      <c r="A748" s="2" t="s">
        <v>2731</v>
      </c>
      <c r="B748" s="2" t="s">
        <v>47</v>
      </c>
      <c r="C748" s="2" t="s">
        <v>1935</v>
      </c>
      <c r="D748" s="2" t="s">
        <v>49</v>
      </c>
      <c r="E748" s="2" t="s">
        <v>2732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89</v>
      </c>
      <c r="L748" s="6" t="s">
        <v>141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2733</v>
      </c>
      <c r="R748" s="2">
        <v>2343750</v>
      </c>
      <c r="S748" s="2">
        <v>0</v>
      </c>
      <c r="T748" s="2" t="s">
        <v>54</v>
      </c>
      <c r="U748" s="2" t="s">
        <v>55</v>
      </c>
      <c r="V748" s="2" t="s">
        <v>56</v>
      </c>
      <c r="W748" s="2" t="s">
        <v>57</v>
      </c>
      <c r="X748" s="2" t="s">
        <v>58</v>
      </c>
      <c r="Y748" s="2">
        <v>3.2737365130729299</v>
      </c>
      <c r="Z748" s="2">
        <v>3273.7365130729299</v>
      </c>
      <c r="AA748" s="2">
        <v>4.6584666666666701</v>
      </c>
      <c r="AB748" s="2">
        <v>-74.083966666666697</v>
      </c>
      <c r="AC748" s="2">
        <v>2552</v>
      </c>
      <c r="AD748" s="2">
        <v>0</v>
      </c>
      <c r="AE748" s="2" t="s">
        <v>59</v>
      </c>
      <c r="AF748" s="2" t="s">
        <v>60</v>
      </c>
      <c r="AG748" s="2" t="s">
        <v>61</v>
      </c>
      <c r="AH748" s="2" t="s">
        <v>62</v>
      </c>
      <c r="AI748" s="2" t="s">
        <v>321</v>
      </c>
      <c r="AJ748" s="2">
        <v>0.28364921944110399</v>
      </c>
      <c r="AK748" s="2">
        <v>3.00914784100378</v>
      </c>
      <c r="AL748" s="2">
        <v>0.64685573426512399</v>
      </c>
      <c r="AM748" s="2">
        <v>0.30664922661086602</v>
      </c>
      <c r="AN748" s="2">
        <v>1.9334917409210901</v>
      </c>
      <c r="AO748" s="2">
        <v>0.35875980699951499</v>
      </c>
      <c r="AP748" s="2">
        <v>0.35875980699951499</v>
      </c>
      <c r="AQ748" s="2">
        <v>2</v>
      </c>
      <c r="AR748" s="2">
        <v>7</v>
      </c>
      <c r="AS748" s="2">
        <v>0</v>
      </c>
      <c r="AT748" s="2">
        <v>0</v>
      </c>
      <c r="AU748" s="2">
        <v>1</v>
      </c>
      <c r="AV748" s="2">
        <v>115</v>
      </c>
      <c r="AW748" s="2">
        <v>0</v>
      </c>
      <c r="AX748" s="2">
        <v>0</v>
      </c>
      <c r="AZ748" s="2">
        <v>6.8</v>
      </c>
      <c r="BA748" s="2">
        <v>19.899999999999999</v>
      </c>
      <c r="BB748" s="2">
        <v>564</v>
      </c>
      <c r="BC748" s="2">
        <v>68</v>
      </c>
      <c r="BD748" s="2">
        <v>1.5</v>
      </c>
      <c r="BE748" s="2">
        <v>135</v>
      </c>
      <c r="BF748" s="2">
        <v>0.8</v>
      </c>
      <c r="BG748" s="2">
        <v>162</v>
      </c>
      <c r="BH748" s="2">
        <v>9.1</v>
      </c>
      <c r="BI748" s="2">
        <v>9.1999999999999993</v>
      </c>
      <c r="BJ748" s="2">
        <v>18.3</v>
      </c>
      <c r="BK748" s="2">
        <v>0.34</v>
      </c>
      <c r="BL748" s="2">
        <v>7.3</v>
      </c>
      <c r="BM748" s="2">
        <v>0.9</v>
      </c>
      <c r="BN748" s="2">
        <v>7.5</v>
      </c>
      <c r="BO748" s="2">
        <v>2.9</v>
      </c>
      <c r="BP748" s="2">
        <f t="shared" si="22"/>
        <v>5.782711294452878</v>
      </c>
      <c r="BQ748" s="2">
        <f t="shared" si="23"/>
        <v>18.396309160972823</v>
      </c>
    </row>
    <row r="749" spans="1:69" x14ac:dyDescent="0.2">
      <c r="A749" s="2" t="s">
        <v>2245</v>
      </c>
      <c r="B749" s="2" t="s">
        <v>47</v>
      </c>
      <c r="C749" s="2" t="s">
        <v>1935</v>
      </c>
      <c r="D749" s="2" t="s">
        <v>49</v>
      </c>
      <c r="E749" s="2" t="s">
        <v>1001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89</v>
      </c>
      <c r="L749" s="6" t="s">
        <v>141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2246</v>
      </c>
      <c r="R749" s="2">
        <v>5968358.2280000001</v>
      </c>
      <c r="S749" s="2">
        <v>0</v>
      </c>
      <c r="T749" s="2" t="s">
        <v>54</v>
      </c>
      <c r="U749" s="2" t="s">
        <v>55</v>
      </c>
      <c r="V749" s="2" t="s">
        <v>56</v>
      </c>
      <c r="W749" s="2" t="s">
        <v>57</v>
      </c>
      <c r="X749" s="2" t="s">
        <v>58</v>
      </c>
      <c r="Y749" s="2">
        <v>4.4518446079812497</v>
      </c>
      <c r="Z749" s="2">
        <v>4451.8446079812502</v>
      </c>
      <c r="AA749" s="2">
        <v>4.6584666666666701</v>
      </c>
      <c r="AB749" s="2">
        <v>-74.083966666666697</v>
      </c>
      <c r="AC749" s="2">
        <v>2552</v>
      </c>
      <c r="AD749" s="2">
        <v>0</v>
      </c>
      <c r="AE749" s="2" t="s">
        <v>59</v>
      </c>
      <c r="AF749" s="2" t="s">
        <v>60</v>
      </c>
      <c r="AG749" s="2" t="s">
        <v>61</v>
      </c>
      <c r="AH749" s="2" t="s">
        <v>62</v>
      </c>
      <c r="AI749" s="2" t="s">
        <v>100</v>
      </c>
      <c r="AJ749" s="2">
        <v>0.92008973763763602</v>
      </c>
      <c r="AK749" s="2">
        <v>5.23600427092462</v>
      </c>
      <c r="AL749" s="2">
        <v>1.0978196111574701</v>
      </c>
      <c r="AM749" s="2">
        <v>0.25599816424958199</v>
      </c>
      <c r="AN749" s="2">
        <v>2.6698433368112102</v>
      </c>
      <c r="AO749" s="2">
        <v>0.31260802952731198</v>
      </c>
      <c r="AP749" s="2">
        <v>0.31260802952731198</v>
      </c>
      <c r="AQ749" s="2">
        <v>0</v>
      </c>
      <c r="AR749" s="2">
        <v>2</v>
      </c>
      <c r="AS749" s="2">
        <v>0</v>
      </c>
      <c r="AT749" s="2">
        <v>0</v>
      </c>
      <c r="AU749" s="2">
        <v>0</v>
      </c>
      <c r="AV749" s="2">
        <v>38</v>
      </c>
      <c r="AW749" s="2">
        <v>0</v>
      </c>
      <c r="AX749" s="2">
        <v>0</v>
      </c>
      <c r="AZ749" s="2">
        <v>6.8</v>
      </c>
      <c r="BA749" s="2">
        <v>19.899999999999999</v>
      </c>
      <c r="BB749" s="2">
        <v>564</v>
      </c>
      <c r="BC749" s="2">
        <v>68</v>
      </c>
      <c r="BD749" s="2">
        <v>1.5</v>
      </c>
      <c r="BE749" s="2">
        <v>135</v>
      </c>
      <c r="BF749" s="2">
        <v>0.8</v>
      </c>
      <c r="BG749" s="2">
        <v>162</v>
      </c>
      <c r="BH749" s="2">
        <v>9.1</v>
      </c>
      <c r="BI749" s="2">
        <v>9.1999999999999993</v>
      </c>
      <c r="BJ749" s="2">
        <v>18.3</v>
      </c>
      <c r="BK749" s="2">
        <v>0.34</v>
      </c>
      <c r="BL749" s="2">
        <v>7.3</v>
      </c>
      <c r="BM749" s="2">
        <v>0.9</v>
      </c>
      <c r="BN749" s="2">
        <v>7.5</v>
      </c>
      <c r="BO749" s="2">
        <v>2.9</v>
      </c>
      <c r="BP749" s="2">
        <f t="shared" si="22"/>
        <v>5.4551292021247217</v>
      </c>
      <c r="BQ749" s="2">
        <f t="shared" si="23"/>
        <v>17.883445654079573</v>
      </c>
    </row>
    <row r="750" spans="1:69" x14ac:dyDescent="0.2">
      <c r="A750" s="2" t="s">
        <v>2748</v>
      </c>
      <c r="B750" s="2" t="s">
        <v>47</v>
      </c>
      <c r="C750" s="2" t="s">
        <v>1935</v>
      </c>
      <c r="D750" s="2" t="s">
        <v>49</v>
      </c>
      <c r="E750" s="2" t="s">
        <v>2500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89</v>
      </c>
      <c r="L750" s="6" t="s">
        <v>141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2749</v>
      </c>
      <c r="R750" s="2">
        <v>5555555.5559999999</v>
      </c>
      <c r="S750" s="2">
        <v>0</v>
      </c>
      <c r="T750" s="2" t="s">
        <v>54</v>
      </c>
      <c r="U750" s="2" t="s">
        <v>55</v>
      </c>
      <c r="V750" s="2" t="s">
        <v>56</v>
      </c>
      <c r="W750" s="2" t="s">
        <v>57</v>
      </c>
      <c r="X750" s="2" t="s">
        <v>58</v>
      </c>
      <c r="Y750" s="2">
        <v>3.1535923641074901</v>
      </c>
      <c r="Z750" s="2">
        <v>3153.5923641074901</v>
      </c>
      <c r="AA750" s="2">
        <v>4.6584666666666701</v>
      </c>
      <c r="AB750" s="2">
        <v>-74.083966666666697</v>
      </c>
      <c r="AC750" s="2">
        <v>2552</v>
      </c>
      <c r="AD750" s="2">
        <v>0</v>
      </c>
      <c r="AE750" s="2" t="s">
        <v>59</v>
      </c>
      <c r="AF750" s="2" t="s">
        <v>60</v>
      </c>
      <c r="AG750" s="2" t="s">
        <v>61</v>
      </c>
      <c r="AH750" s="2" t="s">
        <v>62</v>
      </c>
      <c r="AI750" s="2" t="s">
        <v>321</v>
      </c>
      <c r="AJ750" s="2">
        <v>0.23852886758966399</v>
      </c>
      <c r="AK750" s="2">
        <v>2.0081213794145101</v>
      </c>
      <c r="AL750" s="2">
        <v>0.53973591591124204</v>
      </c>
      <c r="AM750" s="2">
        <v>6.4387208406942897E-2</v>
      </c>
      <c r="AN750" s="2">
        <v>2.3736335643671298</v>
      </c>
      <c r="AO750" s="2">
        <v>0.65241009677091799</v>
      </c>
      <c r="AP750" s="2">
        <v>0.65241009677091799</v>
      </c>
      <c r="AQ750" s="2">
        <v>3</v>
      </c>
      <c r="AR750" s="2">
        <v>7</v>
      </c>
      <c r="AS750" s="2">
        <v>0</v>
      </c>
      <c r="AT750" s="2">
        <v>0</v>
      </c>
      <c r="AU750" s="2">
        <v>4</v>
      </c>
      <c r="AV750" s="2">
        <v>296</v>
      </c>
      <c r="AW750" s="2">
        <v>0</v>
      </c>
      <c r="AX750" s="2">
        <v>0</v>
      </c>
      <c r="AZ750" s="2">
        <v>6.8</v>
      </c>
      <c r="BA750" s="2">
        <v>19.899999999999999</v>
      </c>
      <c r="BB750" s="2">
        <v>564</v>
      </c>
      <c r="BC750" s="2">
        <v>68</v>
      </c>
      <c r="BD750" s="2">
        <v>1.5</v>
      </c>
      <c r="BE750" s="2">
        <v>135</v>
      </c>
      <c r="BF750" s="2">
        <v>0.8</v>
      </c>
      <c r="BG750" s="2">
        <v>162</v>
      </c>
      <c r="BH750" s="2">
        <v>9.1</v>
      </c>
      <c r="BI750" s="2">
        <v>9.1999999999999993</v>
      </c>
      <c r="BJ750" s="2">
        <v>18.3</v>
      </c>
      <c r="BK750" s="2">
        <v>0.34</v>
      </c>
      <c r="BL750" s="2">
        <v>7.3</v>
      </c>
      <c r="BM750" s="2">
        <v>0.9</v>
      </c>
      <c r="BN750" s="2">
        <v>7.5</v>
      </c>
      <c r="BO750" s="2">
        <v>2.9</v>
      </c>
      <c r="BP750" s="2">
        <f t="shared" si="22"/>
        <v>5.8172043270520799</v>
      </c>
      <c r="BQ750" s="2">
        <f t="shared" si="23"/>
        <v>18.44943072490603</v>
      </c>
    </row>
    <row r="751" spans="1:69" x14ac:dyDescent="0.2">
      <c r="A751" s="2" t="s">
        <v>2157</v>
      </c>
      <c r="B751" s="2" t="s">
        <v>47</v>
      </c>
      <c r="C751" s="2" t="s">
        <v>1935</v>
      </c>
      <c r="D751" s="2" t="s">
        <v>49</v>
      </c>
      <c r="E751" s="2" t="s">
        <v>2158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89</v>
      </c>
      <c r="L751" s="6" t="s">
        <v>141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2159</v>
      </c>
      <c r="R751" s="2">
        <v>2971246.0060000001</v>
      </c>
      <c r="S751" s="2">
        <v>0</v>
      </c>
      <c r="T751" s="2" t="s">
        <v>54</v>
      </c>
      <c r="U751" s="2" t="s">
        <v>55</v>
      </c>
      <c r="V751" s="2" t="s">
        <v>56</v>
      </c>
      <c r="W751" s="2" t="s">
        <v>57</v>
      </c>
      <c r="X751" s="2" t="s">
        <v>58</v>
      </c>
      <c r="Y751" s="2">
        <v>3.0108365257976102</v>
      </c>
      <c r="Z751" s="2">
        <v>3010.8365257976102</v>
      </c>
      <c r="AA751" s="2">
        <v>4.6584666666666701</v>
      </c>
      <c r="AB751" s="2">
        <v>-74.083966666666697</v>
      </c>
      <c r="AC751" s="2">
        <v>2552</v>
      </c>
      <c r="AD751" s="2">
        <v>0</v>
      </c>
      <c r="AE751" s="2" t="s">
        <v>59</v>
      </c>
      <c r="AF751" s="2" t="s">
        <v>60</v>
      </c>
      <c r="AG751" s="2" t="s">
        <v>61</v>
      </c>
      <c r="AH751" s="2" t="s">
        <v>62</v>
      </c>
      <c r="AI751" s="2" t="s">
        <v>321</v>
      </c>
      <c r="AJ751" s="2">
        <v>0.153528105485912</v>
      </c>
      <c r="AK751" s="2">
        <v>2.5086620846597798</v>
      </c>
      <c r="AL751" s="2">
        <v>0.37256601446855397</v>
      </c>
      <c r="AM751" s="2">
        <v>7.47987155826869E-2</v>
      </c>
      <c r="AN751" s="2">
        <v>1.99167468192582</v>
      </c>
      <c r="AO751" s="2">
        <v>0.46575226517157498</v>
      </c>
      <c r="AP751" s="2">
        <v>0.46575226517157498</v>
      </c>
      <c r="AQ751" s="2">
        <v>3</v>
      </c>
      <c r="AR751" s="2">
        <v>8</v>
      </c>
      <c r="AS751" s="2">
        <v>0</v>
      </c>
      <c r="AT751" s="2">
        <v>0</v>
      </c>
      <c r="AU751" s="2">
        <v>1</v>
      </c>
      <c r="AV751" s="2">
        <v>164</v>
      </c>
      <c r="AW751" s="2">
        <v>0</v>
      </c>
      <c r="AX751" s="2">
        <v>0</v>
      </c>
      <c r="AZ751" s="2">
        <v>6.8</v>
      </c>
      <c r="BA751" s="2">
        <v>19.899999999999999</v>
      </c>
      <c r="BB751" s="2">
        <v>564</v>
      </c>
      <c r="BC751" s="2">
        <v>68</v>
      </c>
      <c r="BD751" s="2">
        <v>1.5</v>
      </c>
      <c r="BE751" s="2">
        <v>135</v>
      </c>
      <c r="BF751" s="2">
        <v>0.8</v>
      </c>
      <c r="BG751" s="2">
        <v>162</v>
      </c>
      <c r="BH751" s="2">
        <v>9.1</v>
      </c>
      <c r="BI751" s="2">
        <v>9.1999999999999993</v>
      </c>
      <c r="BJ751" s="2">
        <v>18.3</v>
      </c>
      <c r="BK751" s="2">
        <v>0.34</v>
      </c>
      <c r="BL751" s="2">
        <v>7.3</v>
      </c>
      <c r="BM751" s="2">
        <v>0.9</v>
      </c>
      <c r="BN751" s="2">
        <v>7.5</v>
      </c>
      <c r="BO751" s="2">
        <v>2.9</v>
      </c>
      <c r="BP751" s="2">
        <f t="shared" si="22"/>
        <v>5.8584566825810764</v>
      </c>
      <c r="BQ751" s="2">
        <f t="shared" si="23"/>
        <v>18.512749467196468</v>
      </c>
    </row>
    <row r="752" spans="1:69" x14ac:dyDescent="0.2">
      <c r="A752" s="2" t="s">
        <v>594</v>
      </c>
      <c r="B752" s="2" t="s">
        <v>47</v>
      </c>
      <c r="C752" s="2" t="s">
        <v>48</v>
      </c>
      <c r="D752" s="2" t="s">
        <v>49</v>
      </c>
      <c r="E752" s="2" t="s">
        <v>166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89</v>
      </c>
      <c r="L752" s="6" t="s">
        <v>141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595</v>
      </c>
      <c r="R752" s="2">
        <v>6840390.8789999997</v>
      </c>
      <c r="S752" s="2">
        <v>0</v>
      </c>
      <c r="T752" s="2" t="s">
        <v>54</v>
      </c>
      <c r="U752" s="2" t="s">
        <v>55</v>
      </c>
      <c r="V752" s="2" t="s">
        <v>56</v>
      </c>
      <c r="W752" s="2" t="s">
        <v>57</v>
      </c>
      <c r="X752" s="2" t="s">
        <v>58</v>
      </c>
      <c r="Y752" s="2">
        <v>4.53827373651127</v>
      </c>
      <c r="Z752" s="2">
        <v>4538.2737365112698</v>
      </c>
      <c r="AA752" s="2">
        <v>4.6584666666666701</v>
      </c>
      <c r="AB752" s="2">
        <v>-74.083966666666697</v>
      </c>
      <c r="AC752" s="2">
        <v>2552</v>
      </c>
      <c r="AD752" s="2">
        <v>0</v>
      </c>
      <c r="AE752" s="2" t="s">
        <v>59</v>
      </c>
      <c r="AF752" s="2" t="s">
        <v>60</v>
      </c>
      <c r="AG752" s="2" t="s">
        <v>61</v>
      </c>
      <c r="AH752" s="2" t="s">
        <v>62</v>
      </c>
      <c r="AI752" s="2" t="s">
        <v>109</v>
      </c>
      <c r="AJ752" s="2">
        <v>1.6971655056212001</v>
      </c>
      <c r="AK752" s="2">
        <v>0.19905293332559601</v>
      </c>
      <c r="AL752" s="2">
        <v>1.13212538659787</v>
      </c>
      <c r="AM752" s="2">
        <v>0.44245658075927402</v>
      </c>
      <c r="AN752" s="2">
        <v>3.4421332554590198</v>
      </c>
      <c r="AO752" s="2">
        <v>0.60274747148460595</v>
      </c>
      <c r="AP752" s="2">
        <v>0.60274747148460595</v>
      </c>
      <c r="AQ752" s="2">
        <v>0</v>
      </c>
      <c r="AR752" s="2">
        <v>0</v>
      </c>
      <c r="AS752" s="2">
        <v>15</v>
      </c>
      <c r="AT752" s="2">
        <v>32</v>
      </c>
      <c r="AU752" s="2">
        <v>0</v>
      </c>
      <c r="AV752" s="2">
        <v>22</v>
      </c>
      <c r="AW752" s="2">
        <v>0</v>
      </c>
      <c r="AX752" s="2">
        <v>0</v>
      </c>
      <c r="AZ752" s="2">
        <v>6.8</v>
      </c>
      <c r="BA752" s="2">
        <v>19.899999999999999</v>
      </c>
      <c r="BB752" s="2">
        <v>564</v>
      </c>
      <c r="BC752" s="2">
        <v>68</v>
      </c>
      <c r="BD752" s="2">
        <v>1.5</v>
      </c>
      <c r="BE752" s="2">
        <v>135</v>
      </c>
      <c r="BF752" s="2">
        <v>0.8</v>
      </c>
      <c r="BG752" s="2">
        <v>162</v>
      </c>
      <c r="BH752" s="2">
        <v>9.1</v>
      </c>
      <c r="BI752" s="2">
        <v>9.1999999999999993</v>
      </c>
      <c r="BJ752" s="2">
        <v>18.3</v>
      </c>
      <c r="BK752" s="2">
        <v>0.34</v>
      </c>
      <c r="BL752" s="2">
        <v>7.3</v>
      </c>
      <c r="BM752" s="2">
        <v>0.9</v>
      </c>
      <c r="BN752" s="2">
        <v>7.5</v>
      </c>
      <c r="BO752" s="2">
        <v>2.9</v>
      </c>
      <c r="BP752" s="2">
        <f t="shared" si="22"/>
        <v>5.4318406924682208</v>
      </c>
      <c r="BQ752" s="2">
        <f t="shared" si="23"/>
        <v>17.84638848623954</v>
      </c>
    </row>
    <row r="753" spans="1:69" x14ac:dyDescent="0.2">
      <c r="A753" s="2" t="s">
        <v>165</v>
      </c>
      <c r="B753" s="2" t="s">
        <v>47</v>
      </c>
      <c r="C753" s="2" t="s">
        <v>48</v>
      </c>
      <c r="D753" s="2" t="s">
        <v>49</v>
      </c>
      <c r="E753" s="2" t="s">
        <v>166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89</v>
      </c>
      <c r="L753" s="6" t="s">
        <v>141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167</v>
      </c>
      <c r="R753" s="2">
        <v>6393442.6229999997</v>
      </c>
      <c r="S753" s="2">
        <v>0</v>
      </c>
      <c r="T753" s="2" t="s">
        <v>54</v>
      </c>
      <c r="U753" s="2" t="s">
        <v>55</v>
      </c>
      <c r="V753" s="2" t="s">
        <v>56</v>
      </c>
      <c r="W753" s="2" t="s">
        <v>57</v>
      </c>
      <c r="X753" s="2" t="s">
        <v>58</v>
      </c>
      <c r="Y753" s="2">
        <v>4.51838085288309</v>
      </c>
      <c r="Z753" s="2">
        <v>4518.3808528830896</v>
      </c>
      <c r="AA753" s="2">
        <v>4.6584666666666701</v>
      </c>
      <c r="AB753" s="2">
        <v>-74.083966666666697</v>
      </c>
      <c r="AC753" s="2">
        <v>2552</v>
      </c>
      <c r="AD753" s="2">
        <v>0</v>
      </c>
      <c r="AE753" s="2" t="s">
        <v>59</v>
      </c>
      <c r="AF753" s="2" t="s">
        <v>60</v>
      </c>
      <c r="AG753" s="2" t="s">
        <v>61</v>
      </c>
      <c r="AH753" s="2" t="s">
        <v>62</v>
      </c>
      <c r="AI753" s="2" t="s">
        <v>109</v>
      </c>
      <c r="AJ753" s="2">
        <v>1.6886869042022199</v>
      </c>
      <c r="AK753" s="2">
        <v>0.19576312284595199</v>
      </c>
      <c r="AL753" s="2">
        <v>1.1086145686498901</v>
      </c>
      <c r="AM753" s="2">
        <v>0.41603872289467098</v>
      </c>
      <c r="AN753" s="2">
        <v>3.41345902520901</v>
      </c>
      <c r="AO753" s="2">
        <v>0.57774869156417097</v>
      </c>
      <c r="AP753" s="2">
        <v>0.57774869156417097</v>
      </c>
      <c r="AQ753" s="2">
        <v>0</v>
      </c>
      <c r="AR753" s="2">
        <v>0</v>
      </c>
      <c r="AS753" s="2">
        <v>16</v>
      </c>
      <c r="AT753" s="2">
        <v>32</v>
      </c>
      <c r="AU753" s="2">
        <v>0</v>
      </c>
      <c r="AV753" s="2">
        <v>24</v>
      </c>
      <c r="AW753" s="2">
        <v>0</v>
      </c>
      <c r="AX753" s="2">
        <v>0</v>
      </c>
      <c r="AZ753" s="2">
        <v>6.8</v>
      </c>
      <c r="BA753" s="2">
        <v>19.899999999999999</v>
      </c>
      <c r="BB753" s="2">
        <v>564</v>
      </c>
      <c r="BC753" s="2">
        <v>68</v>
      </c>
      <c r="BD753" s="2">
        <v>1.5</v>
      </c>
      <c r="BE753" s="2">
        <v>135</v>
      </c>
      <c r="BF753" s="2">
        <v>0.8</v>
      </c>
      <c r="BG753" s="2">
        <v>162</v>
      </c>
      <c r="BH753" s="2">
        <v>9.1</v>
      </c>
      <c r="BI753" s="2">
        <v>9.1999999999999993</v>
      </c>
      <c r="BJ753" s="2">
        <v>18.3</v>
      </c>
      <c r="BK753" s="2">
        <v>0.34</v>
      </c>
      <c r="BL753" s="2">
        <v>7.3</v>
      </c>
      <c r="BM753" s="2">
        <v>0.9</v>
      </c>
      <c r="BN753" s="2">
        <v>7.5</v>
      </c>
      <c r="BO753" s="2">
        <v>2.9</v>
      </c>
      <c r="BP753" s="2">
        <f t="shared" si="22"/>
        <v>5.43719204802139</v>
      </c>
      <c r="BQ753" s="2">
        <f t="shared" si="23"/>
        <v>17.854910907608257</v>
      </c>
    </row>
    <row r="754" spans="1:69" x14ac:dyDescent="0.2">
      <c r="A754" s="2" t="s">
        <v>3166</v>
      </c>
      <c r="B754" s="2" t="s">
        <v>47</v>
      </c>
      <c r="C754" s="2" t="s">
        <v>1935</v>
      </c>
      <c r="D754" s="2" t="s">
        <v>49</v>
      </c>
      <c r="E754" s="2" t="s">
        <v>612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89</v>
      </c>
      <c r="L754" s="6" t="s">
        <v>141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3167</v>
      </c>
      <c r="R754" s="2">
        <v>5992808.6299999999</v>
      </c>
      <c r="S754" s="2">
        <v>0</v>
      </c>
      <c r="T754" s="2" t="s">
        <v>105</v>
      </c>
      <c r="U754" s="2" t="s">
        <v>106</v>
      </c>
      <c r="V754" s="2" t="s">
        <v>56</v>
      </c>
      <c r="W754" s="2" t="s">
        <v>107</v>
      </c>
      <c r="X754" s="2" t="s">
        <v>108</v>
      </c>
      <c r="Y754" s="2">
        <v>1.2873521573209601</v>
      </c>
      <c r="Z754" s="2">
        <v>1287.35215732096</v>
      </c>
      <c r="AA754" s="2">
        <v>4.6254861111111101</v>
      </c>
      <c r="AB754" s="2">
        <v>-74.066980555555503</v>
      </c>
      <c r="AC754" s="2">
        <v>2621</v>
      </c>
      <c r="AD754" s="2">
        <v>15</v>
      </c>
      <c r="AE754" s="2" t="s">
        <v>59</v>
      </c>
      <c r="AF754" s="2" t="s">
        <v>60</v>
      </c>
      <c r="AG754" s="2" t="s">
        <v>61</v>
      </c>
      <c r="AH754" s="2" t="s">
        <v>62</v>
      </c>
      <c r="AI754" s="2" t="s">
        <v>63</v>
      </c>
      <c r="AJ754" s="2">
        <v>0.51475793668579595</v>
      </c>
      <c r="AK754" s="2">
        <v>1.7089146813538501</v>
      </c>
      <c r="AL754" s="2">
        <v>0.33789371881382502</v>
      </c>
      <c r="AM754" s="2">
        <v>0.108297100186801</v>
      </c>
      <c r="AN754" s="2">
        <v>1.1843736839066801</v>
      </c>
      <c r="AO754" s="2">
        <v>5.0842291828353703E-2</v>
      </c>
      <c r="AP754" s="2">
        <v>5.0842291828353703E-2</v>
      </c>
      <c r="AQ754" s="2">
        <v>0</v>
      </c>
      <c r="AR754" s="2">
        <v>5</v>
      </c>
      <c r="AS754" s="2">
        <v>0</v>
      </c>
      <c r="AT754" s="2">
        <v>0</v>
      </c>
      <c r="AU754" s="2">
        <v>12</v>
      </c>
      <c r="AV754" s="2">
        <v>100</v>
      </c>
      <c r="AW754" s="2">
        <v>0</v>
      </c>
      <c r="AX754" s="2">
        <v>0</v>
      </c>
      <c r="AZ754" s="2">
        <v>6.8</v>
      </c>
      <c r="BA754" s="2">
        <v>19.899999999999999</v>
      </c>
      <c r="BB754" s="2">
        <v>564</v>
      </c>
      <c r="BC754" s="2">
        <v>68</v>
      </c>
      <c r="BD754" s="2">
        <v>1.5</v>
      </c>
      <c r="BE754" s="2">
        <v>135</v>
      </c>
      <c r="BF754" s="2">
        <v>0.8</v>
      </c>
      <c r="BG754" s="2">
        <v>162</v>
      </c>
      <c r="BH754" s="2">
        <v>9.1</v>
      </c>
      <c r="BI754" s="2">
        <v>9.1999999999999993</v>
      </c>
      <c r="BJ754" s="2">
        <v>18.3</v>
      </c>
      <c r="BK754" s="2">
        <v>0.34</v>
      </c>
      <c r="BL754" s="2">
        <v>7.3</v>
      </c>
      <c r="BM754" s="2">
        <v>0.9</v>
      </c>
      <c r="BN754" s="2">
        <v>7.5</v>
      </c>
      <c r="BO754" s="2">
        <v>2.9</v>
      </c>
      <c r="BP754" s="2">
        <f t="shared" si="22"/>
        <v>6.380195122765989</v>
      </c>
      <c r="BQ754" s="2">
        <f t="shared" si="23"/>
        <v>19.294561718380599</v>
      </c>
    </row>
    <row r="755" spans="1:69" x14ac:dyDescent="0.2">
      <c r="A755" s="2" t="s">
        <v>1402</v>
      </c>
      <c r="B755" s="2" t="s">
        <v>47</v>
      </c>
      <c r="C755" s="2" t="s">
        <v>48</v>
      </c>
      <c r="D755" s="2" t="s">
        <v>49</v>
      </c>
      <c r="E755" s="2" t="s">
        <v>289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89</v>
      </c>
      <c r="L755" s="6" t="s">
        <v>103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1403</v>
      </c>
      <c r="R755" s="2">
        <v>11333333.33</v>
      </c>
      <c r="S755" s="2">
        <v>0</v>
      </c>
      <c r="T755" s="2" t="s">
        <v>54</v>
      </c>
      <c r="U755" s="2" t="s">
        <v>55</v>
      </c>
      <c r="V755" s="2" t="s">
        <v>56</v>
      </c>
      <c r="W755" s="2" t="s">
        <v>57</v>
      </c>
      <c r="X755" s="2" t="s">
        <v>58</v>
      </c>
      <c r="Y755" s="2">
        <v>4.0120532096705404</v>
      </c>
      <c r="Z755" s="2">
        <v>4012.0532096705401</v>
      </c>
      <c r="AA755" s="2">
        <v>4.6584666666666701</v>
      </c>
      <c r="AB755" s="2">
        <v>-74.083966666666697</v>
      </c>
      <c r="AC755" s="2">
        <v>2552</v>
      </c>
      <c r="AD755" s="2">
        <v>0</v>
      </c>
      <c r="AE755" s="2" t="s">
        <v>59</v>
      </c>
      <c r="AF755" s="2" t="s">
        <v>60</v>
      </c>
      <c r="AG755" s="2" t="s">
        <v>61</v>
      </c>
      <c r="AH755" s="2" t="s">
        <v>62</v>
      </c>
      <c r="AI755" s="2" t="s">
        <v>109</v>
      </c>
      <c r="AJ755" s="2">
        <v>1.55196221579353</v>
      </c>
      <c r="AK755" s="2">
        <v>0.107648590545931</v>
      </c>
      <c r="AL755" s="2">
        <v>0.89834443603859004</v>
      </c>
      <c r="AM755" s="2">
        <v>0.42930237831302498</v>
      </c>
      <c r="AN755" s="2">
        <v>2.2643759373124701</v>
      </c>
      <c r="AO755" s="2">
        <v>0.36302820404508401</v>
      </c>
      <c r="AP755" s="2">
        <v>0.36302820404508401</v>
      </c>
      <c r="AQ755" s="2">
        <v>0</v>
      </c>
      <c r="AR755" s="2">
        <v>0</v>
      </c>
      <c r="AS755" s="2">
        <v>13</v>
      </c>
      <c r="AT755" s="2">
        <v>32</v>
      </c>
      <c r="AU755" s="2">
        <v>3</v>
      </c>
      <c r="AV755" s="2">
        <v>13</v>
      </c>
      <c r="AW755" s="2">
        <v>0</v>
      </c>
      <c r="AX755" s="2">
        <v>0</v>
      </c>
      <c r="AZ755" s="2">
        <v>6.8</v>
      </c>
      <c r="BA755" s="2">
        <v>19.899999999999999</v>
      </c>
      <c r="BB755" s="2">
        <v>564</v>
      </c>
      <c r="BC755" s="2">
        <v>68</v>
      </c>
      <c r="BD755" s="2">
        <v>1.5</v>
      </c>
      <c r="BE755" s="2">
        <v>135</v>
      </c>
      <c r="BF755" s="2">
        <v>0.8</v>
      </c>
      <c r="BG755" s="2">
        <v>162</v>
      </c>
      <c r="BH755" s="2">
        <v>9.1</v>
      </c>
      <c r="BI755" s="2">
        <v>9.1999999999999993</v>
      </c>
      <c r="BJ755" s="2">
        <v>18.3</v>
      </c>
      <c r="BK755" s="2">
        <v>0.34</v>
      </c>
      <c r="BL755" s="2">
        <v>7.3</v>
      </c>
      <c r="BM755" s="2">
        <v>0.9</v>
      </c>
      <c r="BN755" s="2">
        <v>7.5</v>
      </c>
      <c r="BO755" s="2">
        <v>2.9</v>
      </c>
      <c r="BP755" s="2">
        <f t="shared" si="22"/>
        <v>5.5751876629947565</v>
      </c>
      <c r="BQ755" s="2">
        <f t="shared" si="23"/>
        <v>18.073205000397653</v>
      </c>
    </row>
    <row r="756" spans="1:69" x14ac:dyDescent="0.2">
      <c r="A756" s="2" t="s">
        <v>2026</v>
      </c>
      <c r="B756" s="2" t="s">
        <v>47</v>
      </c>
      <c r="C756" s="2" t="s">
        <v>1935</v>
      </c>
      <c r="D756" s="2" t="s">
        <v>49</v>
      </c>
      <c r="E756" s="2" t="s">
        <v>2013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89</v>
      </c>
      <c r="L756" s="6" t="s">
        <v>141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2027</v>
      </c>
      <c r="R756" s="2">
        <v>9333333.3330000006</v>
      </c>
      <c r="S756" s="2">
        <v>53333.333330000001</v>
      </c>
      <c r="T756" s="2" t="s">
        <v>54</v>
      </c>
      <c r="U756" s="2" t="s">
        <v>55</v>
      </c>
      <c r="V756" s="2" t="s">
        <v>56</v>
      </c>
      <c r="W756" s="2" t="s">
        <v>57</v>
      </c>
      <c r="X756" s="2" t="s">
        <v>58</v>
      </c>
      <c r="Y756" s="2">
        <v>4.3150442047257096</v>
      </c>
      <c r="Z756" s="2">
        <v>4315.0442047257102</v>
      </c>
      <c r="AA756" s="2">
        <v>4.6584666666666701</v>
      </c>
      <c r="AB756" s="2">
        <v>-74.083966666666697</v>
      </c>
      <c r="AC756" s="2">
        <v>2552</v>
      </c>
      <c r="AD756" s="2">
        <v>0</v>
      </c>
      <c r="AE756" s="2" t="s">
        <v>59</v>
      </c>
      <c r="AF756" s="2" t="s">
        <v>60</v>
      </c>
      <c r="AG756" s="2" t="s">
        <v>61</v>
      </c>
      <c r="AH756" s="2" t="s">
        <v>62</v>
      </c>
      <c r="AI756" s="2" t="s">
        <v>100</v>
      </c>
      <c r="AJ756" s="2">
        <v>3.9541089356065103E-2</v>
      </c>
      <c r="AK756" s="2">
        <v>3.7081996606118302</v>
      </c>
      <c r="AL756" s="2">
        <v>0.58653826116894303</v>
      </c>
      <c r="AM756" s="2">
        <v>8.6268714688908996E-2</v>
      </c>
      <c r="AN756" s="2">
        <v>2.7190714872100301</v>
      </c>
      <c r="AO756" s="2">
        <v>0.27628207154958301</v>
      </c>
      <c r="AP756" s="2">
        <v>0.27628207154958301</v>
      </c>
      <c r="AQ756" s="2">
        <v>1</v>
      </c>
      <c r="AR756" s="2">
        <v>3</v>
      </c>
      <c r="AS756" s="2">
        <v>0</v>
      </c>
      <c r="AT756" s="2">
        <v>0</v>
      </c>
      <c r="AU756" s="2">
        <v>1</v>
      </c>
      <c r="AV756" s="2">
        <v>66</v>
      </c>
      <c r="AW756" s="2">
        <v>0</v>
      </c>
      <c r="AX756" s="2">
        <v>0</v>
      </c>
      <c r="AZ756" s="2">
        <v>6.8</v>
      </c>
      <c r="BA756" s="2">
        <v>19.899999999999999</v>
      </c>
      <c r="BB756" s="2">
        <v>564</v>
      </c>
      <c r="BC756" s="2">
        <v>68</v>
      </c>
      <c r="BD756" s="2">
        <v>1.5</v>
      </c>
      <c r="BE756" s="2">
        <v>135</v>
      </c>
      <c r="BF756" s="2">
        <v>0.8</v>
      </c>
      <c r="BG756" s="2">
        <v>162</v>
      </c>
      <c r="BH756" s="2">
        <v>9.1</v>
      </c>
      <c r="BI756" s="2">
        <v>9.1999999999999993</v>
      </c>
      <c r="BJ756" s="2">
        <v>18.3</v>
      </c>
      <c r="BK756" s="2">
        <v>0.34</v>
      </c>
      <c r="BL756" s="2">
        <v>7.3</v>
      </c>
      <c r="BM756" s="2">
        <v>0.9</v>
      </c>
      <c r="BN756" s="2">
        <v>7.5</v>
      </c>
      <c r="BO756" s="2">
        <v>2.9</v>
      </c>
      <c r="BP756" s="2">
        <f t="shared" si="22"/>
        <v>5.492194618742384</v>
      </c>
      <c r="BQ756" s="2">
        <f t="shared" si="23"/>
        <v>17.942257248497615</v>
      </c>
    </row>
    <row r="757" spans="1:69" x14ac:dyDescent="0.2">
      <c r="A757" s="2" t="s">
        <v>232</v>
      </c>
      <c r="B757" s="2" t="s">
        <v>47</v>
      </c>
      <c r="C757" s="2" t="s">
        <v>48</v>
      </c>
      <c r="D757" s="2" t="s">
        <v>49</v>
      </c>
      <c r="E757" s="2" t="s">
        <v>233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89</v>
      </c>
      <c r="L757" s="6" t="s">
        <v>141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234</v>
      </c>
      <c r="R757" s="2">
        <v>6500000</v>
      </c>
      <c r="S757" s="2">
        <v>0</v>
      </c>
      <c r="T757" s="2" t="s">
        <v>105</v>
      </c>
      <c r="U757" s="2" t="s">
        <v>106</v>
      </c>
      <c r="V757" s="2" t="s">
        <v>56</v>
      </c>
      <c r="W757" s="2" t="s">
        <v>107</v>
      </c>
      <c r="X757" s="2" t="s">
        <v>108</v>
      </c>
      <c r="Y757" s="2">
        <v>3.2692762383173899</v>
      </c>
      <c r="Z757" s="2">
        <v>3269.2762383173899</v>
      </c>
      <c r="AA757" s="2">
        <v>4.6254861111111101</v>
      </c>
      <c r="AB757" s="2">
        <v>-74.066980555555503</v>
      </c>
      <c r="AC757" s="2">
        <v>2621</v>
      </c>
      <c r="AD757" s="2">
        <v>15</v>
      </c>
      <c r="AE757" s="2" t="s">
        <v>59</v>
      </c>
      <c r="AF757" s="2" t="s">
        <v>60</v>
      </c>
      <c r="AG757" s="2" t="s">
        <v>61</v>
      </c>
      <c r="AH757" s="2" t="s">
        <v>62</v>
      </c>
      <c r="AI757" s="2" t="s">
        <v>109</v>
      </c>
      <c r="AJ757" s="2">
        <v>1.5229388140818301</v>
      </c>
      <c r="AK757" s="2">
        <v>0.110081094542976</v>
      </c>
      <c r="AL757" s="2">
        <v>0.76958491070179902</v>
      </c>
      <c r="AM757" s="2">
        <v>0.58805037877946598</v>
      </c>
      <c r="AN757" s="2">
        <v>1.2660835933508601</v>
      </c>
      <c r="AO757" s="2">
        <v>0.19760840538395899</v>
      </c>
      <c r="AP757" s="2">
        <v>0.19760840538395899</v>
      </c>
      <c r="AQ757" s="2">
        <v>0</v>
      </c>
      <c r="AR757" s="2">
        <v>0</v>
      </c>
      <c r="AS757" s="2">
        <v>29</v>
      </c>
      <c r="AT757" s="2">
        <v>42</v>
      </c>
      <c r="AU757" s="2">
        <v>2</v>
      </c>
      <c r="AV757" s="2">
        <v>8</v>
      </c>
      <c r="AW757" s="2">
        <v>0</v>
      </c>
      <c r="AX757" s="2">
        <v>0</v>
      </c>
      <c r="AZ757" s="2">
        <v>6.8</v>
      </c>
      <c r="BA757" s="2">
        <v>19.899999999999999</v>
      </c>
      <c r="BB757" s="2">
        <v>564</v>
      </c>
      <c r="BC757" s="2">
        <v>68</v>
      </c>
      <c r="BD757" s="2">
        <v>1.5</v>
      </c>
      <c r="BE757" s="2">
        <v>135</v>
      </c>
      <c r="BF757" s="2">
        <v>0.8</v>
      </c>
      <c r="BG757" s="2">
        <v>162</v>
      </c>
      <c r="BH757" s="2">
        <v>9.1</v>
      </c>
      <c r="BI757" s="2">
        <v>9.1999999999999993</v>
      </c>
      <c r="BJ757" s="2">
        <v>18.3</v>
      </c>
      <c r="BK757" s="2">
        <v>0.34</v>
      </c>
      <c r="BL757" s="2">
        <v>7.3</v>
      </c>
      <c r="BM757" s="2">
        <v>0.9</v>
      </c>
      <c r="BN757" s="2">
        <v>7.5</v>
      </c>
      <c r="BO757" s="2">
        <v>2.9</v>
      </c>
      <c r="BP757" s="2">
        <f t="shared" si="22"/>
        <v>5.7839881632231922</v>
      </c>
      <c r="BQ757" s="2">
        <f t="shared" si="23"/>
        <v>18.398278528618292</v>
      </c>
    </row>
    <row r="758" spans="1:69" x14ac:dyDescent="0.2">
      <c r="A758" s="2" t="s">
        <v>2868</v>
      </c>
      <c r="B758" s="2" t="s">
        <v>47</v>
      </c>
      <c r="C758" s="2" t="s">
        <v>1935</v>
      </c>
      <c r="D758" s="2" t="s">
        <v>49</v>
      </c>
      <c r="E758" s="2" t="s">
        <v>2869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89</v>
      </c>
      <c r="L758" s="6" t="s">
        <v>141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2870</v>
      </c>
      <c r="R758" s="2">
        <v>3500000</v>
      </c>
      <c r="S758" s="2">
        <v>0</v>
      </c>
      <c r="T758" s="2" t="s">
        <v>54</v>
      </c>
      <c r="U758" s="2" t="s">
        <v>55</v>
      </c>
      <c r="V758" s="2" t="s">
        <v>56</v>
      </c>
      <c r="W758" s="2" t="s">
        <v>57</v>
      </c>
      <c r="X758" s="2" t="s">
        <v>58</v>
      </c>
      <c r="Y758" s="2">
        <v>0.63481346892202295</v>
      </c>
      <c r="Z758" s="2">
        <v>634.81346892202305</v>
      </c>
      <c r="AA758" s="2">
        <v>4.6584666666666701</v>
      </c>
      <c r="AB758" s="2">
        <v>-74.083966666666697</v>
      </c>
      <c r="AC758" s="2">
        <v>2552</v>
      </c>
      <c r="AD758" s="2">
        <v>0</v>
      </c>
      <c r="AE758" s="2" t="s">
        <v>59</v>
      </c>
      <c r="AF758" s="2" t="s">
        <v>60</v>
      </c>
      <c r="AG758" s="2" t="s">
        <v>61</v>
      </c>
      <c r="AH758" s="2" t="s">
        <v>62</v>
      </c>
      <c r="AI758" s="2" t="s">
        <v>63</v>
      </c>
      <c r="AJ758" s="2">
        <v>1.0866857058705699</v>
      </c>
      <c r="AK758" s="2">
        <v>3.6061235088482002</v>
      </c>
      <c r="AL758" s="2">
        <v>0.68421681410670099</v>
      </c>
      <c r="AM758" s="2">
        <v>0.45489959792701401</v>
      </c>
      <c r="AN758" s="2">
        <v>2.2850855242068699</v>
      </c>
      <c r="AO758" s="2">
        <v>6.0396414106115098E-2</v>
      </c>
      <c r="AP758" s="2">
        <v>6.0396414106115098E-2</v>
      </c>
      <c r="AQ758" s="2">
        <v>0</v>
      </c>
      <c r="AR758" s="2">
        <v>0</v>
      </c>
      <c r="AS758" s="2">
        <v>0</v>
      </c>
      <c r="AT758" s="2">
        <v>0</v>
      </c>
      <c r="AU758" s="2">
        <v>1</v>
      </c>
      <c r="AV758" s="2">
        <v>12</v>
      </c>
      <c r="AW758" s="2">
        <v>0</v>
      </c>
      <c r="AX758" s="2">
        <v>0</v>
      </c>
      <c r="AZ758" s="2">
        <v>6.8</v>
      </c>
      <c r="BA758" s="2">
        <v>19.899999999999999</v>
      </c>
      <c r="BB758" s="2">
        <v>564</v>
      </c>
      <c r="BC758" s="2">
        <v>68</v>
      </c>
      <c r="BD758" s="2">
        <v>1.5</v>
      </c>
      <c r="BE758" s="2">
        <v>135</v>
      </c>
      <c r="BF758" s="2">
        <v>0.8</v>
      </c>
      <c r="BG758" s="2">
        <v>162</v>
      </c>
      <c r="BH758" s="2">
        <v>9.1</v>
      </c>
      <c r="BI758" s="2">
        <v>9.1999999999999993</v>
      </c>
      <c r="BJ758" s="2">
        <v>18.3</v>
      </c>
      <c r="BK758" s="2">
        <v>0.34</v>
      </c>
      <c r="BL758" s="2">
        <v>7.3</v>
      </c>
      <c r="BM758" s="2">
        <v>0.9</v>
      </c>
      <c r="BN758" s="2">
        <v>7.5</v>
      </c>
      <c r="BO758" s="2">
        <v>2.9</v>
      </c>
      <c r="BP758" s="2">
        <f t="shared" si="22"/>
        <v>6.5896441295492032</v>
      </c>
      <c r="BQ758" s="2">
        <f t="shared" si="23"/>
        <v>19.599111008062486</v>
      </c>
    </row>
    <row r="759" spans="1:69" x14ac:dyDescent="0.2">
      <c r="A759" s="2" t="s">
        <v>2672</v>
      </c>
      <c r="B759" s="2" t="s">
        <v>47</v>
      </c>
      <c r="C759" s="2" t="s">
        <v>1935</v>
      </c>
      <c r="D759" s="2" t="s">
        <v>49</v>
      </c>
      <c r="E759" s="2" t="s">
        <v>922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89</v>
      </c>
      <c r="L759" s="6" t="s">
        <v>90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2673</v>
      </c>
      <c r="R759" s="2">
        <v>3166666.6669999999</v>
      </c>
      <c r="S759" s="2">
        <v>0</v>
      </c>
      <c r="T759" s="2" t="s">
        <v>105</v>
      </c>
      <c r="U759" s="2" t="s">
        <v>106</v>
      </c>
      <c r="V759" s="2" t="s">
        <v>56</v>
      </c>
      <c r="W759" s="2" t="s">
        <v>107</v>
      </c>
      <c r="X759" s="2" t="s">
        <v>108</v>
      </c>
      <c r="Y759" s="2">
        <v>1.7679894942323999</v>
      </c>
      <c r="Z759" s="2">
        <v>1767.9894942323999</v>
      </c>
      <c r="AA759" s="2">
        <v>4.6254861111111101</v>
      </c>
      <c r="AB759" s="2">
        <v>-74.066980555555503</v>
      </c>
      <c r="AC759" s="2">
        <v>2621</v>
      </c>
      <c r="AD759" s="2">
        <v>15</v>
      </c>
      <c r="AE759" s="2" t="s">
        <v>59</v>
      </c>
      <c r="AF759" s="2" t="s">
        <v>60</v>
      </c>
      <c r="AG759" s="2" t="s">
        <v>61</v>
      </c>
      <c r="AH759" s="2" t="s">
        <v>62</v>
      </c>
      <c r="AI759" s="2" t="s">
        <v>63</v>
      </c>
      <c r="AJ759" s="2">
        <v>0.36537254107079797</v>
      </c>
      <c r="AK759" s="2">
        <v>1.22151569878606</v>
      </c>
      <c r="AL759" s="2">
        <v>0.41397514495058702</v>
      </c>
      <c r="AM759" s="2">
        <v>6.3292212356786906E-2</v>
      </c>
      <c r="AN759" s="2">
        <v>1.13865834094581</v>
      </c>
      <c r="AO759" s="2">
        <v>6.2912280007525107E-2</v>
      </c>
      <c r="AP759" s="2">
        <v>6.2912280007525107E-2</v>
      </c>
      <c r="AQ759" s="2">
        <v>3</v>
      </c>
      <c r="AR759" s="2">
        <v>4</v>
      </c>
      <c r="AS759" s="2">
        <v>0</v>
      </c>
      <c r="AT759" s="2">
        <v>0</v>
      </c>
      <c r="AU759" s="2">
        <v>8</v>
      </c>
      <c r="AV759" s="2">
        <v>189</v>
      </c>
      <c r="AW759" s="2">
        <v>0</v>
      </c>
      <c r="AX759" s="2">
        <v>0</v>
      </c>
      <c r="AZ759" s="2">
        <v>6.8</v>
      </c>
      <c r="BA759" s="2">
        <v>19.899999999999999</v>
      </c>
      <c r="BB759" s="2">
        <v>564</v>
      </c>
      <c r="BC759" s="2">
        <v>68</v>
      </c>
      <c r="BD759" s="2">
        <v>1.5</v>
      </c>
      <c r="BE759" s="2">
        <v>135</v>
      </c>
      <c r="BF759" s="2">
        <v>0.8</v>
      </c>
      <c r="BG759" s="2">
        <v>162</v>
      </c>
      <c r="BH759" s="2">
        <v>9.1</v>
      </c>
      <c r="BI759" s="2">
        <v>9.1999999999999993</v>
      </c>
      <c r="BJ759" s="2">
        <v>18.3</v>
      </c>
      <c r="BK759" s="2">
        <v>0.34</v>
      </c>
      <c r="BL759" s="2">
        <v>7.3</v>
      </c>
      <c r="BM759" s="2">
        <v>0.9</v>
      </c>
      <c r="BN759" s="2">
        <v>7.5</v>
      </c>
      <c r="BO759" s="2">
        <v>2.9</v>
      </c>
      <c r="BP759" s="2">
        <f t="shared" si="22"/>
        <v>6.2301918833302903</v>
      </c>
      <c r="BQ759" s="2">
        <f t="shared" si="23"/>
        <v>19.073272011044288</v>
      </c>
    </row>
    <row r="760" spans="1:69" x14ac:dyDescent="0.2">
      <c r="A760" s="2" t="s">
        <v>2467</v>
      </c>
      <c r="B760" s="2" t="s">
        <v>47</v>
      </c>
      <c r="C760" s="2" t="s">
        <v>1935</v>
      </c>
      <c r="D760" s="2" t="s">
        <v>49</v>
      </c>
      <c r="E760" s="2" t="s">
        <v>308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89</v>
      </c>
      <c r="L760" s="6" t="s">
        <v>141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2468</v>
      </c>
      <c r="R760" s="2">
        <v>2766666.6669999999</v>
      </c>
      <c r="S760" s="2">
        <v>0</v>
      </c>
      <c r="T760" s="2" t="s">
        <v>54</v>
      </c>
      <c r="U760" s="2" t="s">
        <v>55</v>
      </c>
      <c r="V760" s="2" t="s">
        <v>56</v>
      </c>
      <c r="W760" s="2" t="s">
        <v>57</v>
      </c>
      <c r="X760" s="2" t="s">
        <v>58</v>
      </c>
      <c r="Y760" s="2">
        <v>4.3137668282958197</v>
      </c>
      <c r="Z760" s="2">
        <v>4313.7668282958202</v>
      </c>
      <c r="AA760" s="2">
        <v>4.6584666666666701</v>
      </c>
      <c r="AB760" s="2">
        <v>-74.083966666666697</v>
      </c>
      <c r="AC760" s="2">
        <v>2552</v>
      </c>
      <c r="AD760" s="2">
        <v>0</v>
      </c>
      <c r="AE760" s="2" t="s">
        <v>59</v>
      </c>
      <c r="AF760" s="2" t="s">
        <v>60</v>
      </c>
      <c r="AG760" s="2" t="s">
        <v>61</v>
      </c>
      <c r="AH760" s="2" t="s">
        <v>62</v>
      </c>
      <c r="AI760" s="2" t="s">
        <v>100</v>
      </c>
      <c r="AJ760" s="2">
        <v>0.77715214072585304</v>
      </c>
      <c r="AK760" s="2">
        <v>5.2458039136255099</v>
      </c>
      <c r="AL760" s="2">
        <v>1.0599039995858399</v>
      </c>
      <c r="AM760" s="2">
        <v>0.39260064934719502</v>
      </c>
      <c r="AN760" s="2">
        <v>2.5412662262541001</v>
      </c>
      <c r="AO760" s="2">
        <v>0.44121957851975402</v>
      </c>
      <c r="AP760" s="2">
        <v>0.44121957851975402</v>
      </c>
      <c r="AQ760" s="2">
        <v>0</v>
      </c>
      <c r="AR760" s="2">
        <v>2</v>
      </c>
      <c r="AS760" s="2">
        <v>0</v>
      </c>
      <c r="AT760" s="2">
        <v>0</v>
      </c>
      <c r="AU760" s="2">
        <v>0</v>
      </c>
      <c r="AV760" s="2">
        <v>41</v>
      </c>
      <c r="AW760" s="2">
        <v>0</v>
      </c>
      <c r="AX760" s="2">
        <v>0</v>
      </c>
      <c r="AZ760" s="2">
        <v>6.8</v>
      </c>
      <c r="BA760" s="2">
        <v>19.899999999999999</v>
      </c>
      <c r="BB760" s="2">
        <v>564</v>
      </c>
      <c r="BC760" s="2">
        <v>68</v>
      </c>
      <c r="BD760" s="2">
        <v>1.5</v>
      </c>
      <c r="BE760" s="2">
        <v>135</v>
      </c>
      <c r="BF760" s="2">
        <v>0.8</v>
      </c>
      <c r="BG760" s="2">
        <v>162</v>
      </c>
      <c r="BH760" s="2">
        <v>9.1</v>
      </c>
      <c r="BI760" s="2">
        <v>9.1999999999999993</v>
      </c>
      <c r="BJ760" s="2">
        <v>18.3</v>
      </c>
      <c r="BK760" s="2">
        <v>0.34</v>
      </c>
      <c r="BL760" s="2">
        <v>7.3</v>
      </c>
      <c r="BM760" s="2">
        <v>0.9</v>
      </c>
      <c r="BN760" s="2">
        <v>7.5</v>
      </c>
      <c r="BO760" s="2">
        <v>2.9</v>
      </c>
      <c r="BP760" s="2">
        <f t="shared" si="22"/>
        <v>5.49254190191939</v>
      </c>
      <c r="BQ760" s="2">
        <f t="shared" si="23"/>
        <v>17.942807313325446</v>
      </c>
    </row>
    <row r="761" spans="1:69" x14ac:dyDescent="0.2">
      <c r="A761" s="2" t="s">
        <v>2992</v>
      </c>
      <c r="B761" s="2" t="s">
        <v>47</v>
      </c>
      <c r="C761" s="2" t="s">
        <v>1935</v>
      </c>
      <c r="D761" s="2" t="s">
        <v>49</v>
      </c>
      <c r="E761" s="2" t="s">
        <v>2993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89</v>
      </c>
      <c r="L761" s="6" t="s">
        <v>141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2994</v>
      </c>
      <c r="R761" s="2">
        <v>3076923.077</v>
      </c>
      <c r="S761" s="2">
        <v>0</v>
      </c>
      <c r="T761" s="2" t="s">
        <v>105</v>
      </c>
      <c r="U761" s="2" t="s">
        <v>106</v>
      </c>
      <c r="V761" s="2" t="s">
        <v>56</v>
      </c>
      <c r="W761" s="2" t="s">
        <v>107</v>
      </c>
      <c r="X761" s="2" t="s">
        <v>108</v>
      </c>
      <c r="Y761" s="2">
        <v>1.1840926350175101</v>
      </c>
      <c r="Z761" s="2">
        <v>1184.09263501751</v>
      </c>
      <c r="AA761" s="2">
        <v>4.6254861111111101</v>
      </c>
      <c r="AB761" s="2">
        <v>-74.066980555555503</v>
      </c>
      <c r="AC761" s="2">
        <v>2621</v>
      </c>
      <c r="AD761" s="2">
        <v>15</v>
      </c>
      <c r="AE761" s="2" t="s">
        <v>59</v>
      </c>
      <c r="AF761" s="2" t="s">
        <v>60</v>
      </c>
      <c r="AG761" s="2" t="s">
        <v>61</v>
      </c>
      <c r="AH761" s="2" t="s">
        <v>62</v>
      </c>
      <c r="AI761" s="2" t="s">
        <v>63</v>
      </c>
      <c r="AJ761" s="2">
        <v>0.63046390535526997</v>
      </c>
      <c r="AK761" s="2">
        <v>1.41441000338417</v>
      </c>
      <c r="AL761" s="2">
        <v>0.36842580151392601</v>
      </c>
      <c r="AM761" s="2">
        <v>6.1898296208558697E-2</v>
      </c>
      <c r="AN761" s="2">
        <v>1.0217528508804701</v>
      </c>
      <c r="AO761" s="2">
        <v>9.2748696088082699E-2</v>
      </c>
      <c r="AP761" s="2">
        <v>9.2748696088082699E-2</v>
      </c>
      <c r="AQ761" s="2">
        <v>0</v>
      </c>
      <c r="AR761" s="2">
        <v>6</v>
      </c>
      <c r="AS761" s="2">
        <v>0</v>
      </c>
      <c r="AT761" s="2">
        <v>0</v>
      </c>
      <c r="AU761" s="2">
        <v>15</v>
      </c>
      <c r="AV761" s="2">
        <v>185</v>
      </c>
      <c r="AW761" s="2">
        <v>0</v>
      </c>
      <c r="AX761" s="2">
        <v>0</v>
      </c>
      <c r="AZ761" s="2">
        <v>6.8</v>
      </c>
      <c r="BA761" s="2">
        <v>19.899999999999999</v>
      </c>
      <c r="BB761" s="2">
        <v>564</v>
      </c>
      <c r="BC761" s="2">
        <v>68</v>
      </c>
      <c r="BD761" s="2">
        <v>1.5</v>
      </c>
      <c r="BE761" s="2">
        <v>135</v>
      </c>
      <c r="BF761" s="2">
        <v>0.8</v>
      </c>
      <c r="BG761" s="2">
        <v>162</v>
      </c>
      <c r="BH761" s="2">
        <v>9.1</v>
      </c>
      <c r="BI761" s="2">
        <v>9.1999999999999993</v>
      </c>
      <c r="BJ761" s="2">
        <v>18.3</v>
      </c>
      <c r="BK761" s="2">
        <v>0.34</v>
      </c>
      <c r="BL761" s="2">
        <v>7.3</v>
      </c>
      <c r="BM761" s="2">
        <v>0.9</v>
      </c>
      <c r="BN761" s="2">
        <v>7.5</v>
      </c>
      <c r="BO761" s="2">
        <v>2.9</v>
      </c>
      <c r="BP761" s="2">
        <f t="shared" si="22"/>
        <v>6.4128899960736376</v>
      </c>
      <c r="BQ761" s="2">
        <f t="shared" si="23"/>
        <v>19.342437350683113</v>
      </c>
    </row>
    <row r="762" spans="1:69" x14ac:dyDescent="0.2">
      <c r="A762" s="2" t="s">
        <v>991</v>
      </c>
      <c r="B762" s="2" t="s">
        <v>47</v>
      </c>
      <c r="C762" s="2" t="s">
        <v>48</v>
      </c>
      <c r="D762" s="2" t="s">
        <v>49</v>
      </c>
      <c r="E762" s="2" t="s">
        <v>721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89</v>
      </c>
      <c r="L762" s="6" t="s">
        <v>141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992</v>
      </c>
      <c r="R762" s="2">
        <v>10274914.09</v>
      </c>
      <c r="S762" s="2">
        <v>0</v>
      </c>
      <c r="T762" s="2" t="s">
        <v>54</v>
      </c>
      <c r="U762" s="2" t="s">
        <v>55</v>
      </c>
      <c r="V762" s="2" t="s">
        <v>56</v>
      </c>
      <c r="W762" s="2" t="s">
        <v>57</v>
      </c>
      <c r="X762" s="2" t="s">
        <v>58</v>
      </c>
      <c r="Y762" s="2">
        <v>3.7791750552676402</v>
      </c>
      <c r="Z762" s="2">
        <v>3779.1750552676399</v>
      </c>
      <c r="AA762" s="2">
        <v>4.6584666666666701</v>
      </c>
      <c r="AB762" s="2">
        <v>-74.083966666666697</v>
      </c>
      <c r="AC762" s="2">
        <v>2552</v>
      </c>
      <c r="AD762" s="2">
        <v>0</v>
      </c>
      <c r="AE762" s="2" t="s">
        <v>59</v>
      </c>
      <c r="AF762" s="2" t="s">
        <v>60</v>
      </c>
      <c r="AG762" s="2" t="s">
        <v>61</v>
      </c>
      <c r="AH762" s="2" t="s">
        <v>62</v>
      </c>
      <c r="AI762" s="2" t="s">
        <v>109</v>
      </c>
      <c r="AJ762" s="2">
        <v>1.2246651256098</v>
      </c>
      <c r="AK762" s="2">
        <v>0.51607946696639395</v>
      </c>
      <c r="AL762" s="2">
        <v>0.42949534810684498</v>
      </c>
      <c r="AM762" s="2">
        <v>0.16143554136125099</v>
      </c>
      <c r="AN762" s="2">
        <v>2.5362977876911499</v>
      </c>
      <c r="AO762" s="2">
        <v>0.18940065781126</v>
      </c>
      <c r="AP762" s="2">
        <v>0.18940065781126</v>
      </c>
      <c r="AQ762" s="2">
        <v>0</v>
      </c>
      <c r="AR762" s="2">
        <v>0</v>
      </c>
      <c r="AS762" s="2">
        <v>0</v>
      </c>
      <c r="AT762" s="2">
        <v>27</v>
      </c>
      <c r="AU762" s="2">
        <v>8</v>
      </c>
      <c r="AV762" s="2">
        <v>85</v>
      </c>
      <c r="AW762" s="2">
        <v>0</v>
      </c>
      <c r="AX762" s="2">
        <v>0</v>
      </c>
      <c r="AZ762" s="2">
        <v>6.8</v>
      </c>
      <c r="BA762" s="2">
        <v>19.899999999999999</v>
      </c>
      <c r="BB762" s="2">
        <v>564</v>
      </c>
      <c r="BC762" s="2">
        <v>68</v>
      </c>
      <c r="BD762" s="2">
        <v>1.5</v>
      </c>
      <c r="BE762" s="2">
        <v>135</v>
      </c>
      <c r="BF762" s="2">
        <v>0.8</v>
      </c>
      <c r="BG762" s="2">
        <v>162</v>
      </c>
      <c r="BH762" s="2">
        <v>9.1</v>
      </c>
      <c r="BI762" s="2">
        <v>9.1999999999999993</v>
      </c>
      <c r="BJ762" s="2">
        <v>18.3</v>
      </c>
      <c r="BK762" s="2">
        <v>0.34</v>
      </c>
      <c r="BL762" s="2">
        <v>7.3</v>
      </c>
      <c r="BM762" s="2">
        <v>0.9</v>
      </c>
      <c r="BN762" s="2">
        <v>7.5</v>
      </c>
      <c r="BO762" s="2">
        <v>2.9</v>
      </c>
      <c r="BP762" s="2">
        <f t="shared" si="22"/>
        <v>5.6398273139446999</v>
      </c>
      <c r="BQ762" s="2">
        <f t="shared" si="23"/>
        <v>18.174500321311069</v>
      </c>
    </row>
    <row r="763" spans="1:69" x14ac:dyDescent="0.2">
      <c r="A763" s="2" t="s">
        <v>2988</v>
      </c>
      <c r="B763" s="2" t="s">
        <v>47</v>
      </c>
      <c r="C763" s="2" t="s">
        <v>1935</v>
      </c>
      <c r="D763" s="2" t="s">
        <v>49</v>
      </c>
      <c r="E763" s="2" t="s">
        <v>559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89</v>
      </c>
      <c r="L763" s="6" t="s">
        <v>141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2989</v>
      </c>
      <c r="R763" s="2">
        <v>2083333.3330000001</v>
      </c>
      <c r="S763" s="2">
        <v>0</v>
      </c>
      <c r="T763" s="2" t="s">
        <v>398</v>
      </c>
      <c r="U763" s="2" t="s">
        <v>399</v>
      </c>
      <c r="V763" s="2" t="s">
        <v>56</v>
      </c>
      <c r="W763" s="2" t="s">
        <v>57</v>
      </c>
      <c r="X763" s="2" t="s">
        <v>400</v>
      </c>
      <c r="Y763" s="2">
        <v>0.63551705417873805</v>
      </c>
      <c r="Z763" s="2">
        <v>635.51705417873802</v>
      </c>
      <c r="AA763" s="2">
        <v>4.7358055555555598</v>
      </c>
      <c r="AB763" s="2">
        <v>-74.125888888888895</v>
      </c>
      <c r="AC763" s="2">
        <v>2574</v>
      </c>
      <c r="AD763" s="2">
        <v>0</v>
      </c>
      <c r="AE763" s="2" t="s">
        <v>133</v>
      </c>
      <c r="AF763" s="2" t="s">
        <v>86</v>
      </c>
      <c r="AG763" s="2" t="s">
        <v>61</v>
      </c>
      <c r="AH763" s="2" t="s">
        <v>62</v>
      </c>
      <c r="AI763" s="2" t="s">
        <v>100</v>
      </c>
      <c r="AJ763" s="2">
        <v>3.9177474584995999</v>
      </c>
      <c r="AK763" s="2">
        <v>0.13821800196450401</v>
      </c>
      <c r="AL763" s="2">
        <v>5.8071381510917499</v>
      </c>
      <c r="AM763" s="2">
        <v>0.96605067239050801</v>
      </c>
      <c r="AN763" s="2">
        <v>4.8514731315474702</v>
      </c>
      <c r="AO763" s="2">
        <v>9.9857119318996795E-2</v>
      </c>
      <c r="AP763" s="2">
        <v>9.9857119318996795E-2</v>
      </c>
      <c r="AQ763" s="2">
        <v>0</v>
      </c>
      <c r="AR763" s="2">
        <v>0</v>
      </c>
      <c r="AS763" s="2">
        <v>6</v>
      </c>
      <c r="AT763" s="2">
        <v>9</v>
      </c>
      <c r="AU763" s="2">
        <v>0</v>
      </c>
      <c r="AV763" s="2">
        <v>1</v>
      </c>
      <c r="AW763" s="2">
        <v>0</v>
      </c>
      <c r="AX763" s="2">
        <v>0</v>
      </c>
      <c r="AZ763" s="2">
        <v>6.8</v>
      </c>
      <c r="BA763" s="2">
        <v>19.899999999999999</v>
      </c>
      <c r="BB763" s="2">
        <v>564</v>
      </c>
      <c r="BC763" s="2">
        <v>68</v>
      </c>
      <c r="BD763" s="2">
        <v>1.5</v>
      </c>
      <c r="BE763" s="2">
        <v>135</v>
      </c>
      <c r="BF763" s="2">
        <v>0.8</v>
      </c>
      <c r="BG763" s="2">
        <v>162</v>
      </c>
      <c r="BH763" s="2">
        <v>9.1</v>
      </c>
      <c r="BI763" s="2">
        <v>9.1999999999999993</v>
      </c>
      <c r="BJ763" s="2">
        <v>18.3</v>
      </c>
      <c r="BK763" s="2">
        <v>0.34</v>
      </c>
      <c r="BL763" s="2">
        <v>7.3</v>
      </c>
      <c r="BM763" s="2">
        <v>0.9</v>
      </c>
      <c r="BN763" s="2">
        <v>7.5</v>
      </c>
      <c r="BO763" s="2">
        <v>2.9</v>
      </c>
      <c r="BP763" s="2">
        <f t="shared" si="22"/>
        <v>6.589414632911021</v>
      </c>
      <c r="BQ763" s="2">
        <f t="shared" si="23"/>
        <v>19.598780059363502</v>
      </c>
    </row>
    <row r="764" spans="1:69" x14ac:dyDescent="0.2">
      <c r="A764" s="2" t="s">
        <v>1041</v>
      </c>
      <c r="B764" s="2" t="s">
        <v>47</v>
      </c>
      <c r="C764" s="2" t="s">
        <v>48</v>
      </c>
      <c r="D764" s="2" t="s">
        <v>49</v>
      </c>
      <c r="E764" s="2" t="s">
        <v>289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89</v>
      </c>
      <c r="L764" s="6" t="s">
        <v>103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1042</v>
      </c>
      <c r="R764" s="2">
        <v>13380281.689999999</v>
      </c>
      <c r="S764" s="2">
        <v>0</v>
      </c>
      <c r="T764" s="2" t="s">
        <v>54</v>
      </c>
      <c r="U764" s="2" t="s">
        <v>55</v>
      </c>
      <c r="V764" s="2" t="s">
        <v>56</v>
      </c>
      <c r="W764" s="2" t="s">
        <v>57</v>
      </c>
      <c r="X764" s="2" t="s">
        <v>58</v>
      </c>
      <c r="Y764" s="2">
        <v>3.9665474211334102</v>
      </c>
      <c r="Z764" s="2">
        <v>3966.5474211334099</v>
      </c>
      <c r="AA764" s="2">
        <v>4.6584666666666701</v>
      </c>
      <c r="AB764" s="2">
        <v>-74.083966666666697</v>
      </c>
      <c r="AC764" s="2">
        <v>2552</v>
      </c>
      <c r="AD764" s="2">
        <v>0</v>
      </c>
      <c r="AE764" s="2" t="s">
        <v>59</v>
      </c>
      <c r="AF764" s="2" t="s">
        <v>60</v>
      </c>
      <c r="AG764" s="2" t="s">
        <v>61</v>
      </c>
      <c r="AH764" s="2" t="s">
        <v>62</v>
      </c>
      <c r="AI764" s="2" t="s">
        <v>109</v>
      </c>
      <c r="AJ764" s="2">
        <v>1.53744606438373</v>
      </c>
      <c r="AK764" s="2">
        <v>0.114207120410817</v>
      </c>
      <c r="AL764" s="2">
        <v>0.98136525840292599</v>
      </c>
      <c r="AM764" s="2">
        <v>0.53947792468072797</v>
      </c>
      <c r="AN764" s="2">
        <v>2.0629552896462302</v>
      </c>
      <c r="AO764" s="2">
        <v>0.38274674470229803</v>
      </c>
      <c r="AP764" s="2">
        <v>0.38274674470229803</v>
      </c>
      <c r="AQ764" s="2">
        <v>0</v>
      </c>
      <c r="AR764" s="2">
        <v>0</v>
      </c>
      <c r="AS764" s="2">
        <v>17</v>
      </c>
      <c r="AT764" s="2">
        <v>37</v>
      </c>
      <c r="AU764" s="2">
        <v>1</v>
      </c>
      <c r="AV764" s="2">
        <v>14</v>
      </c>
      <c r="AW764" s="2">
        <v>0</v>
      </c>
      <c r="AX764" s="2">
        <v>0</v>
      </c>
      <c r="AZ764" s="2">
        <v>6.8</v>
      </c>
      <c r="BA764" s="2">
        <v>19.899999999999999</v>
      </c>
      <c r="BB764" s="2">
        <v>564</v>
      </c>
      <c r="BC764" s="2">
        <v>68</v>
      </c>
      <c r="BD764" s="2">
        <v>1.5</v>
      </c>
      <c r="BE764" s="2">
        <v>135</v>
      </c>
      <c r="BF764" s="2">
        <v>0.8</v>
      </c>
      <c r="BG764" s="2">
        <v>162</v>
      </c>
      <c r="BH764" s="2">
        <v>9.1</v>
      </c>
      <c r="BI764" s="2">
        <v>9.1999999999999993</v>
      </c>
      <c r="BJ764" s="2">
        <v>18.3</v>
      </c>
      <c r="BK764" s="2">
        <v>0.34</v>
      </c>
      <c r="BL764" s="2">
        <v>7.3</v>
      </c>
      <c r="BM764" s="2">
        <v>0.9</v>
      </c>
      <c r="BN764" s="2">
        <v>7.5</v>
      </c>
      <c r="BO764" s="2">
        <v>2.9</v>
      </c>
      <c r="BP764" s="2">
        <f t="shared" si="22"/>
        <v>5.5877601315380598</v>
      </c>
      <c r="BQ764" s="2">
        <f t="shared" si="23"/>
        <v>18.092954233566246</v>
      </c>
    </row>
    <row r="765" spans="1:69" x14ac:dyDescent="0.2">
      <c r="A765" s="2" t="s">
        <v>2012</v>
      </c>
      <c r="B765" s="2" t="s">
        <v>47</v>
      </c>
      <c r="C765" s="2" t="s">
        <v>1935</v>
      </c>
      <c r="D765" s="2" t="s">
        <v>49</v>
      </c>
      <c r="E765" s="2" t="s">
        <v>2013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89</v>
      </c>
      <c r="L765" s="6" t="s">
        <v>141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2014</v>
      </c>
      <c r="R765" s="2">
        <v>4642857.1430000002</v>
      </c>
      <c r="S765" s="2">
        <v>0</v>
      </c>
      <c r="T765" s="2" t="s">
        <v>54</v>
      </c>
      <c r="U765" s="2" t="s">
        <v>55</v>
      </c>
      <c r="V765" s="2" t="s">
        <v>56</v>
      </c>
      <c r="W765" s="2" t="s">
        <v>57</v>
      </c>
      <c r="X765" s="2" t="s">
        <v>58</v>
      </c>
      <c r="Y765" s="2">
        <v>4.0471117446601799</v>
      </c>
      <c r="Z765" s="2">
        <v>4047.1117446601802</v>
      </c>
      <c r="AA765" s="2">
        <v>4.6584666666666701</v>
      </c>
      <c r="AB765" s="2">
        <v>-74.083966666666697</v>
      </c>
      <c r="AC765" s="2">
        <v>2552</v>
      </c>
      <c r="AD765" s="2">
        <v>0</v>
      </c>
      <c r="AE765" s="2" t="s">
        <v>59</v>
      </c>
      <c r="AF765" s="2" t="s">
        <v>60</v>
      </c>
      <c r="AG765" s="2" t="s">
        <v>61</v>
      </c>
      <c r="AH765" s="2" t="s">
        <v>62</v>
      </c>
      <c r="AI765" s="2" t="s">
        <v>100</v>
      </c>
      <c r="AJ765" s="2">
        <v>0.33508444896286199</v>
      </c>
      <c r="AK765" s="2">
        <v>3.9146678862295299</v>
      </c>
      <c r="AL765" s="2">
        <v>0.64361170405618295</v>
      </c>
      <c r="AM765" s="2">
        <v>0.25804805516936602</v>
      </c>
      <c r="AN765" s="2">
        <v>2.4093016643401799</v>
      </c>
      <c r="AO765" s="2">
        <v>0.12627641006781701</v>
      </c>
      <c r="AP765" s="2">
        <v>0.12627641006781701</v>
      </c>
      <c r="AQ765" s="2">
        <v>1</v>
      </c>
      <c r="AR765" s="2">
        <v>3</v>
      </c>
      <c r="AS765" s="2">
        <v>0</v>
      </c>
      <c r="AT765" s="2">
        <v>0</v>
      </c>
      <c r="AU765" s="2">
        <v>2</v>
      </c>
      <c r="AV765" s="2">
        <v>60</v>
      </c>
      <c r="AW765" s="2">
        <v>0</v>
      </c>
      <c r="AX765" s="2">
        <v>0</v>
      </c>
      <c r="AZ765" s="2">
        <v>6.8</v>
      </c>
      <c r="BA765" s="2">
        <v>19.899999999999999</v>
      </c>
      <c r="BB765" s="2">
        <v>564</v>
      </c>
      <c r="BC765" s="2">
        <v>68</v>
      </c>
      <c r="BD765" s="2">
        <v>1.5</v>
      </c>
      <c r="BE765" s="2">
        <v>135</v>
      </c>
      <c r="BF765" s="2">
        <v>0.8</v>
      </c>
      <c r="BG765" s="2">
        <v>162</v>
      </c>
      <c r="BH765" s="2">
        <v>9.1</v>
      </c>
      <c r="BI765" s="2">
        <v>9.1999999999999993</v>
      </c>
      <c r="BJ765" s="2">
        <v>18.3</v>
      </c>
      <c r="BK765" s="2">
        <v>0.34</v>
      </c>
      <c r="BL765" s="2">
        <v>7.3</v>
      </c>
      <c r="BM765" s="2">
        <v>0.9</v>
      </c>
      <c r="BN765" s="2">
        <v>7.5</v>
      </c>
      <c r="BO765" s="2">
        <v>2.9</v>
      </c>
      <c r="BP765" s="2">
        <f t="shared" si="22"/>
        <v>5.5655208866385051</v>
      </c>
      <c r="BQ765" s="2">
        <f t="shared" si="23"/>
        <v>18.058004514018684</v>
      </c>
    </row>
    <row r="766" spans="1:69" x14ac:dyDescent="0.2">
      <c r="A766" s="2" t="s">
        <v>2799</v>
      </c>
      <c r="B766" s="2" t="s">
        <v>47</v>
      </c>
      <c r="C766" s="2" t="s">
        <v>1935</v>
      </c>
      <c r="D766" s="2" t="s">
        <v>49</v>
      </c>
      <c r="E766" s="2" t="s">
        <v>111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89</v>
      </c>
      <c r="L766" s="6" t="s">
        <v>103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2800</v>
      </c>
      <c r="R766" s="2">
        <v>7169117.6469999999</v>
      </c>
      <c r="S766" s="2">
        <v>0</v>
      </c>
      <c r="T766" s="2" t="s">
        <v>54</v>
      </c>
      <c r="U766" s="2" t="s">
        <v>55</v>
      </c>
      <c r="V766" s="2" t="s">
        <v>56</v>
      </c>
      <c r="W766" s="2" t="s">
        <v>57</v>
      </c>
      <c r="X766" s="2" t="s">
        <v>58</v>
      </c>
      <c r="Y766" s="2">
        <v>4.0449187436416603</v>
      </c>
      <c r="Z766" s="2">
        <v>4044.9187436416601</v>
      </c>
      <c r="AA766" s="2">
        <v>4.6584666666666701</v>
      </c>
      <c r="AB766" s="2">
        <v>-74.083966666666697</v>
      </c>
      <c r="AC766" s="2">
        <v>2552</v>
      </c>
      <c r="AD766" s="2">
        <v>0</v>
      </c>
      <c r="AE766" s="2" t="s">
        <v>59</v>
      </c>
      <c r="AF766" s="2" t="s">
        <v>60</v>
      </c>
      <c r="AG766" s="2" t="s">
        <v>61</v>
      </c>
      <c r="AH766" s="2" t="s">
        <v>62</v>
      </c>
      <c r="AI766" s="2" t="s">
        <v>109</v>
      </c>
      <c r="AJ766" s="2">
        <v>0.90212875083746202</v>
      </c>
      <c r="AK766" s="2">
        <v>1.0839507825602099</v>
      </c>
      <c r="AL766" s="2">
        <v>1.0322511330388</v>
      </c>
      <c r="AM766" s="2">
        <v>0.109530462526748</v>
      </c>
      <c r="AN766" s="2">
        <v>3.41226919424617</v>
      </c>
      <c r="AO766" s="2">
        <v>0.87115021868730702</v>
      </c>
      <c r="AP766" s="2">
        <v>0.87115021868730702</v>
      </c>
      <c r="AQ766" s="2">
        <v>0</v>
      </c>
      <c r="AR766" s="2">
        <v>2</v>
      </c>
      <c r="AS766" s="2">
        <v>0</v>
      </c>
      <c r="AT766" s="2">
        <v>0</v>
      </c>
      <c r="AU766" s="2">
        <v>0</v>
      </c>
      <c r="AV766" s="2">
        <v>252</v>
      </c>
      <c r="AW766" s="2">
        <v>0</v>
      </c>
      <c r="AX766" s="2">
        <v>0</v>
      </c>
      <c r="AZ766" s="2">
        <v>6.8</v>
      </c>
      <c r="BA766" s="2">
        <v>19.899999999999999</v>
      </c>
      <c r="BB766" s="2">
        <v>564</v>
      </c>
      <c r="BC766" s="2">
        <v>68</v>
      </c>
      <c r="BD766" s="2">
        <v>1.5</v>
      </c>
      <c r="BE766" s="2">
        <v>135</v>
      </c>
      <c r="BF766" s="2">
        <v>0.8</v>
      </c>
      <c r="BG766" s="2">
        <v>162</v>
      </c>
      <c r="BH766" s="2">
        <v>9.1</v>
      </c>
      <c r="BI766" s="2">
        <v>9.1999999999999993</v>
      </c>
      <c r="BJ766" s="2">
        <v>18.3</v>
      </c>
      <c r="BK766" s="2">
        <v>0.34</v>
      </c>
      <c r="BL766" s="2">
        <v>7.3</v>
      </c>
      <c r="BM766" s="2">
        <v>0.9</v>
      </c>
      <c r="BN766" s="2">
        <v>7.5</v>
      </c>
      <c r="BO766" s="2">
        <v>2.9</v>
      </c>
      <c r="BP766" s="2">
        <f t="shared" si="22"/>
        <v>5.5661250764835515</v>
      </c>
      <c r="BQ766" s="2">
        <f t="shared" si="23"/>
        <v>18.058954968365633</v>
      </c>
    </row>
    <row r="767" spans="1:69" x14ac:dyDescent="0.2">
      <c r="A767" s="2" t="s">
        <v>2855</v>
      </c>
      <c r="B767" s="2" t="s">
        <v>47</v>
      </c>
      <c r="C767" s="2" t="s">
        <v>1935</v>
      </c>
      <c r="D767" s="2" t="s">
        <v>49</v>
      </c>
      <c r="E767" s="2" t="s">
        <v>2039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89</v>
      </c>
      <c r="L767" s="6" t="s">
        <v>141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2856</v>
      </c>
      <c r="R767" s="2">
        <v>4963235.2939999998</v>
      </c>
      <c r="S767" s="2">
        <v>0</v>
      </c>
      <c r="T767" s="2" t="s">
        <v>105</v>
      </c>
      <c r="U767" s="2" t="s">
        <v>106</v>
      </c>
      <c r="V767" s="2" t="s">
        <v>56</v>
      </c>
      <c r="W767" s="2" t="s">
        <v>107</v>
      </c>
      <c r="X767" s="2" t="s">
        <v>108</v>
      </c>
      <c r="Y767" s="2">
        <v>0.76789584276135003</v>
      </c>
      <c r="Z767" s="2">
        <v>767.89584276134997</v>
      </c>
      <c r="AA767" s="2">
        <v>4.6254861111111101</v>
      </c>
      <c r="AB767" s="2">
        <v>-74.066980555555503</v>
      </c>
      <c r="AC767" s="2">
        <v>2621</v>
      </c>
      <c r="AD767" s="2">
        <v>15</v>
      </c>
      <c r="AE767" s="2" t="s">
        <v>59</v>
      </c>
      <c r="AF767" s="2" t="s">
        <v>60</v>
      </c>
      <c r="AG767" s="2" t="s">
        <v>61</v>
      </c>
      <c r="AH767" s="2" t="s">
        <v>62</v>
      </c>
      <c r="AI767" s="2" t="s">
        <v>63</v>
      </c>
      <c r="AJ767" s="2">
        <v>0.37064557378310398</v>
      </c>
      <c r="AK767" s="2">
        <v>1.1565873894166501</v>
      </c>
      <c r="AL767" s="2">
        <v>0.24682333612585899</v>
      </c>
      <c r="AM767" s="2">
        <v>0.18941328806676999</v>
      </c>
      <c r="AN767" s="2">
        <v>0.63262717245837197</v>
      </c>
      <c r="AO767" s="2">
        <v>4.1561209041425601E-2</v>
      </c>
      <c r="AP767" s="2">
        <v>4.1561209041425601E-2</v>
      </c>
      <c r="AQ767" s="2">
        <v>1</v>
      </c>
      <c r="AR767" s="2">
        <v>6</v>
      </c>
      <c r="AS767" s="2">
        <v>0</v>
      </c>
      <c r="AT767" s="2">
        <v>0</v>
      </c>
      <c r="AU767" s="2">
        <v>18</v>
      </c>
      <c r="AV767" s="2">
        <v>174</v>
      </c>
      <c r="AW767" s="2">
        <v>1</v>
      </c>
      <c r="AX767" s="2">
        <v>0</v>
      </c>
      <c r="AZ767" s="2">
        <v>6.8</v>
      </c>
      <c r="BA767" s="2">
        <v>19.899999999999999</v>
      </c>
      <c r="BB767" s="2">
        <v>564</v>
      </c>
      <c r="BC767" s="2">
        <v>68</v>
      </c>
      <c r="BD767" s="2">
        <v>1.5</v>
      </c>
      <c r="BE767" s="2">
        <v>135</v>
      </c>
      <c r="BF767" s="2">
        <v>0.8</v>
      </c>
      <c r="BG767" s="2">
        <v>162</v>
      </c>
      <c r="BH767" s="2">
        <v>9.1</v>
      </c>
      <c r="BI767" s="2">
        <v>9.1999999999999993</v>
      </c>
      <c r="BJ767" s="2">
        <v>18.3</v>
      </c>
      <c r="BK767" s="2">
        <v>0.34</v>
      </c>
      <c r="BL767" s="2">
        <v>7.3</v>
      </c>
      <c r="BM767" s="2">
        <v>0.9</v>
      </c>
      <c r="BN767" s="2">
        <v>7.5</v>
      </c>
      <c r="BO767" s="2">
        <v>2.9</v>
      </c>
      <c r="BP767" s="2">
        <f t="shared" si="22"/>
        <v>6.5463770073444563</v>
      </c>
      <c r="BQ767" s="2">
        <f t="shared" si="23"/>
        <v>19.536611762535841</v>
      </c>
    </row>
    <row r="768" spans="1:69" x14ac:dyDescent="0.2">
      <c r="A768" s="2" t="s">
        <v>2217</v>
      </c>
      <c r="B768" s="2" t="s">
        <v>47</v>
      </c>
      <c r="C768" s="2" t="s">
        <v>1935</v>
      </c>
      <c r="D768" s="2" t="s">
        <v>49</v>
      </c>
      <c r="E768" s="2" t="s">
        <v>511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89</v>
      </c>
      <c r="L768" s="6" t="s">
        <v>141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2218</v>
      </c>
      <c r="R768" s="2">
        <v>7276119.4029999999</v>
      </c>
      <c r="S768" s="2">
        <v>0</v>
      </c>
      <c r="T768" s="2" t="s">
        <v>344</v>
      </c>
      <c r="U768" s="2" t="s">
        <v>345</v>
      </c>
      <c r="V768" s="2" t="s">
        <v>56</v>
      </c>
      <c r="W768" s="2" t="s">
        <v>344</v>
      </c>
      <c r="X768" s="2" t="s">
        <v>346</v>
      </c>
      <c r="Y768" s="2">
        <v>0.68087388489751399</v>
      </c>
      <c r="Z768" s="2">
        <v>680.87388489751402</v>
      </c>
      <c r="AA768" s="2">
        <v>4.6056111111111102</v>
      </c>
      <c r="AB768" s="2">
        <v>-74.204055555555598</v>
      </c>
      <c r="AC768" s="2">
        <v>2546</v>
      </c>
      <c r="AD768" s="2">
        <v>0</v>
      </c>
      <c r="AE768" s="2" t="s">
        <v>59</v>
      </c>
      <c r="AF768" s="2" t="s">
        <v>86</v>
      </c>
      <c r="AG768" s="2" t="s">
        <v>61</v>
      </c>
      <c r="AH768" s="2" t="s">
        <v>62</v>
      </c>
      <c r="AI768" s="2" t="s">
        <v>347</v>
      </c>
      <c r="AJ768" s="2">
        <v>2.4910218444818302</v>
      </c>
      <c r="AK768" s="2">
        <v>2.0687894235864301</v>
      </c>
      <c r="AL768" s="2">
        <v>7.9772763041865602</v>
      </c>
      <c r="AM768" s="2">
        <v>0.84181901887227595</v>
      </c>
      <c r="AN768" s="2">
        <v>2.6501520381452801</v>
      </c>
      <c r="AO768" s="2">
        <v>8.5922700937997504E-2</v>
      </c>
      <c r="AP768" s="2">
        <v>8.5922700937997504E-2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1</v>
      </c>
      <c r="AW768" s="2">
        <v>0</v>
      </c>
      <c r="AX768" s="2">
        <v>0</v>
      </c>
      <c r="AZ768" s="2">
        <v>6.8</v>
      </c>
      <c r="BA768" s="2">
        <v>19.899999999999999</v>
      </c>
      <c r="BB768" s="2">
        <v>564</v>
      </c>
      <c r="BC768" s="2">
        <v>68</v>
      </c>
      <c r="BD768" s="2">
        <v>1.5</v>
      </c>
      <c r="BE768" s="2">
        <v>135</v>
      </c>
      <c r="BF768" s="2">
        <v>0.8</v>
      </c>
      <c r="BG768" s="2">
        <v>162</v>
      </c>
      <c r="BH768" s="2">
        <v>9.1</v>
      </c>
      <c r="BI768" s="2">
        <v>9.1999999999999993</v>
      </c>
      <c r="BJ768" s="2">
        <v>18.3</v>
      </c>
      <c r="BK768" s="2">
        <v>0.34</v>
      </c>
      <c r="BL768" s="2">
        <v>7.3</v>
      </c>
      <c r="BM768" s="2">
        <v>0.9</v>
      </c>
      <c r="BN768" s="2">
        <v>7.5</v>
      </c>
      <c r="BO768" s="2">
        <v>2.9</v>
      </c>
      <c r="BP768" s="2">
        <f t="shared" si="22"/>
        <v>6.5746369175892987</v>
      </c>
      <c r="BQ768" s="2">
        <f t="shared" si="23"/>
        <v>19.577457141961819</v>
      </c>
    </row>
    <row r="769" spans="1:69" x14ac:dyDescent="0.2">
      <c r="A769" s="2" t="s">
        <v>860</v>
      </c>
      <c r="B769" s="2" t="s">
        <v>47</v>
      </c>
      <c r="C769" s="2" t="s">
        <v>48</v>
      </c>
      <c r="D769" s="2" t="s">
        <v>49</v>
      </c>
      <c r="E769" s="2" t="s">
        <v>289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89</v>
      </c>
      <c r="L769" s="6" t="s">
        <v>141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861</v>
      </c>
      <c r="R769" s="2">
        <v>6226415.0939999996</v>
      </c>
      <c r="S769" s="2">
        <v>0</v>
      </c>
      <c r="T769" s="2" t="s">
        <v>105</v>
      </c>
      <c r="U769" s="2" t="s">
        <v>106</v>
      </c>
      <c r="V769" s="2" t="s">
        <v>56</v>
      </c>
      <c r="W769" s="2" t="s">
        <v>107</v>
      </c>
      <c r="X769" s="2" t="s">
        <v>108</v>
      </c>
      <c r="Y769" s="2">
        <v>3.6654903189414698</v>
      </c>
      <c r="Z769" s="2">
        <v>3665.4903189414699</v>
      </c>
      <c r="AA769" s="2">
        <v>4.6254861111111101</v>
      </c>
      <c r="AB769" s="2">
        <v>-74.066980555555503</v>
      </c>
      <c r="AC769" s="2">
        <v>2621</v>
      </c>
      <c r="AD769" s="2">
        <v>15</v>
      </c>
      <c r="AE769" s="2" t="s">
        <v>59</v>
      </c>
      <c r="AF769" s="2" t="s">
        <v>60</v>
      </c>
      <c r="AG769" s="2" t="s">
        <v>61</v>
      </c>
      <c r="AH769" s="2" t="s">
        <v>62</v>
      </c>
      <c r="AI769" s="2" t="s">
        <v>109</v>
      </c>
      <c r="AJ769" s="2">
        <v>1.31025322615858</v>
      </c>
      <c r="AK769" s="2">
        <v>0.27130790315109998</v>
      </c>
      <c r="AL769" s="2">
        <v>0.82954772617240302</v>
      </c>
      <c r="AM769" s="2">
        <v>0.37836106507894002</v>
      </c>
      <c r="AN769" s="2">
        <v>1.6247214260994001</v>
      </c>
      <c r="AO769" s="2">
        <v>0.210276566885197</v>
      </c>
      <c r="AP769" s="2">
        <v>0.210276566885197</v>
      </c>
      <c r="AQ769" s="2">
        <v>0</v>
      </c>
      <c r="AR769" s="2">
        <v>0</v>
      </c>
      <c r="AS769" s="2">
        <v>12</v>
      </c>
      <c r="AT769" s="2">
        <v>43</v>
      </c>
      <c r="AU769" s="2">
        <v>4</v>
      </c>
      <c r="AV769" s="2">
        <v>22</v>
      </c>
      <c r="AW769" s="2">
        <v>0</v>
      </c>
      <c r="AX769" s="2">
        <v>0</v>
      </c>
      <c r="AZ769" s="2">
        <v>6.8</v>
      </c>
      <c r="BA769" s="2">
        <v>19.899999999999999</v>
      </c>
      <c r="BB769" s="2">
        <v>564</v>
      </c>
      <c r="BC769" s="2">
        <v>68</v>
      </c>
      <c r="BD769" s="2">
        <v>1.5</v>
      </c>
      <c r="BE769" s="2">
        <v>135</v>
      </c>
      <c r="BF769" s="2">
        <v>0.8</v>
      </c>
      <c r="BG769" s="2">
        <v>162</v>
      </c>
      <c r="BH769" s="2">
        <v>9.1</v>
      </c>
      <c r="BI769" s="2">
        <v>9.1999999999999993</v>
      </c>
      <c r="BJ769" s="2">
        <v>18.3</v>
      </c>
      <c r="BK769" s="2">
        <v>0.34</v>
      </c>
      <c r="BL769" s="2">
        <v>7.3</v>
      </c>
      <c r="BM769" s="2">
        <v>0.9</v>
      </c>
      <c r="BN769" s="2">
        <v>7.5</v>
      </c>
      <c r="BO769" s="2">
        <v>2.9</v>
      </c>
      <c r="BP769" s="2">
        <f t="shared" si="22"/>
        <v>5.6716543144122928</v>
      </c>
      <c r="BQ769" s="2">
        <f t="shared" si="23"/>
        <v>18.22415595019682</v>
      </c>
    </row>
    <row r="770" spans="1:69" x14ac:dyDescent="0.2">
      <c r="A770" s="2" t="s">
        <v>741</v>
      </c>
      <c r="B770" s="2" t="s">
        <v>47</v>
      </c>
      <c r="C770" s="2" t="s">
        <v>48</v>
      </c>
      <c r="D770" s="2" t="s">
        <v>49</v>
      </c>
      <c r="E770" s="2" t="s">
        <v>742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89</v>
      </c>
      <c r="L770" s="6" t="s">
        <v>141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743</v>
      </c>
      <c r="R770" s="2">
        <v>6463878.3269999996</v>
      </c>
      <c r="S770" s="2">
        <v>0</v>
      </c>
      <c r="T770" s="2" t="s">
        <v>105</v>
      </c>
      <c r="U770" s="2" t="s">
        <v>106</v>
      </c>
      <c r="V770" s="2" t="s">
        <v>56</v>
      </c>
      <c r="W770" s="2" t="s">
        <v>107</v>
      </c>
      <c r="X770" s="2" t="s">
        <v>108</v>
      </c>
      <c r="Y770" s="2">
        <v>3.1315370747671398</v>
      </c>
      <c r="Z770" s="2">
        <v>3131.53707476714</v>
      </c>
      <c r="AA770" s="2">
        <v>4.6254861111111101</v>
      </c>
      <c r="AB770" s="2">
        <v>-74.066980555555503</v>
      </c>
      <c r="AC770" s="2">
        <v>2621</v>
      </c>
      <c r="AD770" s="2">
        <v>15</v>
      </c>
      <c r="AE770" s="2" t="s">
        <v>59</v>
      </c>
      <c r="AF770" s="2" t="s">
        <v>60</v>
      </c>
      <c r="AG770" s="2" t="s">
        <v>61</v>
      </c>
      <c r="AH770" s="2" t="s">
        <v>62</v>
      </c>
      <c r="AI770" s="2" t="s">
        <v>109</v>
      </c>
      <c r="AJ770" s="2">
        <v>1.2678222533185599</v>
      </c>
      <c r="AK770" s="2">
        <v>0.2214996466135</v>
      </c>
      <c r="AL770" s="2">
        <v>0.49463506242262001</v>
      </c>
      <c r="AM770" s="2">
        <v>0.417614105541386</v>
      </c>
      <c r="AN770" s="2">
        <v>1.09783255928612</v>
      </c>
      <c r="AO770" s="2">
        <v>0.29281832027937399</v>
      </c>
      <c r="AP770" s="2">
        <v>0.29281832027937399</v>
      </c>
      <c r="AQ770" s="2">
        <v>0</v>
      </c>
      <c r="AR770" s="2">
        <v>0</v>
      </c>
      <c r="AS770" s="2">
        <v>19</v>
      </c>
      <c r="AT770" s="2">
        <v>41</v>
      </c>
      <c r="AU770" s="2">
        <v>5</v>
      </c>
      <c r="AV770" s="2">
        <v>29</v>
      </c>
      <c r="AW770" s="2">
        <v>0</v>
      </c>
      <c r="AX770" s="2">
        <v>0</v>
      </c>
      <c r="AZ770" s="2">
        <v>6.8</v>
      </c>
      <c r="BA770" s="2">
        <v>19.899999999999999</v>
      </c>
      <c r="BB770" s="2">
        <v>564</v>
      </c>
      <c r="BC770" s="2">
        <v>68</v>
      </c>
      <c r="BD770" s="2">
        <v>1.5</v>
      </c>
      <c r="BE770" s="2">
        <v>135</v>
      </c>
      <c r="BF770" s="2">
        <v>0.8</v>
      </c>
      <c r="BG770" s="2">
        <v>162</v>
      </c>
      <c r="BH770" s="2">
        <v>9.1</v>
      </c>
      <c r="BI770" s="2">
        <v>9.1999999999999993</v>
      </c>
      <c r="BJ770" s="2">
        <v>18.3</v>
      </c>
      <c r="BK770" s="2">
        <v>0.34</v>
      </c>
      <c r="BL770" s="2">
        <v>7.3</v>
      </c>
      <c r="BM770" s="2">
        <v>0.9</v>
      </c>
      <c r="BN770" s="2">
        <v>7.5</v>
      </c>
      <c r="BO770" s="2">
        <v>2.9</v>
      </c>
      <c r="BP770" s="2">
        <f t="shared" ref="BP770:BP833" si="24">+AZ770*EXP(-0.0495*Y770)</f>
        <v>5.8235586512127373</v>
      </c>
      <c r="BQ770" s="2">
        <f t="shared" ref="BQ770:BQ833" si="25">+BA770*EXP(-0.024*Y770)</f>
        <v>18.45919909079484</v>
      </c>
    </row>
    <row r="771" spans="1:69" x14ac:dyDescent="0.2">
      <c r="A771" s="2" t="s">
        <v>2490</v>
      </c>
      <c r="B771" s="2" t="s">
        <v>47</v>
      </c>
      <c r="C771" s="2" t="s">
        <v>1935</v>
      </c>
      <c r="D771" s="2" t="s">
        <v>49</v>
      </c>
      <c r="E771" s="2" t="s">
        <v>2491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89</v>
      </c>
      <c r="L771" s="6" t="s">
        <v>103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2492</v>
      </c>
      <c r="R771" s="2">
        <v>2869731.801</v>
      </c>
      <c r="S771" s="2">
        <v>0</v>
      </c>
      <c r="T771" s="2" t="s">
        <v>398</v>
      </c>
      <c r="U771" s="2" t="s">
        <v>399</v>
      </c>
      <c r="V771" s="2" t="s">
        <v>56</v>
      </c>
      <c r="W771" s="2" t="s">
        <v>57</v>
      </c>
      <c r="X771" s="2" t="s">
        <v>400</v>
      </c>
      <c r="Y771" s="2">
        <v>3.1934759134634798</v>
      </c>
      <c r="Z771" s="2">
        <v>3193.4759134634801</v>
      </c>
      <c r="AA771" s="2">
        <v>4.7358055555555598</v>
      </c>
      <c r="AB771" s="2">
        <v>-74.125888888888895</v>
      </c>
      <c r="AC771" s="2">
        <v>2574</v>
      </c>
      <c r="AD771" s="2">
        <v>0</v>
      </c>
      <c r="AE771" s="2" t="s">
        <v>133</v>
      </c>
      <c r="AF771" s="2" t="s">
        <v>86</v>
      </c>
      <c r="AG771" s="2" t="s">
        <v>61</v>
      </c>
      <c r="AH771" s="2" t="s">
        <v>62</v>
      </c>
      <c r="AI771" s="2" t="s">
        <v>391</v>
      </c>
      <c r="AJ771" s="2">
        <v>1.6745832928066899</v>
      </c>
      <c r="AK771" s="2">
        <v>1.86808772316414</v>
      </c>
      <c r="AL771" s="2">
        <v>2.5216653843549302</v>
      </c>
      <c r="AM771" s="2">
        <v>0.17310860634471401</v>
      </c>
      <c r="AN771" s="2">
        <v>2.2640624111709902</v>
      </c>
      <c r="AO771" s="2">
        <v>0.196248719622275</v>
      </c>
      <c r="AP771" s="2">
        <v>0.196248719622275</v>
      </c>
      <c r="AQ771" s="2">
        <v>0</v>
      </c>
      <c r="AR771" s="2">
        <v>0</v>
      </c>
      <c r="AS771" s="2">
        <v>0</v>
      </c>
      <c r="AT771" s="2">
        <v>0</v>
      </c>
      <c r="AU771" s="2">
        <v>0</v>
      </c>
      <c r="AV771" s="2">
        <v>9</v>
      </c>
      <c r="AW771" s="2">
        <v>0</v>
      </c>
      <c r="AX771" s="2">
        <v>0</v>
      </c>
      <c r="AZ771" s="2">
        <v>6.8</v>
      </c>
      <c r="BA771" s="2">
        <v>19.899999999999999</v>
      </c>
      <c r="BB771" s="2">
        <v>564</v>
      </c>
      <c r="BC771" s="2">
        <v>68</v>
      </c>
      <c r="BD771" s="2">
        <v>1.5</v>
      </c>
      <c r="BE771" s="2">
        <v>135</v>
      </c>
      <c r="BF771" s="2">
        <v>0.8</v>
      </c>
      <c r="BG771" s="2">
        <v>162</v>
      </c>
      <c r="BH771" s="2">
        <v>9.1</v>
      </c>
      <c r="BI771" s="2">
        <v>9.1999999999999993</v>
      </c>
      <c r="BJ771" s="2">
        <v>18.3</v>
      </c>
      <c r="BK771" s="2">
        <v>0.34</v>
      </c>
      <c r="BL771" s="2">
        <v>7.3</v>
      </c>
      <c r="BM771" s="2">
        <v>0.9</v>
      </c>
      <c r="BN771" s="2">
        <v>7.5</v>
      </c>
      <c r="BO771" s="2">
        <v>2.9</v>
      </c>
      <c r="BP771" s="2">
        <f t="shared" si="24"/>
        <v>5.8057311237656561</v>
      </c>
      <c r="BQ771" s="2">
        <f t="shared" si="25"/>
        <v>18.431779283537615</v>
      </c>
    </row>
    <row r="772" spans="1:69" x14ac:dyDescent="0.2">
      <c r="A772" s="2" t="s">
        <v>427</v>
      </c>
      <c r="B772" s="2" t="s">
        <v>47</v>
      </c>
      <c r="C772" s="2" t="s">
        <v>48</v>
      </c>
      <c r="D772" s="2" t="s">
        <v>49</v>
      </c>
      <c r="E772" s="2" t="s">
        <v>289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89</v>
      </c>
      <c r="L772" s="6" t="s">
        <v>103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428</v>
      </c>
      <c r="R772" s="2">
        <v>13076923.08</v>
      </c>
      <c r="S772" s="2">
        <v>0</v>
      </c>
      <c r="T772" s="2" t="s">
        <v>54</v>
      </c>
      <c r="U772" s="2" t="s">
        <v>55</v>
      </c>
      <c r="V772" s="2" t="s">
        <v>56</v>
      </c>
      <c r="W772" s="2" t="s">
        <v>57</v>
      </c>
      <c r="X772" s="2" t="s">
        <v>58</v>
      </c>
      <c r="Y772" s="2">
        <v>3.9926954520762301</v>
      </c>
      <c r="Z772" s="2">
        <v>3992.6954520762301</v>
      </c>
      <c r="AA772" s="2">
        <v>4.6584666666666701</v>
      </c>
      <c r="AB772" s="2">
        <v>-74.083966666666697</v>
      </c>
      <c r="AC772" s="2">
        <v>2552</v>
      </c>
      <c r="AD772" s="2">
        <v>0</v>
      </c>
      <c r="AE772" s="2" t="s">
        <v>59</v>
      </c>
      <c r="AF772" s="2" t="s">
        <v>60</v>
      </c>
      <c r="AG772" s="2" t="s">
        <v>61</v>
      </c>
      <c r="AH772" s="2" t="s">
        <v>62</v>
      </c>
      <c r="AI772" s="2" t="s">
        <v>109</v>
      </c>
      <c r="AJ772" s="2">
        <v>1.5304681678713901</v>
      </c>
      <c r="AK772" s="2">
        <v>0.12054709165694</v>
      </c>
      <c r="AL772" s="2">
        <v>0.87650108513560798</v>
      </c>
      <c r="AM772" s="2">
        <v>0.41883419844837899</v>
      </c>
      <c r="AN772" s="2">
        <v>2.2627479631937599</v>
      </c>
      <c r="AO772" s="2">
        <v>0.34298976039416801</v>
      </c>
      <c r="AP772" s="2">
        <v>0.34298976039416801</v>
      </c>
      <c r="AQ772" s="2">
        <v>0</v>
      </c>
      <c r="AR772" s="2">
        <v>0</v>
      </c>
      <c r="AS772" s="2">
        <v>13</v>
      </c>
      <c r="AT772" s="2">
        <v>32</v>
      </c>
      <c r="AU772" s="2">
        <v>3</v>
      </c>
      <c r="AV772" s="2">
        <v>13</v>
      </c>
      <c r="AW772" s="2">
        <v>0</v>
      </c>
      <c r="AX772" s="2">
        <v>0</v>
      </c>
      <c r="AZ772" s="2">
        <v>6.8</v>
      </c>
      <c r="BA772" s="2">
        <v>19.899999999999999</v>
      </c>
      <c r="BB772" s="2">
        <v>564</v>
      </c>
      <c r="BC772" s="2">
        <v>68</v>
      </c>
      <c r="BD772" s="2">
        <v>1.5</v>
      </c>
      <c r="BE772" s="2">
        <v>135</v>
      </c>
      <c r="BF772" s="2">
        <v>0.8</v>
      </c>
      <c r="BG772" s="2">
        <v>162</v>
      </c>
      <c r="BH772" s="2">
        <v>9.1</v>
      </c>
      <c r="BI772" s="2">
        <v>9.1999999999999993</v>
      </c>
      <c r="BJ772" s="2">
        <v>18.3</v>
      </c>
      <c r="BK772" s="2">
        <v>0.34</v>
      </c>
      <c r="BL772" s="2">
        <v>7.3</v>
      </c>
      <c r="BM772" s="2">
        <v>0.9</v>
      </c>
      <c r="BN772" s="2">
        <v>7.5</v>
      </c>
      <c r="BO772" s="2">
        <v>2.9</v>
      </c>
      <c r="BP772" s="2">
        <f t="shared" si="24"/>
        <v>5.5805324182826128</v>
      </c>
      <c r="BQ772" s="2">
        <f t="shared" si="25"/>
        <v>18.081603512475322</v>
      </c>
    </row>
    <row r="773" spans="1:69" x14ac:dyDescent="0.2">
      <c r="A773" s="2" t="s">
        <v>3232</v>
      </c>
      <c r="B773" s="2" t="s">
        <v>47</v>
      </c>
      <c r="C773" s="2" t="s">
        <v>1935</v>
      </c>
      <c r="D773" s="2" t="s">
        <v>49</v>
      </c>
      <c r="E773" s="2" t="s">
        <v>2500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89</v>
      </c>
      <c r="L773" s="6" t="s">
        <v>141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3233</v>
      </c>
      <c r="R773" s="2">
        <v>3449612.4029999999</v>
      </c>
      <c r="S773" s="2">
        <v>0</v>
      </c>
      <c r="T773" s="2" t="s">
        <v>54</v>
      </c>
      <c r="U773" s="2" t="s">
        <v>55</v>
      </c>
      <c r="V773" s="2" t="s">
        <v>56</v>
      </c>
      <c r="W773" s="2" t="s">
        <v>57</v>
      </c>
      <c r="X773" s="2" t="s">
        <v>58</v>
      </c>
      <c r="Y773" s="2">
        <v>3.1306588717544299</v>
      </c>
      <c r="Z773" s="2">
        <v>3130.65887175443</v>
      </c>
      <c r="AA773" s="2">
        <v>4.6584666666666701</v>
      </c>
      <c r="AB773" s="2">
        <v>-74.083966666666697</v>
      </c>
      <c r="AC773" s="2">
        <v>2552</v>
      </c>
      <c r="AD773" s="2">
        <v>0</v>
      </c>
      <c r="AE773" s="2" t="s">
        <v>59</v>
      </c>
      <c r="AF773" s="2" t="s">
        <v>60</v>
      </c>
      <c r="AG773" s="2" t="s">
        <v>61</v>
      </c>
      <c r="AH773" s="2" t="s">
        <v>62</v>
      </c>
      <c r="AI773" s="2" t="s">
        <v>321</v>
      </c>
      <c r="AJ773" s="2">
        <v>0.29687512530392202</v>
      </c>
      <c r="AK773" s="2">
        <v>2.2168401283977102</v>
      </c>
      <c r="AL773" s="2">
        <v>0.366015917324859</v>
      </c>
      <c r="AM773" s="2">
        <v>4.84860540985219E-2</v>
      </c>
      <c r="AN773" s="2">
        <v>2.2384544983379402</v>
      </c>
      <c r="AO773" s="2">
        <v>0.54544594023160797</v>
      </c>
      <c r="AP773" s="2">
        <v>0.54544594023160797</v>
      </c>
      <c r="AQ773" s="2">
        <v>3</v>
      </c>
      <c r="AR773" s="2">
        <v>9</v>
      </c>
      <c r="AS773" s="2">
        <v>0</v>
      </c>
      <c r="AT773" s="2">
        <v>0</v>
      </c>
      <c r="AU773" s="2">
        <v>2</v>
      </c>
      <c r="AV773" s="2">
        <v>291</v>
      </c>
      <c r="AW773" s="2">
        <v>0</v>
      </c>
      <c r="AX773" s="2">
        <v>0</v>
      </c>
      <c r="AZ773" s="2">
        <v>6.8</v>
      </c>
      <c r="BA773" s="2">
        <v>19.899999999999999</v>
      </c>
      <c r="BB773" s="2">
        <v>564</v>
      </c>
      <c r="BC773" s="2">
        <v>68</v>
      </c>
      <c r="BD773" s="2">
        <v>1.5</v>
      </c>
      <c r="BE773" s="2">
        <v>135</v>
      </c>
      <c r="BF773" s="2">
        <v>0.8</v>
      </c>
      <c r="BG773" s="2">
        <v>162</v>
      </c>
      <c r="BH773" s="2">
        <v>9.1</v>
      </c>
      <c r="BI773" s="2">
        <v>9.1999999999999993</v>
      </c>
      <c r="BJ773" s="2">
        <v>18.3</v>
      </c>
      <c r="BK773" s="2">
        <v>0.34</v>
      </c>
      <c r="BL773" s="2">
        <v>7.3</v>
      </c>
      <c r="BM773" s="2">
        <v>0.9</v>
      </c>
      <c r="BN773" s="2">
        <v>7.5</v>
      </c>
      <c r="BO773" s="2">
        <v>2.9</v>
      </c>
      <c r="BP773" s="2">
        <f t="shared" si="24"/>
        <v>5.8238118129195326</v>
      </c>
      <c r="BQ773" s="2">
        <f t="shared" si="25"/>
        <v>18.459588157077068</v>
      </c>
    </row>
    <row r="774" spans="1:69" x14ac:dyDescent="0.2">
      <c r="A774" s="2" t="s">
        <v>1853</v>
      </c>
      <c r="B774" s="2" t="s">
        <v>47</v>
      </c>
      <c r="C774" s="2" t="s">
        <v>48</v>
      </c>
      <c r="D774" s="2" t="s">
        <v>49</v>
      </c>
      <c r="E774" s="2" t="s">
        <v>599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89</v>
      </c>
      <c r="L774" s="6" t="s">
        <v>103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1854</v>
      </c>
      <c r="R774" s="2">
        <v>13975155.279999999</v>
      </c>
      <c r="S774" s="2">
        <v>0</v>
      </c>
      <c r="T774" s="2" t="s">
        <v>54</v>
      </c>
      <c r="U774" s="2" t="s">
        <v>55</v>
      </c>
      <c r="V774" s="2" t="s">
        <v>56</v>
      </c>
      <c r="W774" s="2" t="s">
        <v>57</v>
      </c>
      <c r="X774" s="2" t="s">
        <v>58</v>
      </c>
      <c r="Y774" s="2">
        <v>3.7018769590631502</v>
      </c>
      <c r="Z774" s="2">
        <v>3701.87695906315</v>
      </c>
      <c r="AA774" s="2">
        <v>4.6584666666666701</v>
      </c>
      <c r="AB774" s="2">
        <v>-74.083966666666697</v>
      </c>
      <c r="AC774" s="2">
        <v>2552</v>
      </c>
      <c r="AD774" s="2">
        <v>0</v>
      </c>
      <c r="AE774" s="2" t="s">
        <v>59</v>
      </c>
      <c r="AF774" s="2" t="s">
        <v>60</v>
      </c>
      <c r="AG774" s="2" t="s">
        <v>61</v>
      </c>
      <c r="AH774" s="2" t="s">
        <v>62</v>
      </c>
      <c r="AI774" s="2" t="s">
        <v>109</v>
      </c>
      <c r="AJ774" s="2">
        <v>0.85870847552797602</v>
      </c>
      <c r="AK774" s="2">
        <v>0.96358922748178299</v>
      </c>
      <c r="AL774" s="2">
        <v>0.52508988664315703</v>
      </c>
      <c r="AM774" s="2">
        <v>0.15696810859201299</v>
      </c>
      <c r="AN774" s="2">
        <v>3.1415250230736298</v>
      </c>
      <c r="AO774" s="2">
        <v>0.48602775236005902</v>
      </c>
      <c r="AP774" s="2">
        <v>0.48602775236005902</v>
      </c>
      <c r="AQ774" s="2">
        <v>0</v>
      </c>
      <c r="AR774" s="2">
        <v>2</v>
      </c>
      <c r="AS774" s="2">
        <v>0</v>
      </c>
      <c r="AT774" s="2">
        <v>2</v>
      </c>
      <c r="AU774" s="2">
        <v>8</v>
      </c>
      <c r="AV774" s="2">
        <v>246</v>
      </c>
      <c r="AW774" s="2">
        <v>0</v>
      </c>
      <c r="AX774" s="2">
        <v>0</v>
      </c>
      <c r="AZ774" s="2">
        <v>6.8</v>
      </c>
      <c r="BA774" s="2">
        <v>19.899999999999999</v>
      </c>
      <c r="BB774" s="2">
        <v>564</v>
      </c>
      <c r="BC774" s="2">
        <v>68</v>
      </c>
      <c r="BD774" s="2">
        <v>1.5</v>
      </c>
      <c r="BE774" s="2">
        <v>135</v>
      </c>
      <c r="BF774" s="2">
        <v>0.8</v>
      </c>
      <c r="BG774" s="2">
        <v>162</v>
      </c>
      <c r="BH774" s="2">
        <v>9.1</v>
      </c>
      <c r="BI774" s="2">
        <v>9.1999999999999993</v>
      </c>
      <c r="BJ774" s="2">
        <v>18.3</v>
      </c>
      <c r="BK774" s="2">
        <v>0.34</v>
      </c>
      <c r="BL774" s="2">
        <v>7.3</v>
      </c>
      <c r="BM774" s="2">
        <v>0.9</v>
      </c>
      <c r="BN774" s="2">
        <v>7.5</v>
      </c>
      <c r="BO774" s="2">
        <v>2.9</v>
      </c>
      <c r="BP774" s="2">
        <f t="shared" si="24"/>
        <v>5.6614480726005105</v>
      </c>
      <c r="BQ774" s="2">
        <f t="shared" si="25"/>
        <v>18.208248117900666</v>
      </c>
    </row>
    <row r="775" spans="1:69" x14ac:dyDescent="0.2">
      <c r="A775" s="2" t="s">
        <v>1467</v>
      </c>
      <c r="B775" s="2" t="s">
        <v>47</v>
      </c>
      <c r="C775" s="2" t="s">
        <v>48</v>
      </c>
      <c r="D775" s="2" t="s">
        <v>49</v>
      </c>
      <c r="E775" s="2" t="s">
        <v>211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89</v>
      </c>
      <c r="L775" s="6" t="s">
        <v>90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1468</v>
      </c>
      <c r="R775" s="2">
        <v>15429687.5</v>
      </c>
      <c r="S775" s="2">
        <v>0</v>
      </c>
      <c r="T775" s="2" t="s">
        <v>54</v>
      </c>
      <c r="U775" s="2" t="s">
        <v>55</v>
      </c>
      <c r="V775" s="2" t="s">
        <v>56</v>
      </c>
      <c r="W775" s="2" t="s">
        <v>57</v>
      </c>
      <c r="X775" s="2" t="s">
        <v>58</v>
      </c>
      <c r="Y775" s="2">
        <v>4.0326372427528101</v>
      </c>
      <c r="Z775" s="2">
        <v>4032.6372427528099</v>
      </c>
      <c r="AA775" s="2">
        <v>4.6584666666666701</v>
      </c>
      <c r="AB775" s="2">
        <v>-74.083966666666697</v>
      </c>
      <c r="AC775" s="2">
        <v>2552</v>
      </c>
      <c r="AD775" s="2">
        <v>0</v>
      </c>
      <c r="AE775" s="2" t="s">
        <v>59</v>
      </c>
      <c r="AF775" s="2" t="s">
        <v>60</v>
      </c>
      <c r="AG775" s="2" t="s">
        <v>61</v>
      </c>
      <c r="AH775" s="2" t="s">
        <v>62</v>
      </c>
      <c r="AI775" s="2" t="s">
        <v>109</v>
      </c>
      <c r="AJ775" s="2">
        <v>1.38668289293206</v>
      </c>
      <c r="AK775" s="2">
        <v>0.33410349961545399</v>
      </c>
      <c r="AL775" s="2">
        <v>0.60522198339228295</v>
      </c>
      <c r="AM775" s="2">
        <v>0.21604041132239199</v>
      </c>
      <c r="AN775" s="2">
        <v>2.8167545189043999</v>
      </c>
      <c r="AO775" s="2">
        <v>0.18374740053524399</v>
      </c>
      <c r="AP775" s="2">
        <v>0.18374740053524399</v>
      </c>
      <c r="AQ775" s="2">
        <v>0</v>
      </c>
      <c r="AR775" s="2">
        <v>0</v>
      </c>
      <c r="AS775" s="2">
        <v>4</v>
      </c>
      <c r="AT775" s="2">
        <v>31</v>
      </c>
      <c r="AU775" s="2">
        <v>4</v>
      </c>
      <c r="AV775" s="2">
        <v>31</v>
      </c>
      <c r="AW775" s="2">
        <v>0</v>
      </c>
      <c r="AX775" s="2">
        <v>0</v>
      </c>
      <c r="AZ775" s="2">
        <v>6.8</v>
      </c>
      <c r="BA775" s="2">
        <v>19.899999999999999</v>
      </c>
      <c r="BB775" s="2">
        <v>564</v>
      </c>
      <c r="BC775" s="2">
        <v>68</v>
      </c>
      <c r="BD775" s="2">
        <v>1.5</v>
      </c>
      <c r="BE775" s="2">
        <v>135</v>
      </c>
      <c r="BF775" s="2">
        <v>0.8</v>
      </c>
      <c r="BG775" s="2">
        <v>162</v>
      </c>
      <c r="BH775" s="2">
        <v>9.1</v>
      </c>
      <c r="BI775" s="2">
        <v>9.1999999999999993</v>
      </c>
      <c r="BJ775" s="2">
        <v>18.3</v>
      </c>
      <c r="BK775" s="2">
        <v>0.34</v>
      </c>
      <c r="BL775" s="2">
        <v>7.3</v>
      </c>
      <c r="BM775" s="2">
        <v>0.9</v>
      </c>
      <c r="BN775" s="2">
        <v>7.5</v>
      </c>
      <c r="BO775" s="2">
        <v>2.9</v>
      </c>
      <c r="BP775" s="2">
        <f t="shared" si="24"/>
        <v>5.5695099435863753</v>
      </c>
      <c r="BQ775" s="2">
        <f t="shared" si="25"/>
        <v>18.064278738649659</v>
      </c>
    </row>
    <row r="776" spans="1:69" x14ac:dyDescent="0.2">
      <c r="A776" s="2" t="s">
        <v>2189</v>
      </c>
      <c r="B776" s="2" t="s">
        <v>47</v>
      </c>
      <c r="C776" s="2" t="s">
        <v>1935</v>
      </c>
      <c r="D776" s="2" t="s">
        <v>49</v>
      </c>
      <c r="E776" s="2" t="s">
        <v>2190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89</v>
      </c>
      <c r="L776" s="6" t="s">
        <v>141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2191</v>
      </c>
      <c r="R776" s="2">
        <v>2751968.5040000002</v>
      </c>
      <c r="S776" s="2">
        <v>0</v>
      </c>
      <c r="T776" s="2" t="s">
        <v>1822</v>
      </c>
      <c r="U776" s="2" t="s">
        <v>1823</v>
      </c>
      <c r="V776" s="2" t="s">
        <v>56</v>
      </c>
      <c r="W776" s="2" t="s">
        <v>1824</v>
      </c>
      <c r="X776" s="2" t="s">
        <v>1825</v>
      </c>
      <c r="Y776" s="2">
        <v>1.41679322789637</v>
      </c>
      <c r="Z776" s="2">
        <v>1416.7932278963699</v>
      </c>
      <c r="AA776" s="2">
        <v>4.576225</v>
      </c>
      <c r="AB776" s="2">
        <v>-74.130955555555502</v>
      </c>
      <c r="AC776" s="2">
        <v>2589</v>
      </c>
      <c r="AD776" s="2">
        <v>0</v>
      </c>
      <c r="AE776" s="2" t="s">
        <v>59</v>
      </c>
      <c r="AF776" s="2" t="s">
        <v>86</v>
      </c>
      <c r="AG776" s="2" t="s">
        <v>61</v>
      </c>
      <c r="AH776" s="2" t="s">
        <v>62</v>
      </c>
      <c r="AI776" s="2" t="s">
        <v>1826</v>
      </c>
      <c r="AJ776" s="2">
        <v>0.55972191034837404</v>
      </c>
      <c r="AK776" s="2">
        <v>5.3445427669679004</v>
      </c>
      <c r="AL776" s="2">
        <v>0.435834093046292</v>
      </c>
      <c r="AM776" s="2">
        <v>0.30218821930971701</v>
      </c>
      <c r="AN776" s="2">
        <v>0.63317659807164695</v>
      </c>
      <c r="AO776" s="2">
        <v>0.43714976131812</v>
      </c>
      <c r="AP776" s="2">
        <v>0.43714976131812</v>
      </c>
      <c r="AQ776" s="2">
        <v>0</v>
      </c>
      <c r="AR776" s="2">
        <v>3</v>
      </c>
      <c r="AS776" s="2">
        <v>0</v>
      </c>
      <c r="AT776" s="2">
        <v>0</v>
      </c>
      <c r="AU776" s="2">
        <v>1</v>
      </c>
      <c r="AV776" s="2">
        <v>27</v>
      </c>
      <c r="AW776" s="2">
        <v>1</v>
      </c>
      <c r="AX776" s="2">
        <v>0</v>
      </c>
      <c r="AZ776" s="2">
        <v>6.8</v>
      </c>
      <c r="BA776" s="2">
        <v>19.899999999999999</v>
      </c>
      <c r="BB776" s="2">
        <v>564</v>
      </c>
      <c r="BC776" s="2">
        <v>68</v>
      </c>
      <c r="BD776" s="2">
        <v>1.5</v>
      </c>
      <c r="BE776" s="2">
        <v>135</v>
      </c>
      <c r="BF776" s="2">
        <v>0.8</v>
      </c>
      <c r="BG776" s="2">
        <v>162</v>
      </c>
      <c r="BH776" s="2">
        <v>9.1</v>
      </c>
      <c r="BI776" s="2">
        <v>9.1999999999999993</v>
      </c>
      <c r="BJ776" s="2">
        <v>18.3</v>
      </c>
      <c r="BK776" s="2">
        <v>0.34</v>
      </c>
      <c r="BL776" s="2">
        <v>7.3</v>
      </c>
      <c r="BM776" s="2">
        <v>0.9</v>
      </c>
      <c r="BN776" s="2">
        <v>7.5</v>
      </c>
      <c r="BO776" s="2">
        <v>2.9</v>
      </c>
      <c r="BP776" s="2">
        <f t="shared" si="24"/>
        <v>6.3394457747818631</v>
      </c>
      <c r="BQ776" s="2">
        <f t="shared" si="25"/>
        <v>19.234714517338716</v>
      </c>
    </row>
    <row r="777" spans="1:69" x14ac:dyDescent="0.2">
      <c r="A777" s="2" t="s">
        <v>210</v>
      </c>
      <c r="B777" s="2" t="s">
        <v>47</v>
      </c>
      <c r="C777" s="2" t="s">
        <v>48</v>
      </c>
      <c r="D777" s="2" t="s">
        <v>49</v>
      </c>
      <c r="E777" s="2" t="s">
        <v>211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89</v>
      </c>
      <c r="L777" s="6" t="s">
        <v>90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212</v>
      </c>
      <c r="R777" s="2">
        <v>12055335.970000001</v>
      </c>
      <c r="S777" s="2">
        <v>0</v>
      </c>
      <c r="T777" s="2" t="s">
        <v>54</v>
      </c>
      <c r="U777" s="2" t="s">
        <v>55</v>
      </c>
      <c r="V777" s="2" t="s">
        <v>56</v>
      </c>
      <c r="W777" s="2" t="s">
        <v>57</v>
      </c>
      <c r="X777" s="2" t="s">
        <v>58</v>
      </c>
      <c r="Y777" s="2">
        <v>4.1608112770928898</v>
      </c>
      <c r="Z777" s="2">
        <v>4160.8112770928901</v>
      </c>
      <c r="AA777" s="2">
        <v>4.6584666666666701</v>
      </c>
      <c r="AB777" s="2">
        <v>-74.083966666666697</v>
      </c>
      <c r="AC777" s="2">
        <v>2552</v>
      </c>
      <c r="AD777" s="2">
        <v>0</v>
      </c>
      <c r="AE777" s="2" t="s">
        <v>59</v>
      </c>
      <c r="AF777" s="2" t="s">
        <v>60</v>
      </c>
      <c r="AG777" s="2" t="s">
        <v>61</v>
      </c>
      <c r="AH777" s="2" t="s">
        <v>62</v>
      </c>
      <c r="AI777" s="2" t="s">
        <v>109</v>
      </c>
      <c r="AJ777" s="2">
        <v>1.54024708207446</v>
      </c>
      <c r="AK777" s="2">
        <v>0.18905164437387401</v>
      </c>
      <c r="AL777" s="2">
        <v>0.74789701939490705</v>
      </c>
      <c r="AM777" s="2">
        <v>0.19248317560397801</v>
      </c>
      <c r="AN777" s="2">
        <v>2.8174301705738398</v>
      </c>
      <c r="AO777" s="2">
        <v>0.33667479080063101</v>
      </c>
      <c r="AP777" s="2">
        <v>0.33667479080063101</v>
      </c>
      <c r="AQ777" s="2">
        <v>0</v>
      </c>
      <c r="AR777" s="2">
        <v>0</v>
      </c>
      <c r="AS777" s="2">
        <v>5</v>
      </c>
      <c r="AT777" s="2">
        <v>36</v>
      </c>
      <c r="AU777" s="2">
        <v>2</v>
      </c>
      <c r="AV777" s="2">
        <v>20</v>
      </c>
      <c r="AW777" s="2">
        <v>0</v>
      </c>
      <c r="AX777" s="2">
        <v>0</v>
      </c>
      <c r="AZ777" s="2">
        <v>6.8</v>
      </c>
      <c r="BA777" s="2">
        <v>19.899999999999999</v>
      </c>
      <c r="BB777" s="2">
        <v>564</v>
      </c>
      <c r="BC777" s="2">
        <v>68</v>
      </c>
      <c r="BD777" s="2">
        <v>1.5</v>
      </c>
      <c r="BE777" s="2">
        <v>135</v>
      </c>
      <c r="BF777" s="2">
        <v>0.8</v>
      </c>
      <c r="BG777" s="2">
        <v>162</v>
      </c>
      <c r="BH777" s="2">
        <v>9.1</v>
      </c>
      <c r="BI777" s="2">
        <v>9.1999999999999993</v>
      </c>
      <c r="BJ777" s="2">
        <v>18.3</v>
      </c>
      <c r="BK777" s="2">
        <v>0.34</v>
      </c>
      <c r="BL777" s="2">
        <v>7.3</v>
      </c>
      <c r="BM777" s="2">
        <v>0.9</v>
      </c>
      <c r="BN777" s="2">
        <v>7.5</v>
      </c>
      <c r="BO777" s="2">
        <v>2.9</v>
      </c>
      <c r="BP777" s="2">
        <f t="shared" si="24"/>
        <v>5.5342854101348085</v>
      </c>
      <c r="BQ777" s="2">
        <f t="shared" si="25"/>
        <v>18.008795205380959</v>
      </c>
    </row>
    <row r="778" spans="1:69" x14ac:dyDescent="0.2">
      <c r="A778" s="2" t="s">
        <v>1634</v>
      </c>
      <c r="B778" s="2" t="s">
        <v>47</v>
      </c>
      <c r="C778" s="2" t="s">
        <v>48</v>
      </c>
      <c r="D778" s="2" t="s">
        <v>49</v>
      </c>
      <c r="E778" s="2" t="s">
        <v>289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89</v>
      </c>
      <c r="L778" s="6" t="s">
        <v>141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1635</v>
      </c>
      <c r="R778" s="2">
        <v>7171314.7410000004</v>
      </c>
      <c r="S778" s="2">
        <v>0</v>
      </c>
      <c r="T778" s="2" t="s">
        <v>54</v>
      </c>
      <c r="U778" s="2" t="s">
        <v>55</v>
      </c>
      <c r="V778" s="2" t="s">
        <v>56</v>
      </c>
      <c r="W778" s="2" t="s">
        <v>57</v>
      </c>
      <c r="X778" s="2" t="s">
        <v>58</v>
      </c>
      <c r="Y778" s="2">
        <v>3.94461948190972</v>
      </c>
      <c r="Z778" s="2">
        <v>3944.61948190972</v>
      </c>
      <c r="AA778" s="2">
        <v>4.6584666666666701</v>
      </c>
      <c r="AB778" s="2">
        <v>-74.083966666666697</v>
      </c>
      <c r="AC778" s="2">
        <v>2552</v>
      </c>
      <c r="AD778" s="2">
        <v>0</v>
      </c>
      <c r="AE778" s="2" t="s">
        <v>59</v>
      </c>
      <c r="AF778" s="2" t="s">
        <v>60</v>
      </c>
      <c r="AG778" s="2" t="s">
        <v>61</v>
      </c>
      <c r="AH778" s="2" t="s">
        <v>62</v>
      </c>
      <c r="AI778" s="2" t="s">
        <v>109</v>
      </c>
      <c r="AJ778" s="2">
        <v>1.4158324563701601</v>
      </c>
      <c r="AK778" s="2">
        <v>0.282319157436424</v>
      </c>
      <c r="AL778" s="2">
        <v>0.662697527268299</v>
      </c>
      <c r="AM778" s="2">
        <v>0.15751187724253901</v>
      </c>
      <c r="AN778" s="2">
        <v>2.4725805611890901</v>
      </c>
      <c r="AO778" s="2">
        <v>0.38072058416916599</v>
      </c>
      <c r="AP778" s="2">
        <v>0.38072058416916599</v>
      </c>
      <c r="AQ778" s="2">
        <v>0</v>
      </c>
      <c r="AR778" s="2">
        <v>0</v>
      </c>
      <c r="AS778" s="2">
        <v>10</v>
      </c>
      <c r="AT778" s="2">
        <v>33</v>
      </c>
      <c r="AU778" s="2">
        <v>6</v>
      </c>
      <c r="AV778" s="2">
        <v>29</v>
      </c>
      <c r="AW778" s="2">
        <v>0</v>
      </c>
      <c r="AX778" s="2">
        <v>0</v>
      </c>
      <c r="AZ778" s="2">
        <v>6.8</v>
      </c>
      <c r="BA778" s="2">
        <v>19.899999999999999</v>
      </c>
      <c r="BB778" s="2">
        <v>564</v>
      </c>
      <c r="BC778" s="2">
        <v>68</v>
      </c>
      <c r="BD778" s="2">
        <v>1.5</v>
      </c>
      <c r="BE778" s="2">
        <v>135</v>
      </c>
      <c r="BF778" s="2">
        <v>0.8</v>
      </c>
      <c r="BG778" s="2">
        <v>162</v>
      </c>
      <c r="BH778" s="2">
        <v>9.1</v>
      </c>
      <c r="BI778" s="2">
        <v>9.1999999999999993</v>
      </c>
      <c r="BJ778" s="2">
        <v>18.3</v>
      </c>
      <c r="BK778" s="2">
        <v>0.34</v>
      </c>
      <c r="BL778" s="2">
        <v>7.3</v>
      </c>
      <c r="BM778" s="2">
        <v>0.9</v>
      </c>
      <c r="BN778" s="2">
        <v>7.5</v>
      </c>
      <c r="BO778" s="2">
        <v>2.9</v>
      </c>
      <c r="BP778" s="2">
        <f t="shared" si="24"/>
        <v>5.5938285635761948</v>
      </c>
      <c r="BQ778" s="2">
        <f t="shared" si="25"/>
        <v>18.102478528343763</v>
      </c>
    </row>
    <row r="779" spans="1:69" x14ac:dyDescent="0.2">
      <c r="A779" s="2" t="s">
        <v>2557</v>
      </c>
      <c r="B779" s="2" t="s">
        <v>47</v>
      </c>
      <c r="C779" s="2" t="s">
        <v>1935</v>
      </c>
      <c r="D779" s="2" t="s">
        <v>49</v>
      </c>
      <c r="E779" s="2" t="s">
        <v>2558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89</v>
      </c>
      <c r="L779" s="6" t="s">
        <v>141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2559</v>
      </c>
      <c r="R779" s="2">
        <v>6374501.9919999996</v>
      </c>
      <c r="S779" s="2">
        <v>0</v>
      </c>
      <c r="T779" s="2" t="s">
        <v>54</v>
      </c>
      <c r="U779" s="2" t="s">
        <v>55</v>
      </c>
      <c r="V779" s="2" t="s">
        <v>56</v>
      </c>
      <c r="W779" s="2" t="s">
        <v>57</v>
      </c>
      <c r="X779" s="2" t="s">
        <v>58</v>
      </c>
      <c r="Y779" s="2">
        <v>1.27064117739524</v>
      </c>
      <c r="Z779" s="2">
        <v>1270.64117739524</v>
      </c>
      <c r="AA779" s="2">
        <v>4.6584666666666701</v>
      </c>
      <c r="AB779" s="2">
        <v>-74.083966666666697</v>
      </c>
      <c r="AC779" s="2">
        <v>2552</v>
      </c>
      <c r="AD779" s="2">
        <v>0</v>
      </c>
      <c r="AE779" s="2" t="s">
        <v>59</v>
      </c>
      <c r="AF779" s="2" t="s">
        <v>60</v>
      </c>
      <c r="AG779" s="2" t="s">
        <v>61</v>
      </c>
      <c r="AH779" s="2" t="s">
        <v>62</v>
      </c>
      <c r="AI779" s="2" t="s">
        <v>63</v>
      </c>
      <c r="AJ779" s="2">
        <v>1.02891401373714</v>
      </c>
      <c r="AK779" s="2">
        <v>3.4251458288584198</v>
      </c>
      <c r="AL779" s="2">
        <v>0.61112790141734297</v>
      </c>
      <c r="AM779" s="2">
        <v>0.163431829273985</v>
      </c>
      <c r="AN779" s="2">
        <v>2.9599589483025501</v>
      </c>
      <c r="AO779" s="2">
        <v>0.49120036603329698</v>
      </c>
      <c r="AP779" s="2">
        <v>0.49120036603329698</v>
      </c>
      <c r="AQ779" s="2">
        <v>0</v>
      </c>
      <c r="AR779" s="2">
        <v>0</v>
      </c>
      <c r="AS779" s="2">
        <v>0</v>
      </c>
      <c r="AT779" s="2">
        <v>0</v>
      </c>
      <c r="AU779" s="2">
        <v>3</v>
      </c>
      <c r="AV779" s="2">
        <v>20</v>
      </c>
      <c r="AW779" s="2">
        <v>0</v>
      </c>
      <c r="AX779" s="2">
        <v>0</v>
      </c>
      <c r="AZ779" s="2">
        <v>6.8</v>
      </c>
      <c r="BA779" s="2">
        <v>19.899999999999999</v>
      </c>
      <c r="BB779" s="2">
        <v>564</v>
      </c>
      <c r="BC779" s="2">
        <v>68</v>
      </c>
      <c r="BD779" s="2">
        <v>1.5</v>
      </c>
      <c r="BE779" s="2">
        <v>135</v>
      </c>
      <c r="BF779" s="2">
        <v>0.8</v>
      </c>
      <c r="BG779" s="2">
        <v>162</v>
      </c>
      <c r="BH779" s="2">
        <v>9.1</v>
      </c>
      <c r="BI779" s="2">
        <v>9.1999999999999993</v>
      </c>
      <c r="BJ779" s="2">
        <v>18.3</v>
      </c>
      <c r="BK779" s="2">
        <v>0.34</v>
      </c>
      <c r="BL779" s="2">
        <v>7.3</v>
      </c>
      <c r="BM779" s="2">
        <v>0.9</v>
      </c>
      <c r="BN779" s="2">
        <v>7.5</v>
      </c>
      <c r="BO779" s="2">
        <v>2.9</v>
      </c>
      <c r="BP779" s="2">
        <f t="shared" si="24"/>
        <v>6.385474962163987</v>
      </c>
      <c r="BQ779" s="2">
        <f t="shared" si="25"/>
        <v>19.302301615177207</v>
      </c>
    </row>
    <row r="780" spans="1:69" x14ac:dyDescent="0.2">
      <c r="A780" s="2" t="s">
        <v>1423</v>
      </c>
      <c r="B780" s="2" t="s">
        <v>47</v>
      </c>
      <c r="C780" s="2" t="s">
        <v>48</v>
      </c>
      <c r="D780" s="2" t="s">
        <v>49</v>
      </c>
      <c r="E780" s="2" t="s">
        <v>166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89</v>
      </c>
      <c r="L780" s="6" t="s">
        <v>112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1424</v>
      </c>
      <c r="R780" s="2">
        <v>9600000</v>
      </c>
      <c r="S780" s="2">
        <v>0</v>
      </c>
      <c r="T780" s="2" t="s">
        <v>54</v>
      </c>
      <c r="U780" s="2" t="s">
        <v>55</v>
      </c>
      <c r="V780" s="2" t="s">
        <v>56</v>
      </c>
      <c r="W780" s="2" t="s">
        <v>57</v>
      </c>
      <c r="X780" s="2" t="s">
        <v>58</v>
      </c>
      <c r="Y780" s="2">
        <v>4.5228449381404801</v>
      </c>
      <c r="Z780" s="2">
        <v>4522.8449381404798</v>
      </c>
      <c r="AA780" s="2">
        <v>4.6584666666666701</v>
      </c>
      <c r="AB780" s="2">
        <v>-74.083966666666697</v>
      </c>
      <c r="AC780" s="2">
        <v>2552</v>
      </c>
      <c r="AD780" s="2">
        <v>0</v>
      </c>
      <c r="AE780" s="2" t="s">
        <v>59</v>
      </c>
      <c r="AF780" s="2" t="s">
        <v>60</v>
      </c>
      <c r="AG780" s="2" t="s">
        <v>61</v>
      </c>
      <c r="AH780" s="2" t="s">
        <v>62</v>
      </c>
      <c r="AI780" s="2" t="s">
        <v>109</v>
      </c>
      <c r="AJ780" s="2">
        <v>1.8045829413424801</v>
      </c>
      <c r="AK780" s="2">
        <v>0.14690390316820401</v>
      </c>
      <c r="AL780" s="2">
        <v>1.0865285120578501</v>
      </c>
      <c r="AM780" s="2">
        <v>0.39737546784626798</v>
      </c>
      <c r="AN780" s="2">
        <v>3.2106657756521599</v>
      </c>
      <c r="AO780" s="2">
        <v>0.56243385066127105</v>
      </c>
      <c r="AP780" s="2">
        <v>0.56243385066127105</v>
      </c>
      <c r="AQ780" s="2">
        <v>0</v>
      </c>
      <c r="AR780" s="2">
        <v>0</v>
      </c>
      <c r="AS780" s="2">
        <v>21</v>
      </c>
      <c r="AT780" s="2">
        <v>37</v>
      </c>
      <c r="AU780" s="2">
        <v>0</v>
      </c>
      <c r="AV780" s="2">
        <v>11</v>
      </c>
      <c r="AW780" s="2">
        <v>0</v>
      </c>
      <c r="AX780" s="2">
        <v>0</v>
      </c>
      <c r="AZ780" s="2">
        <v>6.8</v>
      </c>
      <c r="BA780" s="2">
        <v>19.899999999999999</v>
      </c>
      <c r="BB780" s="2">
        <v>564</v>
      </c>
      <c r="BC780" s="2">
        <v>68</v>
      </c>
      <c r="BD780" s="2">
        <v>1.5</v>
      </c>
      <c r="BE780" s="2">
        <v>135</v>
      </c>
      <c r="BF780" s="2">
        <v>0.8</v>
      </c>
      <c r="BG780" s="2">
        <v>162</v>
      </c>
      <c r="BH780" s="2">
        <v>9.1</v>
      </c>
      <c r="BI780" s="2">
        <v>9.1999999999999993</v>
      </c>
      <c r="BJ780" s="2">
        <v>18.3</v>
      </c>
      <c r="BK780" s="2">
        <v>0.34</v>
      </c>
      <c r="BL780" s="2">
        <v>7.3</v>
      </c>
      <c r="BM780" s="2">
        <v>0.9</v>
      </c>
      <c r="BN780" s="2">
        <v>7.5</v>
      </c>
      <c r="BO780" s="2">
        <v>2.9</v>
      </c>
      <c r="BP780" s="2">
        <f t="shared" si="24"/>
        <v>5.4359907123584552</v>
      </c>
      <c r="BQ780" s="2">
        <f t="shared" si="25"/>
        <v>17.852998069809626</v>
      </c>
    </row>
    <row r="781" spans="1:69" x14ac:dyDescent="0.2">
      <c r="A781" s="2" t="s">
        <v>2808</v>
      </c>
      <c r="B781" s="2" t="s">
        <v>47</v>
      </c>
      <c r="C781" s="2" t="s">
        <v>1935</v>
      </c>
      <c r="D781" s="2" t="s">
        <v>49</v>
      </c>
      <c r="E781" s="2" t="s">
        <v>50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89</v>
      </c>
      <c r="L781" s="6" t="s">
        <v>141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2809</v>
      </c>
      <c r="R781" s="2">
        <v>7600000</v>
      </c>
      <c r="S781" s="2">
        <v>0</v>
      </c>
      <c r="T781" s="2" t="s">
        <v>105</v>
      </c>
      <c r="U781" s="2" t="s">
        <v>106</v>
      </c>
      <c r="V781" s="2" t="s">
        <v>56</v>
      </c>
      <c r="W781" s="2" t="s">
        <v>107</v>
      </c>
      <c r="X781" s="2" t="s">
        <v>108</v>
      </c>
      <c r="Y781" s="2">
        <v>2.1172067133839998</v>
      </c>
      <c r="Z781" s="2">
        <v>2117.2067133840001</v>
      </c>
      <c r="AA781" s="2">
        <v>4.6254861111111101</v>
      </c>
      <c r="AB781" s="2">
        <v>-74.066980555555503</v>
      </c>
      <c r="AC781" s="2">
        <v>2621</v>
      </c>
      <c r="AD781" s="2">
        <v>15</v>
      </c>
      <c r="AE781" s="2" t="s">
        <v>59</v>
      </c>
      <c r="AF781" s="2" t="s">
        <v>60</v>
      </c>
      <c r="AG781" s="2" t="s">
        <v>61</v>
      </c>
      <c r="AH781" s="2" t="s">
        <v>62</v>
      </c>
      <c r="AI781" s="2" t="s">
        <v>63</v>
      </c>
      <c r="AJ781" s="2">
        <v>0.184963767010285</v>
      </c>
      <c r="AK781" s="2">
        <v>1.0724317758720601</v>
      </c>
      <c r="AL781" s="2">
        <v>2.7396331628732801E-2</v>
      </c>
      <c r="AM781" s="2">
        <v>2.11544356964154E-2</v>
      </c>
      <c r="AN781" s="2">
        <v>0.95732579684688401</v>
      </c>
      <c r="AO781" s="2">
        <v>0.23212952034210699</v>
      </c>
      <c r="AP781" s="2">
        <v>0.23212952034210699</v>
      </c>
      <c r="AQ781" s="2">
        <v>2</v>
      </c>
      <c r="AR781" s="2">
        <v>4</v>
      </c>
      <c r="AS781" s="2">
        <v>0</v>
      </c>
      <c r="AT781" s="2">
        <v>0</v>
      </c>
      <c r="AU781" s="2">
        <v>14</v>
      </c>
      <c r="AV781" s="2">
        <v>161</v>
      </c>
      <c r="AW781" s="2">
        <v>1</v>
      </c>
      <c r="AX781" s="2">
        <v>0</v>
      </c>
      <c r="AZ781" s="2">
        <v>6.8</v>
      </c>
      <c r="BA781" s="2">
        <v>19.899999999999999</v>
      </c>
      <c r="BB781" s="2">
        <v>564</v>
      </c>
      <c r="BC781" s="2">
        <v>68</v>
      </c>
      <c r="BD781" s="2">
        <v>1.5</v>
      </c>
      <c r="BE781" s="2">
        <v>135</v>
      </c>
      <c r="BF781" s="2">
        <v>0.8</v>
      </c>
      <c r="BG781" s="2">
        <v>162</v>
      </c>
      <c r="BH781" s="2">
        <v>9.1</v>
      </c>
      <c r="BI781" s="2">
        <v>9.1999999999999993</v>
      </c>
      <c r="BJ781" s="2">
        <v>18.3</v>
      </c>
      <c r="BK781" s="2">
        <v>0.34</v>
      </c>
      <c r="BL781" s="2">
        <v>7.3</v>
      </c>
      <c r="BM781" s="2">
        <v>0.9</v>
      </c>
      <c r="BN781" s="2">
        <v>7.5</v>
      </c>
      <c r="BO781" s="2">
        <v>2.9</v>
      </c>
      <c r="BP781" s="2">
        <f t="shared" si="24"/>
        <v>6.1234207097021471</v>
      </c>
      <c r="BQ781" s="2">
        <f t="shared" si="25"/>
        <v>18.91408288163052</v>
      </c>
    </row>
    <row r="782" spans="1:69" x14ac:dyDescent="0.2">
      <c r="A782" s="2" t="s">
        <v>2960</v>
      </c>
      <c r="B782" s="2" t="s">
        <v>47</v>
      </c>
      <c r="C782" s="2" t="s">
        <v>1935</v>
      </c>
      <c r="D782" s="2" t="s">
        <v>49</v>
      </c>
      <c r="E782" s="2" t="s">
        <v>927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89</v>
      </c>
      <c r="L782" s="6" t="s">
        <v>141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2961</v>
      </c>
      <c r="R782" s="2">
        <v>5400000</v>
      </c>
      <c r="S782" s="2">
        <v>0</v>
      </c>
      <c r="T782" s="2" t="s">
        <v>105</v>
      </c>
      <c r="U782" s="2" t="s">
        <v>106</v>
      </c>
      <c r="V782" s="2" t="s">
        <v>56</v>
      </c>
      <c r="W782" s="2" t="s">
        <v>107</v>
      </c>
      <c r="X782" s="2" t="s">
        <v>108</v>
      </c>
      <c r="Y782" s="2">
        <v>1.5040514269630101</v>
      </c>
      <c r="Z782" s="2">
        <v>1504.05142696301</v>
      </c>
      <c r="AA782" s="2">
        <v>4.6254861111111101</v>
      </c>
      <c r="AB782" s="2">
        <v>-74.066980555555503</v>
      </c>
      <c r="AC782" s="2">
        <v>2621</v>
      </c>
      <c r="AD782" s="2">
        <v>15</v>
      </c>
      <c r="AE782" s="2" t="s">
        <v>59</v>
      </c>
      <c r="AF782" s="2" t="s">
        <v>60</v>
      </c>
      <c r="AG782" s="2" t="s">
        <v>61</v>
      </c>
      <c r="AH782" s="2" t="s">
        <v>62</v>
      </c>
      <c r="AI782" s="2" t="s">
        <v>109</v>
      </c>
      <c r="AJ782" s="2">
        <v>0.37464339670228203</v>
      </c>
      <c r="AK782" s="2">
        <v>0.58604130408923205</v>
      </c>
      <c r="AL782" s="2">
        <v>9.8770425566182096E-2</v>
      </c>
      <c r="AM782" s="2">
        <v>4.7234270613619199E-2</v>
      </c>
      <c r="AN782" s="2">
        <v>0.66515443713235101</v>
      </c>
      <c r="AO782" s="2">
        <v>0.142402971860282</v>
      </c>
      <c r="AP782" s="2">
        <v>0.142402971860282</v>
      </c>
      <c r="AQ782" s="2">
        <v>2</v>
      </c>
      <c r="AR782" s="2">
        <v>4</v>
      </c>
      <c r="AS782" s="2">
        <v>0</v>
      </c>
      <c r="AT782" s="2">
        <v>23</v>
      </c>
      <c r="AU782" s="2">
        <v>10</v>
      </c>
      <c r="AV782" s="2">
        <v>133</v>
      </c>
      <c r="AW782" s="2">
        <v>1</v>
      </c>
      <c r="AX782" s="2">
        <v>0</v>
      </c>
      <c r="AZ782" s="2">
        <v>6.8</v>
      </c>
      <c r="BA782" s="2">
        <v>19.899999999999999</v>
      </c>
      <c r="BB782" s="2">
        <v>564</v>
      </c>
      <c r="BC782" s="2">
        <v>68</v>
      </c>
      <c r="BD782" s="2">
        <v>1.5</v>
      </c>
      <c r="BE782" s="2">
        <v>135</v>
      </c>
      <c r="BF782" s="2">
        <v>0.8</v>
      </c>
      <c r="BG782" s="2">
        <v>162</v>
      </c>
      <c r="BH782" s="2">
        <v>9.1</v>
      </c>
      <c r="BI782" s="2">
        <v>9.1999999999999993</v>
      </c>
      <c r="BJ782" s="2">
        <v>18.3</v>
      </c>
      <c r="BK782" s="2">
        <v>0.34</v>
      </c>
      <c r="BL782" s="2">
        <v>7.3</v>
      </c>
      <c r="BM782" s="2">
        <v>0.9</v>
      </c>
      <c r="BN782" s="2">
        <v>7.5</v>
      </c>
      <c r="BO782" s="2">
        <v>2.9</v>
      </c>
      <c r="BP782" s="2">
        <f t="shared" si="24"/>
        <v>6.312122977918091</v>
      </c>
      <c r="BQ782" s="2">
        <f t="shared" si="25"/>
        <v>19.194475389210947</v>
      </c>
    </row>
    <row r="783" spans="1:69" x14ac:dyDescent="0.2">
      <c r="A783" s="2" t="s">
        <v>2499</v>
      </c>
      <c r="B783" s="2" t="s">
        <v>47</v>
      </c>
      <c r="C783" s="2" t="s">
        <v>1935</v>
      </c>
      <c r="D783" s="2" t="s">
        <v>49</v>
      </c>
      <c r="E783" s="2" t="s">
        <v>2500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89</v>
      </c>
      <c r="L783" s="6" t="s">
        <v>141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2501</v>
      </c>
      <c r="R783" s="2">
        <v>5200000</v>
      </c>
      <c r="S783" s="2">
        <v>0</v>
      </c>
      <c r="T783" s="2" t="s">
        <v>54</v>
      </c>
      <c r="U783" s="2" t="s">
        <v>55</v>
      </c>
      <c r="V783" s="2" t="s">
        <v>56</v>
      </c>
      <c r="W783" s="2" t="s">
        <v>57</v>
      </c>
      <c r="X783" s="2" t="s">
        <v>58</v>
      </c>
      <c r="Y783" s="2">
        <v>2.8321747048224601</v>
      </c>
      <c r="Z783" s="2">
        <v>2832.1747048224602</v>
      </c>
      <c r="AA783" s="2">
        <v>4.6584666666666701</v>
      </c>
      <c r="AB783" s="2">
        <v>-74.083966666666697</v>
      </c>
      <c r="AC783" s="2">
        <v>2552</v>
      </c>
      <c r="AD783" s="2">
        <v>0</v>
      </c>
      <c r="AE783" s="2" t="s">
        <v>59</v>
      </c>
      <c r="AF783" s="2" t="s">
        <v>60</v>
      </c>
      <c r="AG783" s="2" t="s">
        <v>61</v>
      </c>
      <c r="AH783" s="2" t="s">
        <v>62</v>
      </c>
      <c r="AI783" s="2" t="s">
        <v>321</v>
      </c>
      <c r="AJ783" s="2">
        <v>0.26786414798151198</v>
      </c>
      <c r="AK783" s="2">
        <v>2.2365328059766099</v>
      </c>
      <c r="AL783" s="2">
        <v>0.65747350466006804</v>
      </c>
      <c r="AM783" s="2">
        <v>3.5250201698874897E-2</v>
      </c>
      <c r="AN783" s="2">
        <v>2.0541205688964799</v>
      </c>
      <c r="AO783" s="2">
        <v>0.34794253299524702</v>
      </c>
      <c r="AP783" s="2">
        <v>0.34794253299524702</v>
      </c>
      <c r="AQ783" s="2">
        <v>3</v>
      </c>
      <c r="AR783" s="2">
        <v>9</v>
      </c>
      <c r="AS783" s="2">
        <v>0</v>
      </c>
      <c r="AT783" s="2">
        <v>0</v>
      </c>
      <c r="AU783" s="2">
        <v>4</v>
      </c>
      <c r="AV783" s="2">
        <v>263</v>
      </c>
      <c r="AW783" s="2">
        <v>0</v>
      </c>
      <c r="AX783" s="2">
        <v>0</v>
      </c>
      <c r="AZ783" s="2">
        <v>6.8</v>
      </c>
      <c r="BA783" s="2">
        <v>19.899999999999999</v>
      </c>
      <c r="BB783" s="2">
        <v>564</v>
      </c>
      <c r="BC783" s="2">
        <v>68</v>
      </c>
      <c r="BD783" s="2">
        <v>1.5</v>
      </c>
      <c r="BE783" s="2">
        <v>135</v>
      </c>
      <c r="BF783" s="2">
        <v>0.8</v>
      </c>
      <c r="BG783" s="2">
        <v>162</v>
      </c>
      <c r="BH783" s="2">
        <v>9.1</v>
      </c>
      <c r="BI783" s="2">
        <v>9.1999999999999993</v>
      </c>
      <c r="BJ783" s="2">
        <v>18.3</v>
      </c>
      <c r="BK783" s="2">
        <v>0.34</v>
      </c>
      <c r="BL783" s="2">
        <v>7.3</v>
      </c>
      <c r="BM783" s="2">
        <v>0.9</v>
      </c>
      <c r="BN783" s="2">
        <v>7.5</v>
      </c>
      <c r="BO783" s="2">
        <v>2.9</v>
      </c>
      <c r="BP783" s="2">
        <f t="shared" si="24"/>
        <v>5.9104972462103573</v>
      </c>
      <c r="BQ783" s="2">
        <f t="shared" si="25"/>
        <v>18.592300414662752</v>
      </c>
    </row>
    <row r="784" spans="1:69" x14ac:dyDescent="0.2">
      <c r="A784" s="2" t="s">
        <v>3239</v>
      </c>
      <c r="B784" s="2" t="s">
        <v>47</v>
      </c>
      <c r="C784" s="2" t="s">
        <v>1935</v>
      </c>
      <c r="D784" s="2" t="s">
        <v>49</v>
      </c>
      <c r="E784" s="2" t="s">
        <v>3240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89</v>
      </c>
      <c r="L784" s="6" t="s">
        <v>141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3241</v>
      </c>
      <c r="R784" s="2">
        <v>4000000</v>
      </c>
      <c r="S784" s="2">
        <v>0</v>
      </c>
      <c r="T784" s="2" t="s">
        <v>105</v>
      </c>
      <c r="U784" s="2" t="s">
        <v>106</v>
      </c>
      <c r="V784" s="2" t="s">
        <v>56</v>
      </c>
      <c r="W784" s="2" t="s">
        <v>107</v>
      </c>
      <c r="X784" s="2" t="s">
        <v>108</v>
      </c>
      <c r="Y784" s="2">
        <v>2.6775369153745001</v>
      </c>
      <c r="Z784" s="2">
        <v>2677.5369153745</v>
      </c>
      <c r="AA784" s="2">
        <v>4.6254861111111101</v>
      </c>
      <c r="AB784" s="2">
        <v>-74.066980555555503</v>
      </c>
      <c r="AC784" s="2">
        <v>2621</v>
      </c>
      <c r="AD784" s="2">
        <v>15</v>
      </c>
      <c r="AE784" s="2" t="s">
        <v>59</v>
      </c>
      <c r="AF784" s="2" t="s">
        <v>60</v>
      </c>
      <c r="AG784" s="2" t="s">
        <v>61</v>
      </c>
      <c r="AH784" s="2" t="s">
        <v>62</v>
      </c>
      <c r="AI784" s="2" t="s">
        <v>267</v>
      </c>
      <c r="AJ784" s="2">
        <v>0.66743251898662503</v>
      </c>
      <c r="AK784" s="2">
        <v>3.1337604789985098</v>
      </c>
      <c r="AL784" s="2">
        <v>1.5332800914459901</v>
      </c>
      <c r="AM784" s="2">
        <v>6.5377647119212901E-2</v>
      </c>
      <c r="AN784" s="2">
        <v>1.4308107403660699</v>
      </c>
      <c r="AO784" s="2">
        <v>0.54905754830896403</v>
      </c>
      <c r="AP784" s="2">
        <v>0.54905754830896403</v>
      </c>
      <c r="AQ784" s="2">
        <v>0</v>
      </c>
      <c r="AR784" s="2">
        <v>4</v>
      </c>
      <c r="AS784" s="2">
        <v>0</v>
      </c>
      <c r="AT784" s="2">
        <v>0</v>
      </c>
      <c r="AU784" s="2">
        <v>0</v>
      </c>
      <c r="AV784" s="2">
        <v>16</v>
      </c>
      <c r="AW784" s="2">
        <v>0</v>
      </c>
      <c r="AX784" s="2">
        <v>0</v>
      </c>
      <c r="AZ784" s="2">
        <v>6.8</v>
      </c>
      <c r="BA784" s="2">
        <v>19.899999999999999</v>
      </c>
      <c r="BB784" s="2">
        <v>564</v>
      </c>
      <c r="BC784" s="2">
        <v>68</v>
      </c>
      <c r="BD784" s="2">
        <v>1.5</v>
      </c>
      <c r="BE784" s="2">
        <v>135</v>
      </c>
      <c r="BF784" s="2">
        <v>0.8</v>
      </c>
      <c r="BG784" s="2">
        <v>162</v>
      </c>
      <c r="BH784" s="2">
        <v>9.1</v>
      </c>
      <c r="BI784" s="2">
        <v>9.1999999999999993</v>
      </c>
      <c r="BJ784" s="2">
        <v>18.3</v>
      </c>
      <c r="BK784" s="2">
        <v>0.34</v>
      </c>
      <c r="BL784" s="2">
        <v>7.3</v>
      </c>
      <c r="BM784" s="2">
        <v>0.9</v>
      </c>
      <c r="BN784" s="2">
        <v>7.5</v>
      </c>
      <c r="BO784" s="2">
        <v>2.9</v>
      </c>
      <c r="BP784" s="2">
        <f t="shared" si="24"/>
        <v>5.9559131624464419</v>
      </c>
      <c r="BQ784" s="2">
        <f t="shared" si="25"/>
        <v>18.661430350204302</v>
      </c>
    </row>
    <row r="785" spans="1:69" x14ac:dyDescent="0.2">
      <c r="A785" s="2" t="s">
        <v>2205</v>
      </c>
      <c r="B785" s="2" t="s">
        <v>47</v>
      </c>
      <c r="C785" s="2" t="s">
        <v>1935</v>
      </c>
      <c r="D785" s="2" t="s">
        <v>49</v>
      </c>
      <c r="E785" s="2" t="s">
        <v>1384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89</v>
      </c>
      <c r="L785" s="6" t="s">
        <v>141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2206</v>
      </c>
      <c r="R785" s="2">
        <v>3760000</v>
      </c>
      <c r="S785" s="2">
        <v>0</v>
      </c>
      <c r="T785" s="2" t="s">
        <v>54</v>
      </c>
      <c r="U785" s="2" t="s">
        <v>55</v>
      </c>
      <c r="V785" s="2" t="s">
        <v>56</v>
      </c>
      <c r="W785" s="2" t="s">
        <v>57</v>
      </c>
      <c r="X785" s="2" t="s">
        <v>58</v>
      </c>
      <c r="Y785" s="2">
        <v>1.5659958279105199</v>
      </c>
      <c r="Z785" s="2">
        <v>1565.9958279105199</v>
      </c>
      <c r="AA785" s="2">
        <v>4.6584666666666701</v>
      </c>
      <c r="AB785" s="2">
        <v>-74.083966666666697</v>
      </c>
      <c r="AC785" s="2">
        <v>2552</v>
      </c>
      <c r="AD785" s="2">
        <v>0</v>
      </c>
      <c r="AE785" s="2" t="s">
        <v>59</v>
      </c>
      <c r="AF785" s="2" t="s">
        <v>60</v>
      </c>
      <c r="AG785" s="2" t="s">
        <v>61</v>
      </c>
      <c r="AH785" s="2" t="s">
        <v>62</v>
      </c>
      <c r="AI785" s="2" t="s">
        <v>321</v>
      </c>
      <c r="AJ785" s="2">
        <v>1.29009939780247</v>
      </c>
      <c r="AK785" s="2">
        <v>4.3939970503686103</v>
      </c>
      <c r="AL785" s="2">
        <v>1.88977578599768</v>
      </c>
      <c r="AM785" s="2">
        <v>0.34010203274082601</v>
      </c>
      <c r="AN785" s="2">
        <v>0.323316313711415</v>
      </c>
      <c r="AO785" s="2">
        <v>7.3596159123004296E-2</v>
      </c>
      <c r="AP785" s="2">
        <v>7.3596159123004296E-2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16</v>
      </c>
      <c r="AW785" s="2">
        <v>1</v>
      </c>
      <c r="AX785" s="2">
        <v>0</v>
      </c>
      <c r="AZ785" s="2">
        <v>6.8</v>
      </c>
      <c r="BA785" s="2">
        <v>19.899999999999999</v>
      </c>
      <c r="BB785" s="2">
        <v>564</v>
      </c>
      <c r="BC785" s="2">
        <v>68</v>
      </c>
      <c r="BD785" s="2">
        <v>1.5</v>
      </c>
      <c r="BE785" s="2">
        <v>135</v>
      </c>
      <c r="BF785" s="2">
        <v>0.8</v>
      </c>
      <c r="BG785" s="2">
        <v>162</v>
      </c>
      <c r="BH785" s="2">
        <v>9.1</v>
      </c>
      <c r="BI785" s="2">
        <v>9.1999999999999993</v>
      </c>
      <c r="BJ785" s="2">
        <v>18.3</v>
      </c>
      <c r="BK785" s="2">
        <v>0.34</v>
      </c>
      <c r="BL785" s="2">
        <v>7.3</v>
      </c>
      <c r="BM785" s="2">
        <v>0.9</v>
      </c>
      <c r="BN785" s="2">
        <v>7.5</v>
      </c>
      <c r="BO785" s="2">
        <v>2.9</v>
      </c>
      <c r="BP785" s="2">
        <f t="shared" si="24"/>
        <v>6.2927980870210716</v>
      </c>
      <c r="BQ785" s="2">
        <f t="shared" si="25"/>
        <v>19.165960823567367</v>
      </c>
    </row>
    <row r="786" spans="1:69" x14ac:dyDescent="0.2">
      <c r="A786" s="2" t="s">
        <v>2282</v>
      </c>
      <c r="B786" s="2" t="s">
        <v>47</v>
      </c>
      <c r="C786" s="2" t="s">
        <v>1935</v>
      </c>
      <c r="D786" s="2" t="s">
        <v>49</v>
      </c>
      <c r="E786" s="2" t="s">
        <v>2283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89</v>
      </c>
      <c r="L786" s="6" t="s">
        <v>103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2284</v>
      </c>
      <c r="R786" s="2">
        <v>2920000</v>
      </c>
      <c r="S786" s="2">
        <v>0</v>
      </c>
      <c r="T786" s="2" t="s">
        <v>54</v>
      </c>
      <c r="U786" s="2" t="s">
        <v>55</v>
      </c>
      <c r="V786" s="2" t="s">
        <v>56</v>
      </c>
      <c r="W786" s="2" t="s">
        <v>57</v>
      </c>
      <c r="X786" s="2" t="s">
        <v>58</v>
      </c>
      <c r="Y786" s="2">
        <v>4.4206360944885503</v>
      </c>
      <c r="Z786" s="2">
        <v>4420.63609448855</v>
      </c>
      <c r="AA786" s="2">
        <v>4.6584666666666701</v>
      </c>
      <c r="AB786" s="2">
        <v>-74.083966666666697</v>
      </c>
      <c r="AC786" s="2">
        <v>2552</v>
      </c>
      <c r="AD786" s="2">
        <v>0</v>
      </c>
      <c r="AE786" s="2" t="s">
        <v>59</v>
      </c>
      <c r="AF786" s="2" t="s">
        <v>60</v>
      </c>
      <c r="AG786" s="2" t="s">
        <v>61</v>
      </c>
      <c r="AH786" s="2" t="s">
        <v>62</v>
      </c>
      <c r="AI786" s="2" t="s">
        <v>391</v>
      </c>
      <c r="AJ786" s="2">
        <v>0.52968358091661305</v>
      </c>
      <c r="AK786" s="2">
        <v>4.4651026518643304</v>
      </c>
      <c r="AL786" s="2">
        <v>1.0516555844147899</v>
      </c>
      <c r="AM786" s="2">
        <v>0.26685050081070899</v>
      </c>
      <c r="AN786" s="2">
        <v>0.72135185901938703</v>
      </c>
      <c r="AO786" s="2">
        <v>0.16986548089787101</v>
      </c>
      <c r="AP786" s="2">
        <v>0.16986548089787101</v>
      </c>
      <c r="AQ786" s="2">
        <v>0</v>
      </c>
      <c r="AR786" s="2">
        <v>3</v>
      </c>
      <c r="AS786" s="2">
        <v>0</v>
      </c>
      <c r="AT786" s="2">
        <v>0</v>
      </c>
      <c r="AU786" s="2">
        <v>0</v>
      </c>
      <c r="AV786" s="2">
        <v>24</v>
      </c>
      <c r="AW786" s="2">
        <v>1</v>
      </c>
      <c r="AX786" s="2">
        <v>0</v>
      </c>
      <c r="AZ786" s="2">
        <v>6.8</v>
      </c>
      <c r="BA786" s="2">
        <v>19.899999999999999</v>
      </c>
      <c r="BB786" s="2">
        <v>564</v>
      </c>
      <c r="BC786" s="2">
        <v>68</v>
      </c>
      <c r="BD786" s="2">
        <v>1.5</v>
      </c>
      <c r="BE786" s="2">
        <v>135</v>
      </c>
      <c r="BF786" s="2">
        <v>0.8</v>
      </c>
      <c r="BG786" s="2">
        <v>162</v>
      </c>
      <c r="BH786" s="2">
        <v>9.1</v>
      </c>
      <c r="BI786" s="2">
        <v>9.1999999999999993</v>
      </c>
      <c r="BJ786" s="2">
        <v>18.3</v>
      </c>
      <c r="BK786" s="2">
        <v>0.34</v>
      </c>
      <c r="BL786" s="2">
        <v>7.3</v>
      </c>
      <c r="BM786" s="2">
        <v>0.9</v>
      </c>
      <c r="BN786" s="2">
        <v>7.5</v>
      </c>
      <c r="BO786" s="2">
        <v>2.9</v>
      </c>
      <c r="BP786" s="2">
        <f t="shared" si="24"/>
        <v>5.4635629151665475</v>
      </c>
      <c r="BQ786" s="2">
        <f t="shared" si="25"/>
        <v>17.896845449825392</v>
      </c>
    </row>
    <row r="787" spans="1:69" x14ac:dyDescent="0.2">
      <c r="A787" s="2" t="s">
        <v>1698</v>
      </c>
      <c r="B787" s="2" t="s">
        <v>47</v>
      </c>
      <c r="C787" s="2" t="s">
        <v>48</v>
      </c>
      <c r="D787" s="2" t="s">
        <v>49</v>
      </c>
      <c r="E787" s="2" t="s">
        <v>330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89</v>
      </c>
      <c r="L787" s="6" t="s">
        <v>141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1699</v>
      </c>
      <c r="R787" s="2">
        <v>6330645.1610000003</v>
      </c>
      <c r="S787" s="2">
        <v>0</v>
      </c>
      <c r="T787" s="2" t="s">
        <v>105</v>
      </c>
      <c r="U787" s="2" t="s">
        <v>106</v>
      </c>
      <c r="V787" s="2" t="s">
        <v>56</v>
      </c>
      <c r="W787" s="2" t="s">
        <v>107</v>
      </c>
      <c r="X787" s="2" t="s">
        <v>108</v>
      </c>
      <c r="Y787" s="2">
        <v>3.6288412842119699</v>
      </c>
      <c r="Z787" s="2">
        <v>3628.8412842119701</v>
      </c>
      <c r="AA787" s="2">
        <v>4.6254861111111101</v>
      </c>
      <c r="AB787" s="2">
        <v>-74.066980555555503</v>
      </c>
      <c r="AC787" s="2">
        <v>2621</v>
      </c>
      <c r="AD787" s="2">
        <v>15</v>
      </c>
      <c r="AE787" s="2" t="s">
        <v>59</v>
      </c>
      <c r="AF787" s="2" t="s">
        <v>60</v>
      </c>
      <c r="AG787" s="2" t="s">
        <v>61</v>
      </c>
      <c r="AH787" s="2" t="s">
        <v>62</v>
      </c>
      <c r="AI787" s="2" t="s">
        <v>109</v>
      </c>
      <c r="AJ787" s="2">
        <v>1.44962321769596</v>
      </c>
      <c r="AK787" s="2">
        <v>0.14487910541259</v>
      </c>
      <c r="AL787" s="2">
        <v>0.88344150885897099</v>
      </c>
      <c r="AM787" s="2">
        <v>0.47163342625827598</v>
      </c>
      <c r="AN787" s="2">
        <v>1.59648737976179</v>
      </c>
      <c r="AO787" s="2">
        <v>0.11001562431200999</v>
      </c>
      <c r="AP787" s="2">
        <v>0.11001562431200999</v>
      </c>
      <c r="AQ787" s="2">
        <v>0</v>
      </c>
      <c r="AR787" s="2">
        <v>0</v>
      </c>
      <c r="AS787" s="2">
        <v>18</v>
      </c>
      <c r="AT787" s="2">
        <v>43</v>
      </c>
      <c r="AU787" s="2">
        <v>3</v>
      </c>
      <c r="AV787" s="2">
        <v>12</v>
      </c>
      <c r="AW787" s="2">
        <v>0</v>
      </c>
      <c r="AX787" s="2">
        <v>0</v>
      </c>
      <c r="AZ787" s="2">
        <v>6.8</v>
      </c>
      <c r="BA787" s="2">
        <v>19.899999999999999</v>
      </c>
      <c r="BB787" s="2">
        <v>564</v>
      </c>
      <c r="BC787" s="2">
        <v>68</v>
      </c>
      <c r="BD787" s="2">
        <v>1.5</v>
      </c>
      <c r="BE787" s="2">
        <v>135</v>
      </c>
      <c r="BF787" s="2">
        <v>0.8</v>
      </c>
      <c r="BG787" s="2">
        <v>162</v>
      </c>
      <c r="BH787" s="2">
        <v>9.1</v>
      </c>
      <c r="BI787" s="2">
        <v>9.1999999999999993</v>
      </c>
      <c r="BJ787" s="2">
        <v>18.3</v>
      </c>
      <c r="BK787" s="2">
        <v>0.34</v>
      </c>
      <c r="BL787" s="2">
        <v>7.3</v>
      </c>
      <c r="BM787" s="2">
        <v>0.9</v>
      </c>
      <c r="BN787" s="2">
        <v>7.5</v>
      </c>
      <c r="BO787" s="2">
        <v>2.9</v>
      </c>
      <c r="BP787" s="2">
        <f t="shared" si="24"/>
        <v>5.6819527553981084</v>
      </c>
      <c r="BQ787" s="2">
        <f t="shared" si="25"/>
        <v>18.240192547256584</v>
      </c>
    </row>
    <row r="788" spans="1:69" x14ac:dyDescent="0.2">
      <c r="A788" s="2" t="s">
        <v>1571</v>
      </c>
      <c r="B788" s="2" t="s">
        <v>47</v>
      </c>
      <c r="C788" s="2" t="s">
        <v>48</v>
      </c>
      <c r="D788" s="2" t="s">
        <v>49</v>
      </c>
      <c r="E788" s="2" t="s">
        <v>289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89</v>
      </c>
      <c r="L788" s="6" t="s">
        <v>141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1572</v>
      </c>
      <c r="R788" s="2">
        <v>15447154.470000001</v>
      </c>
      <c r="S788" s="2">
        <v>0</v>
      </c>
      <c r="T788" s="2" t="s">
        <v>54</v>
      </c>
      <c r="U788" s="2" t="s">
        <v>55</v>
      </c>
      <c r="V788" s="2" t="s">
        <v>56</v>
      </c>
      <c r="W788" s="2" t="s">
        <v>57</v>
      </c>
      <c r="X788" s="2" t="s">
        <v>58</v>
      </c>
      <c r="Y788" s="2">
        <v>3.9324823994449001</v>
      </c>
      <c r="Z788" s="2">
        <v>3932.4823994448998</v>
      </c>
      <c r="AA788" s="2">
        <v>4.6584666666666701</v>
      </c>
      <c r="AB788" s="2">
        <v>-74.083966666666697</v>
      </c>
      <c r="AC788" s="2">
        <v>2552</v>
      </c>
      <c r="AD788" s="2">
        <v>0</v>
      </c>
      <c r="AE788" s="2" t="s">
        <v>59</v>
      </c>
      <c r="AF788" s="2" t="s">
        <v>60</v>
      </c>
      <c r="AG788" s="2" t="s">
        <v>61</v>
      </c>
      <c r="AH788" s="2" t="s">
        <v>62</v>
      </c>
      <c r="AI788" s="2" t="s">
        <v>109</v>
      </c>
      <c r="AJ788" s="2">
        <v>1.45037722639813</v>
      </c>
      <c r="AK788" s="2">
        <v>0.176161214569061</v>
      </c>
      <c r="AL788" s="2">
        <v>0.783615004760848</v>
      </c>
      <c r="AM788" s="2">
        <v>0.34721335300547301</v>
      </c>
      <c r="AN788" s="2">
        <v>2.29849663010281</v>
      </c>
      <c r="AO788" s="2">
        <v>0.28702217922323098</v>
      </c>
      <c r="AP788" s="2">
        <v>0.28702217922323098</v>
      </c>
      <c r="AQ788" s="2">
        <v>0</v>
      </c>
      <c r="AR788" s="2">
        <v>0</v>
      </c>
      <c r="AS788" s="2">
        <v>11</v>
      </c>
      <c r="AT788" s="2">
        <v>32</v>
      </c>
      <c r="AU788" s="2">
        <v>3</v>
      </c>
      <c r="AV788" s="2">
        <v>27</v>
      </c>
      <c r="AW788" s="2">
        <v>0</v>
      </c>
      <c r="AX788" s="2">
        <v>0</v>
      </c>
      <c r="AZ788" s="2">
        <v>6.8</v>
      </c>
      <c r="BA788" s="2">
        <v>19.899999999999999</v>
      </c>
      <c r="BB788" s="2">
        <v>564</v>
      </c>
      <c r="BC788" s="2">
        <v>68</v>
      </c>
      <c r="BD788" s="2">
        <v>1.5</v>
      </c>
      <c r="BE788" s="2">
        <v>135</v>
      </c>
      <c r="BF788" s="2">
        <v>0.8</v>
      </c>
      <c r="BG788" s="2">
        <v>162</v>
      </c>
      <c r="BH788" s="2">
        <v>9.1</v>
      </c>
      <c r="BI788" s="2">
        <v>9.1999999999999993</v>
      </c>
      <c r="BJ788" s="2">
        <v>18.3</v>
      </c>
      <c r="BK788" s="2">
        <v>0.34</v>
      </c>
      <c r="BL788" s="2">
        <v>7.3</v>
      </c>
      <c r="BM788" s="2">
        <v>0.9</v>
      </c>
      <c r="BN788" s="2">
        <v>7.5</v>
      </c>
      <c r="BO788" s="2">
        <v>2.9</v>
      </c>
      <c r="BP788" s="2">
        <f t="shared" si="24"/>
        <v>5.5971902648551337</v>
      </c>
      <c r="BQ788" s="2">
        <f t="shared" si="25"/>
        <v>18.107752367007837</v>
      </c>
    </row>
    <row r="789" spans="1:69" x14ac:dyDescent="0.2">
      <c r="A789" s="2" t="s">
        <v>3103</v>
      </c>
      <c r="B789" s="2" t="s">
        <v>47</v>
      </c>
      <c r="C789" s="2" t="s">
        <v>1935</v>
      </c>
      <c r="D789" s="2" t="s">
        <v>49</v>
      </c>
      <c r="E789" s="2" t="s">
        <v>1001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89</v>
      </c>
      <c r="L789" s="6" t="s">
        <v>141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3104</v>
      </c>
      <c r="R789" s="2">
        <v>4526748.9709999999</v>
      </c>
      <c r="S789" s="2">
        <v>0</v>
      </c>
      <c r="T789" s="2" t="s">
        <v>54</v>
      </c>
      <c r="U789" s="2" t="s">
        <v>55</v>
      </c>
      <c r="V789" s="2" t="s">
        <v>56</v>
      </c>
      <c r="W789" s="2" t="s">
        <v>57</v>
      </c>
      <c r="X789" s="2" t="s">
        <v>58</v>
      </c>
      <c r="Y789" s="2">
        <v>4.4272508485377804</v>
      </c>
      <c r="Z789" s="2">
        <v>4427.2508485377803</v>
      </c>
      <c r="AA789" s="2">
        <v>4.6584666666666701</v>
      </c>
      <c r="AB789" s="2">
        <v>-74.083966666666697</v>
      </c>
      <c r="AC789" s="2">
        <v>2552</v>
      </c>
      <c r="AD789" s="2">
        <v>0</v>
      </c>
      <c r="AE789" s="2" t="s">
        <v>59</v>
      </c>
      <c r="AF789" s="2" t="s">
        <v>60</v>
      </c>
      <c r="AG789" s="2" t="s">
        <v>61</v>
      </c>
      <c r="AH789" s="2" t="s">
        <v>62</v>
      </c>
      <c r="AI789" s="2" t="s">
        <v>100</v>
      </c>
      <c r="AJ789" s="2">
        <v>0.88386450453833199</v>
      </c>
      <c r="AK789" s="2">
        <v>5.2498699634592798</v>
      </c>
      <c r="AL789" s="2">
        <v>1.07686754924493</v>
      </c>
      <c r="AM789" s="2">
        <v>0.27769107566905998</v>
      </c>
      <c r="AN789" s="2">
        <v>2.6350188446930298</v>
      </c>
      <c r="AO789" s="2">
        <v>0.345800749636341</v>
      </c>
      <c r="AP789" s="2">
        <v>0.345800749636341</v>
      </c>
      <c r="AQ789" s="2">
        <v>0</v>
      </c>
      <c r="AR789" s="2">
        <v>2</v>
      </c>
      <c r="AS789" s="2">
        <v>0</v>
      </c>
      <c r="AT789" s="2">
        <v>0</v>
      </c>
      <c r="AU789" s="2">
        <v>0</v>
      </c>
      <c r="AV789" s="2">
        <v>37</v>
      </c>
      <c r="AW789" s="2">
        <v>0</v>
      </c>
      <c r="AX789" s="2">
        <v>0</v>
      </c>
      <c r="AZ789" s="2">
        <v>6.8</v>
      </c>
      <c r="BA789" s="2">
        <v>19.899999999999999</v>
      </c>
      <c r="BB789" s="2">
        <v>564</v>
      </c>
      <c r="BC789" s="2">
        <v>68</v>
      </c>
      <c r="BD789" s="2">
        <v>1.5</v>
      </c>
      <c r="BE789" s="2">
        <v>135</v>
      </c>
      <c r="BF789" s="2">
        <v>0.8</v>
      </c>
      <c r="BG789" s="2">
        <v>162</v>
      </c>
      <c r="BH789" s="2">
        <v>9.1</v>
      </c>
      <c r="BI789" s="2">
        <v>9.1999999999999993</v>
      </c>
      <c r="BJ789" s="2">
        <v>18.3</v>
      </c>
      <c r="BK789" s="2">
        <v>0.34</v>
      </c>
      <c r="BL789" s="2">
        <v>7.3</v>
      </c>
      <c r="BM789" s="2">
        <v>0.9</v>
      </c>
      <c r="BN789" s="2">
        <v>7.5</v>
      </c>
      <c r="BO789" s="2">
        <v>2.9</v>
      </c>
      <c r="BP789" s="2">
        <f t="shared" si="24"/>
        <v>5.4617742718272053</v>
      </c>
      <c r="BQ789" s="2">
        <f t="shared" si="25"/>
        <v>17.894004477797548</v>
      </c>
    </row>
    <row r="790" spans="1:69" x14ac:dyDescent="0.2">
      <c r="A790" s="2" t="s">
        <v>2601</v>
      </c>
      <c r="B790" s="2" t="s">
        <v>47</v>
      </c>
      <c r="C790" s="2" t="s">
        <v>1935</v>
      </c>
      <c r="D790" s="2" t="s">
        <v>49</v>
      </c>
      <c r="E790" s="2" t="s">
        <v>2602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89</v>
      </c>
      <c r="L790" s="6" t="s">
        <v>141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2603</v>
      </c>
      <c r="R790" s="2">
        <v>3319502.0750000002</v>
      </c>
      <c r="S790" s="2">
        <v>0</v>
      </c>
      <c r="T790" s="2" t="s">
        <v>105</v>
      </c>
      <c r="U790" s="2" t="s">
        <v>106</v>
      </c>
      <c r="V790" s="2" t="s">
        <v>56</v>
      </c>
      <c r="W790" s="2" t="s">
        <v>107</v>
      </c>
      <c r="X790" s="2" t="s">
        <v>108</v>
      </c>
      <c r="Y790" s="2">
        <v>0.79539575234540405</v>
      </c>
      <c r="Z790" s="2">
        <v>795.39575234540405</v>
      </c>
      <c r="AA790" s="2">
        <v>4.6254861111111101</v>
      </c>
      <c r="AB790" s="2">
        <v>-74.066980555555503</v>
      </c>
      <c r="AC790" s="2">
        <v>2621</v>
      </c>
      <c r="AD790" s="2">
        <v>15</v>
      </c>
      <c r="AE790" s="2" t="s">
        <v>59</v>
      </c>
      <c r="AF790" s="2" t="s">
        <v>60</v>
      </c>
      <c r="AG790" s="2" t="s">
        <v>61</v>
      </c>
      <c r="AH790" s="2" t="s">
        <v>62</v>
      </c>
      <c r="AI790" s="2" t="s">
        <v>63</v>
      </c>
      <c r="AJ790" s="2">
        <v>0.38213294160134398</v>
      </c>
      <c r="AK790" s="2">
        <v>1.3263637121494001</v>
      </c>
      <c r="AL790" s="2">
        <v>0.17105025230639001</v>
      </c>
      <c r="AM790" s="2">
        <v>0.11021794403974</v>
      </c>
      <c r="AN790" s="2">
        <v>0.94459858193851198</v>
      </c>
      <c r="AO790" s="2">
        <v>0.177181666139405</v>
      </c>
      <c r="AP790" s="2">
        <v>0.177181666139405</v>
      </c>
      <c r="AQ790" s="2">
        <v>2</v>
      </c>
      <c r="AR790" s="2">
        <v>7</v>
      </c>
      <c r="AS790" s="2">
        <v>0</v>
      </c>
      <c r="AT790" s="2">
        <v>0</v>
      </c>
      <c r="AU790" s="2">
        <v>15</v>
      </c>
      <c r="AV790" s="2">
        <v>94</v>
      </c>
      <c r="AW790" s="2">
        <v>1</v>
      </c>
      <c r="AX790" s="2">
        <v>0</v>
      </c>
      <c r="AZ790" s="2">
        <v>6.8</v>
      </c>
      <c r="BA790" s="2">
        <v>19.899999999999999</v>
      </c>
      <c r="BB790" s="2">
        <v>564</v>
      </c>
      <c r="BC790" s="2">
        <v>68</v>
      </c>
      <c r="BD790" s="2">
        <v>1.5</v>
      </c>
      <c r="BE790" s="2">
        <v>135</v>
      </c>
      <c r="BF790" s="2">
        <v>0.8</v>
      </c>
      <c r="BG790" s="2">
        <v>162</v>
      </c>
      <c r="BH790" s="2">
        <v>9.1</v>
      </c>
      <c r="BI790" s="2">
        <v>9.1999999999999993</v>
      </c>
      <c r="BJ790" s="2">
        <v>18.3</v>
      </c>
      <c r="BK790" s="2">
        <v>0.34</v>
      </c>
      <c r="BL790" s="2">
        <v>7.3</v>
      </c>
      <c r="BM790" s="2">
        <v>0.9</v>
      </c>
      <c r="BN790" s="2">
        <v>7.5</v>
      </c>
      <c r="BO790" s="2">
        <v>2.9</v>
      </c>
      <c r="BP790" s="2">
        <f t="shared" si="24"/>
        <v>6.5374718433745009</v>
      </c>
      <c r="BQ790" s="2">
        <f t="shared" si="25"/>
        <v>19.52372189527679</v>
      </c>
    </row>
    <row r="791" spans="1:69" x14ac:dyDescent="0.2">
      <c r="A791" s="2" t="s">
        <v>201</v>
      </c>
      <c r="B791" s="2" t="s">
        <v>47</v>
      </c>
      <c r="C791" s="2" t="s">
        <v>48</v>
      </c>
      <c r="D791" s="2" t="s">
        <v>49</v>
      </c>
      <c r="E791" s="2" t="s">
        <v>202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89</v>
      </c>
      <c r="L791" s="6" t="s">
        <v>112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203</v>
      </c>
      <c r="R791" s="2">
        <v>14583333.33</v>
      </c>
      <c r="S791" s="2">
        <v>0</v>
      </c>
      <c r="T791" s="2" t="s">
        <v>54</v>
      </c>
      <c r="U791" s="2" t="s">
        <v>55</v>
      </c>
      <c r="V791" s="2" t="s">
        <v>56</v>
      </c>
      <c r="W791" s="2" t="s">
        <v>57</v>
      </c>
      <c r="X791" s="2" t="s">
        <v>58</v>
      </c>
      <c r="Y791" s="2">
        <v>3.1886800558316901</v>
      </c>
      <c r="Z791" s="2">
        <v>3188.68005583169</v>
      </c>
      <c r="AA791" s="2">
        <v>4.6584666666666701</v>
      </c>
      <c r="AB791" s="2">
        <v>-74.083966666666697</v>
      </c>
      <c r="AC791" s="2">
        <v>2552</v>
      </c>
      <c r="AD791" s="2">
        <v>0</v>
      </c>
      <c r="AE791" s="2" t="s">
        <v>59</v>
      </c>
      <c r="AF791" s="2" t="s">
        <v>60</v>
      </c>
      <c r="AG791" s="2" t="s">
        <v>61</v>
      </c>
      <c r="AH791" s="2" t="s">
        <v>62</v>
      </c>
      <c r="AI791" s="2" t="s">
        <v>109</v>
      </c>
      <c r="AJ791" s="2">
        <v>0.75952142642881204</v>
      </c>
      <c r="AK791" s="2">
        <v>0.86215653773974898</v>
      </c>
      <c r="AL791" s="2">
        <v>0.25166756562819498</v>
      </c>
      <c r="AM791" s="2">
        <v>0.129800640975929</v>
      </c>
      <c r="AN791" s="2">
        <v>1.81526829608884</v>
      </c>
      <c r="AO791" s="2">
        <v>5.0467422639399198E-2</v>
      </c>
      <c r="AP791" s="2">
        <v>5.0467422639399198E-2</v>
      </c>
      <c r="AQ791" s="2">
        <v>0</v>
      </c>
      <c r="AR791" s="2">
        <v>3</v>
      </c>
      <c r="AS791" s="2">
        <v>0</v>
      </c>
      <c r="AT791" s="2">
        <v>15</v>
      </c>
      <c r="AU791" s="2">
        <v>18</v>
      </c>
      <c r="AV791" s="2">
        <v>74</v>
      </c>
      <c r="AW791" s="2">
        <v>0</v>
      </c>
      <c r="AX791" s="2">
        <v>0</v>
      </c>
      <c r="AZ791" s="2">
        <v>6.8</v>
      </c>
      <c r="BA791" s="2">
        <v>19.899999999999999</v>
      </c>
      <c r="BB791" s="2">
        <v>564</v>
      </c>
      <c r="BC791" s="2">
        <v>68</v>
      </c>
      <c r="BD791" s="2">
        <v>1.5</v>
      </c>
      <c r="BE791" s="2">
        <v>135</v>
      </c>
      <c r="BF791" s="2">
        <v>0.8</v>
      </c>
      <c r="BG791" s="2">
        <v>162</v>
      </c>
      <c r="BH791" s="2">
        <v>9.1</v>
      </c>
      <c r="BI791" s="2">
        <v>9.1999999999999993</v>
      </c>
      <c r="BJ791" s="2">
        <v>18.3</v>
      </c>
      <c r="BK791" s="2">
        <v>0.34</v>
      </c>
      <c r="BL791" s="2">
        <v>7.3</v>
      </c>
      <c r="BM791" s="2">
        <v>0.9</v>
      </c>
      <c r="BN791" s="2">
        <v>7.5</v>
      </c>
      <c r="BO791" s="2">
        <v>2.9</v>
      </c>
      <c r="BP791" s="2">
        <f t="shared" si="24"/>
        <v>5.8071095386394926</v>
      </c>
      <c r="BQ791" s="2">
        <f t="shared" si="25"/>
        <v>18.433900914179997</v>
      </c>
    </row>
    <row r="792" spans="1:69" x14ac:dyDescent="0.2">
      <c r="A792" s="2" t="s">
        <v>2443</v>
      </c>
      <c r="B792" s="2" t="s">
        <v>47</v>
      </c>
      <c r="C792" s="2" t="s">
        <v>1935</v>
      </c>
      <c r="D792" s="2" t="s">
        <v>49</v>
      </c>
      <c r="E792" s="2" t="s">
        <v>347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89</v>
      </c>
      <c r="L792" s="6" t="s">
        <v>141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2444</v>
      </c>
      <c r="R792" s="2">
        <v>2166666.6669999999</v>
      </c>
      <c r="S792" s="2">
        <v>0</v>
      </c>
      <c r="T792" s="2" t="s">
        <v>344</v>
      </c>
      <c r="U792" s="2" t="s">
        <v>345</v>
      </c>
      <c r="V792" s="2" t="s">
        <v>56</v>
      </c>
      <c r="W792" s="2" t="s">
        <v>344</v>
      </c>
      <c r="X792" s="2" t="s">
        <v>346</v>
      </c>
      <c r="Y792" s="2">
        <v>2.57407887420365</v>
      </c>
      <c r="Z792" s="2">
        <v>2574.0788742036498</v>
      </c>
      <c r="AA792" s="2">
        <v>4.6056111111111102</v>
      </c>
      <c r="AB792" s="2">
        <v>-74.204055555555598</v>
      </c>
      <c r="AC792" s="2">
        <v>2546</v>
      </c>
      <c r="AD792" s="2">
        <v>0</v>
      </c>
      <c r="AE792" s="2" t="s">
        <v>59</v>
      </c>
      <c r="AF792" s="2" t="s">
        <v>86</v>
      </c>
      <c r="AG792" s="2" t="s">
        <v>61</v>
      </c>
      <c r="AH792" s="2" t="s">
        <v>62</v>
      </c>
      <c r="AI792" s="2" t="s">
        <v>347</v>
      </c>
      <c r="AJ792" s="2">
        <v>1.6005974390865501</v>
      </c>
      <c r="AK792" s="2">
        <v>3.8071576633997299</v>
      </c>
      <c r="AL792" s="2">
        <v>5.1714318857575297</v>
      </c>
      <c r="AM792" s="2">
        <v>0.46999329683212698</v>
      </c>
      <c r="AN792" s="2">
        <v>1.36649358489434</v>
      </c>
      <c r="AO792" s="2">
        <v>0.25743747118340399</v>
      </c>
      <c r="AP792" s="2">
        <v>0.25743747118340399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21</v>
      </c>
      <c r="AW792" s="2">
        <v>0</v>
      </c>
      <c r="AX792" s="2">
        <v>0</v>
      </c>
      <c r="AZ792" s="2">
        <v>6.8</v>
      </c>
      <c r="BA792" s="2">
        <v>19.899999999999999</v>
      </c>
      <c r="BB792" s="2">
        <v>564</v>
      </c>
      <c r="BC792" s="2">
        <v>68</v>
      </c>
      <c r="BD792" s="2">
        <v>1.5</v>
      </c>
      <c r="BE792" s="2">
        <v>135</v>
      </c>
      <c r="BF792" s="2">
        <v>0.8</v>
      </c>
      <c r="BG792" s="2">
        <v>162</v>
      </c>
      <c r="BH792" s="2">
        <v>9.1</v>
      </c>
      <c r="BI792" s="2">
        <v>9.1999999999999993</v>
      </c>
      <c r="BJ792" s="2">
        <v>18.3</v>
      </c>
      <c r="BK792" s="2">
        <v>0.34</v>
      </c>
      <c r="BL792" s="2">
        <v>7.3</v>
      </c>
      <c r="BM792" s="2">
        <v>0.9</v>
      </c>
      <c r="BN792" s="2">
        <v>7.5</v>
      </c>
      <c r="BO792" s="2">
        <v>2.9</v>
      </c>
      <c r="BP792" s="2">
        <f t="shared" si="24"/>
        <v>5.9864926589644041</v>
      </c>
      <c r="BQ792" s="2">
        <f t="shared" si="25"/>
        <v>18.707824124784491</v>
      </c>
    </row>
    <row r="793" spans="1:69" x14ac:dyDescent="0.2">
      <c r="A793" s="2" t="s">
        <v>2815</v>
      </c>
      <c r="B793" s="2" t="s">
        <v>47</v>
      </c>
      <c r="C793" s="2" t="s">
        <v>1935</v>
      </c>
      <c r="D793" s="2" t="s">
        <v>49</v>
      </c>
      <c r="E793" s="2" t="s">
        <v>2816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89</v>
      </c>
      <c r="L793" s="6" t="s">
        <v>141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2817</v>
      </c>
      <c r="R793" s="2">
        <v>2916788.2</v>
      </c>
      <c r="S793" s="2">
        <v>0</v>
      </c>
      <c r="T793" s="2" t="s">
        <v>54</v>
      </c>
      <c r="U793" s="2" t="s">
        <v>55</v>
      </c>
      <c r="V793" s="2" t="s">
        <v>56</v>
      </c>
      <c r="W793" s="2" t="s">
        <v>57</v>
      </c>
      <c r="X793" s="2" t="s">
        <v>58</v>
      </c>
      <c r="Y793" s="2">
        <v>1.4453046529790099</v>
      </c>
      <c r="Z793" s="2">
        <v>1445.3046529790099</v>
      </c>
      <c r="AA793" s="2">
        <v>4.6584666666666701</v>
      </c>
      <c r="AB793" s="2">
        <v>-74.083966666666697</v>
      </c>
      <c r="AC793" s="2">
        <v>2552</v>
      </c>
      <c r="AD793" s="2">
        <v>0</v>
      </c>
      <c r="AE793" s="2" t="s">
        <v>59</v>
      </c>
      <c r="AF793" s="2" t="s">
        <v>60</v>
      </c>
      <c r="AG793" s="2" t="s">
        <v>61</v>
      </c>
      <c r="AH793" s="2" t="s">
        <v>62</v>
      </c>
      <c r="AI793" s="2" t="s">
        <v>321</v>
      </c>
      <c r="AJ793" s="2">
        <v>0.15894364160895499</v>
      </c>
      <c r="AK793" s="2">
        <v>3.2189394736442098</v>
      </c>
      <c r="AL793" s="2">
        <v>1.4205470059062699</v>
      </c>
      <c r="AM793" s="2">
        <v>6.3672211868236905E-2</v>
      </c>
      <c r="AN793" s="2">
        <v>1.0238987772310499</v>
      </c>
      <c r="AO793" s="2">
        <v>0.14246645212683801</v>
      </c>
      <c r="AP793" s="2">
        <v>0.14246645212683801</v>
      </c>
      <c r="AQ793" s="2">
        <v>2</v>
      </c>
      <c r="AR793" s="2">
        <v>2</v>
      </c>
      <c r="AS793" s="2">
        <v>0</v>
      </c>
      <c r="AT793" s="2">
        <v>0</v>
      </c>
      <c r="AU793" s="2">
        <v>0</v>
      </c>
      <c r="AV793" s="2">
        <v>27</v>
      </c>
      <c r="AW793" s="2">
        <v>0</v>
      </c>
      <c r="AX793" s="2">
        <v>0</v>
      </c>
      <c r="AZ793" s="2">
        <v>6.8</v>
      </c>
      <c r="BA793" s="2">
        <v>19.899999999999999</v>
      </c>
      <c r="BB793" s="2">
        <v>564</v>
      </c>
      <c r="BC793" s="2">
        <v>68</v>
      </c>
      <c r="BD793" s="2">
        <v>1.5</v>
      </c>
      <c r="BE793" s="2">
        <v>135</v>
      </c>
      <c r="BF793" s="2">
        <v>0.8</v>
      </c>
      <c r="BG793" s="2">
        <v>162</v>
      </c>
      <c r="BH793" s="2">
        <v>9.1</v>
      </c>
      <c r="BI793" s="2">
        <v>9.1999999999999993</v>
      </c>
      <c r="BJ793" s="2">
        <v>18.3</v>
      </c>
      <c r="BK793" s="2">
        <v>0.34</v>
      </c>
      <c r="BL793" s="2">
        <v>7.3</v>
      </c>
      <c r="BM793" s="2">
        <v>0.9</v>
      </c>
      <c r="BN793" s="2">
        <v>7.5</v>
      </c>
      <c r="BO793" s="2">
        <v>2.9</v>
      </c>
      <c r="BP793" s="2">
        <f t="shared" si="24"/>
        <v>6.3305051269564636</v>
      </c>
      <c r="BQ793" s="2">
        <f t="shared" si="25"/>
        <v>19.221557200531603</v>
      </c>
    </row>
    <row r="794" spans="1:69" x14ac:dyDescent="0.2">
      <c r="A794" s="2" t="s">
        <v>2079</v>
      </c>
      <c r="B794" s="2" t="s">
        <v>47</v>
      </c>
      <c r="C794" s="2" t="s">
        <v>1935</v>
      </c>
      <c r="D794" s="2" t="s">
        <v>49</v>
      </c>
      <c r="E794" s="2" t="s">
        <v>618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89</v>
      </c>
      <c r="L794" s="6" t="s">
        <v>112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2080</v>
      </c>
      <c r="R794" s="2">
        <v>14644351.460000001</v>
      </c>
      <c r="S794" s="2">
        <v>0</v>
      </c>
      <c r="T794" s="2" t="s">
        <v>54</v>
      </c>
      <c r="U794" s="2" t="s">
        <v>55</v>
      </c>
      <c r="V794" s="2" t="s">
        <v>56</v>
      </c>
      <c r="W794" s="2" t="s">
        <v>57</v>
      </c>
      <c r="X794" s="2" t="s">
        <v>58</v>
      </c>
      <c r="Y794" s="2">
        <v>0.81663849970931401</v>
      </c>
      <c r="Z794" s="2">
        <v>816.63849970931403</v>
      </c>
      <c r="AA794" s="2">
        <v>4.6584666666666701</v>
      </c>
      <c r="AB794" s="2">
        <v>-74.083966666666697</v>
      </c>
      <c r="AC794" s="2">
        <v>2552</v>
      </c>
      <c r="AD794" s="2">
        <v>0</v>
      </c>
      <c r="AE794" s="2" t="s">
        <v>59</v>
      </c>
      <c r="AF794" s="2" t="s">
        <v>60</v>
      </c>
      <c r="AG794" s="2" t="s">
        <v>61</v>
      </c>
      <c r="AH794" s="2" t="s">
        <v>62</v>
      </c>
      <c r="AI794" s="2" t="s">
        <v>321</v>
      </c>
      <c r="AJ794" s="2">
        <v>0.54608531243695202</v>
      </c>
      <c r="AK794" s="2">
        <v>3.3315021260245499</v>
      </c>
      <c r="AL794" s="2">
        <v>1.46316369576257</v>
      </c>
      <c r="AM794" s="2">
        <v>0.148156336407199</v>
      </c>
      <c r="AN794" s="2">
        <v>1.27289107163322</v>
      </c>
      <c r="AO794" s="2">
        <v>2.6754581207642701E-2</v>
      </c>
      <c r="AP794" s="2">
        <v>2.6754581207642701E-2</v>
      </c>
      <c r="AQ794" s="2">
        <v>0</v>
      </c>
      <c r="AR794" s="2">
        <v>2</v>
      </c>
      <c r="AS794" s="2">
        <v>0</v>
      </c>
      <c r="AT794" s="2">
        <v>0</v>
      </c>
      <c r="AU794" s="2">
        <v>0</v>
      </c>
      <c r="AV794" s="2">
        <v>20</v>
      </c>
      <c r="AW794" s="2">
        <v>0</v>
      </c>
      <c r="AX794" s="2">
        <v>0</v>
      </c>
      <c r="AZ794" s="2">
        <v>6.8</v>
      </c>
      <c r="BA794" s="2">
        <v>19.899999999999999</v>
      </c>
      <c r="BB794" s="2">
        <v>564</v>
      </c>
      <c r="BC794" s="2">
        <v>68</v>
      </c>
      <c r="BD794" s="2">
        <v>1.5</v>
      </c>
      <c r="BE794" s="2">
        <v>135</v>
      </c>
      <c r="BF794" s="2">
        <v>0.8</v>
      </c>
      <c r="BG794" s="2">
        <v>162</v>
      </c>
      <c r="BH794" s="2">
        <v>9.1</v>
      </c>
      <c r="BI794" s="2">
        <v>9.1999999999999993</v>
      </c>
      <c r="BJ794" s="2">
        <v>18.3</v>
      </c>
      <c r="BK794" s="2">
        <v>0.34</v>
      </c>
      <c r="BL794" s="2">
        <v>7.3</v>
      </c>
      <c r="BM794" s="2">
        <v>0.9</v>
      </c>
      <c r="BN794" s="2">
        <v>7.5</v>
      </c>
      <c r="BO794" s="2">
        <v>2.9</v>
      </c>
      <c r="BP794" s="2">
        <f t="shared" si="24"/>
        <v>6.5306012000962257</v>
      </c>
      <c r="BQ794" s="2">
        <f t="shared" si="25"/>
        <v>19.513770732369014</v>
      </c>
    </row>
    <row r="795" spans="1:69" x14ac:dyDescent="0.2">
      <c r="A795" s="2" t="s">
        <v>2582</v>
      </c>
      <c r="B795" s="2" t="s">
        <v>47</v>
      </c>
      <c r="C795" s="2" t="s">
        <v>1935</v>
      </c>
      <c r="D795" s="2" t="s">
        <v>49</v>
      </c>
      <c r="E795" s="2" t="s">
        <v>2484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89</v>
      </c>
      <c r="L795" s="6" t="s">
        <v>141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2583</v>
      </c>
      <c r="R795" s="2">
        <v>2301255.23</v>
      </c>
      <c r="S795" s="2">
        <v>0</v>
      </c>
      <c r="T795" s="2" t="s">
        <v>398</v>
      </c>
      <c r="U795" s="2" t="s">
        <v>399</v>
      </c>
      <c r="V795" s="2" t="s">
        <v>56</v>
      </c>
      <c r="W795" s="2" t="s">
        <v>57</v>
      </c>
      <c r="X795" s="2" t="s">
        <v>400</v>
      </c>
      <c r="Y795" s="2">
        <v>4.2717134301815598</v>
      </c>
      <c r="Z795" s="2">
        <v>4271.7134301815604</v>
      </c>
      <c r="AA795" s="2">
        <v>4.7358055555555598</v>
      </c>
      <c r="AB795" s="2">
        <v>-74.125888888888895</v>
      </c>
      <c r="AC795" s="2">
        <v>2574</v>
      </c>
      <c r="AD795" s="2">
        <v>0</v>
      </c>
      <c r="AE795" s="2" t="s">
        <v>133</v>
      </c>
      <c r="AF795" s="2" t="s">
        <v>86</v>
      </c>
      <c r="AG795" s="2" t="s">
        <v>61</v>
      </c>
      <c r="AH795" s="2" t="s">
        <v>62</v>
      </c>
      <c r="AI795" s="2" t="s">
        <v>391</v>
      </c>
      <c r="AJ795" s="2">
        <v>0.75654820967161895</v>
      </c>
      <c r="AK795" s="2">
        <v>3.54330478264791</v>
      </c>
      <c r="AL795" s="2">
        <v>1.2595653638275099</v>
      </c>
      <c r="AM795" s="2">
        <v>0.27729266951776799</v>
      </c>
      <c r="AN795" s="2">
        <v>2.1572913736332802</v>
      </c>
      <c r="AO795" s="2">
        <v>6.8587212716617899E-2</v>
      </c>
      <c r="AP795" s="2">
        <v>6.8587212716617899E-2</v>
      </c>
      <c r="AQ795" s="2">
        <v>0</v>
      </c>
      <c r="AR795" s="2">
        <v>2</v>
      </c>
      <c r="AS795" s="2">
        <v>0</v>
      </c>
      <c r="AT795" s="2">
        <v>0</v>
      </c>
      <c r="AU795" s="2">
        <v>0</v>
      </c>
      <c r="AV795" s="2">
        <v>27</v>
      </c>
      <c r="AW795" s="2">
        <v>0</v>
      </c>
      <c r="AX795" s="2">
        <v>0</v>
      </c>
      <c r="AZ795" s="2">
        <v>6.8</v>
      </c>
      <c r="BA795" s="2">
        <v>19.899999999999999</v>
      </c>
      <c r="BB795" s="2">
        <v>564</v>
      </c>
      <c r="BC795" s="2">
        <v>68</v>
      </c>
      <c r="BD795" s="2">
        <v>1.5</v>
      </c>
      <c r="BE795" s="2">
        <v>135</v>
      </c>
      <c r="BF795" s="2">
        <v>0.8</v>
      </c>
      <c r="BG795" s="2">
        <v>162</v>
      </c>
      <c r="BH795" s="2">
        <v>9.1</v>
      </c>
      <c r="BI795" s="2">
        <v>9.1999999999999993</v>
      </c>
      <c r="BJ795" s="2">
        <v>18.3</v>
      </c>
      <c r="BK795" s="2">
        <v>0.34</v>
      </c>
      <c r="BL795" s="2">
        <v>7.3</v>
      </c>
      <c r="BM795" s="2">
        <v>0.9</v>
      </c>
      <c r="BN795" s="2">
        <v>7.5</v>
      </c>
      <c r="BO795" s="2">
        <v>2.9</v>
      </c>
      <c r="BP795" s="2">
        <f t="shared" si="24"/>
        <v>5.5039873229652994</v>
      </c>
      <c r="BQ795" s="2">
        <f t="shared" si="25"/>
        <v>17.960925799576035</v>
      </c>
    </row>
    <row r="796" spans="1:69" x14ac:dyDescent="0.2">
      <c r="A796" s="2" t="s">
        <v>2251</v>
      </c>
      <c r="B796" s="2" t="s">
        <v>47</v>
      </c>
      <c r="C796" s="2" t="s">
        <v>1935</v>
      </c>
      <c r="D796" s="2" t="s">
        <v>49</v>
      </c>
      <c r="E796" s="2" t="s">
        <v>1001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89</v>
      </c>
      <c r="L796" s="6" t="s">
        <v>141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2252</v>
      </c>
      <c r="R796" s="2">
        <v>3957446.8089999999</v>
      </c>
      <c r="S796" s="2">
        <v>0</v>
      </c>
      <c r="T796" s="2" t="s">
        <v>54</v>
      </c>
      <c r="U796" s="2" t="s">
        <v>55</v>
      </c>
      <c r="V796" s="2" t="s">
        <v>56</v>
      </c>
      <c r="W796" s="2" t="s">
        <v>57</v>
      </c>
      <c r="X796" s="2" t="s">
        <v>58</v>
      </c>
      <c r="Y796" s="2">
        <v>4.2675586499904696</v>
      </c>
      <c r="Z796" s="2">
        <v>4267.5586499904703</v>
      </c>
      <c r="AA796" s="2">
        <v>4.6584666666666701</v>
      </c>
      <c r="AB796" s="2">
        <v>-74.083966666666697</v>
      </c>
      <c r="AC796" s="2">
        <v>2552</v>
      </c>
      <c r="AD796" s="2">
        <v>0</v>
      </c>
      <c r="AE796" s="2" t="s">
        <v>59</v>
      </c>
      <c r="AF796" s="2" t="s">
        <v>60</v>
      </c>
      <c r="AG796" s="2" t="s">
        <v>61</v>
      </c>
      <c r="AH796" s="2" t="s">
        <v>62</v>
      </c>
      <c r="AI796" s="2" t="s">
        <v>100</v>
      </c>
      <c r="AJ796" s="2">
        <v>0.84690885188026299</v>
      </c>
      <c r="AK796" s="2">
        <v>5.0814538884801603</v>
      </c>
      <c r="AL796" s="2">
        <v>1.0992944916282099</v>
      </c>
      <c r="AM796" s="2">
        <v>0.39744727058915802</v>
      </c>
      <c r="AN796" s="2">
        <v>2.52565673930531</v>
      </c>
      <c r="AO796" s="2">
        <v>0.34476490704325202</v>
      </c>
      <c r="AP796" s="2">
        <v>0.34476490704325202</v>
      </c>
      <c r="AQ796" s="2">
        <v>0</v>
      </c>
      <c r="AR796" s="2">
        <v>2</v>
      </c>
      <c r="AS796" s="2">
        <v>0</v>
      </c>
      <c r="AT796" s="2">
        <v>0</v>
      </c>
      <c r="AU796" s="2">
        <v>0</v>
      </c>
      <c r="AV796" s="2">
        <v>42</v>
      </c>
      <c r="AW796" s="2">
        <v>0</v>
      </c>
      <c r="AX796" s="2">
        <v>0</v>
      </c>
      <c r="AZ796" s="2">
        <v>6.8</v>
      </c>
      <c r="BA796" s="2">
        <v>19.899999999999999</v>
      </c>
      <c r="BB796" s="2">
        <v>564</v>
      </c>
      <c r="BC796" s="2">
        <v>68</v>
      </c>
      <c r="BD796" s="2">
        <v>1.5</v>
      </c>
      <c r="BE796" s="2">
        <v>135</v>
      </c>
      <c r="BF796" s="2">
        <v>0.8</v>
      </c>
      <c r="BG796" s="2">
        <v>162</v>
      </c>
      <c r="BH796" s="2">
        <v>9.1</v>
      </c>
      <c r="BI796" s="2">
        <v>9.1999999999999993</v>
      </c>
      <c r="BJ796" s="2">
        <v>18.3</v>
      </c>
      <c r="BK796" s="2">
        <v>0.34</v>
      </c>
      <c r="BL796" s="2">
        <v>7.3</v>
      </c>
      <c r="BM796" s="2">
        <v>0.9</v>
      </c>
      <c r="BN796" s="2">
        <v>7.5</v>
      </c>
      <c r="BO796" s="2">
        <v>2.9</v>
      </c>
      <c r="BP796" s="2">
        <f t="shared" si="24"/>
        <v>5.5051193983198567</v>
      </c>
      <c r="BQ796" s="2">
        <f t="shared" si="25"/>
        <v>17.962716857641396</v>
      </c>
    </row>
    <row r="797" spans="1:69" x14ac:dyDescent="0.2">
      <c r="A797" s="2" t="s">
        <v>2028</v>
      </c>
      <c r="B797" s="2" t="s">
        <v>47</v>
      </c>
      <c r="C797" s="2" t="s">
        <v>1935</v>
      </c>
      <c r="D797" s="2" t="s">
        <v>49</v>
      </c>
      <c r="E797" s="2" t="s">
        <v>308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89</v>
      </c>
      <c r="L797" s="6" t="s">
        <v>141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2029</v>
      </c>
      <c r="R797" s="2">
        <v>3620719.0320000001</v>
      </c>
      <c r="S797" s="2">
        <v>0</v>
      </c>
      <c r="T797" s="2" t="s">
        <v>54</v>
      </c>
      <c r="U797" s="2" t="s">
        <v>55</v>
      </c>
      <c r="V797" s="2" t="s">
        <v>56</v>
      </c>
      <c r="W797" s="2" t="s">
        <v>57</v>
      </c>
      <c r="X797" s="2" t="s">
        <v>58</v>
      </c>
      <c r="Y797" s="2">
        <v>4.4608676089901396</v>
      </c>
      <c r="Z797" s="2">
        <v>4460.8676089901401</v>
      </c>
      <c r="AA797" s="2">
        <v>4.6584666666666701</v>
      </c>
      <c r="AB797" s="2">
        <v>-74.083966666666697</v>
      </c>
      <c r="AC797" s="2">
        <v>2552</v>
      </c>
      <c r="AD797" s="2">
        <v>0</v>
      </c>
      <c r="AE797" s="2" t="s">
        <v>59</v>
      </c>
      <c r="AF797" s="2" t="s">
        <v>60</v>
      </c>
      <c r="AG797" s="2" t="s">
        <v>61</v>
      </c>
      <c r="AH797" s="2" t="s">
        <v>62</v>
      </c>
      <c r="AI797" s="2" t="s">
        <v>100</v>
      </c>
      <c r="AJ797" s="2">
        <v>0.88661418864355401</v>
      </c>
      <c r="AK797" s="2">
        <v>5.2843198607902702</v>
      </c>
      <c r="AL797" s="2">
        <v>1.0477248030183199</v>
      </c>
      <c r="AM797" s="2">
        <v>0.24440041925466699</v>
      </c>
      <c r="AN797" s="2">
        <v>2.62921740819022</v>
      </c>
      <c r="AO797" s="2">
        <v>0.358072769802326</v>
      </c>
      <c r="AP797" s="2">
        <v>0.358072769802326</v>
      </c>
      <c r="AQ797" s="2">
        <v>0</v>
      </c>
      <c r="AR797" s="2">
        <v>2</v>
      </c>
      <c r="AS797" s="2">
        <v>0</v>
      </c>
      <c r="AT797" s="2">
        <v>0</v>
      </c>
      <c r="AU797" s="2">
        <v>0</v>
      </c>
      <c r="AV797" s="2">
        <v>37</v>
      </c>
      <c r="AW797" s="2">
        <v>0</v>
      </c>
      <c r="AX797" s="2">
        <v>0</v>
      </c>
      <c r="AZ797" s="2">
        <v>6.8</v>
      </c>
      <c r="BA797" s="2">
        <v>19.899999999999999</v>
      </c>
      <c r="BB797" s="2">
        <v>564</v>
      </c>
      <c r="BC797" s="2">
        <v>68</v>
      </c>
      <c r="BD797" s="2">
        <v>1.5</v>
      </c>
      <c r="BE797" s="2">
        <v>135</v>
      </c>
      <c r="BF797" s="2">
        <v>0.8</v>
      </c>
      <c r="BG797" s="2">
        <v>162</v>
      </c>
      <c r="BH797" s="2">
        <v>9.1</v>
      </c>
      <c r="BI797" s="2">
        <v>9.1999999999999993</v>
      </c>
      <c r="BJ797" s="2">
        <v>18.3</v>
      </c>
      <c r="BK797" s="2">
        <v>0.34</v>
      </c>
      <c r="BL797" s="2">
        <v>7.3</v>
      </c>
      <c r="BM797" s="2">
        <v>0.9</v>
      </c>
      <c r="BN797" s="2">
        <v>7.5</v>
      </c>
      <c r="BO797" s="2">
        <v>2.9</v>
      </c>
      <c r="BP797" s="2">
        <f t="shared" si="24"/>
        <v>5.4526932751580874</v>
      </c>
      <c r="BQ797" s="2">
        <f t="shared" si="25"/>
        <v>17.879573377013124</v>
      </c>
    </row>
    <row r="798" spans="1:69" x14ac:dyDescent="0.2">
      <c r="A798" s="2" t="s">
        <v>2396</v>
      </c>
      <c r="B798" s="2" t="s">
        <v>47</v>
      </c>
      <c r="C798" s="2" t="s">
        <v>1935</v>
      </c>
      <c r="D798" s="2" t="s">
        <v>49</v>
      </c>
      <c r="E798" s="2" t="s">
        <v>2397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89</v>
      </c>
      <c r="L798" s="6" t="s">
        <v>103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2398</v>
      </c>
      <c r="R798" s="2">
        <v>6373815.676</v>
      </c>
      <c r="S798" s="2">
        <v>0</v>
      </c>
      <c r="T798" s="2" t="s">
        <v>54</v>
      </c>
      <c r="U798" s="2" t="s">
        <v>55</v>
      </c>
      <c r="V798" s="2" t="s">
        <v>56</v>
      </c>
      <c r="W798" s="2" t="s">
        <v>57</v>
      </c>
      <c r="X798" s="2" t="s">
        <v>58</v>
      </c>
      <c r="Y798" s="2">
        <v>1.0219508200979599</v>
      </c>
      <c r="Z798" s="2">
        <v>1021.95082009796</v>
      </c>
      <c r="AA798" s="2">
        <v>4.6584666666666701</v>
      </c>
      <c r="AB798" s="2">
        <v>-74.083966666666697</v>
      </c>
      <c r="AC798" s="2">
        <v>2552</v>
      </c>
      <c r="AD798" s="2">
        <v>0</v>
      </c>
      <c r="AE798" s="2" t="s">
        <v>59</v>
      </c>
      <c r="AF798" s="2" t="s">
        <v>60</v>
      </c>
      <c r="AG798" s="2" t="s">
        <v>61</v>
      </c>
      <c r="AH798" s="2" t="s">
        <v>62</v>
      </c>
      <c r="AI798" s="2" t="s">
        <v>63</v>
      </c>
      <c r="AJ798" s="2">
        <v>0.16193463840464301</v>
      </c>
      <c r="AK798" s="2">
        <v>2.6766436458234799</v>
      </c>
      <c r="AL798" s="2">
        <v>0.30668136871746399</v>
      </c>
      <c r="AM798" s="2">
        <v>0.106529197598841</v>
      </c>
      <c r="AN798" s="2">
        <v>2.5602536744262001</v>
      </c>
      <c r="AO798" s="2">
        <v>5.6361176807670998E-2</v>
      </c>
      <c r="AP798" s="2">
        <v>5.6361176807670998E-2</v>
      </c>
      <c r="AQ798" s="2">
        <v>1</v>
      </c>
      <c r="AR798" s="2">
        <v>3</v>
      </c>
      <c r="AS798" s="2">
        <v>0</v>
      </c>
      <c r="AT798" s="2">
        <v>0</v>
      </c>
      <c r="AU798" s="2">
        <v>3</v>
      </c>
      <c r="AV798" s="2">
        <v>31</v>
      </c>
      <c r="AW798" s="2">
        <v>0</v>
      </c>
      <c r="AX798" s="2">
        <v>0</v>
      </c>
      <c r="AZ798" s="2">
        <v>6.8</v>
      </c>
      <c r="BA798" s="2">
        <v>19.899999999999999</v>
      </c>
      <c r="BB798" s="2">
        <v>564</v>
      </c>
      <c r="BC798" s="2">
        <v>68</v>
      </c>
      <c r="BD798" s="2">
        <v>1.5</v>
      </c>
      <c r="BE798" s="2">
        <v>135</v>
      </c>
      <c r="BF798" s="2">
        <v>0.8</v>
      </c>
      <c r="BG798" s="2">
        <v>162</v>
      </c>
      <c r="BH798" s="2">
        <v>9.1</v>
      </c>
      <c r="BI798" s="2">
        <v>9.1999999999999993</v>
      </c>
      <c r="BJ798" s="2">
        <v>18.3</v>
      </c>
      <c r="BK798" s="2">
        <v>0.34</v>
      </c>
      <c r="BL798" s="2">
        <v>7.3</v>
      </c>
      <c r="BM798" s="2">
        <v>0.9</v>
      </c>
      <c r="BN798" s="2">
        <v>7.5</v>
      </c>
      <c r="BO798" s="2">
        <v>2.9</v>
      </c>
      <c r="BP798" s="2">
        <f t="shared" si="24"/>
        <v>6.4645670816548115</v>
      </c>
      <c r="BQ798" s="2">
        <f t="shared" si="25"/>
        <v>19.417853221837309</v>
      </c>
    </row>
    <row r="799" spans="1:69" x14ac:dyDescent="0.2">
      <c r="A799" s="2" t="s">
        <v>2036</v>
      </c>
      <c r="B799" s="2" t="s">
        <v>47</v>
      </c>
      <c r="C799" s="2" t="s">
        <v>1935</v>
      </c>
      <c r="D799" s="2" t="s">
        <v>49</v>
      </c>
      <c r="E799" s="2" t="s">
        <v>1106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89</v>
      </c>
      <c r="L799" s="6" t="s">
        <v>141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2037</v>
      </c>
      <c r="R799" s="2">
        <v>3443965.517</v>
      </c>
      <c r="S799" s="2">
        <v>0</v>
      </c>
      <c r="T799" s="2" t="s">
        <v>105</v>
      </c>
      <c r="U799" s="2" t="s">
        <v>106</v>
      </c>
      <c r="V799" s="2" t="s">
        <v>56</v>
      </c>
      <c r="W799" s="2" t="s">
        <v>107</v>
      </c>
      <c r="X799" s="2" t="s">
        <v>108</v>
      </c>
      <c r="Y799" s="2">
        <v>1.98816639487039</v>
      </c>
      <c r="Z799" s="2">
        <v>1988.1663948703899</v>
      </c>
      <c r="AA799" s="2">
        <v>4.6254861111111101</v>
      </c>
      <c r="AB799" s="2">
        <v>-74.066980555555503</v>
      </c>
      <c r="AC799" s="2">
        <v>2621</v>
      </c>
      <c r="AD799" s="2">
        <v>15</v>
      </c>
      <c r="AE799" s="2" t="s">
        <v>59</v>
      </c>
      <c r="AF799" s="2" t="s">
        <v>60</v>
      </c>
      <c r="AG799" s="2" t="s">
        <v>61</v>
      </c>
      <c r="AH799" s="2" t="s">
        <v>62</v>
      </c>
      <c r="AI799" s="2" t="s">
        <v>63</v>
      </c>
      <c r="AJ799" s="2">
        <v>0.41732018090406697</v>
      </c>
      <c r="AK799" s="2">
        <v>1.35526417036437</v>
      </c>
      <c r="AL799" s="2">
        <v>0.23651115028459099</v>
      </c>
      <c r="AM799" s="2">
        <v>0.12126394585825601</v>
      </c>
      <c r="AN799" s="2">
        <v>1.2533064213298399</v>
      </c>
      <c r="AO799" s="2">
        <v>4.9962748181764704E-3</v>
      </c>
      <c r="AP799" s="2">
        <v>4.9962748181764704E-3</v>
      </c>
      <c r="AQ799" s="2">
        <v>1</v>
      </c>
      <c r="AR799" s="2">
        <v>4</v>
      </c>
      <c r="AS799" s="2">
        <v>0</v>
      </c>
      <c r="AT799" s="2">
        <v>0</v>
      </c>
      <c r="AU799" s="2">
        <v>9</v>
      </c>
      <c r="AV799" s="2">
        <v>180</v>
      </c>
      <c r="AW799" s="2">
        <v>0</v>
      </c>
      <c r="AX799" s="2">
        <v>0</v>
      </c>
      <c r="AZ799" s="2">
        <v>6.8</v>
      </c>
      <c r="BA799" s="2">
        <v>19.899999999999999</v>
      </c>
      <c r="BB799" s="2">
        <v>564</v>
      </c>
      <c r="BC799" s="2">
        <v>68</v>
      </c>
      <c r="BD799" s="2">
        <v>1.5</v>
      </c>
      <c r="BE799" s="2">
        <v>135</v>
      </c>
      <c r="BF799" s="2">
        <v>0.8</v>
      </c>
      <c r="BG799" s="2">
        <v>162</v>
      </c>
      <c r="BH799" s="2">
        <v>9.1</v>
      </c>
      <c r="BI799" s="2">
        <v>9.1999999999999993</v>
      </c>
      <c r="BJ799" s="2">
        <v>18.3</v>
      </c>
      <c r="BK799" s="2">
        <v>0.34</v>
      </c>
      <c r="BL799" s="2">
        <v>7.3</v>
      </c>
      <c r="BM799" s="2">
        <v>0.9</v>
      </c>
      <c r="BN799" s="2">
        <v>7.5</v>
      </c>
      <c r="BO799" s="2">
        <v>2.9</v>
      </c>
      <c r="BP799" s="2">
        <f t="shared" si="24"/>
        <v>6.1626592180532151</v>
      </c>
      <c r="BQ799" s="2">
        <f t="shared" si="25"/>
        <v>18.972749982502943</v>
      </c>
    </row>
    <row r="800" spans="1:69" x14ac:dyDescent="0.2">
      <c r="A800" s="2" t="s">
        <v>1052</v>
      </c>
      <c r="B800" s="2" t="s">
        <v>47</v>
      </c>
      <c r="C800" s="2" t="s">
        <v>48</v>
      </c>
      <c r="D800" s="2" t="s">
        <v>49</v>
      </c>
      <c r="E800" s="2" t="s">
        <v>1053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89</v>
      </c>
      <c r="L800" s="6" t="s">
        <v>141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1054</v>
      </c>
      <c r="R800" s="2">
        <v>6043478.2609999999</v>
      </c>
      <c r="S800" s="2">
        <v>0</v>
      </c>
      <c r="T800" s="2" t="s">
        <v>54</v>
      </c>
      <c r="U800" s="2" t="s">
        <v>55</v>
      </c>
      <c r="V800" s="2" t="s">
        <v>56</v>
      </c>
      <c r="W800" s="2" t="s">
        <v>57</v>
      </c>
      <c r="X800" s="2" t="s">
        <v>58</v>
      </c>
      <c r="Y800" s="2">
        <v>4.0194432563947302</v>
      </c>
      <c r="Z800" s="2">
        <v>4019.4432563947298</v>
      </c>
      <c r="AA800" s="2">
        <v>4.6584666666666701</v>
      </c>
      <c r="AB800" s="2">
        <v>-74.083966666666697</v>
      </c>
      <c r="AC800" s="2">
        <v>2552</v>
      </c>
      <c r="AD800" s="2">
        <v>0</v>
      </c>
      <c r="AE800" s="2" t="s">
        <v>59</v>
      </c>
      <c r="AF800" s="2" t="s">
        <v>60</v>
      </c>
      <c r="AG800" s="2" t="s">
        <v>61</v>
      </c>
      <c r="AH800" s="2" t="s">
        <v>62</v>
      </c>
      <c r="AI800" s="2" t="s">
        <v>109</v>
      </c>
      <c r="AJ800" s="2">
        <v>0.189477863369857</v>
      </c>
      <c r="AK800" s="2">
        <v>2.14085782312777</v>
      </c>
      <c r="AL800" s="2">
        <v>0.58147229379216303</v>
      </c>
      <c r="AM800" s="2">
        <v>6.1806867673580797E-2</v>
      </c>
      <c r="AN800" s="2">
        <v>2.92937270879073</v>
      </c>
      <c r="AO800" s="2">
        <v>0.19591434410210501</v>
      </c>
      <c r="AP800" s="2">
        <v>0.19591434410210501</v>
      </c>
      <c r="AQ800" s="2">
        <v>1</v>
      </c>
      <c r="AR800" s="2">
        <v>5</v>
      </c>
      <c r="AS800" s="2">
        <v>0</v>
      </c>
      <c r="AT800" s="2">
        <v>0</v>
      </c>
      <c r="AU800" s="2">
        <v>5</v>
      </c>
      <c r="AV800" s="2">
        <v>241</v>
      </c>
      <c r="AW800" s="2">
        <v>0</v>
      </c>
      <c r="AX800" s="2">
        <v>0</v>
      </c>
      <c r="AZ800" s="2">
        <v>6.8</v>
      </c>
      <c r="BA800" s="2">
        <v>19.899999999999999</v>
      </c>
      <c r="BB800" s="2">
        <v>564</v>
      </c>
      <c r="BC800" s="2">
        <v>68</v>
      </c>
      <c r="BD800" s="2">
        <v>1.5</v>
      </c>
      <c r="BE800" s="2">
        <v>135</v>
      </c>
      <c r="BF800" s="2">
        <v>0.8</v>
      </c>
      <c r="BG800" s="2">
        <v>162</v>
      </c>
      <c r="BH800" s="2">
        <v>9.1</v>
      </c>
      <c r="BI800" s="2">
        <v>9.1999999999999993</v>
      </c>
      <c r="BJ800" s="2">
        <v>18.3</v>
      </c>
      <c r="BK800" s="2">
        <v>0.34</v>
      </c>
      <c r="BL800" s="2">
        <v>7.3</v>
      </c>
      <c r="BM800" s="2">
        <v>0.9</v>
      </c>
      <c r="BN800" s="2">
        <v>7.5</v>
      </c>
      <c r="BO800" s="2">
        <v>2.9</v>
      </c>
      <c r="BP800" s="2">
        <f t="shared" si="24"/>
        <v>5.5731485915534966</v>
      </c>
      <c r="BQ800" s="2">
        <f t="shared" si="25"/>
        <v>18.069999800739147</v>
      </c>
    </row>
    <row r="801" spans="1:69" x14ac:dyDescent="0.2">
      <c r="A801" s="2" t="s">
        <v>2885</v>
      </c>
      <c r="B801" s="2" t="s">
        <v>47</v>
      </c>
      <c r="C801" s="2" t="s">
        <v>1935</v>
      </c>
      <c r="D801" s="2" t="s">
        <v>49</v>
      </c>
      <c r="E801" s="2" t="s">
        <v>2500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89</v>
      </c>
      <c r="L801" s="6" t="s">
        <v>141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2886</v>
      </c>
      <c r="R801" s="2">
        <v>3930131.0040000002</v>
      </c>
      <c r="S801" s="2">
        <v>0</v>
      </c>
      <c r="T801" s="2" t="s">
        <v>54</v>
      </c>
      <c r="U801" s="2" t="s">
        <v>55</v>
      </c>
      <c r="V801" s="2" t="s">
        <v>56</v>
      </c>
      <c r="W801" s="2" t="s">
        <v>57</v>
      </c>
      <c r="X801" s="2" t="s">
        <v>58</v>
      </c>
      <c r="Y801" s="2">
        <v>2.9262746522943801</v>
      </c>
      <c r="Z801" s="2">
        <v>2926.2746522943798</v>
      </c>
      <c r="AA801" s="2">
        <v>4.6584666666666701</v>
      </c>
      <c r="AB801" s="2">
        <v>-74.083966666666697</v>
      </c>
      <c r="AC801" s="2">
        <v>2552</v>
      </c>
      <c r="AD801" s="2">
        <v>0</v>
      </c>
      <c r="AE801" s="2" t="s">
        <v>59</v>
      </c>
      <c r="AF801" s="2" t="s">
        <v>60</v>
      </c>
      <c r="AG801" s="2" t="s">
        <v>61</v>
      </c>
      <c r="AH801" s="2" t="s">
        <v>62</v>
      </c>
      <c r="AI801" s="2" t="s">
        <v>321</v>
      </c>
      <c r="AJ801" s="2">
        <v>0.188437517561581</v>
      </c>
      <c r="AK801" s="2">
        <v>1.9572991384048199</v>
      </c>
      <c r="AL801" s="2">
        <v>0.54458841374904998</v>
      </c>
      <c r="AM801" s="2">
        <v>4.9021117388124397E-2</v>
      </c>
      <c r="AN801" s="2">
        <v>2.29091999828819</v>
      </c>
      <c r="AO801" s="2">
        <v>0.44996065441525901</v>
      </c>
      <c r="AP801" s="2">
        <v>0.44996065441525901</v>
      </c>
      <c r="AQ801" s="2">
        <v>3</v>
      </c>
      <c r="AR801" s="2">
        <v>7</v>
      </c>
      <c r="AS801" s="2">
        <v>0</v>
      </c>
      <c r="AT801" s="2">
        <v>0</v>
      </c>
      <c r="AU801" s="2">
        <v>5</v>
      </c>
      <c r="AV801" s="2">
        <v>276</v>
      </c>
      <c r="AW801" s="2">
        <v>0</v>
      </c>
      <c r="AX801" s="2">
        <v>0</v>
      </c>
      <c r="AZ801" s="2">
        <v>6.8</v>
      </c>
      <c r="BA801" s="2">
        <v>19.899999999999999</v>
      </c>
      <c r="BB801" s="2">
        <v>564</v>
      </c>
      <c r="BC801" s="2">
        <v>68</v>
      </c>
      <c r="BD801" s="2">
        <v>1.5</v>
      </c>
      <c r="BE801" s="2">
        <v>135</v>
      </c>
      <c r="BF801" s="2">
        <v>0.8</v>
      </c>
      <c r="BG801" s="2">
        <v>162</v>
      </c>
      <c r="BH801" s="2">
        <v>9.1</v>
      </c>
      <c r="BI801" s="2">
        <v>9.1999999999999993</v>
      </c>
      <c r="BJ801" s="2">
        <v>18.3</v>
      </c>
      <c r="BK801" s="2">
        <v>0.34</v>
      </c>
      <c r="BL801" s="2">
        <v>7.3</v>
      </c>
      <c r="BM801" s="2">
        <v>0.9</v>
      </c>
      <c r="BN801" s="2">
        <v>7.5</v>
      </c>
      <c r="BO801" s="2">
        <v>2.9</v>
      </c>
      <c r="BP801" s="2">
        <f t="shared" si="24"/>
        <v>5.8830304799676734</v>
      </c>
      <c r="BQ801" s="2">
        <f t="shared" si="25"/>
        <v>18.550358964930098</v>
      </c>
    </row>
    <row r="802" spans="1:69" x14ac:dyDescent="0.2">
      <c r="A802" s="2" t="s">
        <v>1203</v>
      </c>
      <c r="B802" s="2" t="s">
        <v>47</v>
      </c>
      <c r="C802" s="2" t="s">
        <v>48</v>
      </c>
      <c r="D802" s="2" t="s">
        <v>49</v>
      </c>
      <c r="E802" s="2" t="s">
        <v>111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89</v>
      </c>
      <c r="L802" s="6" t="s">
        <v>141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1204</v>
      </c>
      <c r="R802" s="2">
        <v>12555066.08</v>
      </c>
      <c r="S802" s="2">
        <v>0</v>
      </c>
      <c r="T802" s="2" t="s">
        <v>54</v>
      </c>
      <c r="U802" s="2" t="s">
        <v>55</v>
      </c>
      <c r="V802" s="2" t="s">
        <v>56</v>
      </c>
      <c r="W802" s="2" t="s">
        <v>57</v>
      </c>
      <c r="X802" s="2" t="s">
        <v>58</v>
      </c>
      <c r="Y802" s="2">
        <v>3.63796205292895</v>
      </c>
      <c r="Z802" s="2">
        <v>3637.96205292895</v>
      </c>
      <c r="AA802" s="2">
        <v>4.6584666666666701</v>
      </c>
      <c r="AB802" s="2">
        <v>-74.083966666666697</v>
      </c>
      <c r="AC802" s="2">
        <v>2552</v>
      </c>
      <c r="AD802" s="2">
        <v>0</v>
      </c>
      <c r="AE802" s="2" t="s">
        <v>59</v>
      </c>
      <c r="AF802" s="2" t="s">
        <v>60</v>
      </c>
      <c r="AG802" s="2" t="s">
        <v>61</v>
      </c>
      <c r="AH802" s="2" t="s">
        <v>62</v>
      </c>
      <c r="AI802" s="2" t="s">
        <v>109</v>
      </c>
      <c r="AJ802" s="2">
        <v>0.46471471056503399</v>
      </c>
      <c r="AK802" s="2">
        <v>1.4811234492290399</v>
      </c>
      <c r="AL802" s="2">
        <v>0.78759240591788104</v>
      </c>
      <c r="AM802" s="2">
        <v>0.102863159577316</v>
      </c>
      <c r="AN802" s="2">
        <v>2.9533985418050199</v>
      </c>
      <c r="AO802" s="2">
        <v>0.78442002192833105</v>
      </c>
      <c r="AP802" s="2">
        <v>0.78442002192833105</v>
      </c>
      <c r="AQ802" s="2">
        <v>1</v>
      </c>
      <c r="AR802" s="2">
        <v>3</v>
      </c>
      <c r="AS802" s="2">
        <v>0</v>
      </c>
      <c r="AT802" s="2">
        <v>0</v>
      </c>
      <c r="AU802" s="2">
        <v>5</v>
      </c>
      <c r="AV802" s="2">
        <v>301</v>
      </c>
      <c r="AW802" s="2">
        <v>0</v>
      </c>
      <c r="AX802" s="2">
        <v>0</v>
      </c>
      <c r="AZ802" s="2">
        <v>6.8</v>
      </c>
      <c r="BA802" s="2">
        <v>19.899999999999999</v>
      </c>
      <c r="BB802" s="2">
        <v>564</v>
      </c>
      <c r="BC802" s="2">
        <v>68</v>
      </c>
      <c r="BD802" s="2">
        <v>1.5</v>
      </c>
      <c r="BE802" s="2">
        <v>135</v>
      </c>
      <c r="BF802" s="2">
        <v>0.8</v>
      </c>
      <c r="BG802" s="2">
        <v>162</v>
      </c>
      <c r="BH802" s="2">
        <v>9.1</v>
      </c>
      <c r="BI802" s="2">
        <v>9.1999999999999993</v>
      </c>
      <c r="BJ802" s="2">
        <v>18.3</v>
      </c>
      <c r="BK802" s="2">
        <v>0.34</v>
      </c>
      <c r="BL802" s="2">
        <v>7.3</v>
      </c>
      <c r="BM802" s="2">
        <v>0.9</v>
      </c>
      <c r="BN802" s="2">
        <v>7.5</v>
      </c>
      <c r="BO802" s="2">
        <v>2.9</v>
      </c>
      <c r="BP802" s="2">
        <f t="shared" si="24"/>
        <v>5.6793880574354239</v>
      </c>
      <c r="BQ802" s="2">
        <f t="shared" si="25"/>
        <v>18.236200234366233</v>
      </c>
    </row>
    <row r="803" spans="1:69" x14ac:dyDescent="0.2">
      <c r="A803" s="2" t="s">
        <v>3258</v>
      </c>
      <c r="B803" s="2" t="s">
        <v>47</v>
      </c>
      <c r="C803" s="2" t="s">
        <v>1935</v>
      </c>
      <c r="D803" s="2" t="s">
        <v>49</v>
      </c>
      <c r="E803" s="2" t="s">
        <v>1001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89</v>
      </c>
      <c r="L803" s="6" t="s">
        <v>141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3259</v>
      </c>
      <c r="R803" s="2">
        <v>3744493.392</v>
      </c>
      <c r="S803" s="2">
        <v>0</v>
      </c>
      <c r="T803" s="2" t="s">
        <v>54</v>
      </c>
      <c r="U803" s="2" t="s">
        <v>55</v>
      </c>
      <c r="V803" s="2" t="s">
        <v>56</v>
      </c>
      <c r="W803" s="2" t="s">
        <v>57</v>
      </c>
      <c r="X803" s="2" t="s">
        <v>58</v>
      </c>
      <c r="Y803" s="2">
        <v>4.2970535495684699</v>
      </c>
      <c r="Z803" s="2">
        <v>4297.0535495684699</v>
      </c>
      <c r="AA803" s="2">
        <v>4.6584666666666701</v>
      </c>
      <c r="AB803" s="2">
        <v>-74.083966666666697</v>
      </c>
      <c r="AC803" s="2">
        <v>2552</v>
      </c>
      <c r="AD803" s="2">
        <v>0</v>
      </c>
      <c r="AE803" s="2" t="s">
        <v>59</v>
      </c>
      <c r="AF803" s="2" t="s">
        <v>60</v>
      </c>
      <c r="AG803" s="2" t="s">
        <v>61</v>
      </c>
      <c r="AH803" s="2" t="s">
        <v>62</v>
      </c>
      <c r="AI803" s="2" t="s">
        <v>100</v>
      </c>
      <c r="AJ803" s="2">
        <v>0.89600552106564701</v>
      </c>
      <c r="AK803" s="2">
        <v>5.0530623031799502</v>
      </c>
      <c r="AL803" s="2">
        <v>1.0503252926073401</v>
      </c>
      <c r="AM803" s="2">
        <v>0.34529323551056301</v>
      </c>
      <c r="AN803" s="2">
        <v>2.5546315335004399</v>
      </c>
      <c r="AO803" s="2">
        <v>0.29377140810700803</v>
      </c>
      <c r="AP803" s="2">
        <v>0.29377140810700803</v>
      </c>
      <c r="AQ803" s="2">
        <v>0</v>
      </c>
      <c r="AR803" s="2">
        <v>2</v>
      </c>
      <c r="AS803" s="2">
        <v>0</v>
      </c>
      <c r="AT803" s="2">
        <v>0</v>
      </c>
      <c r="AU803" s="2">
        <v>0</v>
      </c>
      <c r="AV803" s="2">
        <v>38</v>
      </c>
      <c r="AW803" s="2">
        <v>0</v>
      </c>
      <c r="AX803" s="2">
        <v>0</v>
      </c>
      <c r="AZ803" s="2">
        <v>6.8</v>
      </c>
      <c r="BA803" s="2">
        <v>19.899999999999999</v>
      </c>
      <c r="BB803" s="2">
        <v>564</v>
      </c>
      <c r="BC803" s="2">
        <v>68</v>
      </c>
      <c r="BD803" s="2">
        <v>1.5</v>
      </c>
      <c r="BE803" s="2">
        <v>135</v>
      </c>
      <c r="BF803" s="2">
        <v>0.8</v>
      </c>
      <c r="BG803" s="2">
        <v>162</v>
      </c>
      <c r="BH803" s="2">
        <v>9.1</v>
      </c>
      <c r="BI803" s="2">
        <v>9.1999999999999993</v>
      </c>
      <c r="BJ803" s="2">
        <v>18.3</v>
      </c>
      <c r="BK803" s="2">
        <v>0.34</v>
      </c>
      <c r="BL803" s="2">
        <v>7.3</v>
      </c>
      <c r="BM803" s="2">
        <v>0.9</v>
      </c>
      <c r="BN803" s="2">
        <v>7.5</v>
      </c>
      <c r="BO803" s="2">
        <v>2.9</v>
      </c>
      <c r="BP803" s="2">
        <f t="shared" si="24"/>
        <v>5.497087802082854</v>
      </c>
      <c r="BQ803" s="2">
        <f t="shared" si="25"/>
        <v>17.950005952337939</v>
      </c>
    </row>
    <row r="804" spans="1:69" x14ac:dyDescent="0.2">
      <c r="A804" s="2" t="s">
        <v>3116</v>
      </c>
      <c r="B804" s="2" t="s">
        <v>47</v>
      </c>
      <c r="C804" s="2" t="s">
        <v>1935</v>
      </c>
      <c r="D804" s="2" t="s">
        <v>49</v>
      </c>
      <c r="E804" s="2" t="s">
        <v>663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89</v>
      </c>
      <c r="L804" s="6" t="s">
        <v>141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3117</v>
      </c>
      <c r="R804" s="2">
        <v>5796460.1770000001</v>
      </c>
      <c r="S804" s="2">
        <v>0</v>
      </c>
      <c r="T804" s="2" t="s">
        <v>54</v>
      </c>
      <c r="U804" s="2" t="s">
        <v>55</v>
      </c>
      <c r="V804" s="2" t="s">
        <v>56</v>
      </c>
      <c r="W804" s="2" t="s">
        <v>57</v>
      </c>
      <c r="X804" s="2" t="s">
        <v>58</v>
      </c>
      <c r="Y804" s="2">
        <v>4.0139519867751599</v>
      </c>
      <c r="Z804" s="2">
        <v>4013.9519867751601</v>
      </c>
      <c r="AA804" s="2">
        <v>4.6584666666666701</v>
      </c>
      <c r="AB804" s="2">
        <v>-74.083966666666697</v>
      </c>
      <c r="AC804" s="2">
        <v>2552</v>
      </c>
      <c r="AD804" s="2">
        <v>0</v>
      </c>
      <c r="AE804" s="2" t="s">
        <v>59</v>
      </c>
      <c r="AF804" s="2" t="s">
        <v>60</v>
      </c>
      <c r="AG804" s="2" t="s">
        <v>61</v>
      </c>
      <c r="AH804" s="2" t="s">
        <v>62</v>
      </c>
      <c r="AI804" s="2" t="s">
        <v>321</v>
      </c>
      <c r="AJ804" s="2">
        <v>0.29553718272574597</v>
      </c>
      <c r="AK804" s="2">
        <v>2.8026956374666501</v>
      </c>
      <c r="AL804" s="2">
        <v>0.829794608491639</v>
      </c>
      <c r="AM804" s="2">
        <v>4.1452199998534403E-2</v>
      </c>
      <c r="AN804" s="2">
        <v>2.6759065823727499</v>
      </c>
      <c r="AO804" s="2">
        <v>0.196295898124037</v>
      </c>
      <c r="AP804" s="2">
        <v>0.196295898124037</v>
      </c>
      <c r="AQ804" s="2">
        <v>2</v>
      </c>
      <c r="AR804" s="2">
        <v>6</v>
      </c>
      <c r="AS804" s="2">
        <v>0</v>
      </c>
      <c r="AT804" s="2">
        <v>0</v>
      </c>
      <c r="AU804" s="2">
        <v>2</v>
      </c>
      <c r="AV804" s="2">
        <v>191</v>
      </c>
      <c r="AW804" s="2">
        <v>0</v>
      </c>
      <c r="AX804" s="2">
        <v>0</v>
      </c>
      <c r="AZ804" s="2">
        <v>6.8</v>
      </c>
      <c r="BA804" s="2">
        <v>19.899999999999999</v>
      </c>
      <c r="BB804" s="2">
        <v>564</v>
      </c>
      <c r="BC804" s="2">
        <v>68</v>
      </c>
      <c r="BD804" s="2">
        <v>1.5</v>
      </c>
      <c r="BE804" s="2">
        <v>135</v>
      </c>
      <c r="BF804" s="2">
        <v>0.8</v>
      </c>
      <c r="BG804" s="2">
        <v>162</v>
      </c>
      <c r="BH804" s="2">
        <v>9.1</v>
      </c>
      <c r="BI804" s="2">
        <v>9.1999999999999993</v>
      </c>
      <c r="BJ804" s="2">
        <v>18.3</v>
      </c>
      <c r="BK804" s="2">
        <v>0.34</v>
      </c>
      <c r="BL804" s="2">
        <v>7.3</v>
      </c>
      <c r="BM804" s="2">
        <v>0.9</v>
      </c>
      <c r="BN804" s="2">
        <v>7.5</v>
      </c>
      <c r="BO804" s="2">
        <v>2.9</v>
      </c>
      <c r="BP804" s="2">
        <f t="shared" si="24"/>
        <v>5.5746636787045656</v>
      </c>
      <c r="BQ804" s="2">
        <f t="shared" si="25"/>
        <v>18.072381411454852</v>
      </c>
    </row>
    <row r="805" spans="1:69" x14ac:dyDescent="0.2">
      <c r="A805" s="2" t="s">
        <v>3220</v>
      </c>
      <c r="B805" s="2" t="s">
        <v>47</v>
      </c>
      <c r="C805" s="2" t="s">
        <v>1935</v>
      </c>
      <c r="D805" s="2" t="s">
        <v>49</v>
      </c>
      <c r="E805" s="2" t="s">
        <v>3221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89</v>
      </c>
      <c r="L805" s="6" t="s">
        <v>141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3222</v>
      </c>
      <c r="R805" s="2">
        <v>1681415.929</v>
      </c>
      <c r="S805" s="2">
        <v>0</v>
      </c>
      <c r="T805" s="2" t="s">
        <v>344</v>
      </c>
      <c r="U805" s="2" t="s">
        <v>345</v>
      </c>
      <c r="V805" s="2" t="s">
        <v>56</v>
      </c>
      <c r="W805" s="2" t="s">
        <v>344</v>
      </c>
      <c r="X805" s="2" t="s">
        <v>346</v>
      </c>
      <c r="Y805" s="2">
        <v>2.19819050017017</v>
      </c>
      <c r="Z805" s="2">
        <v>2198.1905001701698</v>
      </c>
      <c r="AA805" s="2">
        <v>4.6056111111111102</v>
      </c>
      <c r="AB805" s="2">
        <v>-74.204055555555598</v>
      </c>
      <c r="AC805" s="2">
        <v>2546</v>
      </c>
      <c r="AD805" s="2">
        <v>0</v>
      </c>
      <c r="AE805" s="2" t="s">
        <v>59</v>
      </c>
      <c r="AF805" s="2" t="s">
        <v>86</v>
      </c>
      <c r="AG805" s="2" t="s">
        <v>61</v>
      </c>
      <c r="AH805" s="2" t="s">
        <v>62</v>
      </c>
      <c r="AI805" s="2" t="s">
        <v>347</v>
      </c>
      <c r="AJ805" s="2">
        <v>2.1474626876076699</v>
      </c>
      <c r="AK805" s="2">
        <v>3.1989711723774898</v>
      </c>
      <c r="AL805" s="2">
        <v>5.9941705261246803</v>
      </c>
      <c r="AM805" s="2">
        <v>0.75235631149003201</v>
      </c>
      <c r="AN805" s="2">
        <v>1.79446114239369</v>
      </c>
      <c r="AO805" s="2">
        <v>3.5335138842950503E-2</v>
      </c>
      <c r="AP805" s="2">
        <v>3.5335138842950503E-2</v>
      </c>
      <c r="AQ805" s="2">
        <v>0</v>
      </c>
      <c r="AR805" s="2">
        <v>0</v>
      </c>
      <c r="AS805" s="2">
        <v>0</v>
      </c>
      <c r="AT805" s="2">
        <v>0</v>
      </c>
      <c r="AU805" s="2">
        <v>0</v>
      </c>
      <c r="AV805" s="2">
        <v>4</v>
      </c>
      <c r="AW805" s="2">
        <v>0</v>
      </c>
      <c r="AX805" s="2">
        <v>0</v>
      </c>
      <c r="AZ805" s="2">
        <v>6.8</v>
      </c>
      <c r="BA805" s="2">
        <v>19.899999999999999</v>
      </c>
      <c r="BB805" s="2">
        <v>564</v>
      </c>
      <c r="BC805" s="2">
        <v>68</v>
      </c>
      <c r="BD805" s="2">
        <v>1.5</v>
      </c>
      <c r="BE805" s="2">
        <v>135</v>
      </c>
      <c r="BF805" s="2">
        <v>0.8</v>
      </c>
      <c r="BG805" s="2">
        <v>162</v>
      </c>
      <c r="BH805" s="2">
        <v>9.1</v>
      </c>
      <c r="BI805" s="2">
        <v>9.1999999999999993</v>
      </c>
      <c r="BJ805" s="2">
        <v>18.3</v>
      </c>
      <c r="BK805" s="2">
        <v>0.34</v>
      </c>
      <c r="BL805" s="2">
        <v>7.3</v>
      </c>
      <c r="BM805" s="2">
        <v>0.9</v>
      </c>
      <c r="BN805" s="2">
        <v>7.5</v>
      </c>
      <c r="BO805" s="2">
        <v>2.9</v>
      </c>
      <c r="BP805" s="2">
        <f t="shared" si="24"/>
        <v>6.0989229036950166</v>
      </c>
      <c r="BQ805" s="2">
        <f t="shared" si="25"/>
        <v>18.877356966308053</v>
      </c>
    </row>
    <row r="806" spans="1:69" x14ac:dyDescent="0.2">
      <c r="A806" s="2" t="s">
        <v>1272</v>
      </c>
      <c r="B806" s="2" t="s">
        <v>47</v>
      </c>
      <c r="C806" s="2" t="s">
        <v>48</v>
      </c>
      <c r="D806" s="2" t="s">
        <v>49</v>
      </c>
      <c r="E806" s="2" t="s">
        <v>1273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89</v>
      </c>
      <c r="L806" s="6" t="s">
        <v>103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1274</v>
      </c>
      <c r="R806" s="2">
        <v>9865470.852</v>
      </c>
      <c r="S806" s="2">
        <v>0</v>
      </c>
      <c r="T806" s="2" t="s">
        <v>54</v>
      </c>
      <c r="U806" s="2" t="s">
        <v>55</v>
      </c>
      <c r="V806" s="2" t="s">
        <v>56</v>
      </c>
      <c r="W806" s="2" t="s">
        <v>57</v>
      </c>
      <c r="X806" s="2" t="s">
        <v>58</v>
      </c>
      <c r="Y806" s="2">
        <v>3.35437104907817</v>
      </c>
      <c r="Z806" s="2">
        <v>3354.37104907817</v>
      </c>
      <c r="AA806" s="2">
        <v>4.6584666666666701</v>
      </c>
      <c r="AB806" s="2">
        <v>-74.083966666666697</v>
      </c>
      <c r="AC806" s="2">
        <v>2552</v>
      </c>
      <c r="AD806" s="2">
        <v>0</v>
      </c>
      <c r="AE806" s="2" t="s">
        <v>59</v>
      </c>
      <c r="AF806" s="2" t="s">
        <v>60</v>
      </c>
      <c r="AG806" s="2" t="s">
        <v>61</v>
      </c>
      <c r="AH806" s="2" t="s">
        <v>62</v>
      </c>
      <c r="AI806" s="2" t="s">
        <v>71</v>
      </c>
      <c r="AJ806" s="2">
        <v>0.57471711544830995</v>
      </c>
      <c r="AK806" s="2">
        <v>4.8441901940043399</v>
      </c>
      <c r="AL806" s="2">
        <v>0.95641984939862501</v>
      </c>
      <c r="AM806" s="2">
        <v>0.364061863307584</v>
      </c>
      <c r="AN806" s="2">
        <v>1.28565243786707</v>
      </c>
      <c r="AO806" s="2">
        <v>0.50657894207424103</v>
      </c>
      <c r="AP806" s="2">
        <v>0.50657894207424103</v>
      </c>
      <c r="AQ806" s="2">
        <v>0</v>
      </c>
      <c r="AR806" s="2">
        <v>2</v>
      </c>
      <c r="AS806" s="2">
        <v>0</v>
      </c>
      <c r="AT806" s="2">
        <v>0</v>
      </c>
      <c r="AU806" s="2">
        <v>1</v>
      </c>
      <c r="AV806" s="2">
        <v>37</v>
      </c>
      <c r="AW806" s="2">
        <v>0</v>
      </c>
      <c r="AX806" s="2">
        <v>0</v>
      </c>
      <c r="AZ806" s="2">
        <v>6.8</v>
      </c>
      <c r="BA806" s="2">
        <v>19.899999999999999</v>
      </c>
      <c r="BB806" s="2">
        <v>564</v>
      </c>
      <c r="BC806" s="2">
        <v>68</v>
      </c>
      <c r="BD806" s="2">
        <v>1.5</v>
      </c>
      <c r="BE806" s="2">
        <v>135</v>
      </c>
      <c r="BF806" s="2">
        <v>0.8</v>
      </c>
      <c r="BG806" s="2">
        <v>162</v>
      </c>
      <c r="BH806" s="2">
        <v>9.1</v>
      </c>
      <c r="BI806" s="2">
        <v>9.1999999999999993</v>
      </c>
      <c r="BJ806" s="2">
        <v>18.3</v>
      </c>
      <c r="BK806" s="2">
        <v>0.34</v>
      </c>
      <c r="BL806" s="2">
        <v>7.3</v>
      </c>
      <c r="BM806" s="2">
        <v>0.9</v>
      </c>
      <c r="BN806" s="2">
        <v>7.5</v>
      </c>
      <c r="BO806" s="2">
        <v>2.9</v>
      </c>
      <c r="BP806" s="2">
        <f t="shared" si="24"/>
        <v>5.7596761274442505</v>
      </c>
      <c r="BQ806" s="2">
        <f t="shared" si="25"/>
        <v>18.36074251838788</v>
      </c>
    </row>
    <row r="807" spans="1:69" x14ac:dyDescent="0.2">
      <c r="A807" s="2" t="s">
        <v>2471</v>
      </c>
      <c r="B807" s="2" t="s">
        <v>47</v>
      </c>
      <c r="C807" s="2" t="s">
        <v>1935</v>
      </c>
      <c r="D807" s="2" t="s">
        <v>49</v>
      </c>
      <c r="E807" s="2" t="s">
        <v>2472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89</v>
      </c>
      <c r="L807" s="6" t="s">
        <v>141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2473</v>
      </c>
      <c r="R807" s="2">
        <v>8863636.3640000001</v>
      </c>
      <c r="S807" s="2">
        <v>0</v>
      </c>
      <c r="T807" s="2" t="s">
        <v>54</v>
      </c>
      <c r="U807" s="2" t="s">
        <v>55</v>
      </c>
      <c r="V807" s="2" t="s">
        <v>56</v>
      </c>
      <c r="W807" s="2" t="s">
        <v>57</v>
      </c>
      <c r="X807" s="2" t="s">
        <v>58</v>
      </c>
      <c r="Y807" s="2">
        <v>2.94594111611142</v>
      </c>
      <c r="Z807" s="2">
        <v>2945.9411161114199</v>
      </c>
      <c r="AA807" s="2">
        <v>4.6584666666666701</v>
      </c>
      <c r="AB807" s="2">
        <v>-74.083966666666697</v>
      </c>
      <c r="AC807" s="2">
        <v>2552</v>
      </c>
      <c r="AD807" s="2">
        <v>0</v>
      </c>
      <c r="AE807" s="2" t="s">
        <v>59</v>
      </c>
      <c r="AF807" s="2" t="s">
        <v>60</v>
      </c>
      <c r="AG807" s="2" t="s">
        <v>61</v>
      </c>
      <c r="AH807" s="2" t="s">
        <v>62</v>
      </c>
      <c r="AI807" s="2" t="s">
        <v>109</v>
      </c>
      <c r="AJ807" s="2">
        <v>0.382077492454518</v>
      </c>
      <c r="AK807" s="2">
        <v>1.2578728986240899</v>
      </c>
      <c r="AL807" s="2">
        <v>7.7840349300697206E-2</v>
      </c>
      <c r="AM807" s="2">
        <v>3.9627619497292703E-2</v>
      </c>
      <c r="AN807" s="2">
        <v>2.3694806917545801</v>
      </c>
      <c r="AO807" s="2">
        <v>9.5987406333570197E-2</v>
      </c>
      <c r="AP807" s="2">
        <v>9.5987406333570197E-2</v>
      </c>
      <c r="AQ807" s="2">
        <v>1</v>
      </c>
      <c r="AR807" s="2">
        <v>3</v>
      </c>
      <c r="AS807" s="2">
        <v>0</v>
      </c>
      <c r="AT807" s="2">
        <v>0</v>
      </c>
      <c r="AU807" s="2">
        <v>21</v>
      </c>
      <c r="AV807" s="2">
        <v>245</v>
      </c>
      <c r="AW807" s="2">
        <v>0</v>
      </c>
      <c r="AX807" s="2">
        <v>0</v>
      </c>
      <c r="AZ807" s="2">
        <v>6.8</v>
      </c>
      <c r="BA807" s="2">
        <v>19.899999999999999</v>
      </c>
      <c r="BB807" s="2">
        <v>564</v>
      </c>
      <c r="BC807" s="2">
        <v>68</v>
      </c>
      <c r="BD807" s="2">
        <v>1.5</v>
      </c>
      <c r="BE807" s="2">
        <v>135</v>
      </c>
      <c r="BF807" s="2">
        <v>0.8</v>
      </c>
      <c r="BG807" s="2">
        <v>162</v>
      </c>
      <c r="BH807" s="2">
        <v>9.1</v>
      </c>
      <c r="BI807" s="2">
        <v>9.1999999999999993</v>
      </c>
      <c r="BJ807" s="2">
        <v>18.3</v>
      </c>
      <c r="BK807" s="2">
        <v>0.34</v>
      </c>
      <c r="BL807" s="2">
        <v>7.3</v>
      </c>
      <c r="BM807" s="2">
        <v>0.9</v>
      </c>
      <c r="BN807" s="2">
        <v>7.5</v>
      </c>
      <c r="BO807" s="2">
        <v>2.9</v>
      </c>
      <c r="BP807" s="2">
        <f t="shared" si="24"/>
        <v>5.8773061955860166</v>
      </c>
      <c r="BQ807" s="2">
        <f t="shared" si="25"/>
        <v>18.54160535180295</v>
      </c>
    </row>
    <row r="808" spans="1:69" x14ac:dyDescent="0.2">
      <c r="A808" s="2" t="s">
        <v>1490</v>
      </c>
      <c r="B808" s="2" t="s">
        <v>47</v>
      </c>
      <c r="C808" s="2" t="s">
        <v>48</v>
      </c>
      <c r="D808" s="2" t="s">
        <v>49</v>
      </c>
      <c r="E808" s="2" t="s">
        <v>289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89</v>
      </c>
      <c r="L808" s="6" t="s">
        <v>141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1491</v>
      </c>
      <c r="R808" s="2">
        <v>7500000</v>
      </c>
      <c r="S808" s="2">
        <v>0</v>
      </c>
      <c r="T808" s="2" t="s">
        <v>54</v>
      </c>
      <c r="U808" s="2" t="s">
        <v>55</v>
      </c>
      <c r="V808" s="2" t="s">
        <v>56</v>
      </c>
      <c r="W808" s="2" t="s">
        <v>57</v>
      </c>
      <c r="X808" s="2" t="s">
        <v>58</v>
      </c>
      <c r="Y808" s="2">
        <v>4.0507021566233004</v>
      </c>
      <c r="Z808" s="2">
        <v>4050.7021566233002</v>
      </c>
      <c r="AA808" s="2">
        <v>4.6584666666666701</v>
      </c>
      <c r="AB808" s="2">
        <v>-74.083966666666697</v>
      </c>
      <c r="AC808" s="2">
        <v>2552</v>
      </c>
      <c r="AD808" s="2">
        <v>0</v>
      </c>
      <c r="AE808" s="2" t="s">
        <v>59</v>
      </c>
      <c r="AF808" s="2" t="s">
        <v>60</v>
      </c>
      <c r="AG808" s="2" t="s">
        <v>61</v>
      </c>
      <c r="AH808" s="2" t="s">
        <v>62</v>
      </c>
      <c r="AI808" s="2" t="s">
        <v>109</v>
      </c>
      <c r="AJ808" s="2">
        <v>1.62706112658376</v>
      </c>
      <c r="AK808" s="2">
        <v>6.4921182246533995E-2</v>
      </c>
      <c r="AL808" s="2">
        <v>1.11174253474287</v>
      </c>
      <c r="AM808" s="2">
        <v>0.664919023839179</v>
      </c>
      <c r="AN808" s="2">
        <v>2.0204948890196999</v>
      </c>
      <c r="AO808" s="2">
        <v>0.50865578050319504</v>
      </c>
      <c r="AP808" s="2">
        <v>0.50865578050319504</v>
      </c>
      <c r="AQ808" s="2">
        <v>0</v>
      </c>
      <c r="AR808" s="2">
        <v>0</v>
      </c>
      <c r="AS808" s="2">
        <v>19</v>
      </c>
      <c r="AT808" s="2">
        <v>37</v>
      </c>
      <c r="AU808" s="2">
        <v>0</v>
      </c>
      <c r="AV808" s="2">
        <v>10</v>
      </c>
      <c r="AW808" s="2">
        <v>0</v>
      </c>
      <c r="AX808" s="2">
        <v>0</v>
      </c>
      <c r="AZ808" s="2">
        <v>6.8</v>
      </c>
      <c r="BA808" s="2">
        <v>19.899999999999999</v>
      </c>
      <c r="BB808" s="2">
        <v>564</v>
      </c>
      <c r="BC808" s="2">
        <v>68</v>
      </c>
      <c r="BD808" s="2">
        <v>1.5</v>
      </c>
      <c r="BE808" s="2">
        <v>135</v>
      </c>
      <c r="BF808" s="2">
        <v>0.8</v>
      </c>
      <c r="BG808" s="2">
        <v>162</v>
      </c>
      <c r="BH808" s="2">
        <v>9.1</v>
      </c>
      <c r="BI808" s="2">
        <v>9.1999999999999993</v>
      </c>
      <c r="BJ808" s="2">
        <v>18.3</v>
      </c>
      <c r="BK808" s="2">
        <v>0.34</v>
      </c>
      <c r="BL808" s="2">
        <v>7.3</v>
      </c>
      <c r="BM808" s="2">
        <v>0.9</v>
      </c>
      <c r="BN808" s="2">
        <v>7.5</v>
      </c>
      <c r="BO808" s="2">
        <v>2.9</v>
      </c>
      <c r="BP808" s="2">
        <f t="shared" si="24"/>
        <v>5.5645318401482138</v>
      </c>
      <c r="BQ808" s="2">
        <f t="shared" si="25"/>
        <v>18.056448524848857</v>
      </c>
    </row>
    <row r="809" spans="1:69" x14ac:dyDescent="0.2">
      <c r="A809" s="2" t="s">
        <v>1918</v>
      </c>
      <c r="B809" s="2" t="s">
        <v>47</v>
      </c>
      <c r="C809" s="2" t="s">
        <v>48</v>
      </c>
      <c r="D809" s="2" t="s">
        <v>49</v>
      </c>
      <c r="E809" s="2" t="s">
        <v>330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89</v>
      </c>
      <c r="L809" s="6" t="s">
        <v>141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1919</v>
      </c>
      <c r="R809" s="2">
        <v>7500000</v>
      </c>
      <c r="S809" s="2">
        <v>0</v>
      </c>
      <c r="T809" s="2" t="s">
        <v>105</v>
      </c>
      <c r="U809" s="2" t="s">
        <v>106</v>
      </c>
      <c r="V809" s="2" t="s">
        <v>56</v>
      </c>
      <c r="W809" s="2" t="s">
        <v>107</v>
      </c>
      <c r="X809" s="2" t="s">
        <v>108</v>
      </c>
      <c r="Y809" s="2">
        <v>3.64952561339943</v>
      </c>
      <c r="Z809" s="2">
        <v>3649.5256133994299</v>
      </c>
      <c r="AA809" s="2">
        <v>4.6254861111111101</v>
      </c>
      <c r="AB809" s="2">
        <v>-74.066980555555503</v>
      </c>
      <c r="AC809" s="2">
        <v>2621</v>
      </c>
      <c r="AD809" s="2">
        <v>15</v>
      </c>
      <c r="AE809" s="2" t="s">
        <v>59</v>
      </c>
      <c r="AF809" s="2" t="s">
        <v>60</v>
      </c>
      <c r="AG809" s="2" t="s">
        <v>61</v>
      </c>
      <c r="AH809" s="2" t="s">
        <v>62</v>
      </c>
      <c r="AI809" s="2" t="s">
        <v>109</v>
      </c>
      <c r="AJ809" s="2">
        <v>1.4915328427299701</v>
      </c>
      <c r="AK809" s="2">
        <v>0.100984058480532</v>
      </c>
      <c r="AL809" s="2">
        <v>0.92268407071644698</v>
      </c>
      <c r="AM809" s="2">
        <v>0.51561496168696597</v>
      </c>
      <c r="AN809" s="2">
        <v>1.6204019929823501</v>
      </c>
      <c r="AO809" s="2">
        <v>0.124329048942754</v>
      </c>
      <c r="AP809" s="2">
        <v>0.124329048942754</v>
      </c>
      <c r="AQ809" s="2">
        <v>0</v>
      </c>
      <c r="AR809" s="2">
        <v>0</v>
      </c>
      <c r="AS809" s="2">
        <v>21</v>
      </c>
      <c r="AT809" s="2">
        <v>43</v>
      </c>
      <c r="AU809" s="2">
        <v>1</v>
      </c>
      <c r="AV809" s="2">
        <v>11</v>
      </c>
      <c r="AW809" s="2">
        <v>0</v>
      </c>
      <c r="AX809" s="2">
        <v>0</v>
      </c>
      <c r="AZ809" s="2">
        <v>6.8</v>
      </c>
      <c r="BA809" s="2">
        <v>19.899999999999999</v>
      </c>
      <c r="BB809" s="2">
        <v>564</v>
      </c>
      <c r="BC809" s="2">
        <v>68</v>
      </c>
      <c r="BD809" s="2">
        <v>1.5</v>
      </c>
      <c r="BE809" s="2">
        <v>135</v>
      </c>
      <c r="BF809" s="2">
        <v>0.8</v>
      </c>
      <c r="BG809" s="2">
        <v>162</v>
      </c>
      <c r="BH809" s="2">
        <v>9.1</v>
      </c>
      <c r="BI809" s="2">
        <v>9.1999999999999993</v>
      </c>
      <c r="BJ809" s="2">
        <v>18.3</v>
      </c>
      <c r="BK809" s="2">
        <v>0.34</v>
      </c>
      <c r="BL809" s="2">
        <v>7.3</v>
      </c>
      <c r="BM809" s="2">
        <v>0.9</v>
      </c>
      <c r="BN809" s="2">
        <v>7.5</v>
      </c>
      <c r="BO809" s="2">
        <v>2.9</v>
      </c>
      <c r="BP809" s="2">
        <f t="shared" si="24"/>
        <v>5.6761381272598141</v>
      </c>
      <c r="BQ809" s="2">
        <f t="shared" si="25"/>
        <v>18.231139926880886</v>
      </c>
    </row>
    <row r="810" spans="1:69" x14ac:dyDescent="0.2">
      <c r="A810" s="2" t="s">
        <v>1341</v>
      </c>
      <c r="B810" s="2" t="s">
        <v>47</v>
      </c>
      <c r="C810" s="2" t="s">
        <v>48</v>
      </c>
      <c r="D810" s="2" t="s">
        <v>49</v>
      </c>
      <c r="E810" s="2" t="s">
        <v>233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89</v>
      </c>
      <c r="L810" s="6" t="s">
        <v>141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1342</v>
      </c>
      <c r="R810" s="2">
        <v>7090909.091</v>
      </c>
      <c r="S810" s="2">
        <v>0</v>
      </c>
      <c r="T810" s="2" t="s">
        <v>105</v>
      </c>
      <c r="U810" s="2" t="s">
        <v>106</v>
      </c>
      <c r="V810" s="2" t="s">
        <v>56</v>
      </c>
      <c r="W810" s="2" t="s">
        <v>107</v>
      </c>
      <c r="X810" s="2" t="s">
        <v>108</v>
      </c>
      <c r="Y810" s="2">
        <v>3.4915782998335199</v>
      </c>
      <c r="Z810" s="2">
        <v>3491.5782998335198</v>
      </c>
      <c r="AA810" s="2">
        <v>4.6254861111111101</v>
      </c>
      <c r="AB810" s="2">
        <v>-74.066980555555503</v>
      </c>
      <c r="AC810" s="2">
        <v>2621</v>
      </c>
      <c r="AD810" s="2">
        <v>15</v>
      </c>
      <c r="AE810" s="2" t="s">
        <v>59</v>
      </c>
      <c r="AF810" s="2" t="s">
        <v>60</v>
      </c>
      <c r="AG810" s="2" t="s">
        <v>61</v>
      </c>
      <c r="AH810" s="2" t="s">
        <v>62</v>
      </c>
      <c r="AI810" s="2" t="s">
        <v>109</v>
      </c>
      <c r="AJ810" s="2">
        <v>1.63231166695859</v>
      </c>
      <c r="AK810" s="2">
        <v>5.5877461538670702E-2</v>
      </c>
      <c r="AL810" s="2">
        <v>0.94215302682768098</v>
      </c>
      <c r="AM810" s="2">
        <v>0.64793026307117996</v>
      </c>
      <c r="AN810" s="2">
        <v>1.4926214187419</v>
      </c>
      <c r="AO810" s="2">
        <v>0.155920402453084</v>
      </c>
      <c r="AP810" s="2">
        <v>0.155920402453084</v>
      </c>
      <c r="AQ810" s="2">
        <v>0</v>
      </c>
      <c r="AR810" s="2">
        <v>0</v>
      </c>
      <c r="AS810" s="2">
        <v>28</v>
      </c>
      <c r="AT810" s="2">
        <v>43</v>
      </c>
      <c r="AU810" s="2">
        <v>1</v>
      </c>
      <c r="AV810" s="2">
        <v>8</v>
      </c>
      <c r="AW810" s="2">
        <v>0</v>
      </c>
      <c r="AX810" s="2">
        <v>0</v>
      </c>
      <c r="AZ810" s="2">
        <v>6.8</v>
      </c>
      <c r="BA810" s="2">
        <v>19.899999999999999</v>
      </c>
      <c r="BB810" s="2">
        <v>564</v>
      </c>
      <c r="BC810" s="2">
        <v>68</v>
      </c>
      <c r="BD810" s="2">
        <v>1.5</v>
      </c>
      <c r="BE810" s="2">
        <v>135</v>
      </c>
      <c r="BF810" s="2">
        <v>0.8</v>
      </c>
      <c r="BG810" s="2">
        <v>162</v>
      </c>
      <c r="BH810" s="2">
        <v>9.1</v>
      </c>
      <c r="BI810" s="2">
        <v>9.1999999999999993</v>
      </c>
      <c r="BJ810" s="2">
        <v>18.3</v>
      </c>
      <c r="BK810" s="2">
        <v>0.34</v>
      </c>
      <c r="BL810" s="2">
        <v>7.3</v>
      </c>
      <c r="BM810" s="2">
        <v>0.9</v>
      </c>
      <c r="BN810" s="2">
        <v>7.5</v>
      </c>
      <c r="BO810" s="2">
        <v>2.9</v>
      </c>
      <c r="BP810" s="2">
        <f t="shared" si="24"/>
        <v>5.7206903366803701</v>
      </c>
      <c r="BQ810" s="2">
        <f t="shared" si="25"/>
        <v>18.300380510129223</v>
      </c>
    </row>
    <row r="811" spans="1:69" x14ac:dyDescent="0.2">
      <c r="A811" s="2" t="s">
        <v>698</v>
      </c>
      <c r="B811" s="2" t="s">
        <v>47</v>
      </c>
      <c r="C811" s="2" t="s">
        <v>48</v>
      </c>
      <c r="D811" s="2" t="s">
        <v>49</v>
      </c>
      <c r="E811" s="2" t="s">
        <v>699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89</v>
      </c>
      <c r="L811" s="6" t="s">
        <v>141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700</v>
      </c>
      <c r="R811" s="2">
        <v>5909090.909</v>
      </c>
      <c r="S811" s="2">
        <v>0</v>
      </c>
      <c r="T811" s="2" t="s">
        <v>105</v>
      </c>
      <c r="U811" s="2" t="s">
        <v>106</v>
      </c>
      <c r="V811" s="2" t="s">
        <v>56</v>
      </c>
      <c r="W811" s="2" t="s">
        <v>107</v>
      </c>
      <c r="X811" s="2" t="s">
        <v>108</v>
      </c>
      <c r="Y811" s="2">
        <v>1.89734218254341</v>
      </c>
      <c r="Z811" s="2">
        <v>1897.34218254341</v>
      </c>
      <c r="AA811" s="2">
        <v>4.6254861111111101</v>
      </c>
      <c r="AB811" s="2">
        <v>-74.066980555555503</v>
      </c>
      <c r="AC811" s="2">
        <v>2621</v>
      </c>
      <c r="AD811" s="2">
        <v>15</v>
      </c>
      <c r="AE811" s="2" t="s">
        <v>59</v>
      </c>
      <c r="AF811" s="2" t="s">
        <v>60</v>
      </c>
      <c r="AG811" s="2" t="s">
        <v>61</v>
      </c>
      <c r="AH811" s="2" t="s">
        <v>62</v>
      </c>
      <c r="AI811" s="2" t="s">
        <v>63</v>
      </c>
      <c r="AJ811" s="2">
        <v>0.19174368509630199</v>
      </c>
      <c r="AK811" s="2">
        <v>2.4332719400406799</v>
      </c>
      <c r="AL811" s="2">
        <v>0.186552854962308</v>
      </c>
      <c r="AM811" s="2">
        <v>0.100403539878107</v>
      </c>
      <c r="AN811" s="2">
        <v>1.8520938915401199</v>
      </c>
      <c r="AO811" s="2">
        <v>0.26812849513319698</v>
      </c>
      <c r="AP811" s="2">
        <v>0.26812849513319698</v>
      </c>
      <c r="AQ811" s="2">
        <v>2</v>
      </c>
      <c r="AR811" s="2">
        <v>5</v>
      </c>
      <c r="AS811" s="2">
        <v>0</v>
      </c>
      <c r="AT811" s="2">
        <v>0</v>
      </c>
      <c r="AU811" s="2">
        <v>4</v>
      </c>
      <c r="AV811" s="2">
        <v>43</v>
      </c>
      <c r="AW811" s="2">
        <v>0</v>
      </c>
      <c r="AX811" s="2">
        <v>0</v>
      </c>
      <c r="AZ811" s="2">
        <v>6.8</v>
      </c>
      <c r="BA811" s="2">
        <v>19.899999999999999</v>
      </c>
      <c r="BB811" s="2">
        <v>564</v>
      </c>
      <c r="BC811" s="2">
        <v>68</v>
      </c>
      <c r="BD811" s="2">
        <v>1.5</v>
      </c>
      <c r="BE811" s="2">
        <v>135</v>
      </c>
      <c r="BF811" s="2">
        <v>0.8</v>
      </c>
      <c r="BG811" s="2">
        <v>162</v>
      </c>
      <c r="BH811" s="2">
        <v>9.1</v>
      </c>
      <c r="BI811" s="2">
        <v>9.1999999999999993</v>
      </c>
      <c r="BJ811" s="2">
        <v>18.3</v>
      </c>
      <c r="BK811" s="2">
        <v>0.34</v>
      </c>
      <c r="BL811" s="2">
        <v>7.3</v>
      </c>
      <c r="BM811" s="2">
        <v>0.9</v>
      </c>
      <c r="BN811" s="2">
        <v>7.5</v>
      </c>
      <c r="BO811" s="2">
        <v>2.9</v>
      </c>
      <c r="BP811" s="2">
        <f t="shared" si="24"/>
        <v>6.1904276660863893</v>
      </c>
      <c r="BQ811" s="2">
        <f t="shared" si="25"/>
        <v>19.014151531014338</v>
      </c>
    </row>
    <row r="812" spans="1:69" x14ac:dyDescent="0.2">
      <c r="A812" s="2" t="s">
        <v>2414</v>
      </c>
      <c r="B812" s="2" t="s">
        <v>47</v>
      </c>
      <c r="C812" s="2" t="s">
        <v>1935</v>
      </c>
      <c r="D812" s="2" t="s">
        <v>49</v>
      </c>
      <c r="E812" s="2" t="s">
        <v>1496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89</v>
      </c>
      <c r="L812" s="6" t="s">
        <v>141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2415</v>
      </c>
      <c r="R812" s="2">
        <v>5681818.182</v>
      </c>
      <c r="S812" s="2">
        <v>0</v>
      </c>
      <c r="T812" s="2" t="s">
        <v>105</v>
      </c>
      <c r="U812" s="2" t="s">
        <v>106</v>
      </c>
      <c r="V812" s="2" t="s">
        <v>56</v>
      </c>
      <c r="W812" s="2" t="s">
        <v>107</v>
      </c>
      <c r="X812" s="2" t="s">
        <v>108</v>
      </c>
      <c r="Y812" s="2">
        <v>1.1347410464030601</v>
      </c>
      <c r="Z812" s="2">
        <v>1134.74104640306</v>
      </c>
      <c r="AA812" s="2">
        <v>4.6254861111111101</v>
      </c>
      <c r="AB812" s="2">
        <v>-74.066980555555503</v>
      </c>
      <c r="AC812" s="2">
        <v>2621</v>
      </c>
      <c r="AD812" s="2">
        <v>15</v>
      </c>
      <c r="AE812" s="2" t="s">
        <v>59</v>
      </c>
      <c r="AF812" s="2" t="s">
        <v>60</v>
      </c>
      <c r="AG812" s="2" t="s">
        <v>61</v>
      </c>
      <c r="AH812" s="2" t="s">
        <v>62</v>
      </c>
      <c r="AI812" s="2" t="s">
        <v>117</v>
      </c>
      <c r="AJ812" s="2">
        <v>0.108739682751182</v>
      </c>
      <c r="AK812" s="2">
        <v>0.835079064217916</v>
      </c>
      <c r="AL812" s="2">
        <v>0.23527906804114401</v>
      </c>
      <c r="AM812" s="2">
        <v>4.4426932523155403E-2</v>
      </c>
      <c r="AN812" s="2">
        <v>0.55417952486986299</v>
      </c>
      <c r="AO812" s="2">
        <v>0.27822463704149802</v>
      </c>
      <c r="AP812" s="2">
        <v>0.27822463704149802</v>
      </c>
      <c r="AQ812" s="2">
        <v>2</v>
      </c>
      <c r="AR812" s="2">
        <v>6</v>
      </c>
      <c r="AS812" s="2">
        <v>0</v>
      </c>
      <c r="AT812" s="2">
        <v>1</v>
      </c>
      <c r="AU812" s="2">
        <v>12</v>
      </c>
      <c r="AV812" s="2">
        <v>63</v>
      </c>
      <c r="AW812" s="2">
        <v>1</v>
      </c>
      <c r="AX812" s="2">
        <v>4</v>
      </c>
      <c r="AZ812" s="2">
        <v>6.8</v>
      </c>
      <c r="BA812" s="2">
        <v>19.899999999999999</v>
      </c>
      <c r="BB812" s="2">
        <v>564</v>
      </c>
      <c r="BC812" s="2">
        <v>68</v>
      </c>
      <c r="BD812" s="2">
        <v>1.5</v>
      </c>
      <c r="BE812" s="2">
        <v>135</v>
      </c>
      <c r="BF812" s="2">
        <v>0.8</v>
      </c>
      <c r="BG812" s="2">
        <v>162</v>
      </c>
      <c r="BH812" s="2">
        <v>9.1</v>
      </c>
      <c r="BI812" s="2">
        <v>9.1999999999999993</v>
      </c>
      <c r="BJ812" s="2">
        <v>18.3</v>
      </c>
      <c r="BK812" s="2">
        <v>0.34</v>
      </c>
      <c r="BL812" s="2">
        <v>7.3</v>
      </c>
      <c r="BM812" s="2">
        <v>0.9</v>
      </c>
      <c r="BN812" s="2">
        <v>7.5</v>
      </c>
      <c r="BO812" s="2">
        <v>2.9</v>
      </c>
      <c r="BP812" s="2">
        <f t="shared" si="24"/>
        <v>6.4285752193089225</v>
      </c>
      <c r="BQ812" s="2">
        <f t="shared" si="25"/>
        <v>19.365360843995276</v>
      </c>
    </row>
    <row r="813" spans="1:69" x14ac:dyDescent="0.2">
      <c r="A813" s="2" t="s">
        <v>3071</v>
      </c>
      <c r="B813" s="2" t="s">
        <v>47</v>
      </c>
      <c r="C813" s="2" t="s">
        <v>1935</v>
      </c>
      <c r="D813" s="2" t="s">
        <v>49</v>
      </c>
      <c r="E813" s="2" t="s">
        <v>1820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89</v>
      </c>
      <c r="L813" s="6" t="s">
        <v>103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3072</v>
      </c>
      <c r="R813" s="2">
        <v>2954545.4550000001</v>
      </c>
      <c r="S813" s="2">
        <v>0</v>
      </c>
      <c r="T813" s="2" t="s">
        <v>1822</v>
      </c>
      <c r="U813" s="2" t="s">
        <v>1823</v>
      </c>
      <c r="V813" s="2" t="s">
        <v>56</v>
      </c>
      <c r="W813" s="2" t="s">
        <v>1824</v>
      </c>
      <c r="X813" s="2" t="s">
        <v>1825</v>
      </c>
      <c r="Y813" s="2">
        <v>2.1282961785504999</v>
      </c>
      <c r="Z813" s="2">
        <v>2128.2961785504999</v>
      </c>
      <c r="AA813" s="2">
        <v>4.576225</v>
      </c>
      <c r="AB813" s="2">
        <v>-74.130955555555502</v>
      </c>
      <c r="AC813" s="2">
        <v>2589</v>
      </c>
      <c r="AD813" s="2">
        <v>0</v>
      </c>
      <c r="AE813" s="2" t="s">
        <v>59</v>
      </c>
      <c r="AF813" s="2" t="s">
        <v>86</v>
      </c>
      <c r="AG813" s="2" t="s">
        <v>61</v>
      </c>
      <c r="AH813" s="2" t="s">
        <v>62</v>
      </c>
      <c r="AI813" s="2" t="s">
        <v>1826</v>
      </c>
      <c r="AJ813" s="2">
        <v>0.55155027917155297</v>
      </c>
      <c r="AK813" s="2">
        <v>4.2624705559494398</v>
      </c>
      <c r="AL813" s="2">
        <v>1.7609735034410099</v>
      </c>
      <c r="AM813" s="2">
        <v>0.261311379408109</v>
      </c>
      <c r="AN813" s="2">
        <v>0.48716370899837003</v>
      </c>
      <c r="AO813" s="2">
        <v>7.4232560539476402E-3</v>
      </c>
      <c r="AP813" s="2">
        <v>7.4232560539476402E-3</v>
      </c>
      <c r="AQ813" s="2">
        <v>0</v>
      </c>
      <c r="AR813" s="2">
        <v>2</v>
      </c>
      <c r="AS813" s="2">
        <v>0</v>
      </c>
      <c r="AT813" s="2">
        <v>0</v>
      </c>
      <c r="AU813" s="2">
        <v>0</v>
      </c>
      <c r="AV813" s="2">
        <v>50</v>
      </c>
      <c r="AW813" s="2">
        <v>1</v>
      </c>
      <c r="AX813" s="2">
        <v>0</v>
      </c>
      <c r="AZ813" s="2">
        <v>6.8</v>
      </c>
      <c r="BA813" s="2">
        <v>19.899999999999999</v>
      </c>
      <c r="BB813" s="2">
        <v>564</v>
      </c>
      <c r="BC813" s="2">
        <v>68</v>
      </c>
      <c r="BD813" s="2">
        <v>1.5</v>
      </c>
      <c r="BE813" s="2">
        <v>135</v>
      </c>
      <c r="BF813" s="2">
        <v>0.8</v>
      </c>
      <c r="BG813" s="2">
        <v>162</v>
      </c>
      <c r="BH813" s="2">
        <v>9.1</v>
      </c>
      <c r="BI813" s="2">
        <v>9.1999999999999993</v>
      </c>
      <c r="BJ813" s="2">
        <v>18.3</v>
      </c>
      <c r="BK813" s="2">
        <v>0.34</v>
      </c>
      <c r="BL813" s="2">
        <v>7.3</v>
      </c>
      <c r="BM813" s="2">
        <v>0.9</v>
      </c>
      <c r="BN813" s="2">
        <v>7.5</v>
      </c>
      <c r="BO813" s="2">
        <v>2.9</v>
      </c>
      <c r="BP813" s="2">
        <f t="shared" si="24"/>
        <v>6.1200603117929884</v>
      </c>
      <c r="BQ813" s="2">
        <f t="shared" si="25"/>
        <v>18.909049621935598</v>
      </c>
    </row>
    <row r="814" spans="1:69" x14ac:dyDescent="0.2">
      <c r="A814" s="2" t="s">
        <v>1696</v>
      </c>
      <c r="B814" s="2" t="s">
        <v>47</v>
      </c>
      <c r="C814" s="2" t="s">
        <v>48</v>
      </c>
      <c r="D814" s="2" t="s">
        <v>49</v>
      </c>
      <c r="E814" s="2" t="s">
        <v>721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89</v>
      </c>
      <c r="L814" s="6" t="s">
        <v>103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1697</v>
      </c>
      <c r="R814" s="2">
        <v>8493150.6850000005</v>
      </c>
      <c r="S814" s="2">
        <v>0</v>
      </c>
      <c r="T814" s="2" t="s">
        <v>54</v>
      </c>
      <c r="U814" s="2" t="s">
        <v>55</v>
      </c>
      <c r="V814" s="2" t="s">
        <v>56</v>
      </c>
      <c r="W814" s="2" t="s">
        <v>57</v>
      </c>
      <c r="X814" s="2" t="s">
        <v>58</v>
      </c>
      <c r="Y814" s="2">
        <v>3.6044305809767501</v>
      </c>
      <c r="Z814" s="2">
        <v>3604.4305809767502</v>
      </c>
      <c r="AA814" s="2">
        <v>4.6584666666666701</v>
      </c>
      <c r="AB814" s="2">
        <v>-74.083966666666697</v>
      </c>
      <c r="AC814" s="2">
        <v>2552</v>
      </c>
      <c r="AD814" s="2">
        <v>0</v>
      </c>
      <c r="AE814" s="2" t="s">
        <v>59</v>
      </c>
      <c r="AF814" s="2" t="s">
        <v>60</v>
      </c>
      <c r="AG814" s="2" t="s">
        <v>61</v>
      </c>
      <c r="AH814" s="2" t="s">
        <v>62</v>
      </c>
      <c r="AI814" s="2" t="s">
        <v>109</v>
      </c>
      <c r="AJ814" s="2">
        <v>0.96063371613745796</v>
      </c>
      <c r="AK814" s="2">
        <v>0.77339238275817401</v>
      </c>
      <c r="AL814" s="2">
        <v>0.168938389197891</v>
      </c>
      <c r="AM814" s="2">
        <v>4.5797603428076303E-2</v>
      </c>
      <c r="AN814" s="2">
        <v>2.6897319231697501</v>
      </c>
      <c r="AO814" s="2">
        <v>0.12188315820147499</v>
      </c>
      <c r="AP814" s="2">
        <v>0.12188315820147499</v>
      </c>
      <c r="AQ814" s="2">
        <v>0</v>
      </c>
      <c r="AR814" s="2">
        <v>1</v>
      </c>
      <c r="AS814" s="2">
        <v>0</v>
      </c>
      <c r="AT814" s="2">
        <v>10</v>
      </c>
      <c r="AU814" s="2">
        <v>12</v>
      </c>
      <c r="AV814" s="2">
        <v>213</v>
      </c>
      <c r="AW814" s="2">
        <v>0</v>
      </c>
      <c r="AX814" s="2">
        <v>0</v>
      </c>
      <c r="AZ814" s="2">
        <v>6.8</v>
      </c>
      <c r="BA814" s="2">
        <v>19.899999999999999</v>
      </c>
      <c r="BB814" s="2">
        <v>564</v>
      </c>
      <c r="BC814" s="2">
        <v>68</v>
      </c>
      <c r="BD814" s="2">
        <v>1.5</v>
      </c>
      <c r="BE814" s="2">
        <v>135</v>
      </c>
      <c r="BF814" s="2">
        <v>0.8</v>
      </c>
      <c r="BG814" s="2">
        <v>162</v>
      </c>
      <c r="BH814" s="2">
        <v>9.1</v>
      </c>
      <c r="BI814" s="2">
        <v>9.1999999999999993</v>
      </c>
      <c r="BJ814" s="2">
        <v>18.3</v>
      </c>
      <c r="BK814" s="2">
        <v>0.34</v>
      </c>
      <c r="BL814" s="2">
        <v>7.3</v>
      </c>
      <c r="BM814" s="2">
        <v>0.9</v>
      </c>
      <c r="BN814" s="2">
        <v>7.5</v>
      </c>
      <c r="BO814" s="2">
        <v>2.9</v>
      </c>
      <c r="BP814" s="2">
        <f t="shared" si="24"/>
        <v>5.6888225779621173</v>
      </c>
      <c r="BQ814" s="2">
        <f t="shared" si="25"/>
        <v>18.250881820396319</v>
      </c>
    </row>
    <row r="815" spans="1:69" x14ac:dyDescent="0.2">
      <c r="A815" s="2" t="s">
        <v>4141</v>
      </c>
      <c r="B815" s="2" t="s">
        <v>47</v>
      </c>
      <c r="C815" s="2" t="s">
        <v>3273</v>
      </c>
      <c r="D815" s="2" t="s">
        <v>49</v>
      </c>
      <c r="E815" s="2" t="s">
        <v>742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89</v>
      </c>
      <c r="L815" s="6" t="s">
        <v>141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4142</v>
      </c>
      <c r="R815" s="2">
        <v>8493150.6850000005</v>
      </c>
      <c r="S815" s="2">
        <v>0</v>
      </c>
      <c r="T815" s="2" t="s">
        <v>54</v>
      </c>
      <c r="U815" s="2" t="s">
        <v>55</v>
      </c>
      <c r="V815" s="2" t="s">
        <v>56</v>
      </c>
      <c r="W815" s="2" t="s">
        <v>57</v>
      </c>
      <c r="X815" s="2" t="s">
        <v>58</v>
      </c>
      <c r="Y815" s="2">
        <v>3.2099700400533102</v>
      </c>
      <c r="Z815" s="2">
        <v>3209.9700400533102</v>
      </c>
      <c r="AA815" s="2">
        <v>4.6584666666666701</v>
      </c>
      <c r="AB815" s="2">
        <v>-74.083966666666697</v>
      </c>
      <c r="AC815" s="2">
        <v>2552</v>
      </c>
      <c r="AD815" s="2">
        <v>0</v>
      </c>
      <c r="AE815" s="2" t="s">
        <v>59</v>
      </c>
      <c r="AF815" s="2" t="s">
        <v>60</v>
      </c>
      <c r="AG815" s="2" t="s">
        <v>61</v>
      </c>
      <c r="AH815" s="2" t="s">
        <v>62</v>
      </c>
      <c r="AI815" s="2" t="s">
        <v>109</v>
      </c>
      <c r="AJ815" s="2">
        <v>0.84349524430350298</v>
      </c>
      <c r="AK815" s="2">
        <v>0.75166430860326705</v>
      </c>
      <c r="AL815" s="2">
        <v>0.41780173544213101</v>
      </c>
      <c r="AM815" s="2">
        <v>0.121828964454407</v>
      </c>
      <c r="AN815" s="2">
        <v>1.49954977463799</v>
      </c>
      <c r="AO815" s="2">
        <v>0.18969498480170799</v>
      </c>
      <c r="AP815" s="2">
        <v>0.18969498480170799</v>
      </c>
      <c r="AQ815" s="2">
        <v>0</v>
      </c>
      <c r="AR815" s="2">
        <v>2</v>
      </c>
      <c r="AS815" s="2">
        <v>0</v>
      </c>
      <c r="AT815" s="2">
        <v>26</v>
      </c>
      <c r="AU815" s="2">
        <v>19</v>
      </c>
      <c r="AV815" s="2">
        <v>60</v>
      </c>
      <c r="AW815" s="2">
        <v>0</v>
      </c>
      <c r="AX815" s="2">
        <v>0</v>
      </c>
      <c r="AZ815" s="2">
        <v>6.8</v>
      </c>
      <c r="BA815" s="2">
        <v>19.899999999999999</v>
      </c>
      <c r="BB815" s="2">
        <v>564</v>
      </c>
      <c r="BC815" s="2">
        <v>68</v>
      </c>
      <c r="BD815" s="2">
        <v>1.5</v>
      </c>
      <c r="BE815" s="2">
        <v>135</v>
      </c>
      <c r="BF815" s="2">
        <v>0.8</v>
      </c>
      <c r="BG815" s="2">
        <v>162</v>
      </c>
      <c r="BH815" s="2">
        <v>9.1</v>
      </c>
      <c r="BI815" s="2">
        <v>9.1999999999999993</v>
      </c>
      <c r="BJ815" s="2">
        <v>18.3</v>
      </c>
      <c r="BK815" s="2">
        <v>0.34</v>
      </c>
      <c r="BL815" s="2">
        <v>7.3</v>
      </c>
      <c r="BM815" s="2">
        <v>0.9</v>
      </c>
      <c r="BN815" s="2">
        <v>7.5</v>
      </c>
      <c r="BO815" s="2">
        <v>2.9</v>
      </c>
      <c r="BP815" s="2">
        <f t="shared" si="24"/>
        <v>5.8009929153329116</v>
      </c>
      <c r="BQ815" s="2">
        <f t="shared" si="25"/>
        <v>18.424484341098641</v>
      </c>
    </row>
    <row r="816" spans="1:69" x14ac:dyDescent="0.2">
      <c r="A816" s="2" t="s">
        <v>1600</v>
      </c>
      <c r="B816" s="2" t="s">
        <v>47</v>
      </c>
      <c r="C816" s="2" t="s">
        <v>48</v>
      </c>
      <c r="D816" s="2" t="s">
        <v>49</v>
      </c>
      <c r="E816" s="2" t="s">
        <v>688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89</v>
      </c>
      <c r="L816" s="6" t="s">
        <v>112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1601</v>
      </c>
      <c r="R816" s="2">
        <v>6790697.6739999996</v>
      </c>
      <c r="S816" s="2">
        <v>0</v>
      </c>
      <c r="T816" s="2" t="s">
        <v>398</v>
      </c>
      <c r="U816" s="2" t="s">
        <v>399</v>
      </c>
      <c r="V816" s="2" t="s">
        <v>56</v>
      </c>
      <c r="W816" s="2" t="s">
        <v>57</v>
      </c>
      <c r="X816" s="2" t="s">
        <v>400</v>
      </c>
      <c r="Y816" s="2">
        <v>1.8334374331641601</v>
      </c>
      <c r="Z816" s="2">
        <v>1833.43743316416</v>
      </c>
      <c r="AA816" s="2">
        <v>4.7358055555555598</v>
      </c>
      <c r="AB816" s="2">
        <v>-74.125888888888895</v>
      </c>
      <c r="AC816" s="2">
        <v>2574</v>
      </c>
      <c r="AD816" s="2">
        <v>0</v>
      </c>
      <c r="AE816" s="2" t="s">
        <v>133</v>
      </c>
      <c r="AF816" s="2" t="s">
        <v>86</v>
      </c>
      <c r="AG816" s="2" t="s">
        <v>61</v>
      </c>
      <c r="AH816" s="2" t="s">
        <v>62</v>
      </c>
      <c r="AI816" s="2" t="s">
        <v>100</v>
      </c>
      <c r="AJ816" s="2">
        <v>1.96373352588635</v>
      </c>
      <c r="AK816" s="2">
        <v>1.17166727797741</v>
      </c>
      <c r="AL816" s="2">
        <v>5.3479807990490702</v>
      </c>
      <c r="AM816" s="2">
        <v>0.43062983766864998</v>
      </c>
      <c r="AN816" s="2">
        <v>2.96024555692243</v>
      </c>
      <c r="AO816" s="2">
        <v>0.14602439820251201</v>
      </c>
      <c r="AP816" s="2">
        <v>0.14602439820251201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4</v>
      </c>
      <c r="AW816" s="2">
        <v>0</v>
      </c>
      <c r="AX816" s="2">
        <v>0</v>
      </c>
      <c r="AZ816" s="2">
        <v>6.8</v>
      </c>
      <c r="BA816" s="2">
        <v>19.899999999999999</v>
      </c>
      <c r="BB816" s="2">
        <v>564</v>
      </c>
      <c r="BC816" s="2">
        <v>68</v>
      </c>
      <c r="BD816" s="2">
        <v>1.5</v>
      </c>
      <c r="BE816" s="2">
        <v>135</v>
      </c>
      <c r="BF816" s="2">
        <v>0.8</v>
      </c>
      <c r="BG816" s="2">
        <v>162</v>
      </c>
      <c r="BH816" s="2">
        <v>9.1</v>
      </c>
      <c r="BI816" s="2">
        <v>9.1999999999999993</v>
      </c>
      <c r="BJ816" s="2">
        <v>18.3</v>
      </c>
      <c r="BK816" s="2">
        <v>0.34</v>
      </c>
      <c r="BL816" s="2">
        <v>7.3</v>
      </c>
      <c r="BM816" s="2">
        <v>0.9</v>
      </c>
      <c r="BN816" s="2">
        <v>7.5</v>
      </c>
      <c r="BO816" s="2">
        <v>2.9</v>
      </c>
      <c r="BP816" s="2">
        <f t="shared" si="24"/>
        <v>6.2100407581960004</v>
      </c>
      <c r="BQ816" s="2">
        <f t="shared" si="25"/>
        <v>19.043336175860411</v>
      </c>
    </row>
    <row r="817" spans="1:69" x14ac:dyDescent="0.2">
      <c r="A817" s="2" t="s">
        <v>720</v>
      </c>
      <c r="B817" s="2" t="s">
        <v>47</v>
      </c>
      <c r="C817" s="2" t="s">
        <v>48</v>
      </c>
      <c r="D817" s="2" t="s">
        <v>49</v>
      </c>
      <c r="E817" s="2" t="s">
        <v>721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89</v>
      </c>
      <c r="L817" s="6" t="s">
        <v>90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722</v>
      </c>
      <c r="R817" s="2">
        <v>18779342.719999999</v>
      </c>
      <c r="S817" s="2">
        <v>0</v>
      </c>
      <c r="T817" s="2" t="s">
        <v>54</v>
      </c>
      <c r="U817" s="2" t="s">
        <v>55</v>
      </c>
      <c r="V817" s="2" t="s">
        <v>56</v>
      </c>
      <c r="W817" s="2" t="s">
        <v>57</v>
      </c>
      <c r="X817" s="2" t="s">
        <v>58</v>
      </c>
      <c r="Y817" s="2">
        <v>3.8973357414628702</v>
      </c>
      <c r="Z817" s="2">
        <v>3897.3357414628699</v>
      </c>
      <c r="AA817" s="2">
        <v>4.6584666666666701</v>
      </c>
      <c r="AB817" s="2">
        <v>-74.083966666666697</v>
      </c>
      <c r="AC817" s="2">
        <v>2552</v>
      </c>
      <c r="AD817" s="2">
        <v>0</v>
      </c>
      <c r="AE817" s="2" t="s">
        <v>59</v>
      </c>
      <c r="AF817" s="2" t="s">
        <v>60</v>
      </c>
      <c r="AG817" s="2" t="s">
        <v>61</v>
      </c>
      <c r="AH817" s="2" t="s">
        <v>62</v>
      </c>
      <c r="AI817" s="2" t="s">
        <v>109</v>
      </c>
      <c r="AJ817" s="2">
        <v>1.3394052207727001</v>
      </c>
      <c r="AK817" s="2">
        <v>0.44596880320795301</v>
      </c>
      <c r="AL817" s="2">
        <v>0.52167623033994304</v>
      </c>
      <c r="AM817" s="2">
        <v>0.134001946990705</v>
      </c>
      <c r="AN817" s="2">
        <v>2.6123114762472501</v>
      </c>
      <c r="AO817" s="2">
        <v>0.22922673074589101</v>
      </c>
      <c r="AP817" s="2">
        <v>0.22922673074589101</v>
      </c>
      <c r="AQ817" s="2">
        <v>0</v>
      </c>
      <c r="AR817" s="2">
        <v>0</v>
      </c>
      <c r="AS817" s="2">
        <v>6</v>
      </c>
      <c r="AT817" s="2">
        <v>30</v>
      </c>
      <c r="AU817" s="2">
        <v>6</v>
      </c>
      <c r="AV817" s="2">
        <v>42</v>
      </c>
      <c r="AW817" s="2">
        <v>0</v>
      </c>
      <c r="AX817" s="2">
        <v>0</v>
      </c>
      <c r="AZ817" s="2">
        <v>6.8</v>
      </c>
      <c r="BA817" s="2">
        <v>19.899999999999999</v>
      </c>
      <c r="BB817" s="2">
        <v>564</v>
      </c>
      <c r="BC817" s="2">
        <v>68</v>
      </c>
      <c r="BD817" s="2">
        <v>1.5</v>
      </c>
      <c r="BE817" s="2">
        <v>135</v>
      </c>
      <c r="BF817" s="2">
        <v>0.8</v>
      </c>
      <c r="BG817" s="2">
        <v>162</v>
      </c>
      <c r="BH817" s="2">
        <v>9.1</v>
      </c>
      <c r="BI817" s="2">
        <v>9.1999999999999993</v>
      </c>
      <c r="BJ817" s="2">
        <v>18.3</v>
      </c>
      <c r="BK817" s="2">
        <v>0.34</v>
      </c>
      <c r="BL817" s="2">
        <v>7.3</v>
      </c>
      <c r="BM817" s="2">
        <v>0.9</v>
      </c>
      <c r="BN817" s="2">
        <v>7.5</v>
      </c>
      <c r="BO817" s="2">
        <v>2.9</v>
      </c>
      <c r="BP817" s="2">
        <f t="shared" si="24"/>
        <v>5.6069365057838123</v>
      </c>
      <c r="BQ817" s="2">
        <f t="shared" si="25"/>
        <v>18.123033058386987</v>
      </c>
    </row>
    <row r="818" spans="1:69" x14ac:dyDescent="0.2">
      <c r="A818" s="2" t="s">
        <v>1459</v>
      </c>
      <c r="B818" s="2" t="s">
        <v>47</v>
      </c>
      <c r="C818" s="2" t="s">
        <v>48</v>
      </c>
      <c r="D818" s="2" t="s">
        <v>49</v>
      </c>
      <c r="E818" s="2" t="s">
        <v>663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89</v>
      </c>
      <c r="L818" s="6" t="s">
        <v>90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1460</v>
      </c>
      <c r="R818" s="2">
        <v>6549295.7750000004</v>
      </c>
      <c r="S818" s="2">
        <v>0</v>
      </c>
      <c r="T818" s="2" t="s">
        <v>54</v>
      </c>
      <c r="U818" s="2" t="s">
        <v>55</v>
      </c>
      <c r="V818" s="2" t="s">
        <v>56</v>
      </c>
      <c r="W818" s="2" t="s">
        <v>57</v>
      </c>
      <c r="X818" s="2" t="s">
        <v>58</v>
      </c>
      <c r="Y818" s="2">
        <v>3.6685967030801798</v>
      </c>
      <c r="Z818" s="2">
        <v>3668.5967030801799</v>
      </c>
      <c r="AA818" s="2">
        <v>4.6584666666666701</v>
      </c>
      <c r="AB818" s="2">
        <v>-74.083966666666697</v>
      </c>
      <c r="AC818" s="2">
        <v>2552</v>
      </c>
      <c r="AD818" s="2">
        <v>0</v>
      </c>
      <c r="AE818" s="2" t="s">
        <v>59</v>
      </c>
      <c r="AF818" s="2" t="s">
        <v>60</v>
      </c>
      <c r="AG818" s="2" t="s">
        <v>61</v>
      </c>
      <c r="AH818" s="2" t="s">
        <v>62</v>
      </c>
      <c r="AI818" s="2" t="s">
        <v>321</v>
      </c>
      <c r="AJ818" s="2">
        <v>0.28893965609545802</v>
      </c>
      <c r="AK818" s="2">
        <v>2.5766464532327999</v>
      </c>
      <c r="AL818" s="2">
        <v>0.39181760561109602</v>
      </c>
      <c r="AM818" s="2">
        <v>3.6721083900990201E-2</v>
      </c>
      <c r="AN818" s="2">
        <v>2.4569705345922501</v>
      </c>
      <c r="AO818" s="2">
        <v>0.16214586147398799</v>
      </c>
      <c r="AP818" s="2">
        <v>0.16214586147398799</v>
      </c>
      <c r="AQ818" s="2">
        <v>3</v>
      </c>
      <c r="AR818" s="2">
        <v>7</v>
      </c>
      <c r="AS818" s="2">
        <v>0</v>
      </c>
      <c r="AT818" s="2">
        <v>0</v>
      </c>
      <c r="AU818" s="2">
        <v>1</v>
      </c>
      <c r="AV818" s="2">
        <v>185</v>
      </c>
      <c r="AW818" s="2">
        <v>0</v>
      </c>
      <c r="AX818" s="2">
        <v>0</v>
      </c>
      <c r="AZ818" s="2">
        <v>6.8</v>
      </c>
      <c r="BA818" s="2">
        <v>19.899999999999999</v>
      </c>
      <c r="BB818" s="2">
        <v>564</v>
      </c>
      <c r="BC818" s="2">
        <v>68</v>
      </c>
      <c r="BD818" s="2">
        <v>1.5</v>
      </c>
      <c r="BE818" s="2">
        <v>135</v>
      </c>
      <c r="BF818" s="2">
        <v>0.8</v>
      </c>
      <c r="BG818" s="2">
        <v>162</v>
      </c>
      <c r="BH818" s="2">
        <v>9.1</v>
      </c>
      <c r="BI818" s="2">
        <v>9.1999999999999993</v>
      </c>
      <c r="BJ818" s="2">
        <v>18.3</v>
      </c>
      <c r="BK818" s="2">
        <v>0.34</v>
      </c>
      <c r="BL818" s="2">
        <v>7.3</v>
      </c>
      <c r="BM818" s="2">
        <v>0.9</v>
      </c>
      <c r="BN818" s="2">
        <v>7.5</v>
      </c>
      <c r="BO818" s="2">
        <v>2.9</v>
      </c>
      <c r="BP818" s="2">
        <f t="shared" si="24"/>
        <v>5.6707822737774931</v>
      </c>
      <c r="BQ818" s="2">
        <f t="shared" si="25"/>
        <v>18.222797331346513</v>
      </c>
    </row>
    <row r="819" spans="1:69" x14ac:dyDescent="0.2">
      <c r="A819" s="2" t="s">
        <v>4486</v>
      </c>
      <c r="B819" s="2" t="s">
        <v>47</v>
      </c>
      <c r="C819" s="2" t="s">
        <v>3273</v>
      </c>
      <c r="D819" s="2" t="s">
        <v>49</v>
      </c>
      <c r="E819" s="2" t="s">
        <v>166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89</v>
      </c>
      <c r="L819" s="6" t="s">
        <v>103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4487</v>
      </c>
      <c r="R819" s="2">
        <v>18095238.100000001</v>
      </c>
      <c r="S819" s="2">
        <v>0</v>
      </c>
      <c r="T819" s="2" t="s">
        <v>105</v>
      </c>
      <c r="U819" s="2" t="s">
        <v>106</v>
      </c>
      <c r="V819" s="2" t="s">
        <v>56</v>
      </c>
      <c r="W819" s="2" t="s">
        <v>107</v>
      </c>
      <c r="X819" s="2" t="s">
        <v>108</v>
      </c>
      <c r="Y819" s="2">
        <v>3.5689699642788599</v>
      </c>
      <c r="Z819" s="2">
        <v>3568.9699642788601</v>
      </c>
      <c r="AA819" s="2">
        <v>4.6254861111111101</v>
      </c>
      <c r="AB819" s="2">
        <v>-74.066980555555503</v>
      </c>
      <c r="AC819" s="2">
        <v>2621</v>
      </c>
      <c r="AD819" s="2">
        <v>15</v>
      </c>
      <c r="AE819" s="2" t="s">
        <v>59</v>
      </c>
      <c r="AF819" s="2" t="s">
        <v>60</v>
      </c>
      <c r="AG819" s="2" t="s">
        <v>61</v>
      </c>
      <c r="AH819" s="2" t="s">
        <v>62</v>
      </c>
      <c r="AI819" s="2" t="s">
        <v>109</v>
      </c>
      <c r="AJ819" s="2">
        <v>1.53155591667072</v>
      </c>
      <c r="AK819" s="2">
        <v>0.111847971975918</v>
      </c>
      <c r="AL819" s="2">
        <v>0.90063559639428403</v>
      </c>
      <c r="AM819" s="2">
        <v>0.53893460736315202</v>
      </c>
      <c r="AN819" s="2">
        <v>1.5479314031366</v>
      </c>
      <c r="AO819" s="2">
        <v>8.0363577986200502E-2</v>
      </c>
      <c r="AP819" s="2">
        <v>8.0363577986200502E-2</v>
      </c>
      <c r="AQ819" s="2">
        <v>0</v>
      </c>
      <c r="AR819" s="2">
        <v>0</v>
      </c>
      <c r="AS819" s="2">
        <v>25</v>
      </c>
      <c r="AT819" s="2">
        <v>43</v>
      </c>
      <c r="AU819" s="2">
        <v>2</v>
      </c>
      <c r="AV819" s="2">
        <v>11</v>
      </c>
      <c r="AW819" s="2">
        <v>0</v>
      </c>
      <c r="AX819" s="2">
        <v>0</v>
      </c>
      <c r="AZ819" s="2">
        <v>6.8</v>
      </c>
      <c r="BA819" s="2">
        <v>19.899999999999999</v>
      </c>
      <c r="BB819" s="2">
        <v>564</v>
      </c>
      <c r="BC819" s="2">
        <v>68</v>
      </c>
      <c r="BD819" s="2">
        <v>1.5</v>
      </c>
      <c r="BE819" s="2">
        <v>135</v>
      </c>
      <c r="BF819" s="2">
        <v>0.8</v>
      </c>
      <c r="BG819" s="2">
        <v>162</v>
      </c>
      <c r="BH819" s="2">
        <v>9.1</v>
      </c>
      <c r="BI819" s="2">
        <v>9.1999999999999993</v>
      </c>
      <c r="BJ819" s="2">
        <v>18.3</v>
      </c>
      <c r="BK819" s="2">
        <v>0.34</v>
      </c>
      <c r="BL819" s="2">
        <v>7.3</v>
      </c>
      <c r="BM819" s="2">
        <v>0.9</v>
      </c>
      <c r="BN819" s="2">
        <v>7.5</v>
      </c>
      <c r="BO819" s="2">
        <v>2.9</v>
      </c>
      <c r="BP819" s="2">
        <f t="shared" si="24"/>
        <v>5.6988169402171831</v>
      </c>
      <c r="BQ819" s="2">
        <f t="shared" si="25"/>
        <v>18.266420932367492</v>
      </c>
    </row>
    <row r="820" spans="1:69" x14ac:dyDescent="0.2">
      <c r="A820" s="2" t="s">
        <v>2720</v>
      </c>
      <c r="B820" s="2" t="s">
        <v>47</v>
      </c>
      <c r="C820" s="2" t="s">
        <v>1935</v>
      </c>
      <c r="D820" s="2" t="s">
        <v>49</v>
      </c>
      <c r="E820" s="2" t="s">
        <v>2721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89</v>
      </c>
      <c r="L820" s="6" t="s">
        <v>141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2722</v>
      </c>
      <c r="R820" s="2">
        <v>3571428.571</v>
      </c>
      <c r="S820" s="2">
        <v>0</v>
      </c>
      <c r="T820" s="2" t="s">
        <v>54</v>
      </c>
      <c r="U820" s="2" t="s">
        <v>55</v>
      </c>
      <c r="V820" s="2" t="s">
        <v>56</v>
      </c>
      <c r="W820" s="2" t="s">
        <v>57</v>
      </c>
      <c r="X820" s="2" t="s">
        <v>58</v>
      </c>
      <c r="Y820" s="2">
        <v>3.3619966779925301</v>
      </c>
      <c r="Z820" s="2">
        <v>3361.9966779925298</v>
      </c>
      <c r="AA820" s="2">
        <v>4.6584666666666701</v>
      </c>
      <c r="AB820" s="2">
        <v>-74.083966666666697</v>
      </c>
      <c r="AC820" s="2">
        <v>2552</v>
      </c>
      <c r="AD820" s="2">
        <v>0</v>
      </c>
      <c r="AE820" s="2" t="s">
        <v>59</v>
      </c>
      <c r="AF820" s="2" t="s">
        <v>60</v>
      </c>
      <c r="AG820" s="2" t="s">
        <v>61</v>
      </c>
      <c r="AH820" s="2" t="s">
        <v>62</v>
      </c>
      <c r="AI820" s="2" t="s">
        <v>391</v>
      </c>
      <c r="AJ820" s="2">
        <v>1.2736904311100701</v>
      </c>
      <c r="AK820" s="2">
        <v>5.5181267272178802</v>
      </c>
      <c r="AL820" s="2">
        <v>1.51589016186089</v>
      </c>
      <c r="AM820" s="2">
        <v>0.24906123048210799</v>
      </c>
      <c r="AN820" s="2">
        <v>1.29656649310536</v>
      </c>
      <c r="AO820" s="2">
        <v>0.26351359365083499</v>
      </c>
      <c r="AP820" s="2">
        <v>0.26351359365083499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23</v>
      </c>
      <c r="AW820" s="2">
        <v>0</v>
      </c>
      <c r="AX820" s="2">
        <v>0</v>
      </c>
      <c r="AZ820" s="2">
        <v>6.8</v>
      </c>
      <c r="BA820" s="2">
        <v>19.899999999999999</v>
      </c>
      <c r="BB820" s="2">
        <v>564</v>
      </c>
      <c r="BC820" s="2">
        <v>68</v>
      </c>
      <c r="BD820" s="2">
        <v>1.5</v>
      </c>
      <c r="BE820" s="2">
        <v>135</v>
      </c>
      <c r="BF820" s="2">
        <v>0.8</v>
      </c>
      <c r="BG820" s="2">
        <v>162</v>
      </c>
      <c r="BH820" s="2">
        <v>9.1</v>
      </c>
      <c r="BI820" s="2">
        <v>9.1999999999999993</v>
      </c>
      <c r="BJ820" s="2">
        <v>18.3</v>
      </c>
      <c r="BK820" s="2">
        <v>0.34</v>
      </c>
      <c r="BL820" s="2">
        <v>7.3</v>
      </c>
      <c r="BM820" s="2">
        <v>0.9</v>
      </c>
      <c r="BN820" s="2">
        <v>7.5</v>
      </c>
      <c r="BO820" s="2">
        <v>2.9</v>
      </c>
      <c r="BP820" s="2">
        <f t="shared" si="24"/>
        <v>5.7575024406550153</v>
      </c>
      <c r="BQ820" s="2">
        <f t="shared" si="25"/>
        <v>18.357382532844394</v>
      </c>
    </row>
    <row r="821" spans="1:69" x14ac:dyDescent="0.2">
      <c r="A821" s="2" t="s">
        <v>2511</v>
      </c>
      <c r="B821" s="2" t="s">
        <v>47</v>
      </c>
      <c r="C821" s="2" t="s">
        <v>1935</v>
      </c>
      <c r="D821" s="2" t="s">
        <v>49</v>
      </c>
      <c r="E821" s="2" t="s">
        <v>2512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89</v>
      </c>
      <c r="L821" s="6" t="s">
        <v>141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2513</v>
      </c>
      <c r="R821" s="2">
        <v>4471153.8459999999</v>
      </c>
      <c r="S821" s="2">
        <v>0</v>
      </c>
      <c r="T821" s="2" t="s">
        <v>54</v>
      </c>
      <c r="U821" s="2" t="s">
        <v>55</v>
      </c>
      <c r="V821" s="2" t="s">
        <v>56</v>
      </c>
      <c r="W821" s="2" t="s">
        <v>57</v>
      </c>
      <c r="X821" s="2" t="s">
        <v>58</v>
      </c>
      <c r="Y821" s="2">
        <v>3.8942074094392698</v>
      </c>
      <c r="Z821" s="2">
        <v>3894.2074094392701</v>
      </c>
      <c r="AA821" s="2">
        <v>4.6584666666666701</v>
      </c>
      <c r="AB821" s="2">
        <v>-74.083966666666697</v>
      </c>
      <c r="AC821" s="2">
        <v>2552</v>
      </c>
      <c r="AD821" s="2">
        <v>0</v>
      </c>
      <c r="AE821" s="2" t="s">
        <v>59</v>
      </c>
      <c r="AF821" s="2" t="s">
        <v>60</v>
      </c>
      <c r="AG821" s="2" t="s">
        <v>61</v>
      </c>
      <c r="AH821" s="2" t="s">
        <v>62</v>
      </c>
      <c r="AI821" s="2" t="s">
        <v>100</v>
      </c>
      <c r="AJ821" s="2">
        <v>0.61193207200294497</v>
      </c>
      <c r="AK821" s="2">
        <v>4.1229170781815601</v>
      </c>
      <c r="AL821" s="2">
        <v>0.60030805671212395</v>
      </c>
      <c r="AM821" s="2">
        <v>0.29136786181205898</v>
      </c>
      <c r="AN821" s="2">
        <v>2.21819784747992</v>
      </c>
      <c r="AO821" s="2">
        <v>0.122362601869814</v>
      </c>
      <c r="AP821" s="2">
        <v>0.122362601869814</v>
      </c>
      <c r="AQ821" s="2">
        <v>0</v>
      </c>
      <c r="AR821" s="2">
        <v>2</v>
      </c>
      <c r="AS821" s="2">
        <v>0</v>
      </c>
      <c r="AT821" s="2">
        <v>0</v>
      </c>
      <c r="AU821" s="2">
        <v>2</v>
      </c>
      <c r="AV821" s="2">
        <v>57</v>
      </c>
      <c r="AW821" s="2">
        <v>0</v>
      </c>
      <c r="AX821" s="2">
        <v>0</v>
      </c>
      <c r="AZ821" s="2">
        <v>6.8</v>
      </c>
      <c r="BA821" s="2">
        <v>19.899999999999999</v>
      </c>
      <c r="BB821" s="2">
        <v>564</v>
      </c>
      <c r="BC821" s="2">
        <v>68</v>
      </c>
      <c r="BD821" s="2">
        <v>1.5</v>
      </c>
      <c r="BE821" s="2">
        <v>135</v>
      </c>
      <c r="BF821" s="2">
        <v>0.8</v>
      </c>
      <c r="BG821" s="2">
        <v>162</v>
      </c>
      <c r="BH821" s="2">
        <v>9.1</v>
      </c>
      <c r="BI821" s="2">
        <v>9.1999999999999993</v>
      </c>
      <c r="BJ821" s="2">
        <v>18.3</v>
      </c>
      <c r="BK821" s="2">
        <v>0.34</v>
      </c>
      <c r="BL821" s="2">
        <v>7.3</v>
      </c>
      <c r="BM821" s="2">
        <v>0.9</v>
      </c>
      <c r="BN821" s="2">
        <v>7.5</v>
      </c>
      <c r="BO821" s="2">
        <v>2.9</v>
      </c>
      <c r="BP821" s="2">
        <f t="shared" si="24"/>
        <v>5.6078048207841773</v>
      </c>
      <c r="BQ821" s="2">
        <f t="shared" si="25"/>
        <v>18.124393786220402</v>
      </c>
    </row>
    <row r="822" spans="1:69" x14ac:dyDescent="0.2">
      <c r="A822" s="2" t="s">
        <v>1195</v>
      </c>
      <c r="B822" s="2" t="s">
        <v>47</v>
      </c>
      <c r="C822" s="2" t="s">
        <v>48</v>
      </c>
      <c r="D822" s="2" t="s">
        <v>49</v>
      </c>
      <c r="E822" s="2" t="s">
        <v>383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89</v>
      </c>
      <c r="L822" s="6" t="s">
        <v>141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1196</v>
      </c>
      <c r="R822" s="2">
        <v>7705314.0099999998</v>
      </c>
      <c r="S822" s="2">
        <v>0</v>
      </c>
      <c r="T822" s="2" t="s">
        <v>54</v>
      </c>
      <c r="U822" s="2" t="s">
        <v>55</v>
      </c>
      <c r="V822" s="2" t="s">
        <v>56</v>
      </c>
      <c r="W822" s="2" t="s">
        <v>57</v>
      </c>
      <c r="X822" s="2" t="s">
        <v>58</v>
      </c>
      <c r="Y822" s="2">
        <v>3.3715301895995702</v>
      </c>
      <c r="Z822" s="2">
        <v>3371.5301895995699</v>
      </c>
      <c r="AA822" s="2">
        <v>4.6584666666666701</v>
      </c>
      <c r="AB822" s="2">
        <v>-74.083966666666697</v>
      </c>
      <c r="AC822" s="2">
        <v>2552</v>
      </c>
      <c r="AD822" s="2">
        <v>0</v>
      </c>
      <c r="AE822" s="2" t="s">
        <v>59</v>
      </c>
      <c r="AF822" s="2" t="s">
        <v>60</v>
      </c>
      <c r="AG822" s="2" t="s">
        <v>61</v>
      </c>
      <c r="AH822" s="2" t="s">
        <v>62</v>
      </c>
      <c r="AI822" s="2" t="s">
        <v>109</v>
      </c>
      <c r="AJ822" s="2">
        <v>0.26344122401798797</v>
      </c>
      <c r="AK822" s="2">
        <v>1.7000748305681199</v>
      </c>
      <c r="AL822" s="2">
        <v>0.64156710436675302</v>
      </c>
      <c r="AM822" s="2">
        <v>9.0079752351256495E-2</v>
      </c>
      <c r="AN822" s="2">
        <v>2.6850103138114698</v>
      </c>
      <c r="AO822" s="2">
        <v>0.75432882381601696</v>
      </c>
      <c r="AP822" s="2">
        <v>0.75432882381601696</v>
      </c>
      <c r="AQ822" s="2">
        <v>2</v>
      </c>
      <c r="AR822" s="2">
        <v>5</v>
      </c>
      <c r="AS822" s="2">
        <v>0</v>
      </c>
      <c r="AT822" s="2">
        <v>0</v>
      </c>
      <c r="AU822" s="2">
        <v>5</v>
      </c>
      <c r="AV822" s="2">
        <v>303</v>
      </c>
      <c r="AW822" s="2">
        <v>0</v>
      </c>
      <c r="AX822" s="2">
        <v>0</v>
      </c>
      <c r="AZ822" s="2">
        <v>6.8</v>
      </c>
      <c r="BA822" s="2">
        <v>19.899999999999999</v>
      </c>
      <c r="BB822" s="2">
        <v>564</v>
      </c>
      <c r="BC822" s="2">
        <v>68</v>
      </c>
      <c r="BD822" s="2">
        <v>1.5</v>
      </c>
      <c r="BE822" s="2">
        <v>135</v>
      </c>
      <c r="BF822" s="2">
        <v>0.8</v>
      </c>
      <c r="BG822" s="2">
        <v>162</v>
      </c>
      <c r="BH822" s="2">
        <v>9.1</v>
      </c>
      <c r="BI822" s="2">
        <v>9.1999999999999993</v>
      </c>
      <c r="BJ822" s="2">
        <v>18.3</v>
      </c>
      <c r="BK822" s="2">
        <v>0.34</v>
      </c>
      <c r="BL822" s="2">
        <v>7.3</v>
      </c>
      <c r="BM822" s="2">
        <v>0.9</v>
      </c>
      <c r="BN822" s="2">
        <v>7.5</v>
      </c>
      <c r="BO822" s="2">
        <v>2.9</v>
      </c>
      <c r="BP822" s="2">
        <f t="shared" si="24"/>
        <v>5.7547860654370409</v>
      </c>
      <c r="BQ822" s="2">
        <f t="shared" si="25"/>
        <v>18.353182765658225</v>
      </c>
    </row>
    <row r="823" spans="1:69" x14ac:dyDescent="0.2">
      <c r="A823" s="2" t="s">
        <v>2030</v>
      </c>
      <c r="B823" s="2" t="s">
        <v>47</v>
      </c>
      <c r="C823" s="2" t="s">
        <v>1935</v>
      </c>
      <c r="D823" s="2" t="s">
        <v>49</v>
      </c>
      <c r="E823" s="2" t="s">
        <v>1170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89</v>
      </c>
      <c r="L823" s="6" t="s">
        <v>141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2031</v>
      </c>
      <c r="R823" s="2">
        <v>6341463.415</v>
      </c>
      <c r="S823" s="2">
        <v>0</v>
      </c>
      <c r="T823" s="2" t="s">
        <v>54</v>
      </c>
      <c r="U823" s="2" t="s">
        <v>55</v>
      </c>
      <c r="V823" s="2" t="s">
        <v>56</v>
      </c>
      <c r="W823" s="2" t="s">
        <v>57</v>
      </c>
      <c r="X823" s="2" t="s">
        <v>58</v>
      </c>
      <c r="Y823" s="2">
        <v>2.5084111198202601</v>
      </c>
      <c r="Z823" s="2">
        <v>2508.41111982026</v>
      </c>
      <c r="AA823" s="2">
        <v>4.6584666666666701</v>
      </c>
      <c r="AB823" s="2">
        <v>-74.083966666666697</v>
      </c>
      <c r="AC823" s="2">
        <v>2552</v>
      </c>
      <c r="AD823" s="2">
        <v>0</v>
      </c>
      <c r="AE823" s="2" t="s">
        <v>59</v>
      </c>
      <c r="AF823" s="2" t="s">
        <v>60</v>
      </c>
      <c r="AG823" s="2" t="s">
        <v>61</v>
      </c>
      <c r="AH823" s="2" t="s">
        <v>62</v>
      </c>
      <c r="AI823" s="2" t="s">
        <v>109</v>
      </c>
      <c r="AJ823" s="2">
        <v>0.15121424546342799</v>
      </c>
      <c r="AK823" s="2">
        <v>1.35056421073115</v>
      </c>
      <c r="AL823" s="2">
        <v>0.15469387363863801</v>
      </c>
      <c r="AM823" s="2">
        <v>3.91463986270651E-2</v>
      </c>
      <c r="AN823" s="2">
        <v>1.51084877179009</v>
      </c>
      <c r="AO823" s="2">
        <v>0.100527688469692</v>
      </c>
      <c r="AP823" s="2">
        <v>0.100527688469692</v>
      </c>
      <c r="AQ823" s="2">
        <v>2</v>
      </c>
      <c r="AR823" s="2">
        <v>4</v>
      </c>
      <c r="AS823" s="2">
        <v>0</v>
      </c>
      <c r="AT823" s="2">
        <v>0</v>
      </c>
      <c r="AU823" s="2">
        <v>24</v>
      </c>
      <c r="AV823" s="2">
        <v>89</v>
      </c>
      <c r="AW823" s="2">
        <v>0</v>
      </c>
      <c r="AX823" s="2">
        <v>0</v>
      </c>
      <c r="AZ823" s="2">
        <v>6.8</v>
      </c>
      <c r="BA823" s="2">
        <v>19.899999999999999</v>
      </c>
      <c r="BB823" s="2">
        <v>564</v>
      </c>
      <c r="BC823" s="2">
        <v>68</v>
      </c>
      <c r="BD823" s="2">
        <v>1.5</v>
      </c>
      <c r="BE823" s="2">
        <v>135</v>
      </c>
      <c r="BF823" s="2">
        <v>0.8</v>
      </c>
      <c r="BG823" s="2">
        <v>162</v>
      </c>
      <c r="BH823" s="2">
        <v>9.1</v>
      </c>
      <c r="BI823" s="2">
        <v>9.1999999999999993</v>
      </c>
      <c r="BJ823" s="2">
        <v>18.3</v>
      </c>
      <c r="BK823" s="2">
        <v>0.34</v>
      </c>
      <c r="BL823" s="2">
        <v>7.3</v>
      </c>
      <c r="BM823" s="2">
        <v>0.9</v>
      </c>
      <c r="BN823" s="2">
        <v>7.5</v>
      </c>
      <c r="BO823" s="2">
        <v>2.9</v>
      </c>
      <c r="BP823" s="2">
        <f t="shared" si="24"/>
        <v>6.0059837369140752</v>
      </c>
      <c r="BQ823" s="2">
        <f t="shared" si="25"/>
        <v>18.737331389979129</v>
      </c>
    </row>
    <row r="824" spans="1:69" x14ac:dyDescent="0.2">
      <c r="A824" s="2" t="s">
        <v>2630</v>
      </c>
      <c r="B824" s="2" t="s">
        <v>47</v>
      </c>
      <c r="C824" s="2" t="s">
        <v>1935</v>
      </c>
      <c r="D824" s="2" t="s">
        <v>49</v>
      </c>
      <c r="E824" s="2" t="s">
        <v>50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89</v>
      </c>
      <c r="L824" s="6" t="s">
        <v>141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2631</v>
      </c>
      <c r="R824" s="2">
        <v>5609756.0980000002</v>
      </c>
      <c r="S824" s="2">
        <v>0</v>
      </c>
      <c r="T824" s="2" t="s">
        <v>105</v>
      </c>
      <c r="U824" s="2" t="s">
        <v>106</v>
      </c>
      <c r="V824" s="2" t="s">
        <v>56</v>
      </c>
      <c r="W824" s="2" t="s">
        <v>107</v>
      </c>
      <c r="X824" s="2" t="s">
        <v>108</v>
      </c>
      <c r="Y824" s="2">
        <v>2.2130017696942601</v>
      </c>
      <c r="Z824" s="2">
        <v>2213.00176969426</v>
      </c>
      <c r="AA824" s="2">
        <v>4.6254861111111101</v>
      </c>
      <c r="AB824" s="2">
        <v>-74.066980555555503</v>
      </c>
      <c r="AC824" s="2">
        <v>2621</v>
      </c>
      <c r="AD824" s="2">
        <v>15</v>
      </c>
      <c r="AE824" s="2" t="s">
        <v>59</v>
      </c>
      <c r="AF824" s="2" t="s">
        <v>60</v>
      </c>
      <c r="AG824" s="2" t="s">
        <v>61</v>
      </c>
      <c r="AH824" s="2" t="s">
        <v>62</v>
      </c>
      <c r="AI824" s="2" t="s">
        <v>63</v>
      </c>
      <c r="AJ824" s="2">
        <v>0.42632270114703802</v>
      </c>
      <c r="AK824" s="2">
        <v>1.35043493917789</v>
      </c>
      <c r="AL824" s="2">
        <v>0.275374103708662</v>
      </c>
      <c r="AM824" s="2">
        <v>2.9541308273353901E-2</v>
      </c>
      <c r="AN824" s="2">
        <v>1.23588234963689</v>
      </c>
      <c r="AO824" s="2">
        <v>2.5738202643431199E-2</v>
      </c>
      <c r="AP824" s="2">
        <v>2.5738202643431199E-2</v>
      </c>
      <c r="AQ824" s="2">
        <v>1</v>
      </c>
      <c r="AR824" s="2">
        <v>4</v>
      </c>
      <c r="AS824" s="2">
        <v>0</v>
      </c>
      <c r="AT824" s="2">
        <v>0</v>
      </c>
      <c r="AU824" s="2">
        <v>13</v>
      </c>
      <c r="AV824" s="2">
        <v>127</v>
      </c>
      <c r="AW824" s="2">
        <v>0</v>
      </c>
      <c r="AX824" s="2">
        <v>0</v>
      </c>
      <c r="AZ824" s="2">
        <v>6.8</v>
      </c>
      <c r="BA824" s="2">
        <v>19.899999999999999</v>
      </c>
      <c r="BB824" s="2">
        <v>564</v>
      </c>
      <c r="BC824" s="2">
        <v>68</v>
      </c>
      <c r="BD824" s="2">
        <v>1.5</v>
      </c>
      <c r="BE824" s="2">
        <v>135</v>
      </c>
      <c r="BF824" s="2">
        <v>0.8</v>
      </c>
      <c r="BG824" s="2">
        <v>162</v>
      </c>
      <c r="BH824" s="2">
        <v>9.1</v>
      </c>
      <c r="BI824" s="2">
        <v>9.1999999999999993</v>
      </c>
      <c r="BJ824" s="2">
        <v>18.3</v>
      </c>
      <c r="BK824" s="2">
        <v>0.34</v>
      </c>
      <c r="BL824" s="2">
        <v>7.3</v>
      </c>
      <c r="BM824" s="2">
        <v>0.9</v>
      </c>
      <c r="BN824" s="2">
        <v>7.5</v>
      </c>
      <c r="BO824" s="2">
        <v>2.9</v>
      </c>
      <c r="BP824" s="2">
        <f t="shared" si="24"/>
        <v>6.0944530692911103</v>
      </c>
      <c r="BQ824" s="2">
        <f t="shared" si="25"/>
        <v>18.870647815904789</v>
      </c>
    </row>
    <row r="825" spans="1:69" x14ac:dyDescent="0.2">
      <c r="A825" s="2" t="s">
        <v>1057</v>
      </c>
      <c r="B825" s="2" t="s">
        <v>47</v>
      </c>
      <c r="C825" s="2" t="s">
        <v>48</v>
      </c>
      <c r="D825" s="2" t="s">
        <v>49</v>
      </c>
      <c r="E825" s="2" t="s">
        <v>599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89</v>
      </c>
      <c r="L825" s="6" t="s">
        <v>103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1058</v>
      </c>
      <c r="R825" s="2">
        <v>9359605.9110000003</v>
      </c>
      <c r="S825" s="2">
        <v>0</v>
      </c>
      <c r="T825" s="2" t="s">
        <v>54</v>
      </c>
      <c r="U825" s="2" t="s">
        <v>55</v>
      </c>
      <c r="V825" s="2" t="s">
        <v>56</v>
      </c>
      <c r="W825" s="2" t="s">
        <v>57</v>
      </c>
      <c r="X825" s="2" t="s">
        <v>58</v>
      </c>
      <c r="Y825" s="2">
        <v>4.0277615848543196</v>
      </c>
      <c r="Z825" s="2">
        <v>4027.7615848543201</v>
      </c>
      <c r="AA825" s="2">
        <v>4.6584666666666701</v>
      </c>
      <c r="AB825" s="2">
        <v>-74.083966666666697</v>
      </c>
      <c r="AC825" s="2">
        <v>2552</v>
      </c>
      <c r="AD825" s="2">
        <v>0</v>
      </c>
      <c r="AE825" s="2" t="s">
        <v>59</v>
      </c>
      <c r="AF825" s="2" t="s">
        <v>60</v>
      </c>
      <c r="AG825" s="2" t="s">
        <v>61</v>
      </c>
      <c r="AH825" s="2" t="s">
        <v>62</v>
      </c>
      <c r="AI825" s="2" t="s">
        <v>109</v>
      </c>
      <c r="AJ825" s="2">
        <v>1.2931991119024999</v>
      </c>
      <c r="AK825" s="2">
        <v>0.47116741527280798</v>
      </c>
      <c r="AL825" s="2">
        <v>0.60324315481563495</v>
      </c>
      <c r="AM825" s="2">
        <v>0.114732053416483</v>
      </c>
      <c r="AN825" s="2">
        <v>3.0085470654253701</v>
      </c>
      <c r="AO825" s="2">
        <v>7.4862289062257295E-2</v>
      </c>
      <c r="AP825" s="2">
        <v>7.4862289062257295E-2</v>
      </c>
      <c r="AQ825" s="2">
        <v>0</v>
      </c>
      <c r="AR825" s="2">
        <v>0</v>
      </c>
      <c r="AS825" s="2">
        <v>2</v>
      </c>
      <c r="AT825" s="2">
        <v>28</v>
      </c>
      <c r="AU825" s="2">
        <v>3</v>
      </c>
      <c r="AV825" s="2">
        <v>120</v>
      </c>
      <c r="AW825" s="2">
        <v>0</v>
      </c>
      <c r="AX825" s="2">
        <v>0</v>
      </c>
      <c r="AZ825" s="2">
        <v>6.8</v>
      </c>
      <c r="BA825" s="2">
        <v>19.899999999999999</v>
      </c>
      <c r="BB825" s="2">
        <v>564</v>
      </c>
      <c r="BC825" s="2">
        <v>68</v>
      </c>
      <c r="BD825" s="2">
        <v>1.5</v>
      </c>
      <c r="BE825" s="2">
        <v>135</v>
      </c>
      <c r="BF825" s="2">
        <v>0.8</v>
      </c>
      <c r="BG825" s="2">
        <v>162</v>
      </c>
      <c r="BH825" s="2">
        <v>9.1</v>
      </c>
      <c r="BI825" s="2">
        <v>9.1999999999999993</v>
      </c>
      <c r="BJ825" s="2">
        <v>18.3</v>
      </c>
      <c r="BK825" s="2">
        <v>0.34</v>
      </c>
      <c r="BL825" s="2">
        <v>7.3</v>
      </c>
      <c r="BM825" s="2">
        <v>0.9</v>
      </c>
      <c r="BN825" s="2">
        <v>7.5</v>
      </c>
      <c r="BO825" s="2">
        <v>2.9</v>
      </c>
      <c r="BP825" s="2">
        <f t="shared" si="24"/>
        <v>5.570854279549061</v>
      </c>
      <c r="BQ825" s="2">
        <f t="shared" si="25"/>
        <v>18.066392668168316</v>
      </c>
    </row>
    <row r="826" spans="1:69" x14ac:dyDescent="0.2">
      <c r="A826" s="2" t="s">
        <v>3841</v>
      </c>
      <c r="B826" s="2" t="s">
        <v>47</v>
      </c>
      <c r="C826" s="2" t="s">
        <v>3273</v>
      </c>
      <c r="D826" s="2" t="s">
        <v>49</v>
      </c>
      <c r="E826" s="2" t="s">
        <v>111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89</v>
      </c>
      <c r="L826" s="6" t="s">
        <v>90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3842</v>
      </c>
      <c r="R826" s="2">
        <v>16336633.66</v>
      </c>
      <c r="S826" s="2">
        <v>0</v>
      </c>
      <c r="T826" s="2" t="s">
        <v>54</v>
      </c>
      <c r="U826" s="2" t="s">
        <v>55</v>
      </c>
      <c r="V826" s="2" t="s">
        <v>56</v>
      </c>
      <c r="W826" s="2" t="s">
        <v>57</v>
      </c>
      <c r="X826" s="2" t="s">
        <v>58</v>
      </c>
      <c r="Y826" s="2">
        <v>4.3957730740523004</v>
      </c>
      <c r="Z826" s="2">
        <v>4395.7730740523002</v>
      </c>
      <c r="AA826" s="2">
        <v>4.6584666666666701</v>
      </c>
      <c r="AB826" s="2">
        <v>-74.083966666666697</v>
      </c>
      <c r="AC826" s="2">
        <v>2552</v>
      </c>
      <c r="AD826" s="2">
        <v>0</v>
      </c>
      <c r="AE826" s="2" t="s">
        <v>59</v>
      </c>
      <c r="AF826" s="2" t="s">
        <v>60</v>
      </c>
      <c r="AG826" s="2" t="s">
        <v>61</v>
      </c>
      <c r="AH826" s="2" t="s">
        <v>62</v>
      </c>
      <c r="AI826" s="2" t="s">
        <v>109</v>
      </c>
      <c r="AJ826" s="2">
        <v>1.47480904019085</v>
      </c>
      <c r="AK826" s="2">
        <v>0.46024280336608198</v>
      </c>
      <c r="AL826" s="2">
        <v>1.05801025564327</v>
      </c>
      <c r="AM826" s="2">
        <v>0.35086688229456903</v>
      </c>
      <c r="AN826" s="2">
        <v>3.5117172655299398</v>
      </c>
      <c r="AO826" s="2">
        <v>0.58218250533471305</v>
      </c>
      <c r="AP826" s="2">
        <v>0.58218250533471305</v>
      </c>
      <c r="AQ826" s="2">
        <v>0</v>
      </c>
      <c r="AR826" s="2">
        <v>0</v>
      </c>
      <c r="AS826" s="2">
        <v>4</v>
      </c>
      <c r="AT826" s="2">
        <v>32</v>
      </c>
      <c r="AU826" s="2">
        <v>0</v>
      </c>
      <c r="AV826" s="2">
        <v>57</v>
      </c>
      <c r="AW826" s="2">
        <v>0</v>
      </c>
      <c r="AX826" s="2">
        <v>0</v>
      </c>
      <c r="AZ826" s="2">
        <v>6.8</v>
      </c>
      <c r="BA826" s="2">
        <v>19.899999999999999</v>
      </c>
      <c r="BB826" s="2">
        <v>564</v>
      </c>
      <c r="BC826" s="2">
        <v>68</v>
      </c>
      <c r="BD826" s="2">
        <v>1.5</v>
      </c>
      <c r="BE826" s="2">
        <v>135</v>
      </c>
      <c r="BF826" s="2">
        <v>0.8</v>
      </c>
      <c r="BG826" s="2">
        <v>162</v>
      </c>
      <c r="BH826" s="2">
        <v>9.1</v>
      </c>
      <c r="BI826" s="2">
        <v>9.1999999999999993</v>
      </c>
      <c r="BJ826" s="2">
        <v>18.3</v>
      </c>
      <c r="BK826" s="2">
        <v>0.34</v>
      </c>
      <c r="BL826" s="2">
        <v>7.3</v>
      </c>
      <c r="BM826" s="2">
        <v>0.9</v>
      </c>
      <c r="BN826" s="2">
        <v>7.5</v>
      </c>
      <c r="BO826" s="2">
        <v>2.9</v>
      </c>
      <c r="BP826" s="2">
        <f t="shared" si="24"/>
        <v>5.4702911680958888</v>
      </c>
      <c r="BQ826" s="2">
        <f t="shared" si="25"/>
        <v>17.907527907906424</v>
      </c>
    </row>
    <row r="827" spans="1:69" x14ac:dyDescent="0.2">
      <c r="A827" s="2" t="s">
        <v>2990</v>
      </c>
      <c r="B827" s="2" t="s">
        <v>47</v>
      </c>
      <c r="C827" s="2" t="s">
        <v>1935</v>
      </c>
      <c r="D827" s="2" t="s">
        <v>49</v>
      </c>
      <c r="E827" s="2" t="s">
        <v>93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89</v>
      </c>
      <c r="L827" s="6" t="s">
        <v>141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2991</v>
      </c>
      <c r="R827" s="2">
        <v>6487025.9479999999</v>
      </c>
      <c r="S827" s="2">
        <v>0</v>
      </c>
      <c r="T827" s="2" t="s">
        <v>54</v>
      </c>
      <c r="U827" s="2" t="s">
        <v>55</v>
      </c>
      <c r="V827" s="2" t="s">
        <v>56</v>
      </c>
      <c r="W827" s="2" t="s">
        <v>57</v>
      </c>
      <c r="X827" s="2" t="s">
        <v>58</v>
      </c>
      <c r="Y827" s="2">
        <v>3.46870813540392</v>
      </c>
      <c r="Z827" s="2">
        <v>3468.7081354039201</v>
      </c>
      <c r="AA827" s="2">
        <v>4.6584666666666701</v>
      </c>
      <c r="AB827" s="2">
        <v>-74.083966666666697</v>
      </c>
      <c r="AC827" s="2">
        <v>2552</v>
      </c>
      <c r="AD827" s="2">
        <v>0</v>
      </c>
      <c r="AE827" s="2" t="s">
        <v>59</v>
      </c>
      <c r="AF827" s="2" t="s">
        <v>60</v>
      </c>
      <c r="AG827" s="2" t="s">
        <v>61</v>
      </c>
      <c r="AH827" s="2" t="s">
        <v>62</v>
      </c>
      <c r="AI827" s="2" t="s">
        <v>391</v>
      </c>
      <c r="AJ827" s="2">
        <v>0.71922686590181095</v>
      </c>
      <c r="AK827" s="2">
        <v>5.5772062088437</v>
      </c>
      <c r="AL827" s="2">
        <v>1.3848437436876699</v>
      </c>
      <c r="AM827" s="2">
        <v>0.21991549789145801</v>
      </c>
      <c r="AN827" s="2">
        <v>1.28830978610793</v>
      </c>
      <c r="AO827" s="2">
        <v>5.3245298375181403E-2</v>
      </c>
      <c r="AP827" s="2">
        <v>5.3245298375181403E-2</v>
      </c>
      <c r="AQ827" s="2">
        <v>0</v>
      </c>
      <c r="AR827" s="2">
        <v>3</v>
      </c>
      <c r="AS827" s="2">
        <v>0</v>
      </c>
      <c r="AT827" s="2">
        <v>0</v>
      </c>
      <c r="AU827" s="2">
        <v>0</v>
      </c>
      <c r="AV827" s="2">
        <v>41</v>
      </c>
      <c r="AW827" s="2">
        <v>0</v>
      </c>
      <c r="AX827" s="2">
        <v>0</v>
      </c>
      <c r="AZ827" s="2">
        <v>6.8</v>
      </c>
      <c r="BA827" s="2">
        <v>19.899999999999999</v>
      </c>
      <c r="BB827" s="2">
        <v>564</v>
      </c>
      <c r="BC827" s="2">
        <v>68</v>
      </c>
      <c r="BD827" s="2">
        <v>1.5</v>
      </c>
      <c r="BE827" s="2">
        <v>135</v>
      </c>
      <c r="BF827" s="2">
        <v>0.8</v>
      </c>
      <c r="BG827" s="2">
        <v>162</v>
      </c>
      <c r="BH827" s="2">
        <v>9.1</v>
      </c>
      <c r="BI827" s="2">
        <v>9.1999999999999993</v>
      </c>
      <c r="BJ827" s="2">
        <v>18.3</v>
      </c>
      <c r="BK827" s="2">
        <v>0.34</v>
      </c>
      <c r="BL827" s="2">
        <v>7.3</v>
      </c>
      <c r="BM827" s="2">
        <v>0.9</v>
      </c>
      <c r="BN827" s="2">
        <v>7.5</v>
      </c>
      <c r="BO827" s="2">
        <v>2.9</v>
      </c>
      <c r="BP827" s="2">
        <f t="shared" si="24"/>
        <v>5.7271702437208836</v>
      </c>
      <c r="BQ827" s="2">
        <f t="shared" si="25"/>
        <v>18.310428052417681</v>
      </c>
    </row>
    <row r="828" spans="1:69" x14ac:dyDescent="0.2">
      <c r="A828" s="2" t="s">
        <v>784</v>
      </c>
      <c r="B828" s="2" t="s">
        <v>47</v>
      </c>
      <c r="C828" s="2" t="s">
        <v>48</v>
      </c>
      <c r="D828" s="2" t="s">
        <v>49</v>
      </c>
      <c r="E828" s="2" t="s">
        <v>785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89</v>
      </c>
      <c r="L828" s="6" t="s">
        <v>112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786</v>
      </c>
      <c r="R828" s="2">
        <v>10500000</v>
      </c>
      <c r="S828" s="2">
        <v>0</v>
      </c>
      <c r="T828" s="2" t="s">
        <v>54</v>
      </c>
      <c r="U828" s="2" t="s">
        <v>55</v>
      </c>
      <c r="V828" s="2" t="s">
        <v>56</v>
      </c>
      <c r="W828" s="2" t="s">
        <v>57</v>
      </c>
      <c r="X828" s="2" t="s">
        <v>58</v>
      </c>
      <c r="Y828" s="2">
        <v>3.0465945199180098</v>
      </c>
      <c r="Z828" s="2">
        <v>3046.5945199180101</v>
      </c>
      <c r="AA828" s="2">
        <v>4.6584666666666701</v>
      </c>
      <c r="AB828" s="2">
        <v>-74.083966666666697</v>
      </c>
      <c r="AC828" s="2">
        <v>2552</v>
      </c>
      <c r="AD828" s="2">
        <v>0</v>
      </c>
      <c r="AE828" s="2" t="s">
        <v>59</v>
      </c>
      <c r="AF828" s="2" t="s">
        <v>60</v>
      </c>
      <c r="AG828" s="2" t="s">
        <v>61</v>
      </c>
      <c r="AH828" s="2" t="s">
        <v>62</v>
      </c>
      <c r="AI828" s="2" t="s">
        <v>71</v>
      </c>
      <c r="AJ828" s="2">
        <v>0.28373295203795601</v>
      </c>
      <c r="AK828" s="2">
        <v>5.1628996697406002</v>
      </c>
      <c r="AL828" s="2">
        <v>0.75370709554174398</v>
      </c>
      <c r="AM828" s="2">
        <v>0.21554950824019001</v>
      </c>
      <c r="AN828" s="2">
        <v>1.3877413965184899</v>
      </c>
      <c r="AO828" s="2">
        <v>0.653376072165887</v>
      </c>
      <c r="AP828" s="2">
        <v>0.653376072165887</v>
      </c>
      <c r="AQ828" s="2">
        <v>1</v>
      </c>
      <c r="AR828" s="2">
        <v>3</v>
      </c>
      <c r="AS828" s="2">
        <v>0</v>
      </c>
      <c r="AT828" s="2">
        <v>0</v>
      </c>
      <c r="AU828" s="2">
        <v>1</v>
      </c>
      <c r="AV828" s="2">
        <v>44</v>
      </c>
      <c r="AW828" s="2">
        <v>0</v>
      </c>
      <c r="AX828" s="2">
        <v>0</v>
      </c>
      <c r="AZ828" s="2">
        <v>6.8</v>
      </c>
      <c r="BA828" s="2">
        <v>19.899999999999999</v>
      </c>
      <c r="BB828" s="2">
        <v>564</v>
      </c>
      <c r="BC828" s="2">
        <v>68</v>
      </c>
      <c r="BD828" s="2">
        <v>1.5</v>
      </c>
      <c r="BE828" s="2">
        <v>135</v>
      </c>
      <c r="BF828" s="2">
        <v>0.8</v>
      </c>
      <c r="BG828" s="2">
        <v>162</v>
      </c>
      <c r="BH828" s="2">
        <v>9.1</v>
      </c>
      <c r="BI828" s="2">
        <v>9.1999999999999993</v>
      </c>
      <c r="BJ828" s="2">
        <v>18.3</v>
      </c>
      <c r="BK828" s="2">
        <v>0.34</v>
      </c>
      <c r="BL828" s="2">
        <v>7.3</v>
      </c>
      <c r="BM828" s="2">
        <v>0.9</v>
      </c>
      <c r="BN828" s="2">
        <v>7.5</v>
      </c>
      <c r="BO828" s="2">
        <v>2.9</v>
      </c>
      <c r="BP828" s="2">
        <f t="shared" si="24"/>
        <v>5.848096264712364</v>
      </c>
      <c r="BQ828" s="2">
        <f t="shared" si="25"/>
        <v>18.496868791625971</v>
      </c>
    </row>
    <row r="829" spans="1:69" x14ac:dyDescent="0.2">
      <c r="A829" s="2" t="s">
        <v>1901</v>
      </c>
      <c r="B829" s="2" t="s">
        <v>47</v>
      </c>
      <c r="C829" s="2" t="s">
        <v>48</v>
      </c>
      <c r="D829" s="2" t="s">
        <v>49</v>
      </c>
      <c r="E829" s="2" t="s">
        <v>111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89</v>
      </c>
      <c r="L829" s="6" t="s">
        <v>141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1902</v>
      </c>
      <c r="R829" s="2">
        <v>8000000</v>
      </c>
      <c r="S829" s="2">
        <v>0</v>
      </c>
      <c r="T829" s="2" t="s">
        <v>54</v>
      </c>
      <c r="U829" s="2" t="s">
        <v>55</v>
      </c>
      <c r="V829" s="2" t="s">
        <v>56</v>
      </c>
      <c r="W829" s="2" t="s">
        <v>57</v>
      </c>
      <c r="X829" s="2" t="s">
        <v>58</v>
      </c>
      <c r="Y829" s="2">
        <v>4.1957030937377704</v>
      </c>
      <c r="Z829" s="2">
        <v>4195.7030937377704</v>
      </c>
      <c r="AA829" s="2">
        <v>4.6584666666666701</v>
      </c>
      <c r="AB829" s="2">
        <v>-74.083966666666697</v>
      </c>
      <c r="AC829" s="2">
        <v>2552</v>
      </c>
      <c r="AD829" s="2">
        <v>0</v>
      </c>
      <c r="AE829" s="2" t="s">
        <v>59</v>
      </c>
      <c r="AF829" s="2" t="s">
        <v>60</v>
      </c>
      <c r="AG829" s="2" t="s">
        <v>61</v>
      </c>
      <c r="AH829" s="2" t="s">
        <v>62</v>
      </c>
      <c r="AI829" s="2" t="s">
        <v>109</v>
      </c>
      <c r="AJ829" s="2">
        <v>1.06822804081523</v>
      </c>
      <c r="AK829" s="2">
        <v>0.94951306560183701</v>
      </c>
      <c r="AL829" s="2">
        <v>1.1246369528401401</v>
      </c>
      <c r="AM829" s="2">
        <v>0.13767697256480699</v>
      </c>
      <c r="AN829" s="2">
        <v>3.5809514346603502</v>
      </c>
      <c r="AO829" s="2">
        <v>0.84029178150834904</v>
      </c>
      <c r="AP829" s="2">
        <v>0.84029178150834904</v>
      </c>
      <c r="AQ829" s="2">
        <v>0</v>
      </c>
      <c r="AR829" s="2">
        <v>0</v>
      </c>
      <c r="AS829" s="2">
        <v>0</v>
      </c>
      <c r="AT829" s="2">
        <v>4</v>
      </c>
      <c r="AU829" s="2">
        <v>0</v>
      </c>
      <c r="AV829" s="2">
        <v>179</v>
      </c>
      <c r="AW829" s="2">
        <v>0</v>
      </c>
      <c r="AX829" s="2">
        <v>0</v>
      </c>
      <c r="AZ829" s="2">
        <v>6.8</v>
      </c>
      <c r="BA829" s="2">
        <v>19.899999999999999</v>
      </c>
      <c r="BB829" s="2">
        <v>564</v>
      </c>
      <c r="BC829" s="2">
        <v>68</v>
      </c>
      <c r="BD829" s="2">
        <v>1.5</v>
      </c>
      <c r="BE829" s="2">
        <v>135</v>
      </c>
      <c r="BF829" s="2">
        <v>0.8</v>
      </c>
      <c r="BG829" s="2">
        <v>162</v>
      </c>
      <c r="BH829" s="2">
        <v>9.1</v>
      </c>
      <c r="BI829" s="2">
        <v>9.1999999999999993</v>
      </c>
      <c r="BJ829" s="2">
        <v>18.3</v>
      </c>
      <c r="BK829" s="2">
        <v>0.34</v>
      </c>
      <c r="BL829" s="2">
        <v>7.3</v>
      </c>
      <c r="BM829" s="2">
        <v>0.9</v>
      </c>
      <c r="BN829" s="2">
        <v>7.5</v>
      </c>
      <c r="BO829" s="2">
        <v>2.9</v>
      </c>
      <c r="BP829" s="2">
        <f t="shared" si="24"/>
        <v>5.5247351468995545</v>
      </c>
      <c r="BQ829" s="2">
        <f t="shared" si="25"/>
        <v>17.993720887978451</v>
      </c>
    </row>
    <row r="830" spans="1:69" x14ac:dyDescent="0.2">
      <c r="A830" s="2" t="s">
        <v>1988</v>
      </c>
      <c r="B830" s="2" t="s">
        <v>47</v>
      </c>
      <c r="C830" s="2" t="s">
        <v>1935</v>
      </c>
      <c r="D830" s="2" t="s">
        <v>49</v>
      </c>
      <c r="E830" s="2" t="s">
        <v>52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89</v>
      </c>
      <c r="L830" s="6" t="s">
        <v>141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1989</v>
      </c>
      <c r="R830" s="2">
        <v>6750000</v>
      </c>
      <c r="S830" s="2">
        <v>0</v>
      </c>
      <c r="T830" s="2" t="s">
        <v>54</v>
      </c>
      <c r="U830" s="2" t="s">
        <v>55</v>
      </c>
      <c r="V830" s="2" t="s">
        <v>56</v>
      </c>
      <c r="W830" s="2" t="s">
        <v>57</v>
      </c>
      <c r="X830" s="2" t="s">
        <v>58</v>
      </c>
      <c r="Y830" s="2">
        <v>3.7986721776127599</v>
      </c>
      <c r="Z830" s="2">
        <v>3798.6721776127602</v>
      </c>
      <c r="AA830" s="2">
        <v>4.6584666666666701</v>
      </c>
      <c r="AB830" s="2">
        <v>-74.083966666666697</v>
      </c>
      <c r="AC830" s="2">
        <v>2552</v>
      </c>
      <c r="AD830" s="2">
        <v>0</v>
      </c>
      <c r="AE830" s="2" t="s">
        <v>59</v>
      </c>
      <c r="AF830" s="2" t="s">
        <v>60</v>
      </c>
      <c r="AG830" s="2" t="s">
        <v>61</v>
      </c>
      <c r="AH830" s="2" t="s">
        <v>62</v>
      </c>
      <c r="AI830" s="2" t="s">
        <v>100</v>
      </c>
      <c r="AJ830" s="2">
        <v>0.55050209233707603</v>
      </c>
      <c r="AK830" s="2">
        <v>3.8812873814016702</v>
      </c>
      <c r="AL830" s="2">
        <v>0.58534760371080197</v>
      </c>
      <c r="AM830" s="2">
        <v>0.25572372610484301</v>
      </c>
      <c r="AN830" s="2">
        <v>2.1658094529807501</v>
      </c>
      <c r="AO830" s="2">
        <v>9.2207367611668797E-2</v>
      </c>
      <c r="AP830" s="2">
        <v>9.2207367611668797E-2</v>
      </c>
      <c r="AQ830" s="2">
        <v>0</v>
      </c>
      <c r="AR830" s="2">
        <v>2</v>
      </c>
      <c r="AS830" s="2">
        <v>0</v>
      </c>
      <c r="AT830" s="2">
        <v>0</v>
      </c>
      <c r="AU830" s="2">
        <v>2</v>
      </c>
      <c r="AV830" s="2">
        <v>47</v>
      </c>
      <c r="AW830" s="2">
        <v>0</v>
      </c>
      <c r="AX830" s="2">
        <v>0</v>
      </c>
      <c r="AZ830" s="2">
        <v>6.8</v>
      </c>
      <c r="BA830" s="2">
        <v>19.899999999999999</v>
      </c>
      <c r="BB830" s="2">
        <v>564</v>
      </c>
      <c r="BC830" s="2">
        <v>68</v>
      </c>
      <c r="BD830" s="2">
        <v>1.5</v>
      </c>
      <c r="BE830" s="2">
        <v>135</v>
      </c>
      <c r="BF830" s="2">
        <v>0.8</v>
      </c>
      <c r="BG830" s="2">
        <v>162</v>
      </c>
      <c r="BH830" s="2">
        <v>9.1</v>
      </c>
      <c r="BI830" s="2">
        <v>9.1999999999999993</v>
      </c>
      <c r="BJ830" s="2">
        <v>18.3</v>
      </c>
      <c r="BK830" s="2">
        <v>0.34</v>
      </c>
      <c r="BL830" s="2">
        <v>7.3</v>
      </c>
      <c r="BM830" s="2">
        <v>0.9</v>
      </c>
      <c r="BN830" s="2">
        <v>7.5</v>
      </c>
      <c r="BO830" s="2">
        <v>2.9</v>
      </c>
      <c r="BP830" s="2">
        <f t="shared" si="24"/>
        <v>5.6343868997037347</v>
      </c>
      <c r="BQ830" s="2">
        <f t="shared" si="25"/>
        <v>18.165997899787417</v>
      </c>
    </row>
    <row r="831" spans="1:69" x14ac:dyDescent="0.2">
      <c r="A831" s="2" t="s">
        <v>2738</v>
      </c>
      <c r="B831" s="2" t="s">
        <v>47</v>
      </c>
      <c r="C831" s="2" t="s">
        <v>1935</v>
      </c>
      <c r="D831" s="2" t="s">
        <v>49</v>
      </c>
      <c r="E831" s="2" t="s">
        <v>1124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89</v>
      </c>
      <c r="L831" s="6" t="s">
        <v>141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2739</v>
      </c>
      <c r="R831" s="2">
        <v>4250000</v>
      </c>
      <c r="S831" s="2">
        <v>0</v>
      </c>
      <c r="T831" s="2" t="s">
        <v>54</v>
      </c>
      <c r="U831" s="2" t="s">
        <v>55</v>
      </c>
      <c r="V831" s="2" t="s">
        <v>56</v>
      </c>
      <c r="W831" s="2" t="s">
        <v>57</v>
      </c>
      <c r="X831" s="2" t="s">
        <v>58</v>
      </c>
      <c r="Y831" s="2">
        <v>2.8236328797683599</v>
      </c>
      <c r="Z831" s="2">
        <v>2823.63287976836</v>
      </c>
      <c r="AA831" s="2">
        <v>4.6584666666666701</v>
      </c>
      <c r="AB831" s="2">
        <v>-74.083966666666697</v>
      </c>
      <c r="AC831" s="2">
        <v>2552</v>
      </c>
      <c r="AD831" s="2">
        <v>0</v>
      </c>
      <c r="AE831" s="2" t="s">
        <v>59</v>
      </c>
      <c r="AF831" s="2" t="s">
        <v>60</v>
      </c>
      <c r="AG831" s="2" t="s">
        <v>61</v>
      </c>
      <c r="AH831" s="2" t="s">
        <v>62</v>
      </c>
      <c r="AI831" s="2" t="s">
        <v>391</v>
      </c>
      <c r="AJ831" s="2">
        <v>0.73436434651062299</v>
      </c>
      <c r="AK831" s="2">
        <v>5.6729456209492604</v>
      </c>
      <c r="AL831" s="2">
        <v>1.3272867630376599</v>
      </c>
      <c r="AM831" s="2">
        <v>0.12763503826787001</v>
      </c>
      <c r="AN831" s="2">
        <v>2.2433672003206002</v>
      </c>
      <c r="AO831" s="2">
        <v>0.38658035451003903</v>
      </c>
      <c r="AP831" s="2">
        <v>0.38658035451003903</v>
      </c>
      <c r="AQ831" s="2">
        <v>0</v>
      </c>
      <c r="AR831" s="2">
        <v>2</v>
      </c>
      <c r="AS831" s="2">
        <v>0</v>
      </c>
      <c r="AT831" s="2">
        <v>0</v>
      </c>
      <c r="AU831" s="2">
        <v>0</v>
      </c>
      <c r="AV831" s="2">
        <v>32</v>
      </c>
      <c r="AW831" s="2">
        <v>0</v>
      </c>
      <c r="AX831" s="2">
        <v>0</v>
      </c>
      <c r="AZ831" s="2">
        <v>6.8</v>
      </c>
      <c r="BA831" s="2">
        <v>19.899999999999999</v>
      </c>
      <c r="BB831" s="2">
        <v>564</v>
      </c>
      <c r="BC831" s="2">
        <v>68</v>
      </c>
      <c r="BD831" s="2">
        <v>1.5</v>
      </c>
      <c r="BE831" s="2">
        <v>135</v>
      </c>
      <c r="BF831" s="2">
        <v>0.8</v>
      </c>
      <c r="BG831" s="2">
        <v>162</v>
      </c>
      <c r="BH831" s="2">
        <v>9.1</v>
      </c>
      <c r="BI831" s="2">
        <v>9.1999999999999993</v>
      </c>
      <c r="BJ831" s="2">
        <v>18.3</v>
      </c>
      <c r="BK831" s="2">
        <v>0.34</v>
      </c>
      <c r="BL831" s="2">
        <v>7.3</v>
      </c>
      <c r="BM831" s="2">
        <v>0.9</v>
      </c>
      <c r="BN831" s="2">
        <v>7.5</v>
      </c>
      <c r="BO831" s="2">
        <v>2.9</v>
      </c>
      <c r="BP831" s="2">
        <f t="shared" si="24"/>
        <v>5.912996853071693</v>
      </c>
      <c r="BQ831" s="2">
        <f t="shared" si="25"/>
        <v>18.596112297634541</v>
      </c>
    </row>
    <row r="832" spans="1:69" x14ac:dyDescent="0.2">
      <c r="A832" s="2" t="s">
        <v>3000</v>
      </c>
      <c r="B832" s="2" t="s">
        <v>47</v>
      </c>
      <c r="C832" s="2" t="s">
        <v>1935</v>
      </c>
      <c r="D832" s="2" t="s">
        <v>49</v>
      </c>
      <c r="E832" s="2" t="s">
        <v>3001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89</v>
      </c>
      <c r="L832" s="6" t="s">
        <v>141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3002</v>
      </c>
      <c r="R832" s="2">
        <v>3512293.0260000001</v>
      </c>
      <c r="S832" s="2">
        <v>0</v>
      </c>
      <c r="T832" s="2" t="s">
        <v>54</v>
      </c>
      <c r="U832" s="2" t="s">
        <v>55</v>
      </c>
      <c r="V832" s="2" t="s">
        <v>56</v>
      </c>
      <c r="W832" s="2" t="s">
        <v>57</v>
      </c>
      <c r="X832" s="2" t="s">
        <v>58</v>
      </c>
      <c r="Y832" s="2">
        <v>3.4111344277825402</v>
      </c>
      <c r="Z832" s="2">
        <v>3411.1344277825401</v>
      </c>
      <c r="AA832" s="2">
        <v>4.6584666666666701</v>
      </c>
      <c r="AB832" s="2">
        <v>-74.083966666666697</v>
      </c>
      <c r="AC832" s="2">
        <v>2552</v>
      </c>
      <c r="AD832" s="2">
        <v>0</v>
      </c>
      <c r="AE832" s="2" t="s">
        <v>59</v>
      </c>
      <c r="AF832" s="2" t="s">
        <v>60</v>
      </c>
      <c r="AG832" s="2" t="s">
        <v>61</v>
      </c>
      <c r="AH832" s="2" t="s">
        <v>62</v>
      </c>
      <c r="AI832" s="2" t="s">
        <v>391</v>
      </c>
      <c r="AJ832" s="2">
        <v>0.52238077338657996</v>
      </c>
      <c r="AK832" s="2">
        <v>5.5201692136996696</v>
      </c>
      <c r="AL832" s="2">
        <v>1.3831439729809301</v>
      </c>
      <c r="AM832" s="2">
        <v>0.29992491700436602</v>
      </c>
      <c r="AN832" s="2">
        <v>1.5457946903456801</v>
      </c>
      <c r="AO832" s="2">
        <v>5.1122212806962997E-2</v>
      </c>
      <c r="AP832" s="2">
        <v>5.1122212806962997E-2</v>
      </c>
      <c r="AQ832" s="2">
        <v>0</v>
      </c>
      <c r="AR832" s="2">
        <v>4</v>
      </c>
      <c r="AS832" s="2">
        <v>0</v>
      </c>
      <c r="AT832" s="2">
        <v>0</v>
      </c>
      <c r="AU832" s="2">
        <v>0</v>
      </c>
      <c r="AV832" s="2">
        <v>32</v>
      </c>
      <c r="AW832" s="2">
        <v>0</v>
      </c>
      <c r="AX832" s="2">
        <v>0</v>
      </c>
      <c r="AZ832" s="2">
        <v>6.8</v>
      </c>
      <c r="BA832" s="2">
        <v>19.899999999999999</v>
      </c>
      <c r="BB832" s="2">
        <v>564</v>
      </c>
      <c r="BC832" s="2">
        <v>68</v>
      </c>
      <c r="BD832" s="2">
        <v>1.5</v>
      </c>
      <c r="BE832" s="2">
        <v>135</v>
      </c>
      <c r="BF832" s="2">
        <v>0.8</v>
      </c>
      <c r="BG832" s="2">
        <v>162</v>
      </c>
      <c r="BH832" s="2">
        <v>9.1</v>
      </c>
      <c r="BI832" s="2">
        <v>9.1999999999999993</v>
      </c>
      <c r="BJ832" s="2">
        <v>18.3</v>
      </c>
      <c r="BK832" s="2">
        <v>0.34</v>
      </c>
      <c r="BL832" s="2">
        <v>7.3</v>
      </c>
      <c r="BM832" s="2">
        <v>0.9</v>
      </c>
      <c r="BN832" s="2">
        <v>7.5</v>
      </c>
      <c r="BO832" s="2">
        <v>2.9</v>
      </c>
      <c r="BP832" s="2">
        <f t="shared" si="24"/>
        <v>5.7435153776876087</v>
      </c>
      <c r="BQ832" s="2">
        <f t="shared" si="25"/>
        <v>18.335746321935819</v>
      </c>
    </row>
    <row r="833" spans="1:69" x14ac:dyDescent="0.2">
      <c r="A833" s="2" t="s">
        <v>2943</v>
      </c>
      <c r="B833" s="2" t="s">
        <v>47</v>
      </c>
      <c r="C833" s="2" t="s">
        <v>1935</v>
      </c>
      <c r="D833" s="2" t="s">
        <v>49</v>
      </c>
      <c r="E833" s="2" t="s">
        <v>2732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89</v>
      </c>
      <c r="L833" s="6" t="s">
        <v>141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2944</v>
      </c>
      <c r="R833" s="2">
        <v>3030303.03</v>
      </c>
      <c r="S833" s="2">
        <v>0</v>
      </c>
      <c r="T833" s="2" t="s">
        <v>54</v>
      </c>
      <c r="U833" s="2" t="s">
        <v>55</v>
      </c>
      <c r="V833" s="2" t="s">
        <v>56</v>
      </c>
      <c r="W833" s="2" t="s">
        <v>57</v>
      </c>
      <c r="X833" s="2" t="s">
        <v>58</v>
      </c>
      <c r="Y833" s="2">
        <v>3.25108237942572</v>
      </c>
      <c r="Z833" s="2">
        <v>3251.0823794257199</v>
      </c>
      <c r="AA833" s="2">
        <v>4.6584666666666701</v>
      </c>
      <c r="AB833" s="2">
        <v>-74.083966666666697</v>
      </c>
      <c r="AC833" s="2">
        <v>2552</v>
      </c>
      <c r="AD833" s="2">
        <v>0</v>
      </c>
      <c r="AE833" s="2" t="s">
        <v>59</v>
      </c>
      <c r="AF833" s="2" t="s">
        <v>60</v>
      </c>
      <c r="AG833" s="2" t="s">
        <v>61</v>
      </c>
      <c r="AH833" s="2" t="s">
        <v>62</v>
      </c>
      <c r="AI833" s="2" t="s">
        <v>321</v>
      </c>
      <c r="AJ833" s="2">
        <v>0.42104168513312201</v>
      </c>
      <c r="AK833" s="2">
        <v>3.1524629060801601</v>
      </c>
      <c r="AL833" s="2">
        <v>0.79001459693494602</v>
      </c>
      <c r="AM833" s="2">
        <v>0.44731892926104899</v>
      </c>
      <c r="AN833" s="2">
        <v>1.8534862803646901</v>
      </c>
      <c r="AO833" s="2">
        <v>0.50196521586036003</v>
      </c>
      <c r="AP833" s="2">
        <v>0.50196521586036003</v>
      </c>
      <c r="AQ833" s="2">
        <v>1</v>
      </c>
      <c r="AR833" s="2">
        <v>7</v>
      </c>
      <c r="AS833" s="2">
        <v>0</v>
      </c>
      <c r="AT833" s="2">
        <v>0</v>
      </c>
      <c r="AU833" s="2">
        <v>2</v>
      </c>
      <c r="AV833" s="2">
        <v>90</v>
      </c>
      <c r="AW833" s="2">
        <v>0</v>
      </c>
      <c r="AX833" s="2">
        <v>0</v>
      </c>
      <c r="AZ833" s="2">
        <v>6.8</v>
      </c>
      <c r="BA833" s="2">
        <v>19.899999999999999</v>
      </c>
      <c r="BB833" s="2">
        <v>564</v>
      </c>
      <c r="BC833" s="2">
        <v>68</v>
      </c>
      <c r="BD833" s="2">
        <v>1.5</v>
      </c>
      <c r="BE833" s="2">
        <v>135</v>
      </c>
      <c r="BF833" s="2">
        <v>0.8</v>
      </c>
      <c r="BG833" s="2">
        <v>162</v>
      </c>
      <c r="BH833" s="2">
        <v>9.1</v>
      </c>
      <c r="BI833" s="2">
        <v>9.1999999999999993</v>
      </c>
      <c r="BJ833" s="2">
        <v>18.3</v>
      </c>
      <c r="BK833" s="2">
        <v>0.34</v>
      </c>
      <c r="BL833" s="2">
        <v>7.3</v>
      </c>
      <c r="BM833" s="2">
        <v>0.9</v>
      </c>
      <c r="BN833" s="2">
        <v>7.5</v>
      </c>
      <c r="BO833" s="2">
        <v>2.9</v>
      </c>
      <c r="BP833" s="2">
        <f t="shared" si="24"/>
        <v>5.7891995462377484</v>
      </c>
      <c r="BQ833" s="2">
        <f t="shared" si="25"/>
        <v>18.406313939233726</v>
      </c>
    </row>
    <row r="834" spans="1:69" x14ac:dyDescent="0.2">
      <c r="A834" s="2" t="s">
        <v>3245</v>
      </c>
      <c r="B834" s="2" t="s">
        <v>47</v>
      </c>
      <c r="C834" s="2" t="s">
        <v>1935</v>
      </c>
      <c r="D834" s="2" t="s">
        <v>49</v>
      </c>
      <c r="E834" s="2" t="s">
        <v>3246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89</v>
      </c>
      <c r="L834" s="6" t="s">
        <v>141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3247</v>
      </c>
      <c r="R834" s="2">
        <v>4591836.7350000003</v>
      </c>
      <c r="S834" s="2">
        <v>0</v>
      </c>
      <c r="T834" s="2" t="s">
        <v>54</v>
      </c>
      <c r="U834" s="2" t="s">
        <v>55</v>
      </c>
      <c r="V834" s="2" t="s">
        <v>56</v>
      </c>
      <c r="W834" s="2" t="s">
        <v>57</v>
      </c>
      <c r="X834" s="2" t="s">
        <v>58</v>
      </c>
      <c r="Y834" s="2">
        <v>2.8247615052297399</v>
      </c>
      <c r="Z834" s="2">
        <v>2824.7615052297401</v>
      </c>
      <c r="AA834" s="2">
        <v>4.6584666666666701</v>
      </c>
      <c r="AB834" s="2">
        <v>-74.083966666666697</v>
      </c>
      <c r="AC834" s="2">
        <v>2552</v>
      </c>
      <c r="AD834" s="2">
        <v>0</v>
      </c>
      <c r="AE834" s="2" t="s">
        <v>59</v>
      </c>
      <c r="AF834" s="2" t="s">
        <v>60</v>
      </c>
      <c r="AG834" s="2" t="s">
        <v>61</v>
      </c>
      <c r="AH834" s="2" t="s">
        <v>62</v>
      </c>
      <c r="AI834" s="2" t="s">
        <v>321</v>
      </c>
      <c r="AJ834" s="2">
        <v>0.129898951159303</v>
      </c>
      <c r="AK834" s="2">
        <v>2.65262969252817</v>
      </c>
      <c r="AL834" s="2">
        <v>0.57144942787659003</v>
      </c>
      <c r="AM834" s="2">
        <v>0.103997310551316</v>
      </c>
      <c r="AN834" s="2">
        <v>1.7820775875613899</v>
      </c>
      <c r="AO834" s="2">
        <v>0.58661463361162403</v>
      </c>
      <c r="AP834" s="2">
        <v>0.58661463361162403</v>
      </c>
      <c r="AQ834" s="2">
        <v>4</v>
      </c>
      <c r="AR834" s="2">
        <v>10</v>
      </c>
      <c r="AS834" s="2">
        <v>0</v>
      </c>
      <c r="AT834" s="2">
        <v>0</v>
      </c>
      <c r="AU834" s="2">
        <v>1</v>
      </c>
      <c r="AV834" s="2">
        <v>102</v>
      </c>
      <c r="AW834" s="2">
        <v>0</v>
      </c>
      <c r="AX834" s="2">
        <v>0</v>
      </c>
      <c r="AZ834" s="2">
        <v>6.8</v>
      </c>
      <c r="BA834" s="2">
        <v>19.899999999999999</v>
      </c>
      <c r="BB834" s="2">
        <v>564</v>
      </c>
      <c r="BC834" s="2">
        <v>68</v>
      </c>
      <c r="BD834" s="2">
        <v>1.5</v>
      </c>
      <c r="BE834" s="2">
        <v>135</v>
      </c>
      <c r="BF834" s="2">
        <v>0.8</v>
      </c>
      <c r="BG834" s="2">
        <v>162</v>
      </c>
      <c r="BH834" s="2">
        <v>9.1</v>
      </c>
      <c r="BI834" s="2">
        <v>9.1999999999999993</v>
      </c>
      <c r="BJ834" s="2">
        <v>18.3</v>
      </c>
      <c r="BK834" s="2">
        <v>0.34</v>
      </c>
      <c r="BL834" s="2">
        <v>7.3</v>
      </c>
      <c r="BM834" s="2">
        <v>0.9</v>
      </c>
      <c r="BN834" s="2">
        <v>7.5</v>
      </c>
      <c r="BO834" s="2">
        <v>2.9</v>
      </c>
      <c r="BP834" s="2">
        <f t="shared" ref="BP834:BP897" si="26">+AZ834*EXP(-0.0495*Y834)</f>
        <v>5.9126665211384282</v>
      </c>
      <c r="BQ834" s="2">
        <f t="shared" ref="BQ834:BQ897" si="27">+BA834*EXP(-0.024*Y834)</f>
        <v>18.595608591356793</v>
      </c>
    </row>
    <row r="835" spans="1:69" x14ac:dyDescent="0.2">
      <c r="A835" s="2" t="s">
        <v>1169</v>
      </c>
      <c r="B835" s="2" t="s">
        <v>47</v>
      </c>
      <c r="C835" s="2" t="s">
        <v>48</v>
      </c>
      <c r="D835" s="2" t="s">
        <v>49</v>
      </c>
      <c r="E835" s="2" t="s">
        <v>1170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89</v>
      </c>
      <c r="L835" s="6" t="s">
        <v>141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1171</v>
      </c>
      <c r="R835" s="2">
        <v>4923076.9230000004</v>
      </c>
      <c r="S835" s="2">
        <v>0</v>
      </c>
      <c r="T835" s="2" t="s">
        <v>54</v>
      </c>
      <c r="U835" s="2" t="s">
        <v>55</v>
      </c>
      <c r="V835" s="2" t="s">
        <v>56</v>
      </c>
      <c r="W835" s="2" t="s">
        <v>57</v>
      </c>
      <c r="X835" s="2" t="s">
        <v>58</v>
      </c>
      <c r="Y835" s="2">
        <v>3.1765151349175902</v>
      </c>
      <c r="Z835" s="2">
        <v>3176.5151349175899</v>
      </c>
      <c r="AA835" s="2">
        <v>4.6584666666666701</v>
      </c>
      <c r="AB835" s="2">
        <v>-74.083966666666697</v>
      </c>
      <c r="AC835" s="2">
        <v>2552</v>
      </c>
      <c r="AD835" s="2">
        <v>0</v>
      </c>
      <c r="AE835" s="2" t="s">
        <v>59</v>
      </c>
      <c r="AF835" s="2" t="s">
        <v>60</v>
      </c>
      <c r="AG835" s="2" t="s">
        <v>61</v>
      </c>
      <c r="AH835" s="2" t="s">
        <v>62</v>
      </c>
      <c r="AI835" s="2" t="s">
        <v>109</v>
      </c>
      <c r="AJ835" s="2">
        <v>0.81700896862192096</v>
      </c>
      <c r="AK835" s="2">
        <v>0.75090957160677396</v>
      </c>
      <c r="AL835" s="2">
        <v>0.42171387903056901</v>
      </c>
      <c r="AM835" s="2">
        <v>5.0849943958240301E-2</v>
      </c>
      <c r="AN835" s="2">
        <v>1.3543089251657201</v>
      </c>
      <c r="AO835" s="2">
        <v>0.16392721469366001</v>
      </c>
      <c r="AP835" s="2">
        <v>0.16392721469366001</v>
      </c>
      <c r="AQ835" s="2">
        <v>0</v>
      </c>
      <c r="AR835" s="2">
        <v>2</v>
      </c>
      <c r="AS835" s="2">
        <v>0</v>
      </c>
      <c r="AT835" s="2">
        <v>30</v>
      </c>
      <c r="AU835" s="2">
        <v>17</v>
      </c>
      <c r="AV835" s="2">
        <v>58</v>
      </c>
      <c r="AW835" s="2">
        <v>0</v>
      </c>
      <c r="AX835" s="2">
        <v>0</v>
      </c>
      <c r="AZ835" s="2">
        <v>6.8</v>
      </c>
      <c r="BA835" s="2">
        <v>19.899999999999999</v>
      </c>
      <c r="BB835" s="2">
        <v>564</v>
      </c>
      <c r="BC835" s="2">
        <v>68</v>
      </c>
      <c r="BD835" s="2">
        <v>1.5</v>
      </c>
      <c r="BE835" s="2">
        <v>135</v>
      </c>
      <c r="BF835" s="2">
        <v>0.8</v>
      </c>
      <c r="BG835" s="2">
        <v>162</v>
      </c>
      <c r="BH835" s="2">
        <v>9.1</v>
      </c>
      <c r="BI835" s="2">
        <v>9.1999999999999993</v>
      </c>
      <c r="BJ835" s="2">
        <v>18.3</v>
      </c>
      <c r="BK835" s="2">
        <v>0.34</v>
      </c>
      <c r="BL835" s="2">
        <v>7.3</v>
      </c>
      <c r="BM835" s="2">
        <v>0.9</v>
      </c>
      <c r="BN835" s="2">
        <v>7.5</v>
      </c>
      <c r="BO835" s="2">
        <v>2.9</v>
      </c>
      <c r="BP835" s="2">
        <f t="shared" si="26"/>
        <v>5.8106074215823789</v>
      </c>
      <c r="BQ835" s="2">
        <f t="shared" si="27"/>
        <v>18.439283626627244</v>
      </c>
    </row>
    <row r="836" spans="1:69" x14ac:dyDescent="0.2">
      <c r="A836" s="2" t="s">
        <v>1129</v>
      </c>
      <c r="B836" s="2" t="s">
        <v>47</v>
      </c>
      <c r="C836" s="2" t="s">
        <v>48</v>
      </c>
      <c r="D836" s="2" t="s">
        <v>49</v>
      </c>
      <c r="E836" s="2" t="s">
        <v>980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89</v>
      </c>
      <c r="L836" s="6" t="s">
        <v>141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1130</v>
      </c>
      <c r="R836" s="2">
        <v>3421052.6320000002</v>
      </c>
      <c r="S836" s="2">
        <v>0</v>
      </c>
      <c r="T836" s="2" t="s">
        <v>54</v>
      </c>
      <c r="U836" s="2" t="s">
        <v>55</v>
      </c>
      <c r="V836" s="2" t="s">
        <v>56</v>
      </c>
      <c r="W836" s="2" t="s">
        <v>57</v>
      </c>
      <c r="X836" s="2" t="s">
        <v>58</v>
      </c>
      <c r="Y836" s="2">
        <v>4.3009777010008499</v>
      </c>
      <c r="Z836" s="2">
        <v>4300.9777010008502</v>
      </c>
      <c r="AA836" s="2">
        <v>4.6584666666666701</v>
      </c>
      <c r="AB836" s="2">
        <v>-74.083966666666697</v>
      </c>
      <c r="AC836" s="2">
        <v>2552</v>
      </c>
      <c r="AD836" s="2">
        <v>0</v>
      </c>
      <c r="AE836" s="2" t="s">
        <v>59</v>
      </c>
      <c r="AF836" s="2" t="s">
        <v>60</v>
      </c>
      <c r="AG836" s="2" t="s">
        <v>61</v>
      </c>
      <c r="AH836" s="2" t="s">
        <v>62</v>
      </c>
      <c r="AI836" s="2" t="s">
        <v>100</v>
      </c>
      <c r="AJ836" s="2">
        <v>4.60610596612002E-2</v>
      </c>
      <c r="AK836" s="2">
        <v>3.70031119348933</v>
      </c>
      <c r="AL836" s="2">
        <v>0.59912109601730601</v>
      </c>
      <c r="AM836" s="2">
        <v>9.0692705819292896E-2</v>
      </c>
      <c r="AN836" s="2">
        <v>2.70658759075982</v>
      </c>
      <c r="AO836" s="2">
        <v>0.28890156862399402</v>
      </c>
      <c r="AP836" s="2">
        <v>0.28890156862399402</v>
      </c>
      <c r="AQ836" s="2">
        <v>1</v>
      </c>
      <c r="AR836" s="2">
        <v>3</v>
      </c>
      <c r="AS836" s="2">
        <v>0</v>
      </c>
      <c r="AT836" s="2">
        <v>0</v>
      </c>
      <c r="AU836" s="2">
        <v>1</v>
      </c>
      <c r="AV836" s="2">
        <v>69</v>
      </c>
      <c r="AW836" s="2">
        <v>0</v>
      </c>
      <c r="AX836" s="2">
        <v>0</v>
      </c>
      <c r="AZ836" s="2">
        <v>6.8</v>
      </c>
      <c r="BA836" s="2">
        <v>19.899999999999999</v>
      </c>
      <c r="BB836" s="2">
        <v>564</v>
      </c>
      <c r="BC836" s="2">
        <v>68</v>
      </c>
      <c r="BD836" s="2">
        <v>1.5</v>
      </c>
      <c r="BE836" s="2">
        <v>135</v>
      </c>
      <c r="BF836" s="2">
        <v>0.8</v>
      </c>
      <c r="BG836" s="2">
        <v>162</v>
      </c>
      <c r="BH836" s="2">
        <v>9.1</v>
      </c>
      <c r="BI836" s="2">
        <v>9.1999999999999993</v>
      </c>
      <c r="BJ836" s="2">
        <v>18.3</v>
      </c>
      <c r="BK836" s="2">
        <v>0.34</v>
      </c>
      <c r="BL836" s="2">
        <v>7.3</v>
      </c>
      <c r="BM836" s="2">
        <v>0.9</v>
      </c>
      <c r="BN836" s="2">
        <v>7.5</v>
      </c>
      <c r="BO836" s="2">
        <v>2.9</v>
      </c>
      <c r="BP836" s="2">
        <f t="shared" si="26"/>
        <v>5.496020121236171</v>
      </c>
      <c r="BQ836" s="2">
        <f t="shared" si="27"/>
        <v>17.948315506944294</v>
      </c>
    </row>
    <row r="837" spans="1:69" x14ac:dyDescent="0.2">
      <c r="A837" s="2" t="s">
        <v>2662</v>
      </c>
      <c r="B837" s="2" t="s">
        <v>47</v>
      </c>
      <c r="C837" s="2" t="s">
        <v>1935</v>
      </c>
      <c r="D837" s="2" t="s">
        <v>49</v>
      </c>
      <c r="E837" s="2" t="s">
        <v>2500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89</v>
      </c>
      <c r="L837" s="6" t="s">
        <v>141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2663</v>
      </c>
      <c r="R837" s="2">
        <v>5714285.7139999997</v>
      </c>
      <c r="S837" s="2">
        <v>0</v>
      </c>
      <c r="T837" s="2" t="s">
        <v>54</v>
      </c>
      <c r="U837" s="2" t="s">
        <v>55</v>
      </c>
      <c r="V837" s="2" t="s">
        <v>56</v>
      </c>
      <c r="W837" s="2" t="s">
        <v>57</v>
      </c>
      <c r="X837" s="2" t="s">
        <v>58</v>
      </c>
      <c r="Y837" s="2">
        <v>2.7214439021020298</v>
      </c>
      <c r="Z837" s="2">
        <v>2721.4439021020298</v>
      </c>
      <c r="AA837" s="2">
        <v>4.6584666666666701</v>
      </c>
      <c r="AB837" s="2">
        <v>-74.083966666666697</v>
      </c>
      <c r="AC837" s="2">
        <v>2552</v>
      </c>
      <c r="AD837" s="2">
        <v>0</v>
      </c>
      <c r="AE837" s="2" t="s">
        <v>59</v>
      </c>
      <c r="AF837" s="2" t="s">
        <v>60</v>
      </c>
      <c r="AG837" s="2" t="s">
        <v>61</v>
      </c>
      <c r="AH837" s="2" t="s">
        <v>62</v>
      </c>
      <c r="AI837" s="2" t="s">
        <v>321</v>
      </c>
      <c r="AJ837" s="2">
        <v>0.125249066510981</v>
      </c>
      <c r="AK837" s="2">
        <v>1.8413523614168901</v>
      </c>
      <c r="AL837" s="2">
        <v>0.30523749408183798</v>
      </c>
      <c r="AM837" s="2">
        <v>7.0611252091433999E-2</v>
      </c>
      <c r="AN837" s="2">
        <v>2.34967850691153</v>
      </c>
      <c r="AO837" s="2">
        <v>0.31432457764106603</v>
      </c>
      <c r="AP837" s="2">
        <v>0.31432457764106603</v>
      </c>
      <c r="AQ837" s="2">
        <v>2</v>
      </c>
      <c r="AR837" s="2">
        <v>6</v>
      </c>
      <c r="AS837" s="2">
        <v>0</v>
      </c>
      <c r="AT837" s="2">
        <v>0</v>
      </c>
      <c r="AU837" s="2">
        <v>13</v>
      </c>
      <c r="AV837" s="2">
        <v>263</v>
      </c>
      <c r="AW837" s="2">
        <v>0</v>
      </c>
      <c r="AX837" s="2">
        <v>0</v>
      </c>
      <c r="AZ837" s="2">
        <v>6.8</v>
      </c>
      <c r="BA837" s="2">
        <v>19.899999999999999</v>
      </c>
      <c r="BB837" s="2">
        <v>564</v>
      </c>
      <c r="BC837" s="2">
        <v>68</v>
      </c>
      <c r="BD837" s="2">
        <v>1.5</v>
      </c>
      <c r="BE837" s="2">
        <v>135</v>
      </c>
      <c r="BF837" s="2">
        <v>0.8</v>
      </c>
      <c r="BG837" s="2">
        <v>162</v>
      </c>
      <c r="BH837" s="2">
        <v>9.1</v>
      </c>
      <c r="BI837" s="2">
        <v>9.1999999999999993</v>
      </c>
      <c r="BJ837" s="2">
        <v>18.3</v>
      </c>
      <c r="BK837" s="2">
        <v>0.34</v>
      </c>
      <c r="BL837" s="2">
        <v>7.3</v>
      </c>
      <c r="BM837" s="2">
        <v>0.9</v>
      </c>
      <c r="BN837" s="2">
        <v>7.5</v>
      </c>
      <c r="BO837" s="2">
        <v>2.9</v>
      </c>
      <c r="BP837" s="2">
        <f t="shared" si="26"/>
        <v>5.9429826621755337</v>
      </c>
      <c r="BQ837" s="2">
        <f t="shared" si="27"/>
        <v>18.641775895444777</v>
      </c>
    </row>
    <row r="838" spans="1:69" x14ac:dyDescent="0.2">
      <c r="A838" s="2" t="s">
        <v>1849</v>
      </c>
      <c r="B838" s="2" t="s">
        <v>47</v>
      </c>
      <c r="C838" s="2" t="s">
        <v>48</v>
      </c>
      <c r="D838" s="2" t="s">
        <v>49</v>
      </c>
      <c r="E838" s="2" t="s">
        <v>599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89</v>
      </c>
      <c r="L838" s="6" t="s">
        <v>103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1850</v>
      </c>
      <c r="R838" s="2">
        <v>10427807.49</v>
      </c>
      <c r="S838" s="2">
        <v>0</v>
      </c>
      <c r="T838" s="2" t="s">
        <v>54</v>
      </c>
      <c r="U838" s="2" t="s">
        <v>55</v>
      </c>
      <c r="V838" s="2" t="s">
        <v>56</v>
      </c>
      <c r="W838" s="2" t="s">
        <v>57</v>
      </c>
      <c r="X838" s="2" t="s">
        <v>58</v>
      </c>
      <c r="Y838" s="2">
        <v>4.4075629933533698</v>
      </c>
      <c r="Z838" s="2">
        <v>4407.5629933533701</v>
      </c>
      <c r="AA838" s="2">
        <v>4.6584666666666701</v>
      </c>
      <c r="AB838" s="2">
        <v>-74.083966666666697</v>
      </c>
      <c r="AC838" s="2">
        <v>2552</v>
      </c>
      <c r="AD838" s="2">
        <v>0</v>
      </c>
      <c r="AE838" s="2" t="s">
        <v>59</v>
      </c>
      <c r="AF838" s="2" t="s">
        <v>60</v>
      </c>
      <c r="AG838" s="2" t="s">
        <v>61</v>
      </c>
      <c r="AH838" s="2" t="s">
        <v>62</v>
      </c>
      <c r="AI838" s="2" t="s">
        <v>109</v>
      </c>
      <c r="AJ838" s="2">
        <v>1.5113171132540899</v>
      </c>
      <c r="AK838" s="2">
        <v>0.40256400225425698</v>
      </c>
      <c r="AL838" s="2">
        <v>1.0474476709077201</v>
      </c>
      <c r="AM838" s="2">
        <v>0.40599244006720497</v>
      </c>
      <c r="AN838" s="2">
        <v>3.4728511169358902</v>
      </c>
      <c r="AO838" s="2">
        <v>0.55402428167061901</v>
      </c>
      <c r="AP838" s="2">
        <v>0.55402428167061901</v>
      </c>
      <c r="AQ838" s="2">
        <v>0</v>
      </c>
      <c r="AR838" s="2">
        <v>0</v>
      </c>
      <c r="AS838" s="2">
        <v>5</v>
      </c>
      <c r="AT838" s="2">
        <v>32</v>
      </c>
      <c r="AU838" s="2">
        <v>0</v>
      </c>
      <c r="AV838" s="2">
        <v>51</v>
      </c>
      <c r="AW838" s="2">
        <v>0</v>
      </c>
      <c r="AX838" s="2">
        <v>0</v>
      </c>
      <c r="AZ838" s="2">
        <v>6.8</v>
      </c>
      <c r="BA838" s="2">
        <v>19.899999999999999</v>
      </c>
      <c r="BB838" s="2">
        <v>564</v>
      </c>
      <c r="BC838" s="2">
        <v>68</v>
      </c>
      <c r="BD838" s="2">
        <v>1.5</v>
      </c>
      <c r="BE838" s="2">
        <v>135</v>
      </c>
      <c r="BF838" s="2">
        <v>0.8</v>
      </c>
      <c r="BG838" s="2">
        <v>162</v>
      </c>
      <c r="BH838" s="2">
        <v>9.1</v>
      </c>
      <c r="BI838" s="2">
        <v>9.1999999999999993</v>
      </c>
      <c r="BJ838" s="2">
        <v>18.3</v>
      </c>
      <c r="BK838" s="2">
        <v>0.34</v>
      </c>
      <c r="BL838" s="2">
        <v>7.3</v>
      </c>
      <c r="BM838" s="2">
        <v>0.9</v>
      </c>
      <c r="BN838" s="2">
        <v>7.5</v>
      </c>
      <c r="BO838" s="2">
        <v>2.9</v>
      </c>
      <c r="BP838" s="2">
        <f t="shared" si="26"/>
        <v>5.4670996320527472</v>
      </c>
      <c r="BQ838" s="2">
        <f t="shared" si="27"/>
        <v>17.90246154531032</v>
      </c>
    </row>
    <row r="839" spans="1:69" x14ac:dyDescent="0.2">
      <c r="A839" s="2" t="s">
        <v>1165</v>
      </c>
      <c r="B839" s="2" t="s">
        <v>47</v>
      </c>
      <c r="C839" s="2" t="s">
        <v>48</v>
      </c>
      <c r="D839" s="2" t="s">
        <v>49</v>
      </c>
      <c r="E839" s="2" t="s">
        <v>850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89</v>
      </c>
      <c r="L839" s="6" t="s">
        <v>103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1166</v>
      </c>
      <c r="R839" s="2">
        <v>8288770.0530000003</v>
      </c>
      <c r="S839" s="2">
        <v>0</v>
      </c>
      <c r="T839" s="2" t="s">
        <v>105</v>
      </c>
      <c r="U839" s="2" t="s">
        <v>106</v>
      </c>
      <c r="V839" s="2" t="s">
        <v>56</v>
      </c>
      <c r="W839" s="2" t="s">
        <v>107</v>
      </c>
      <c r="X839" s="2" t="s">
        <v>108</v>
      </c>
      <c r="Y839" s="2">
        <v>2.4013538042646498</v>
      </c>
      <c r="Z839" s="2">
        <v>2401.3538042646501</v>
      </c>
      <c r="AA839" s="2">
        <v>4.6254861111111101</v>
      </c>
      <c r="AB839" s="2">
        <v>-74.066980555555503</v>
      </c>
      <c r="AC839" s="2">
        <v>2621</v>
      </c>
      <c r="AD839" s="2">
        <v>15</v>
      </c>
      <c r="AE839" s="2" t="s">
        <v>59</v>
      </c>
      <c r="AF839" s="2" t="s">
        <v>60</v>
      </c>
      <c r="AG839" s="2" t="s">
        <v>61</v>
      </c>
      <c r="AH839" s="2" t="s">
        <v>62</v>
      </c>
      <c r="AI839" s="2" t="s">
        <v>109</v>
      </c>
      <c r="AJ839" s="2">
        <v>1.15457344087577</v>
      </c>
      <c r="AK839" s="2">
        <v>0.22048350913641401</v>
      </c>
      <c r="AL839" s="2">
        <v>0.52373873030157203</v>
      </c>
      <c r="AM839" s="2">
        <v>0.15956150835054</v>
      </c>
      <c r="AN839" s="2">
        <v>0.402376357581745</v>
      </c>
      <c r="AO839" s="2">
        <v>0.29999660504940101</v>
      </c>
      <c r="AP839" s="2">
        <v>0.29999660504940101</v>
      </c>
      <c r="AQ839" s="2">
        <v>0</v>
      </c>
      <c r="AR839" s="2">
        <v>0</v>
      </c>
      <c r="AS839" s="2">
        <v>18</v>
      </c>
      <c r="AT839" s="2">
        <v>58</v>
      </c>
      <c r="AU839" s="2">
        <v>5</v>
      </c>
      <c r="AV839" s="2">
        <v>29</v>
      </c>
      <c r="AW839" s="2">
        <v>1</v>
      </c>
      <c r="AX839" s="2">
        <v>0</v>
      </c>
      <c r="AZ839" s="2">
        <v>6.8</v>
      </c>
      <c r="BA839" s="2">
        <v>19.899999999999999</v>
      </c>
      <c r="BB839" s="2">
        <v>564</v>
      </c>
      <c r="BC839" s="2">
        <v>68</v>
      </c>
      <c r="BD839" s="2">
        <v>1.5</v>
      </c>
      <c r="BE839" s="2">
        <v>135</v>
      </c>
      <c r="BF839" s="2">
        <v>0.8</v>
      </c>
      <c r="BG839" s="2">
        <v>162</v>
      </c>
      <c r="BH839" s="2">
        <v>9.1</v>
      </c>
      <c r="BI839" s="2">
        <v>9.1999999999999993</v>
      </c>
      <c r="BJ839" s="2">
        <v>18.3</v>
      </c>
      <c r="BK839" s="2">
        <v>0.34</v>
      </c>
      <c r="BL839" s="2">
        <v>7.3</v>
      </c>
      <c r="BM839" s="2">
        <v>0.9</v>
      </c>
      <c r="BN839" s="2">
        <v>7.5</v>
      </c>
      <c r="BO839" s="2">
        <v>2.9</v>
      </c>
      <c r="BP839" s="2">
        <f t="shared" si="26"/>
        <v>6.0378959515826676</v>
      </c>
      <c r="BQ839" s="2">
        <f t="shared" si="27"/>
        <v>18.785536533601668</v>
      </c>
    </row>
    <row r="840" spans="1:69" x14ac:dyDescent="0.2">
      <c r="A840" s="2" t="s">
        <v>3126</v>
      </c>
      <c r="B840" s="2" t="s">
        <v>47</v>
      </c>
      <c r="C840" s="2" t="s">
        <v>1935</v>
      </c>
      <c r="D840" s="2" t="s">
        <v>49</v>
      </c>
      <c r="E840" s="2" t="s">
        <v>63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89</v>
      </c>
      <c r="L840" s="6" t="s">
        <v>141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3127</v>
      </c>
      <c r="R840" s="2">
        <v>5240641.7110000001</v>
      </c>
      <c r="S840" s="2">
        <v>0</v>
      </c>
      <c r="T840" s="2" t="s">
        <v>105</v>
      </c>
      <c r="U840" s="2" t="s">
        <v>106</v>
      </c>
      <c r="V840" s="2" t="s">
        <v>56</v>
      </c>
      <c r="W840" s="2" t="s">
        <v>107</v>
      </c>
      <c r="X840" s="2" t="s">
        <v>108</v>
      </c>
      <c r="Y840" s="2">
        <v>1.17652009329497</v>
      </c>
      <c r="Z840" s="2">
        <v>1176.5200932949699</v>
      </c>
      <c r="AA840" s="2">
        <v>4.6254861111111101</v>
      </c>
      <c r="AB840" s="2">
        <v>-74.066980555555503</v>
      </c>
      <c r="AC840" s="2">
        <v>2621</v>
      </c>
      <c r="AD840" s="2">
        <v>15</v>
      </c>
      <c r="AE840" s="2" t="s">
        <v>59</v>
      </c>
      <c r="AF840" s="2" t="s">
        <v>60</v>
      </c>
      <c r="AG840" s="2" t="s">
        <v>61</v>
      </c>
      <c r="AH840" s="2" t="s">
        <v>62</v>
      </c>
      <c r="AI840" s="2" t="s">
        <v>63</v>
      </c>
      <c r="AJ840" s="2">
        <v>0.406966037680218</v>
      </c>
      <c r="AK840" s="2">
        <v>1.8117727684665199</v>
      </c>
      <c r="AL840" s="2">
        <v>0.21488671974958301</v>
      </c>
      <c r="AM840" s="2">
        <v>0.28010336466455699</v>
      </c>
      <c r="AN840" s="2">
        <v>1.17918189853557</v>
      </c>
      <c r="AO840" s="2">
        <v>3.6569572876702802E-2</v>
      </c>
      <c r="AP840" s="2">
        <v>3.6569572876702802E-2</v>
      </c>
      <c r="AQ840" s="2">
        <v>2</v>
      </c>
      <c r="AR840" s="2">
        <v>7</v>
      </c>
      <c r="AS840" s="2">
        <v>0</v>
      </c>
      <c r="AT840" s="2">
        <v>0</v>
      </c>
      <c r="AU840" s="2">
        <v>10</v>
      </c>
      <c r="AV840" s="2">
        <v>104</v>
      </c>
      <c r="AW840" s="2">
        <v>0</v>
      </c>
      <c r="AX840" s="2">
        <v>0</v>
      </c>
      <c r="AZ840" s="2">
        <v>6.8</v>
      </c>
      <c r="BA840" s="2">
        <v>19.899999999999999</v>
      </c>
      <c r="BB840" s="2">
        <v>564</v>
      </c>
      <c r="BC840" s="2">
        <v>68</v>
      </c>
      <c r="BD840" s="2">
        <v>1.5</v>
      </c>
      <c r="BE840" s="2">
        <v>135</v>
      </c>
      <c r="BF840" s="2">
        <v>0.8</v>
      </c>
      <c r="BG840" s="2">
        <v>162</v>
      </c>
      <c r="BH840" s="2">
        <v>9.1</v>
      </c>
      <c r="BI840" s="2">
        <v>9.1999999999999993</v>
      </c>
      <c r="BJ840" s="2">
        <v>18.3</v>
      </c>
      <c r="BK840" s="2">
        <v>0.34</v>
      </c>
      <c r="BL840" s="2">
        <v>7.3</v>
      </c>
      <c r="BM840" s="2">
        <v>0.9</v>
      </c>
      <c r="BN840" s="2">
        <v>7.5</v>
      </c>
      <c r="BO840" s="2">
        <v>2.9</v>
      </c>
      <c r="BP840" s="2">
        <f t="shared" si="26"/>
        <v>6.4152942595678688</v>
      </c>
      <c r="BQ840" s="2">
        <f t="shared" si="27"/>
        <v>19.345952984073289</v>
      </c>
    </row>
    <row r="841" spans="1:69" x14ac:dyDescent="0.2">
      <c r="A841" s="2" t="s">
        <v>1193</v>
      </c>
      <c r="B841" s="2" t="s">
        <v>47</v>
      </c>
      <c r="C841" s="2" t="s">
        <v>48</v>
      </c>
      <c r="D841" s="2" t="s">
        <v>49</v>
      </c>
      <c r="E841" s="2" t="s">
        <v>721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89</v>
      </c>
      <c r="L841" s="6" t="s">
        <v>141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1194</v>
      </c>
      <c r="R841" s="2">
        <v>5325697.1579999998</v>
      </c>
      <c r="S841" s="2">
        <v>0</v>
      </c>
      <c r="T841" s="2" t="s">
        <v>54</v>
      </c>
      <c r="U841" s="2" t="s">
        <v>55</v>
      </c>
      <c r="V841" s="2" t="s">
        <v>56</v>
      </c>
      <c r="W841" s="2" t="s">
        <v>57</v>
      </c>
      <c r="X841" s="2" t="s">
        <v>58</v>
      </c>
      <c r="Y841" s="2">
        <v>3.6900002448480702</v>
      </c>
      <c r="Z841" s="2">
        <v>3690.00024484807</v>
      </c>
      <c r="AA841" s="2">
        <v>4.6584666666666701</v>
      </c>
      <c r="AB841" s="2">
        <v>-74.083966666666697</v>
      </c>
      <c r="AC841" s="2">
        <v>2552</v>
      </c>
      <c r="AD841" s="2">
        <v>0</v>
      </c>
      <c r="AE841" s="2" t="s">
        <v>59</v>
      </c>
      <c r="AF841" s="2" t="s">
        <v>60</v>
      </c>
      <c r="AG841" s="2" t="s">
        <v>61</v>
      </c>
      <c r="AH841" s="2" t="s">
        <v>62</v>
      </c>
      <c r="AI841" s="2" t="s">
        <v>109</v>
      </c>
      <c r="AJ841" s="2">
        <v>1.17870321354024</v>
      </c>
      <c r="AK841" s="2">
        <v>0.45214304440387398</v>
      </c>
      <c r="AL841" s="2">
        <v>0.504254217465961</v>
      </c>
      <c r="AM841" s="2">
        <v>0.17830208321859101</v>
      </c>
      <c r="AN841" s="2">
        <v>2.3088219847169</v>
      </c>
      <c r="AO841" s="2">
        <v>0.17973825751653899</v>
      </c>
      <c r="AP841" s="2">
        <v>0.17973825751653899</v>
      </c>
      <c r="AQ841" s="2">
        <v>0</v>
      </c>
      <c r="AR841" s="2">
        <v>0</v>
      </c>
      <c r="AS841" s="2">
        <v>3</v>
      </c>
      <c r="AT841" s="2">
        <v>21</v>
      </c>
      <c r="AU841" s="2">
        <v>10</v>
      </c>
      <c r="AV841" s="2">
        <v>47</v>
      </c>
      <c r="AW841" s="2">
        <v>0</v>
      </c>
      <c r="AX841" s="2">
        <v>0</v>
      </c>
      <c r="AZ841" s="2">
        <v>6.8</v>
      </c>
      <c r="BA841" s="2">
        <v>19.899999999999999</v>
      </c>
      <c r="BB841" s="2">
        <v>564</v>
      </c>
      <c r="BC841" s="2">
        <v>68</v>
      </c>
      <c r="BD841" s="2">
        <v>1.5</v>
      </c>
      <c r="BE841" s="2">
        <v>135</v>
      </c>
      <c r="BF841" s="2">
        <v>0.8</v>
      </c>
      <c r="BG841" s="2">
        <v>162</v>
      </c>
      <c r="BH841" s="2">
        <v>9.1</v>
      </c>
      <c r="BI841" s="2">
        <v>9.1999999999999993</v>
      </c>
      <c r="BJ841" s="2">
        <v>18.3</v>
      </c>
      <c r="BK841" s="2">
        <v>0.34</v>
      </c>
      <c r="BL841" s="2">
        <v>7.3</v>
      </c>
      <c r="BM841" s="2">
        <v>0.9</v>
      </c>
      <c r="BN841" s="2">
        <v>7.5</v>
      </c>
      <c r="BO841" s="2">
        <v>2.9</v>
      </c>
      <c r="BP841" s="2">
        <f t="shared" si="26"/>
        <v>5.6647774014961314</v>
      </c>
      <c r="BQ841" s="2">
        <f t="shared" si="27"/>
        <v>18.213438957489025</v>
      </c>
    </row>
    <row r="842" spans="1:69" x14ac:dyDescent="0.2">
      <c r="A842" s="2" t="s">
        <v>508</v>
      </c>
      <c r="B842" s="2" t="s">
        <v>47</v>
      </c>
      <c r="C842" s="2" t="s">
        <v>48</v>
      </c>
      <c r="D842" s="2" t="s">
        <v>49</v>
      </c>
      <c r="E842" s="2" t="s">
        <v>289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89</v>
      </c>
      <c r="L842" s="6" t="s">
        <v>103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509</v>
      </c>
      <c r="R842" s="2">
        <v>12634408.6</v>
      </c>
      <c r="S842" s="2">
        <v>0</v>
      </c>
      <c r="T842" s="2" t="s">
        <v>54</v>
      </c>
      <c r="U842" s="2" t="s">
        <v>55</v>
      </c>
      <c r="V842" s="2" t="s">
        <v>56</v>
      </c>
      <c r="W842" s="2" t="s">
        <v>57</v>
      </c>
      <c r="X842" s="2" t="s">
        <v>58</v>
      </c>
      <c r="Y842" s="2">
        <v>3.8887636040007298</v>
      </c>
      <c r="Z842" s="2">
        <v>3888.7636040007301</v>
      </c>
      <c r="AA842" s="2">
        <v>4.6584666666666701</v>
      </c>
      <c r="AB842" s="2">
        <v>-74.083966666666697</v>
      </c>
      <c r="AC842" s="2">
        <v>2552</v>
      </c>
      <c r="AD842" s="2">
        <v>0</v>
      </c>
      <c r="AE842" s="2" t="s">
        <v>59</v>
      </c>
      <c r="AF842" s="2" t="s">
        <v>60</v>
      </c>
      <c r="AG842" s="2" t="s">
        <v>61</v>
      </c>
      <c r="AH842" s="2" t="s">
        <v>62</v>
      </c>
      <c r="AI842" s="2" t="s">
        <v>109</v>
      </c>
      <c r="AJ842" s="2">
        <v>1.3763564622050699</v>
      </c>
      <c r="AK842" s="2">
        <v>0.27057301843388598</v>
      </c>
      <c r="AL842" s="2">
        <v>0.66507527620879003</v>
      </c>
      <c r="AM842" s="2">
        <v>0.24608107573038299</v>
      </c>
      <c r="AN842" s="2">
        <v>2.38361695840744</v>
      </c>
      <c r="AO842" s="2">
        <v>0.29415592472079399</v>
      </c>
      <c r="AP842" s="2">
        <v>0.29415592472079399</v>
      </c>
      <c r="AQ842" s="2">
        <v>0</v>
      </c>
      <c r="AR842" s="2">
        <v>0</v>
      </c>
      <c r="AS842" s="2">
        <v>10</v>
      </c>
      <c r="AT842" s="2">
        <v>32</v>
      </c>
      <c r="AU842" s="2">
        <v>6</v>
      </c>
      <c r="AV842" s="2">
        <v>31</v>
      </c>
      <c r="AW842" s="2">
        <v>0</v>
      </c>
      <c r="AX842" s="2">
        <v>0</v>
      </c>
      <c r="AZ842" s="2">
        <v>6.8</v>
      </c>
      <c r="BA842" s="2">
        <v>19.899999999999999</v>
      </c>
      <c r="BB842" s="2">
        <v>564</v>
      </c>
      <c r="BC842" s="2">
        <v>68</v>
      </c>
      <c r="BD842" s="2">
        <v>1.5</v>
      </c>
      <c r="BE842" s="2">
        <v>135</v>
      </c>
      <c r="BF842" s="2">
        <v>0.8</v>
      </c>
      <c r="BG842" s="2">
        <v>162</v>
      </c>
      <c r="BH842" s="2">
        <v>9.1</v>
      </c>
      <c r="BI842" s="2">
        <v>9.1999999999999993</v>
      </c>
      <c r="BJ842" s="2">
        <v>18.3</v>
      </c>
      <c r="BK842" s="2">
        <v>0.34</v>
      </c>
      <c r="BL842" s="2">
        <v>7.3</v>
      </c>
      <c r="BM842" s="2">
        <v>0.9</v>
      </c>
      <c r="BN842" s="2">
        <v>7.5</v>
      </c>
      <c r="BO842" s="2">
        <v>2.9</v>
      </c>
      <c r="BP842" s="2">
        <f t="shared" si="26"/>
        <v>5.6093161504226909</v>
      </c>
      <c r="BQ842" s="2">
        <f t="shared" si="27"/>
        <v>18.126761917079882</v>
      </c>
    </row>
    <row r="843" spans="1:69" x14ac:dyDescent="0.2">
      <c r="A843" s="2" t="s">
        <v>883</v>
      </c>
      <c r="B843" s="2" t="s">
        <v>47</v>
      </c>
      <c r="C843" s="2" t="s">
        <v>48</v>
      </c>
      <c r="D843" s="2" t="s">
        <v>49</v>
      </c>
      <c r="E843" s="2" t="s">
        <v>272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89</v>
      </c>
      <c r="L843" s="6" t="s">
        <v>141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884</v>
      </c>
      <c r="R843" s="2">
        <v>10270270.27</v>
      </c>
      <c r="S843" s="2">
        <v>0</v>
      </c>
      <c r="T843" s="2" t="s">
        <v>105</v>
      </c>
      <c r="U843" s="2" t="s">
        <v>106</v>
      </c>
      <c r="V843" s="2" t="s">
        <v>56</v>
      </c>
      <c r="W843" s="2" t="s">
        <v>107</v>
      </c>
      <c r="X843" s="2" t="s">
        <v>108</v>
      </c>
      <c r="Y843" s="2">
        <v>1.5757095853263099</v>
      </c>
      <c r="Z843" s="2">
        <v>1575.7095853263099</v>
      </c>
      <c r="AA843" s="2">
        <v>4.6254861111111101</v>
      </c>
      <c r="AB843" s="2">
        <v>-74.066980555555503</v>
      </c>
      <c r="AC843" s="2">
        <v>2621</v>
      </c>
      <c r="AD843" s="2">
        <v>15</v>
      </c>
      <c r="AE843" s="2" t="s">
        <v>59</v>
      </c>
      <c r="AF843" s="2" t="s">
        <v>60</v>
      </c>
      <c r="AG843" s="2" t="s">
        <v>61</v>
      </c>
      <c r="AH843" s="2" t="s">
        <v>62</v>
      </c>
      <c r="AI843" s="2" t="s">
        <v>117</v>
      </c>
      <c r="AJ843" s="2">
        <v>0.44990627109905201</v>
      </c>
      <c r="AK843" s="2">
        <v>0.396974050311932</v>
      </c>
      <c r="AL843" s="2">
        <v>0.42827934192761702</v>
      </c>
      <c r="AM843" s="2">
        <v>0.35431899544379297</v>
      </c>
      <c r="AN843" s="2">
        <v>0.45262858253034999</v>
      </c>
      <c r="AO843" s="2">
        <v>8.4240999305562596E-3</v>
      </c>
      <c r="AP843" s="2">
        <v>8.4240999305562596E-3</v>
      </c>
      <c r="AQ843" s="2">
        <v>2</v>
      </c>
      <c r="AR843" s="2">
        <v>7</v>
      </c>
      <c r="AS843" s="2">
        <v>3</v>
      </c>
      <c r="AT843" s="2">
        <v>25</v>
      </c>
      <c r="AU843" s="2">
        <v>8</v>
      </c>
      <c r="AV843" s="2">
        <v>56</v>
      </c>
      <c r="AW843" s="2">
        <v>1</v>
      </c>
      <c r="AX843" s="2">
        <v>5</v>
      </c>
      <c r="AZ843" s="2">
        <v>6.8</v>
      </c>
      <c r="BA843" s="2">
        <v>19.899999999999999</v>
      </c>
      <c r="BB843" s="2">
        <v>564</v>
      </c>
      <c r="BC843" s="2">
        <v>68</v>
      </c>
      <c r="BD843" s="2">
        <v>1.5</v>
      </c>
      <c r="BE843" s="2">
        <v>135</v>
      </c>
      <c r="BF843" s="2">
        <v>0.8</v>
      </c>
      <c r="BG843" s="2">
        <v>162</v>
      </c>
      <c r="BH843" s="2">
        <v>9.1</v>
      </c>
      <c r="BI843" s="2">
        <v>9.1999999999999993</v>
      </c>
      <c r="BJ843" s="2">
        <v>18.3</v>
      </c>
      <c r="BK843" s="2">
        <v>0.34</v>
      </c>
      <c r="BL843" s="2">
        <v>7.3</v>
      </c>
      <c r="BM843" s="2">
        <v>0.9</v>
      </c>
      <c r="BN843" s="2">
        <v>7.5</v>
      </c>
      <c r="BO843" s="2">
        <v>2.9</v>
      </c>
      <c r="BP843" s="2">
        <f t="shared" si="26"/>
        <v>6.2897730419999016</v>
      </c>
      <c r="BQ843" s="2">
        <f t="shared" si="27"/>
        <v>19.161493180500877</v>
      </c>
    </row>
    <row r="844" spans="1:69" x14ac:dyDescent="0.2">
      <c r="A844" s="2" t="s">
        <v>3248</v>
      </c>
      <c r="B844" s="2" t="s">
        <v>47</v>
      </c>
      <c r="C844" s="2" t="s">
        <v>1935</v>
      </c>
      <c r="D844" s="2" t="s">
        <v>49</v>
      </c>
      <c r="E844" s="2" t="s">
        <v>1082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89</v>
      </c>
      <c r="L844" s="6" t="s">
        <v>141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3249</v>
      </c>
      <c r="R844" s="2">
        <v>4864864.8650000002</v>
      </c>
      <c r="S844" s="2">
        <v>0</v>
      </c>
      <c r="T844" s="2" t="s">
        <v>398</v>
      </c>
      <c r="U844" s="2" t="s">
        <v>399</v>
      </c>
      <c r="V844" s="2" t="s">
        <v>56</v>
      </c>
      <c r="W844" s="2" t="s">
        <v>57</v>
      </c>
      <c r="X844" s="2" t="s">
        <v>400</v>
      </c>
      <c r="Y844" s="2">
        <v>4.5036422102491596</v>
      </c>
      <c r="Z844" s="2">
        <v>4503.6422102491597</v>
      </c>
      <c r="AA844" s="2">
        <v>4.7358055555555598</v>
      </c>
      <c r="AB844" s="2">
        <v>-74.125888888888895</v>
      </c>
      <c r="AC844" s="2">
        <v>2574</v>
      </c>
      <c r="AD844" s="2">
        <v>0</v>
      </c>
      <c r="AE844" s="2" t="s">
        <v>133</v>
      </c>
      <c r="AF844" s="2" t="s">
        <v>86</v>
      </c>
      <c r="AG844" s="2" t="s">
        <v>61</v>
      </c>
      <c r="AH844" s="2" t="s">
        <v>62</v>
      </c>
      <c r="AI844" s="2" t="s">
        <v>391</v>
      </c>
      <c r="AJ844" s="2">
        <v>0.31560959144739997</v>
      </c>
      <c r="AK844" s="2">
        <v>3.5664595342482399</v>
      </c>
      <c r="AL844" s="2">
        <v>1.15094526316378</v>
      </c>
      <c r="AM844" s="2">
        <v>3.6660620457543397E-2</v>
      </c>
      <c r="AN844" s="2">
        <v>1.3257820875296999</v>
      </c>
      <c r="AO844" s="2">
        <v>1.0951733983112499E-2</v>
      </c>
      <c r="AP844" s="2">
        <v>1.0951733983112499E-2</v>
      </c>
      <c r="AQ844" s="2">
        <v>2</v>
      </c>
      <c r="AR844" s="2">
        <v>4</v>
      </c>
      <c r="AS844" s="2">
        <v>0</v>
      </c>
      <c r="AT844" s="2">
        <v>0</v>
      </c>
      <c r="AU844" s="2">
        <v>0</v>
      </c>
      <c r="AV844" s="2">
        <v>31</v>
      </c>
      <c r="AW844" s="2">
        <v>0</v>
      </c>
      <c r="AX844" s="2">
        <v>0</v>
      </c>
      <c r="AZ844" s="2">
        <v>6.8</v>
      </c>
      <c r="BA844" s="2">
        <v>19.899999999999999</v>
      </c>
      <c r="BB844" s="2">
        <v>564</v>
      </c>
      <c r="BC844" s="2">
        <v>68</v>
      </c>
      <c r="BD844" s="2">
        <v>1.5</v>
      </c>
      <c r="BE844" s="2">
        <v>135</v>
      </c>
      <c r="BF844" s="2">
        <v>0.8</v>
      </c>
      <c r="BG844" s="2">
        <v>162</v>
      </c>
      <c r="BH844" s="2">
        <v>9.1</v>
      </c>
      <c r="BI844" s="2">
        <v>9.1999999999999993</v>
      </c>
      <c r="BJ844" s="2">
        <v>18.3</v>
      </c>
      <c r="BK844" s="2">
        <v>0.34</v>
      </c>
      <c r="BL844" s="2">
        <v>7.3</v>
      </c>
      <c r="BM844" s="2">
        <v>0.9</v>
      </c>
      <c r="BN844" s="2">
        <v>7.5</v>
      </c>
      <c r="BO844" s="2">
        <v>2.9</v>
      </c>
      <c r="BP844" s="2">
        <f t="shared" si="26"/>
        <v>5.4411602684895453</v>
      </c>
      <c r="BQ844" s="2">
        <f t="shared" si="27"/>
        <v>17.861227796397859</v>
      </c>
    </row>
    <row r="845" spans="1:69" x14ac:dyDescent="0.2">
      <c r="A845" s="2" t="s">
        <v>1667</v>
      </c>
      <c r="B845" s="2" t="s">
        <v>47</v>
      </c>
      <c r="C845" s="2" t="s">
        <v>48</v>
      </c>
      <c r="D845" s="2" t="s">
        <v>49</v>
      </c>
      <c r="E845" s="2" t="s">
        <v>1465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89</v>
      </c>
      <c r="L845" s="6" t="s">
        <v>141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1668</v>
      </c>
      <c r="R845" s="2">
        <v>8408152.1740000006</v>
      </c>
      <c r="S845" s="2">
        <v>0</v>
      </c>
      <c r="T845" s="2" t="s">
        <v>54</v>
      </c>
      <c r="U845" s="2" t="s">
        <v>55</v>
      </c>
      <c r="V845" s="2" t="s">
        <v>56</v>
      </c>
      <c r="W845" s="2" t="s">
        <v>57</v>
      </c>
      <c r="X845" s="2" t="s">
        <v>58</v>
      </c>
      <c r="Y845" s="2">
        <v>3.9533099210782998</v>
      </c>
      <c r="Z845" s="2">
        <v>3953.3099210782998</v>
      </c>
      <c r="AA845" s="2">
        <v>4.6584666666666701</v>
      </c>
      <c r="AB845" s="2">
        <v>-74.083966666666697</v>
      </c>
      <c r="AC845" s="2">
        <v>2552</v>
      </c>
      <c r="AD845" s="2">
        <v>0</v>
      </c>
      <c r="AE845" s="2" t="s">
        <v>59</v>
      </c>
      <c r="AF845" s="2" t="s">
        <v>60</v>
      </c>
      <c r="AG845" s="2" t="s">
        <v>61</v>
      </c>
      <c r="AH845" s="2" t="s">
        <v>62</v>
      </c>
      <c r="AI845" s="2" t="s">
        <v>109</v>
      </c>
      <c r="AJ845" s="2">
        <v>0.18687274316367</v>
      </c>
      <c r="AK845" s="2">
        <v>2.1958462760092998</v>
      </c>
      <c r="AL845" s="2">
        <v>0.56945074863379097</v>
      </c>
      <c r="AM845" s="2">
        <v>9.1944741980236097E-2</v>
      </c>
      <c r="AN845" s="2">
        <v>2.8559750641566701</v>
      </c>
      <c r="AO845" s="2">
        <v>0.16783728061234199</v>
      </c>
      <c r="AP845" s="2">
        <v>0.16783728061234199</v>
      </c>
      <c r="AQ845" s="2">
        <v>1</v>
      </c>
      <c r="AR845" s="2">
        <v>5</v>
      </c>
      <c r="AS845" s="2">
        <v>0</v>
      </c>
      <c r="AT845" s="2">
        <v>0</v>
      </c>
      <c r="AU845" s="2">
        <v>5</v>
      </c>
      <c r="AV845" s="2">
        <v>241</v>
      </c>
      <c r="AW845" s="2">
        <v>0</v>
      </c>
      <c r="AX845" s="2">
        <v>0</v>
      </c>
      <c r="AZ845" s="2">
        <v>6.8</v>
      </c>
      <c r="BA845" s="2">
        <v>19.899999999999999</v>
      </c>
      <c r="BB845" s="2">
        <v>564</v>
      </c>
      <c r="BC845" s="2">
        <v>68</v>
      </c>
      <c r="BD845" s="2">
        <v>1.5</v>
      </c>
      <c r="BE845" s="2">
        <v>135</v>
      </c>
      <c r="BF845" s="2">
        <v>0.8</v>
      </c>
      <c r="BG845" s="2">
        <v>162</v>
      </c>
      <c r="BH845" s="2">
        <v>9.1</v>
      </c>
      <c r="BI845" s="2">
        <v>9.1999999999999993</v>
      </c>
      <c r="BJ845" s="2">
        <v>18.3</v>
      </c>
      <c r="BK845" s="2">
        <v>0.34</v>
      </c>
      <c r="BL845" s="2">
        <v>7.3</v>
      </c>
      <c r="BM845" s="2">
        <v>0.9</v>
      </c>
      <c r="BN845" s="2">
        <v>7.5</v>
      </c>
      <c r="BO845" s="2">
        <v>2.9</v>
      </c>
      <c r="BP845" s="2">
        <f t="shared" si="26"/>
        <v>5.5914227461475079</v>
      </c>
      <c r="BQ845" s="2">
        <f t="shared" si="27"/>
        <v>18.098703278337588</v>
      </c>
    </row>
    <row r="846" spans="1:69" x14ac:dyDescent="0.2">
      <c r="A846" s="2" t="s">
        <v>2949</v>
      </c>
      <c r="B846" s="2" t="s">
        <v>47</v>
      </c>
      <c r="C846" s="2" t="s">
        <v>1935</v>
      </c>
      <c r="D846" s="2" t="s">
        <v>49</v>
      </c>
      <c r="E846" s="2" t="s">
        <v>1969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89</v>
      </c>
      <c r="L846" s="6" t="s">
        <v>141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2950</v>
      </c>
      <c r="R846" s="2">
        <v>4644808.7429999998</v>
      </c>
      <c r="S846" s="2">
        <v>0</v>
      </c>
      <c r="T846" s="2" t="s">
        <v>54</v>
      </c>
      <c r="U846" s="2" t="s">
        <v>55</v>
      </c>
      <c r="V846" s="2" t="s">
        <v>56</v>
      </c>
      <c r="W846" s="2" t="s">
        <v>57</v>
      </c>
      <c r="X846" s="2" t="s">
        <v>58</v>
      </c>
      <c r="Y846" s="2">
        <v>4.0692722536965702</v>
      </c>
      <c r="Z846" s="2">
        <v>4069.2722536965698</v>
      </c>
      <c r="AA846" s="2">
        <v>4.6584666666666701</v>
      </c>
      <c r="AB846" s="2">
        <v>-74.083966666666697</v>
      </c>
      <c r="AC846" s="2">
        <v>2552</v>
      </c>
      <c r="AD846" s="2">
        <v>0</v>
      </c>
      <c r="AE846" s="2" t="s">
        <v>59</v>
      </c>
      <c r="AF846" s="2" t="s">
        <v>60</v>
      </c>
      <c r="AG846" s="2" t="s">
        <v>61</v>
      </c>
      <c r="AH846" s="2" t="s">
        <v>62</v>
      </c>
      <c r="AI846" s="2" t="s">
        <v>100</v>
      </c>
      <c r="AJ846" s="2">
        <v>0.52701791963095801</v>
      </c>
      <c r="AK846" s="2">
        <v>4.1664519975199497</v>
      </c>
      <c r="AL846" s="2">
        <v>0.59245871094373703</v>
      </c>
      <c r="AM846" s="2">
        <v>0.17627449821306701</v>
      </c>
      <c r="AN846" s="2">
        <v>2.3888658015778201</v>
      </c>
      <c r="AO846" s="2">
        <v>0.122277833641759</v>
      </c>
      <c r="AP846" s="2">
        <v>0.122277833641759</v>
      </c>
      <c r="AQ846" s="2">
        <v>0</v>
      </c>
      <c r="AR846" s="2">
        <v>2</v>
      </c>
      <c r="AS846" s="2">
        <v>0</v>
      </c>
      <c r="AT846" s="2">
        <v>0</v>
      </c>
      <c r="AU846" s="2">
        <v>2</v>
      </c>
      <c r="AV846" s="2">
        <v>61</v>
      </c>
      <c r="AW846" s="2">
        <v>0</v>
      </c>
      <c r="AX846" s="2">
        <v>0</v>
      </c>
      <c r="AZ846" s="2">
        <v>6.8</v>
      </c>
      <c r="BA846" s="2">
        <v>19.899999999999999</v>
      </c>
      <c r="BB846" s="2">
        <v>564</v>
      </c>
      <c r="BC846" s="2">
        <v>68</v>
      </c>
      <c r="BD846" s="2">
        <v>1.5</v>
      </c>
      <c r="BE846" s="2">
        <v>135</v>
      </c>
      <c r="BF846" s="2">
        <v>0.8</v>
      </c>
      <c r="BG846" s="2">
        <v>162</v>
      </c>
      <c r="BH846" s="2">
        <v>9.1</v>
      </c>
      <c r="BI846" s="2">
        <v>9.1999999999999993</v>
      </c>
      <c r="BJ846" s="2">
        <v>18.3</v>
      </c>
      <c r="BK846" s="2">
        <v>0.34</v>
      </c>
      <c r="BL846" s="2">
        <v>7.3</v>
      </c>
      <c r="BM846" s="2">
        <v>0.9</v>
      </c>
      <c r="BN846" s="2">
        <v>7.5</v>
      </c>
      <c r="BO846" s="2">
        <v>2.9</v>
      </c>
      <c r="BP846" s="2">
        <f t="shared" si="26"/>
        <v>5.5594191624717819</v>
      </c>
      <c r="BQ846" s="2">
        <f t="shared" si="27"/>
        <v>18.04840287783767</v>
      </c>
    </row>
    <row r="847" spans="1:69" x14ac:dyDescent="0.2">
      <c r="A847" s="2" t="s">
        <v>2677</v>
      </c>
      <c r="B847" s="2" t="s">
        <v>47</v>
      </c>
      <c r="C847" s="2" t="s">
        <v>1935</v>
      </c>
      <c r="D847" s="2" t="s">
        <v>49</v>
      </c>
      <c r="E847" s="2" t="s">
        <v>2678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89</v>
      </c>
      <c r="L847" s="6" t="s">
        <v>141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2679</v>
      </c>
      <c r="R847" s="2">
        <v>5082872.9280000003</v>
      </c>
      <c r="S847" s="2">
        <v>0</v>
      </c>
      <c r="T847" s="2" t="s">
        <v>54</v>
      </c>
      <c r="U847" s="2" t="s">
        <v>55</v>
      </c>
      <c r="V847" s="2" t="s">
        <v>56</v>
      </c>
      <c r="W847" s="2" t="s">
        <v>57</v>
      </c>
      <c r="X847" s="2" t="s">
        <v>58</v>
      </c>
      <c r="Y847" s="2">
        <v>3.12502596419134</v>
      </c>
      <c r="Z847" s="2">
        <v>3125.0259641913399</v>
      </c>
      <c r="AA847" s="2">
        <v>4.6584666666666701</v>
      </c>
      <c r="AB847" s="2">
        <v>-74.083966666666697</v>
      </c>
      <c r="AC847" s="2">
        <v>2552</v>
      </c>
      <c r="AD847" s="2">
        <v>0</v>
      </c>
      <c r="AE847" s="2" t="s">
        <v>59</v>
      </c>
      <c r="AF847" s="2" t="s">
        <v>60</v>
      </c>
      <c r="AG847" s="2" t="s">
        <v>61</v>
      </c>
      <c r="AH847" s="2" t="s">
        <v>62</v>
      </c>
      <c r="AI847" s="2" t="s">
        <v>391</v>
      </c>
      <c r="AJ847" s="2">
        <v>7.9253373376514599E-2</v>
      </c>
      <c r="AK847" s="2">
        <v>4.6823399902640404</v>
      </c>
      <c r="AL847" s="2">
        <v>0.713659497228607</v>
      </c>
      <c r="AM847" s="2">
        <v>0.21988280907865199</v>
      </c>
      <c r="AN847" s="2">
        <v>1.39459445247171</v>
      </c>
      <c r="AO847" s="2">
        <v>3.1564944832401201E-2</v>
      </c>
      <c r="AP847" s="2">
        <v>3.1564944832401201E-2</v>
      </c>
      <c r="AQ847" s="2">
        <v>1</v>
      </c>
      <c r="AR847" s="2">
        <v>3</v>
      </c>
      <c r="AS847" s="2">
        <v>0</v>
      </c>
      <c r="AT847" s="2">
        <v>0</v>
      </c>
      <c r="AU847" s="2">
        <v>1</v>
      </c>
      <c r="AV847" s="2">
        <v>19</v>
      </c>
      <c r="AW847" s="2">
        <v>0</v>
      </c>
      <c r="AX847" s="2">
        <v>0</v>
      </c>
      <c r="AZ847" s="2">
        <v>6.8</v>
      </c>
      <c r="BA847" s="2">
        <v>19.899999999999999</v>
      </c>
      <c r="BB847" s="2">
        <v>564</v>
      </c>
      <c r="BC847" s="2">
        <v>68</v>
      </c>
      <c r="BD847" s="2">
        <v>1.5</v>
      </c>
      <c r="BE847" s="2">
        <v>135</v>
      </c>
      <c r="BF847" s="2">
        <v>0.8</v>
      </c>
      <c r="BG847" s="2">
        <v>162</v>
      </c>
      <c r="BH847" s="2">
        <v>9.1</v>
      </c>
      <c r="BI847" s="2">
        <v>9.1999999999999993</v>
      </c>
      <c r="BJ847" s="2">
        <v>18.3</v>
      </c>
      <c r="BK847" s="2">
        <v>0.34</v>
      </c>
      <c r="BL847" s="2">
        <v>7.3</v>
      </c>
      <c r="BM847" s="2">
        <v>0.9</v>
      </c>
      <c r="BN847" s="2">
        <v>7.5</v>
      </c>
      <c r="BO847" s="2">
        <v>2.9</v>
      </c>
      <c r="BP847" s="2">
        <f t="shared" si="26"/>
        <v>5.8254358865119036</v>
      </c>
      <c r="BQ847" s="2">
        <f t="shared" si="27"/>
        <v>18.462083873460738</v>
      </c>
    </row>
    <row r="848" spans="1:69" x14ac:dyDescent="0.2">
      <c r="A848" s="2" t="s">
        <v>709</v>
      </c>
      <c r="B848" s="2" t="s">
        <v>47</v>
      </c>
      <c r="C848" s="2" t="s">
        <v>48</v>
      </c>
      <c r="D848" s="2" t="s">
        <v>49</v>
      </c>
      <c r="E848" s="2" t="s">
        <v>710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89</v>
      </c>
      <c r="L848" s="6" t="s">
        <v>141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711</v>
      </c>
      <c r="R848" s="2">
        <v>3090395.48</v>
      </c>
      <c r="S848" s="2">
        <v>0</v>
      </c>
      <c r="T848" s="2" t="s">
        <v>54</v>
      </c>
      <c r="U848" s="2" t="s">
        <v>55</v>
      </c>
      <c r="V848" s="2" t="s">
        <v>56</v>
      </c>
      <c r="W848" s="2" t="s">
        <v>57</v>
      </c>
      <c r="X848" s="2" t="s">
        <v>58</v>
      </c>
      <c r="Y848" s="2">
        <v>1.48499600959797</v>
      </c>
      <c r="Z848" s="2">
        <v>1484.99600959797</v>
      </c>
      <c r="AA848" s="2">
        <v>4.6584666666666701</v>
      </c>
      <c r="AB848" s="2">
        <v>-74.083966666666697</v>
      </c>
      <c r="AC848" s="2">
        <v>2552</v>
      </c>
      <c r="AD848" s="2">
        <v>0</v>
      </c>
      <c r="AE848" s="2" t="s">
        <v>59</v>
      </c>
      <c r="AF848" s="2" t="s">
        <v>60</v>
      </c>
      <c r="AG848" s="2" t="s">
        <v>61</v>
      </c>
      <c r="AH848" s="2" t="s">
        <v>62</v>
      </c>
      <c r="AI848" s="2" t="s">
        <v>63</v>
      </c>
      <c r="AJ848" s="2">
        <v>0.60617108188249202</v>
      </c>
      <c r="AK848" s="2">
        <v>2.0339639924184598</v>
      </c>
      <c r="AL848" s="2">
        <v>0.145231801707255</v>
      </c>
      <c r="AM848" s="2">
        <v>8.71696671116442E-2</v>
      </c>
      <c r="AN848" s="2">
        <v>1.91266153504026</v>
      </c>
      <c r="AO848" s="2">
        <v>0.33357492935231497</v>
      </c>
      <c r="AP848" s="2">
        <v>0.33357492935231497</v>
      </c>
      <c r="AQ848" s="2">
        <v>0</v>
      </c>
      <c r="AR848" s="2">
        <v>4</v>
      </c>
      <c r="AS848" s="2">
        <v>0</v>
      </c>
      <c r="AT848" s="2">
        <v>0</v>
      </c>
      <c r="AU848" s="2">
        <v>6</v>
      </c>
      <c r="AV848" s="2">
        <v>55</v>
      </c>
      <c r="AW848" s="2">
        <v>0</v>
      </c>
      <c r="AX848" s="2">
        <v>0</v>
      </c>
      <c r="AZ848" s="2">
        <v>6.8</v>
      </c>
      <c r="BA848" s="2">
        <v>19.899999999999999</v>
      </c>
      <c r="BB848" s="2">
        <v>564</v>
      </c>
      <c r="BC848" s="2">
        <v>68</v>
      </c>
      <c r="BD848" s="2">
        <v>1.5</v>
      </c>
      <c r="BE848" s="2">
        <v>135</v>
      </c>
      <c r="BF848" s="2">
        <v>0.8</v>
      </c>
      <c r="BG848" s="2">
        <v>162</v>
      </c>
      <c r="BH848" s="2">
        <v>9.1</v>
      </c>
      <c r="BI848" s="2">
        <v>9.1999999999999993</v>
      </c>
      <c r="BJ848" s="2">
        <v>18.3</v>
      </c>
      <c r="BK848" s="2">
        <v>0.34</v>
      </c>
      <c r="BL848" s="2">
        <v>7.3</v>
      </c>
      <c r="BM848" s="2">
        <v>0.9</v>
      </c>
      <c r="BN848" s="2">
        <v>7.5</v>
      </c>
      <c r="BO848" s="2">
        <v>2.9</v>
      </c>
      <c r="BP848" s="2">
        <f t="shared" si="26"/>
        <v>6.3180796535945243</v>
      </c>
      <c r="BQ848" s="2">
        <f t="shared" si="27"/>
        <v>19.203255606537851</v>
      </c>
    </row>
    <row r="849" spans="1:69" x14ac:dyDescent="0.2">
      <c r="A849" s="2" t="s">
        <v>2962</v>
      </c>
      <c r="B849" s="2" t="s">
        <v>47</v>
      </c>
      <c r="C849" s="2" t="s">
        <v>1935</v>
      </c>
      <c r="D849" s="2" t="s">
        <v>49</v>
      </c>
      <c r="E849" s="2" t="s">
        <v>2558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89</v>
      </c>
      <c r="L849" s="6" t="s">
        <v>103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2963</v>
      </c>
      <c r="R849" s="2">
        <v>8503401.3609999996</v>
      </c>
      <c r="S849" s="2">
        <v>0</v>
      </c>
      <c r="T849" s="2" t="s">
        <v>54</v>
      </c>
      <c r="U849" s="2" t="s">
        <v>55</v>
      </c>
      <c r="V849" s="2" t="s">
        <v>56</v>
      </c>
      <c r="W849" s="2" t="s">
        <v>57</v>
      </c>
      <c r="X849" s="2" t="s">
        <v>58</v>
      </c>
      <c r="Y849" s="2">
        <v>1.27056707971161</v>
      </c>
      <c r="Z849" s="2">
        <v>1270.5670797116099</v>
      </c>
      <c r="AA849" s="2">
        <v>4.6584666666666701</v>
      </c>
      <c r="AB849" s="2">
        <v>-74.083966666666697</v>
      </c>
      <c r="AC849" s="2">
        <v>2552</v>
      </c>
      <c r="AD849" s="2">
        <v>0</v>
      </c>
      <c r="AE849" s="2" t="s">
        <v>59</v>
      </c>
      <c r="AF849" s="2" t="s">
        <v>60</v>
      </c>
      <c r="AG849" s="2" t="s">
        <v>61</v>
      </c>
      <c r="AH849" s="2" t="s">
        <v>62</v>
      </c>
      <c r="AI849" s="2" t="s">
        <v>63</v>
      </c>
      <c r="AJ849" s="2">
        <v>1.0293571977204401</v>
      </c>
      <c r="AK849" s="2">
        <v>3.4255867737627899</v>
      </c>
      <c r="AL849" s="2">
        <v>0.61089257050548396</v>
      </c>
      <c r="AM849" s="2">
        <v>0.16342681797580499</v>
      </c>
      <c r="AN849" s="2">
        <v>2.95983630129138</v>
      </c>
      <c r="AO849" s="2">
        <v>0.49163947139415698</v>
      </c>
      <c r="AP849" s="2">
        <v>0.49163947139415698</v>
      </c>
      <c r="AQ849" s="2">
        <v>0</v>
      </c>
      <c r="AR849" s="2">
        <v>0</v>
      </c>
      <c r="AS849" s="2">
        <v>0</v>
      </c>
      <c r="AT849" s="2">
        <v>0</v>
      </c>
      <c r="AU849" s="2">
        <v>3</v>
      </c>
      <c r="AV849" s="2">
        <v>20</v>
      </c>
      <c r="AW849" s="2">
        <v>0</v>
      </c>
      <c r="AX849" s="2">
        <v>0</v>
      </c>
      <c r="AZ849" s="2">
        <v>6.8</v>
      </c>
      <c r="BA849" s="2">
        <v>19.899999999999999</v>
      </c>
      <c r="BB849" s="2">
        <v>564</v>
      </c>
      <c r="BC849" s="2">
        <v>68</v>
      </c>
      <c r="BD849" s="2">
        <v>1.5</v>
      </c>
      <c r="BE849" s="2">
        <v>135</v>
      </c>
      <c r="BF849" s="2">
        <v>0.8</v>
      </c>
      <c r="BG849" s="2">
        <v>162</v>
      </c>
      <c r="BH849" s="2">
        <v>9.1</v>
      </c>
      <c r="BI849" s="2">
        <v>9.1999999999999993</v>
      </c>
      <c r="BJ849" s="2">
        <v>18.3</v>
      </c>
      <c r="BK849" s="2">
        <v>0.34</v>
      </c>
      <c r="BL849" s="2">
        <v>7.3</v>
      </c>
      <c r="BM849" s="2">
        <v>0.9</v>
      </c>
      <c r="BN849" s="2">
        <v>7.5</v>
      </c>
      <c r="BO849" s="2">
        <v>2.9</v>
      </c>
      <c r="BP849" s="2">
        <f t="shared" si="26"/>
        <v>6.3854983830776657</v>
      </c>
      <c r="BQ849" s="2">
        <f t="shared" si="27"/>
        <v>19.302335941347852</v>
      </c>
    </row>
    <row r="850" spans="1:69" x14ac:dyDescent="0.2">
      <c r="A850" s="2" t="s">
        <v>3124</v>
      </c>
      <c r="B850" s="2" t="s">
        <v>47</v>
      </c>
      <c r="C850" s="2" t="s">
        <v>1935</v>
      </c>
      <c r="D850" s="2" t="s">
        <v>49</v>
      </c>
      <c r="E850" s="2" t="s">
        <v>559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89</v>
      </c>
      <c r="L850" s="6" t="s">
        <v>141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3125</v>
      </c>
      <c r="R850" s="2">
        <v>6250000</v>
      </c>
      <c r="S850" s="2">
        <v>0</v>
      </c>
      <c r="T850" s="2" t="s">
        <v>54</v>
      </c>
      <c r="U850" s="2" t="s">
        <v>55</v>
      </c>
      <c r="V850" s="2" t="s">
        <v>56</v>
      </c>
      <c r="W850" s="2" t="s">
        <v>57</v>
      </c>
      <c r="X850" s="2" t="s">
        <v>58</v>
      </c>
      <c r="Y850" s="2">
        <v>3.2253925005961199</v>
      </c>
      <c r="Z850" s="2">
        <v>3225.39250059612</v>
      </c>
      <c r="AA850" s="2">
        <v>4.6584666666666701</v>
      </c>
      <c r="AB850" s="2">
        <v>-74.083966666666697</v>
      </c>
      <c r="AC850" s="2">
        <v>2552</v>
      </c>
      <c r="AD850" s="2">
        <v>0</v>
      </c>
      <c r="AE850" s="2" t="s">
        <v>59</v>
      </c>
      <c r="AF850" s="2" t="s">
        <v>60</v>
      </c>
      <c r="AG850" s="2" t="s">
        <v>61</v>
      </c>
      <c r="AH850" s="2" t="s">
        <v>62</v>
      </c>
      <c r="AI850" s="2" t="s">
        <v>391</v>
      </c>
      <c r="AJ850" s="2">
        <v>0.71712168184783698</v>
      </c>
      <c r="AK850" s="2">
        <v>5.4863530320378704</v>
      </c>
      <c r="AL850" s="2">
        <v>1.7584486296815001</v>
      </c>
      <c r="AM850" s="2">
        <v>0.10386041855771</v>
      </c>
      <c r="AN850" s="2">
        <v>1.9312281282883299</v>
      </c>
      <c r="AO850" s="2">
        <v>0.49135270957834798</v>
      </c>
      <c r="AP850" s="2">
        <v>0.49135270957834798</v>
      </c>
      <c r="AQ850" s="2">
        <v>0</v>
      </c>
      <c r="AR850" s="2">
        <v>2</v>
      </c>
      <c r="AS850" s="2">
        <v>0</v>
      </c>
      <c r="AT850" s="2">
        <v>0</v>
      </c>
      <c r="AU850" s="2">
        <v>0</v>
      </c>
      <c r="AV850" s="2">
        <v>32</v>
      </c>
      <c r="AW850" s="2">
        <v>0</v>
      </c>
      <c r="AX850" s="2">
        <v>0</v>
      </c>
      <c r="AZ850" s="2">
        <v>6.8</v>
      </c>
      <c r="BA850" s="2">
        <v>19.899999999999999</v>
      </c>
      <c r="BB850" s="2">
        <v>564</v>
      </c>
      <c r="BC850" s="2">
        <v>68</v>
      </c>
      <c r="BD850" s="2">
        <v>1.5</v>
      </c>
      <c r="BE850" s="2">
        <v>135</v>
      </c>
      <c r="BF850" s="2">
        <v>0.8</v>
      </c>
      <c r="BG850" s="2">
        <v>162</v>
      </c>
      <c r="BH850" s="2">
        <v>9.1</v>
      </c>
      <c r="BI850" s="2">
        <v>9.1999999999999993</v>
      </c>
      <c r="BJ850" s="2">
        <v>18.3</v>
      </c>
      <c r="BK850" s="2">
        <v>0.34</v>
      </c>
      <c r="BL850" s="2">
        <v>7.3</v>
      </c>
      <c r="BM850" s="2">
        <v>0.9</v>
      </c>
      <c r="BN850" s="2">
        <v>7.5</v>
      </c>
      <c r="BO850" s="2">
        <v>2.9</v>
      </c>
      <c r="BP850" s="2">
        <f t="shared" si="26"/>
        <v>5.7965660588800088</v>
      </c>
      <c r="BQ850" s="2">
        <f t="shared" si="27"/>
        <v>18.417665981860466</v>
      </c>
    </row>
    <row r="851" spans="1:69" x14ac:dyDescent="0.2">
      <c r="A851" s="2" t="s">
        <v>4453</v>
      </c>
      <c r="B851" s="2" t="s">
        <v>47</v>
      </c>
      <c r="C851" s="2" t="s">
        <v>3273</v>
      </c>
      <c r="D851" s="2" t="s">
        <v>49</v>
      </c>
      <c r="E851" s="2" t="s">
        <v>4454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89</v>
      </c>
      <c r="L851" s="6" t="s">
        <v>141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4455</v>
      </c>
      <c r="R851" s="2">
        <v>7471264.3679999998</v>
      </c>
      <c r="S851" s="2">
        <v>0</v>
      </c>
      <c r="T851" s="2" t="s">
        <v>105</v>
      </c>
      <c r="U851" s="2" t="s">
        <v>106</v>
      </c>
      <c r="V851" s="2" t="s">
        <v>56</v>
      </c>
      <c r="W851" s="2" t="s">
        <v>107</v>
      </c>
      <c r="X851" s="2" t="s">
        <v>108</v>
      </c>
      <c r="Y851" s="2">
        <v>3.38854044002289</v>
      </c>
      <c r="Z851" s="2">
        <v>3388.5404400228899</v>
      </c>
      <c r="AA851" s="2">
        <v>4.6254861111111101</v>
      </c>
      <c r="AB851" s="2">
        <v>-74.066980555555503</v>
      </c>
      <c r="AC851" s="2">
        <v>2621</v>
      </c>
      <c r="AD851" s="2">
        <v>15</v>
      </c>
      <c r="AE851" s="2" t="s">
        <v>59</v>
      </c>
      <c r="AF851" s="2" t="s">
        <v>60</v>
      </c>
      <c r="AG851" s="2" t="s">
        <v>61</v>
      </c>
      <c r="AH851" s="2" t="s">
        <v>62</v>
      </c>
      <c r="AI851" s="2" t="s">
        <v>109</v>
      </c>
      <c r="AJ851" s="2">
        <v>1.1717900690908001</v>
      </c>
      <c r="AK851" s="2">
        <v>0.44833081411568199</v>
      </c>
      <c r="AL851" s="2">
        <v>0.561566114357961</v>
      </c>
      <c r="AM851" s="2">
        <v>0.18917187895507601</v>
      </c>
      <c r="AN851" s="2">
        <v>1.3481158602957899</v>
      </c>
      <c r="AO851" s="2">
        <v>6.0474494493708397E-2</v>
      </c>
      <c r="AP851" s="2">
        <v>6.0474494493708397E-2</v>
      </c>
      <c r="AQ851" s="2">
        <v>0</v>
      </c>
      <c r="AR851" s="2">
        <v>0</v>
      </c>
      <c r="AS851" s="2">
        <v>8</v>
      </c>
      <c r="AT851" s="2">
        <v>40</v>
      </c>
      <c r="AU851" s="2">
        <v>7</v>
      </c>
      <c r="AV851" s="2">
        <v>35</v>
      </c>
      <c r="AW851" s="2">
        <v>0</v>
      </c>
      <c r="AX851" s="2">
        <v>0</v>
      </c>
      <c r="AZ851" s="2">
        <v>6.8</v>
      </c>
      <c r="BA851" s="2">
        <v>19.899999999999999</v>
      </c>
      <c r="BB851" s="2">
        <v>564</v>
      </c>
      <c r="BC851" s="2">
        <v>68</v>
      </c>
      <c r="BD851" s="2">
        <v>1.5</v>
      </c>
      <c r="BE851" s="2">
        <v>135</v>
      </c>
      <c r="BF851" s="2">
        <v>0.8</v>
      </c>
      <c r="BG851" s="2">
        <v>162</v>
      </c>
      <c r="BH851" s="2">
        <v>9.1</v>
      </c>
      <c r="BI851" s="2">
        <v>9.1999999999999993</v>
      </c>
      <c r="BJ851" s="2">
        <v>18.3</v>
      </c>
      <c r="BK851" s="2">
        <v>0.34</v>
      </c>
      <c r="BL851" s="2">
        <v>7.3</v>
      </c>
      <c r="BM851" s="2">
        <v>0.9</v>
      </c>
      <c r="BN851" s="2">
        <v>7.5</v>
      </c>
      <c r="BO851" s="2">
        <v>2.9</v>
      </c>
      <c r="BP851" s="2">
        <f t="shared" si="26"/>
        <v>5.749942532439273</v>
      </c>
      <c r="BQ851" s="2">
        <f t="shared" si="27"/>
        <v>18.34569168122712</v>
      </c>
    </row>
    <row r="852" spans="1:69" x14ac:dyDescent="0.2">
      <c r="A852" s="2" t="s">
        <v>2207</v>
      </c>
      <c r="B852" s="2" t="s">
        <v>47</v>
      </c>
      <c r="C852" s="2" t="s">
        <v>1935</v>
      </c>
      <c r="D852" s="2" t="s">
        <v>49</v>
      </c>
      <c r="E852" s="2" t="s">
        <v>2208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89</v>
      </c>
      <c r="L852" s="6" t="s">
        <v>103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2209</v>
      </c>
      <c r="R852" s="2">
        <v>2241379.31</v>
      </c>
      <c r="S852" s="2">
        <v>0</v>
      </c>
      <c r="T852" s="2" t="s">
        <v>398</v>
      </c>
      <c r="U852" s="2" t="s">
        <v>399</v>
      </c>
      <c r="V852" s="2" t="s">
        <v>56</v>
      </c>
      <c r="W852" s="2" t="s">
        <v>57</v>
      </c>
      <c r="X852" s="2" t="s">
        <v>400</v>
      </c>
      <c r="Y852" s="2">
        <v>3.20894310419808</v>
      </c>
      <c r="Z852" s="2">
        <v>3208.9431041980802</v>
      </c>
      <c r="AA852" s="2">
        <v>4.7358055555555598</v>
      </c>
      <c r="AB852" s="2">
        <v>-74.125888888888895</v>
      </c>
      <c r="AC852" s="2">
        <v>2574</v>
      </c>
      <c r="AD852" s="2">
        <v>0</v>
      </c>
      <c r="AE852" s="2" t="s">
        <v>133</v>
      </c>
      <c r="AF852" s="2" t="s">
        <v>86</v>
      </c>
      <c r="AG852" s="2" t="s">
        <v>61</v>
      </c>
      <c r="AH852" s="2" t="s">
        <v>62</v>
      </c>
      <c r="AI852" s="2" t="s">
        <v>391</v>
      </c>
      <c r="AJ852" s="2">
        <v>3.6259895019312598</v>
      </c>
      <c r="AK852" s="2">
        <v>1.09721362530503</v>
      </c>
      <c r="AL852" s="2">
        <v>3.4450447935577202</v>
      </c>
      <c r="AM852" s="2">
        <v>0.30366778632088698</v>
      </c>
      <c r="AN852" s="2">
        <v>1.96133469541105</v>
      </c>
      <c r="AO852" s="2">
        <v>4.3178991232119497E-2</v>
      </c>
      <c r="AP852" s="2">
        <v>4.3178991232119497E-2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4</v>
      </c>
      <c r="AW852" s="2">
        <v>0</v>
      </c>
      <c r="AX852" s="2">
        <v>0</v>
      </c>
      <c r="AZ852" s="2">
        <v>6.8</v>
      </c>
      <c r="BA852" s="2">
        <v>19.899999999999999</v>
      </c>
      <c r="BB852" s="2">
        <v>564</v>
      </c>
      <c r="BC852" s="2">
        <v>68</v>
      </c>
      <c r="BD852" s="2">
        <v>1.5</v>
      </c>
      <c r="BE852" s="2">
        <v>135</v>
      </c>
      <c r="BF852" s="2">
        <v>0.8</v>
      </c>
      <c r="BG852" s="2">
        <v>162</v>
      </c>
      <c r="BH852" s="2">
        <v>9.1</v>
      </c>
      <c r="BI852" s="2">
        <v>9.1999999999999993</v>
      </c>
      <c r="BJ852" s="2">
        <v>18.3</v>
      </c>
      <c r="BK852" s="2">
        <v>0.34</v>
      </c>
      <c r="BL852" s="2">
        <v>7.3</v>
      </c>
      <c r="BM852" s="2">
        <v>0.9</v>
      </c>
      <c r="BN852" s="2">
        <v>7.5</v>
      </c>
      <c r="BO852" s="2">
        <v>2.9</v>
      </c>
      <c r="BP852" s="2">
        <f t="shared" si="26"/>
        <v>5.8012878065852238</v>
      </c>
      <c r="BQ852" s="2">
        <f t="shared" si="27"/>
        <v>18.424938445020661</v>
      </c>
    </row>
    <row r="853" spans="1:69" x14ac:dyDescent="0.2">
      <c r="A853" s="2" t="s">
        <v>2786</v>
      </c>
      <c r="B853" s="2" t="s">
        <v>47</v>
      </c>
      <c r="C853" s="2" t="s">
        <v>1935</v>
      </c>
      <c r="D853" s="2" t="s">
        <v>49</v>
      </c>
      <c r="E853" s="2" t="s">
        <v>2787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89</v>
      </c>
      <c r="L853" s="6" t="s">
        <v>141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2788</v>
      </c>
      <c r="R853" s="2">
        <v>7795357.432</v>
      </c>
      <c r="S853" s="2">
        <v>0</v>
      </c>
      <c r="T853" s="2" t="s">
        <v>54</v>
      </c>
      <c r="U853" s="2" t="s">
        <v>55</v>
      </c>
      <c r="V853" s="2" t="s">
        <v>56</v>
      </c>
      <c r="W853" s="2" t="s">
        <v>57</v>
      </c>
      <c r="X853" s="2" t="s">
        <v>58</v>
      </c>
      <c r="Y853" s="2">
        <v>3.95330378053277</v>
      </c>
      <c r="Z853" s="2">
        <v>3953.3037805327699</v>
      </c>
      <c r="AA853" s="2">
        <v>4.6584666666666701</v>
      </c>
      <c r="AB853" s="2">
        <v>-74.083966666666697</v>
      </c>
      <c r="AC853" s="2">
        <v>2552</v>
      </c>
      <c r="AD853" s="2">
        <v>0</v>
      </c>
      <c r="AE853" s="2" t="s">
        <v>59</v>
      </c>
      <c r="AF853" s="2" t="s">
        <v>60</v>
      </c>
      <c r="AG853" s="2" t="s">
        <v>61</v>
      </c>
      <c r="AH853" s="2" t="s">
        <v>62</v>
      </c>
      <c r="AI853" s="2" t="s">
        <v>100</v>
      </c>
      <c r="AJ853" s="2">
        <v>0.68621398701560299</v>
      </c>
      <c r="AK853" s="2">
        <v>4.2620907589739199</v>
      </c>
      <c r="AL853" s="2">
        <v>0.64955358397028296</v>
      </c>
      <c r="AM853" s="2">
        <v>0.18296373252552001</v>
      </c>
      <c r="AN853" s="2">
        <v>2.2579368022128801</v>
      </c>
      <c r="AO853" s="2">
        <v>0.248437792164064</v>
      </c>
      <c r="AP853" s="2">
        <v>0.248437792164064</v>
      </c>
      <c r="AQ853" s="2">
        <v>0</v>
      </c>
      <c r="AR853" s="2">
        <v>2</v>
      </c>
      <c r="AS853" s="2">
        <v>0</v>
      </c>
      <c r="AT853" s="2">
        <v>0</v>
      </c>
      <c r="AU853" s="2">
        <v>2</v>
      </c>
      <c r="AV853" s="2">
        <v>56</v>
      </c>
      <c r="AW853" s="2">
        <v>0</v>
      </c>
      <c r="AX853" s="2">
        <v>0</v>
      </c>
      <c r="AZ853" s="2">
        <v>6.8</v>
      </c>
      <c r="BA853" s="2">
        <v>19.899999999999999</v>
      </c>
      <c r="BB853" s="2">
        <v>564</v>
      </c>
      <c r="BC853" s="2">
        <v>68</v>
      </c>
      <c r="BD853" s="2">
        <v>1.5</v>
      </c>
      <c r="BE853" s="2">
        <v>135</v>
      </c>
      <c r="BF853" s="2">
        <v>0.8</v>
      </c>
      <c r="BG853" s="2">
        <v>162</v>
      </c>
      <c r="BH853" s="2">
        <v>9.1</v>
      </c>
      <c r="BI853" s="2">
        <v>9.1999999999999993</v>
      </c>
      <c r="BJ853" s="2">
        <v>18.3</v>
      </c>
      <c r="BK853" s="2">
        <v>0.34</v>
      </c>
      <c r="BL853" s="2">
        <v>7.3</v>
      </c>
      <c r="BM853" s="2">
        <v>0.9</v>
      </c>
      <c r="BN853" s="2">
        <v>7.5</v>
      </c>
      <c r="BO853" s="2">
        <v>2.9</v>
      </c>
      <c r="BP853" s="2">
        <f t="shared" si="26"/>
        <v>5.5914244456998698</v>
      </c>
      <c r="BQ853" s="2">
        <f t="shared" si="27"/>
        <v>18.098705945599662</v>
      </c>
    </row>
    <row r="854" spans="1:69" x14ac:dyDescent="0.2">
      <c r="A854" s="2" t="s">
        <v>2674</v>
      </c>
      <c r="B854" s="2" t="s">
        <v>47</v>
      </c>
      <c r="C854" s="2" t="s">
        <v>1935</v>
      </c>
      <c r="D854" s="2" t="s">
        <v>49</v>
      </c>
      <c r="E854" s="2" t="s">
        <v>2675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89</v>
      </c>
      <c r="L854" s="6" t="s">
        <v>141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2676</v>
      </c>
      <c r="R854" s="2">
        <v>10346820.810000001</v>
      </c>
      <c r="S854" s="2">
        <v>0</v>
      </c>
      <c r="T854" s="2" t="s">
        <v>54</v>
      </c>
      <c r="U854" s="2" t="s">
        <v>55</v>
      </c>
      <c r="V854" s="2" t="s">
        <v>56</v>
      </c>
      <c r="W854" s="2" t="s">
        <v>57</v>
      </c>
      <c r="X854" s="2" t="s">
        <v>58</v>
      </c>
      <c r="Y854" s="2">
        <v>3.6869951097654501</v>
      </c>
      <c r="Z854" s="2">
        <v>3686.9951097654498</v>
      </c>
      <c r="AA854" s="2">
        <v>4.6584666666666701</v>
      </c>
      <c r="AB854" s="2">
        <v>-74.083966666666697</v>
      </c>
      <c r="AC854" s="2">
        <v>2552</v>
      </c>
      <c r="AD854" s="2">
        <v>0</v>
      </c>
      <c r="AE854" s="2" t="s">
        <v>59</v>
      </c>
      <c r="AF854" s="2" t="s">
        <v>60</v>
      </c>
      <c r="AG854" s="2" t="s">
        <v>61</v>
      </c>
      <c r="AH854" s="2" t="s">
        <v>62</v>
      </c>
      <c r="AI854" s="2" t="s">
        <v>391</v>
      </c>
      <c r="AJ854" s="2">
        <v>0.74577445497237904</v>
      </c>
      <c r="AK854" s="2">
        <v>5.2958398895508596</v>
      </c>
      <c r="AL854" s="2">
        <v>1.28090438867864</v>
      </c>
      <c r="AM854" s="2">
        <v>6.8470603066178304E-2</v>
      </c>
      <c r="AN854" s="2">
        <v>1.0444340242065699</v>
      </c>
      <c r="AO854" s="2">
        <v>8.9249709498097504E-2</v>
      </c>
      <c r="AP854" s="2">
        <v>8.9249709498097504E-2</v>
      </c>
      <c r="AQ854" s="2">
        <v>0</v>
      </c>
      <c r="AR854" s="2">
        <v>3</v>
      </c>
      <c r="AS854" s="2">
        <v>0</v>
      </c>
      <c r="AT854" s="2">
        <v>0</v>
      </c>
      <c r="AU854" s="2">
        <v>0</v>
      </c>
      <c r="AV854" s="2">
        <v>37</v>
      </c>
      <c r="AW854" s="2">
        <v>0</v>
      </c>
      <c r="AX854" s="2">
        <v>0</v>
      </c>
      <c r="AZ854" s="2">
        <v>6.8</v>
      </c>
      <c r="BA854" s="2">
        <v>19.899999999999999</v>
      </c>
      <c r="BB854" s="2">
        <v>564</v>
      </c>
      <c r="BC854" s="2">
        <v>68</v>
      </c>
      <c r="BD854" s="2">
        <v>1.5</v>
      </c>
      <c r="BE854" s="2">
        <v>135</v>
      </c>
      <c r="BF854" s="2">
        <v>0.8</v>
      </c>
      <c r="BG854" s="2">
        <v>162</v>
      </c>
      <c r="BH854" s="2">
        <v>9.1</v>
      </c>
      <c r="BI854" s="2">
        <v>9.1999999999999993</v>
      </c>
      <c r="BJ854" s="2">
        <v>18.3</v>
      </c>
      <c r="BK854" s="2">
        <v>0.34</v>
      </c>
      <c r="BL854" s="2">
        <v>7.3</v>
      </c>
      <c r="BM854" s="2">
        <v>0.9</v>
      </c>
      <c r="BN854" s="2">
        <v>7.5</v>
      </c>
      <c r="BO854" s="2">
        <v>2.9</v>
      </c>
      <c r="BP854" s="2">
        <f t="shared" si="26"/>
        <v>5.665620123528365</v>
      </c>
      <c r="BQ854" s="2">
        <f t="shared" si="27"/>
        <v>18.214752617126422</v>
      </c>
    </row>
    <row r="855" spans="1:69" x14ac:dyDescent="0.2">
      <c r="A855" s="2" t="s">
        <v>2483</v>
      </c>
      <c r="B855" s="2" t="s">
        <v>47</v>
      </c>
      <c r="C855" s="2" t="s">
        <v>1935</v>
      </c>
      <c r="D855" s="2" t="s">
        <v>49</v>
      </c>
      <c r="E855" s="2" t="s">
        <v>2484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89</v>
      </c>
      <c r="L855" s="6" t="s">
        <v>141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2485</v>
      </c>
      <c r="R855" s="2">
        <v>2941176.4709999999</v>
      </c>
      <c r="S855" s="2">
        <v>0</v>
      </c>
      <c r="T855" s="2" t="s">
        <v>398</v>
      </c>
      <c r="U855" s="2" t="s">
        <v>399</v>
      </c>
      <c r="V855" s="2" t="s">
        <v>56</v>
      </c>
      <c r="W855" s="2" t="s">
        <v>57</v>
      </c>
      <c r="X855" s="2" t="s">
        <v>400</v>
      </c>
      <c r="Y855" s="2">
        <v>4.4928724171688801</v>
      </c>
      <c r="Z855" s="2">
        <v>4492.87241716888</v>
      </c>
      <c r="AA855" s="2">
        <v>4.7358055555555598</v>
      </c>
      <c r="AB855" s="2">
        <v>-74.125888888888895</v>
      </c>
      <c r="AC855" s="2">
        <v>2574</v>
      </c>
      <c r="AD855" s="2">
        <v>0</v>
      </c>
      <c r="AE855" s="2" t="s">
        <v>133</v>
      </c>
      <c r="AF855" s="2" t="s">
        <v>86</v>
      </c>
      <c r="AG855" s="2" t="s">
        <v>61</v>
      </c>
      <c r="AH855" s="2" t="s">
        <v>62</v>
      </c>
      <c r="AI855" s="2" t="s">
        <v>391</v>
      </c>
      <c r="AJ855" s="2">
        <v>0.19276803485212499</v>
      </c>
      <c r="AK855" s="2">
        <v>3.6376140917317401</v>
      </c>
      <c r="AL855" s="2">
        <v>1.2431769878372101</v>
      </c>
      <c r="AM855" s="2">
        <v>0.120277837854423</v>
      </c>
      <c r="AN855" s="2">
        <v>1.5788815033543599</v>
      </c>
      <c r="AO855" s="2">
        <v>0.234512682101816</v>
      </c>
      <c r="AP855" s="2">
        <v>0.234512682101816</v>
      </c>
      <c r="AQ855" s="2">
        <v>2</v>
      </c>
      <c r="AR855" s="2">
        <v>4</v>
      </c>
      <c r="AS855" s="2">
        <v>0</v>
      </c>
      <c r="AT855" s="2">
        <v>0</v>
      </c>
      <c r="AU855" s="2">
        <v>0</v>
      </c>
      <c r="AV855" s="2">
        <v>29</v>
      </c>
      <c r="AW855" s="2">
        <v>0</v>
      </c>
      <c r="AX855" s="2">
        <v>0</v>
      </c>
      <c r="AZ855" s="2">
        <v>6.8</v>
      </c>
      <c r="BA855" s="2">
        <v>19.899999999999999</v>
      </c>
      <c r="BB855" s="2">
        <v>564</v>
      </c>
      <c r="BC855" s="2">
        <v>68</v>
      </c>
      <c r="BD855" s="2">
        <v>1.5</v>
      </c>
      <c r="BE855" s="2">
        <v>135</v>
      </c>
      <c r="BF855" s="2">
        <v>0.8</v>
      </c>
      <c r="BG855" s="2">
        <v>162</v>
      </c>
      <c r="BH855" s="2">
        <v>9.1</v>
      </c>
      <c r="BI855" s="2">
        <v>9.1999999999999993</v>
      </c>
      <c r="BJ855" s="2">
        <v>18.3</v>
      </c>
      <c r="BK855" s="2">
        <v>0.34</v>
      </c>
      <c r="BL855" s="2">
        <v>7.3</v>
      </c>
      <c r="BM855" s="2">
        <v>0.9</v>
      </c>
      <c r="BN855" s="2">
        <v>7.5</v>
      </c>
      <c r="BO855" s="2">
        <v>2.9</v>
      </c>
      <c r="BP855" s="2">
        <f t="shared" si="26"/>
        <v>5.4440617502430007</v>
      </c>
      <c r="BQ855" s="2">
        <f t="shared" si="27"/>
        <v>17.865845074558361</v>
      </c>
    </row>
    <row r="856" spans="1:69" x14ac:dyDescent="0.2">
      <c r="A856" s="2" t="s">
        <v>3270</v>
      </c>
      <c r="B856" s="2" t="s">
        <v>47</v>
      </c>
      <c r="C856" s="2" t="s">
        <v>1935</v>
      </c>
      <c r="D856" s="2" t="s">
        <v>49</v>
      </c>
      <c r="E856" s="2" t="s">
        <v>117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89</v>
      </c>
      <c r="L856" s="6" t="s">
        <v>141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3271</v>
      </c>
      <c r="R856" s="2">
        <v>3869047.6189999999</v>
      </c>
      <c r="S856" s="2">
        <v>0</v>
      </c>
      <c r="T856" s="2" t="s">
        <v>105</v>
      </c>
      <c r="U856" s="2" t="s">
        <v>106</v>
      </c>
      <c r="V856" s="2" t="s">
        <v>56</v>
      </c>
      <c r="W856" s="2" t="s">
        <v>107</v>
      </c>
      <c r="X856" s="2" t="s">
        <v>108</v>
      </c>
      <c r="Y856" s="2">
        <v>1.8860376132418299</v>
      </c>
      <c r="Z856" s="2">
        <v>1886.0376132418301</v>
      </c>
      <c r="AA856" s="2">
        <v>4.6254861111111101</v>
      </c>
      <c r="AB856" s="2">
        <v>-74.066980555555503</v>
      </c>
      <c r="AC856" s="2">
        <v>2621</v>
      </c>
      <c r="AD856" s="2">
        <v>15</v>
      </c>
      <c r="AE856" s="2" t="s">
        <v>59</v>
      </c>
      <c r="AF856" s="2" t="s">
        <v>60</v>
      </c>
      <c r="AG856" s="2" t="s">
        <v>61</v>
      </c>
      <c r="AH856" s="2" t="s">
        <v>62</v>
      </c>
      <c r="AI856" s="2" t="s">
        <v>287</v>
      </c>
      <c r="AJ856" s="2">
        <v>0.58256825679774105</v>
      </c>
      <c r="AK856" s="2">
        <v>1.69270217711607</v>
      </c>
      <c r="AL856" s="2">
        <v>0.59338962712193799</v>
      </c>
      <c r="AM856" s="2">
        <v>0.362178061942448</v>
      </c>
      <c r="AN856" s="2">
        <v>1.1684444372976299</v>
      </c>
      <c r="AO856" s="2">
        <v>1.1408023864173901E-2</v>
      </c>
      <c r="AP856" s="2">
        <v>1.1408023864173901E-2</v>
      </c>
      <c r="AQ856" s="2">
        <v>0</v>
      </c>
      <c r="AR856" s="2">
        <v>7</v>
      </c>
      <c r="AS856" s="2">
        <v>0</v>
      </c>
      <c r="AT856" s="2">
        <v>0</v>
      </c>
      <c r="AU856" s="2">
        <v>3</v>
      </c>
      <c r="AV856" s="2">
        <v>33</v>
      </c>
      <c r="AW856" s="2">
        <v>0</v>
      </c>
      <c r="AX856" s="2">
        <v>1</v>
      </c>
      <c r="AZ856" s="2">
        <v>6.8</v>
      </c>
      <c r="BA856" s="2">
        <v>19.899999999999999</v>
      </c>
      <c r="BB856" s="2">
        <v>564</v>
      </c>
      <c r="BC856" s="2">
        <v>68</v>
      </c>
      <c r="BD856" s="2">
        <v>1.5</v>
      </c>
      <c r="BE856" s="2">
        <v>135</v>
      </c>
      <c r="BF856" s="2">
        <v>0.8</v>
      </c>
      <c r="BG856" s="2">
        <v>162</v>
      </c>
      <c r="BH856" s="2">
        <v>9.1</v>
      </c>
      <c r="BI856" s="2">
        <v>9.1999999999999993</v>
      </c>
      <c r="BJ856" s="2">
        <v>18.3</v>
      </c>
      <c r="BK856" s="2">
        <v>0.34</v>
      </c>
      <c r="BL856" s="2">
        <v>7.3</v>
      </c>
      <c r="BM856" s="2">
        <v>0.9</v>
      </c>
      <c r="BN856" s="2">
        <v>7.5</v>
      </c>
      <c r="BO856" s="2">
        <v>2.9</v>
      </c>
      <c r="BP856" s="2">
        <f t="shared" si="26"/>
        <v>6.1938926513261832</v>
      </c>
      <c r="BQ856" s="2">
        <f t="shared" si="27"/>
        <v>19.019310953931971</v>
      </c>
    </row>
    <row r="857" spans="1:69" x14ac:dyDescent="0.2">
      <c r="A857" s="2" t="s">
        <v>849</v>
      </c>
      <c r="B857" s="2" t="s">
        <v>47</v>
      </c>
      <c r="C857" s="2" t="s">
        <v>48</v>
      </c>
      <c r="D857" s="2" t="s">
        <v>49</v>
      </c>
      <c r="E857" s="2" t="s">
        <v>850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89</v>
      </c>
      <c r="L857" s="6" t="s">
        <v>90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851</v>
      </c>
      <c r="R857" s="2">
        <v>8682634.7310000006</v>
      </c>
      <c r="S857" s="2">
        <v>0</v>
      </c>
      <c r="T857" s="2" t="s">
        <v>105</v>
      </c>
      <c r="U857" s="2" t="s">
        <v>106</v>
      </c>
      <c r="V857" s="2" t="s">
        <v>56</v>
      </c>
      <c r="W857" s="2" t="s">
        <v>107</v>
      </c>
      <c r="X857" s="2" t="s">
        <v>108</v>
      </c>
      <c r="Y857" s="2">
        <v>2.4013538042646498</v>
      </c>
      <c r="Z857" s="2">
        <v>2401.3538042646501</v>
      </c>
      <c r="AA857" s="2">
        <v>4.6254861111111101</v>
      </c>
      <c r="AB857" s="2">
        <v>-74.066980555555503</v>
      </c>
      <c r="AC857" s="2">
        <v>2621</v>
      </c>
      <c r="AD857" s="2">
        <v>15</v>
      </c>
      <c r="AE857" s="2" t="s">
        <v>59</v>
      </c>
      <c r="AF857" s="2" t="s">
        <v>60</v>
      </c>
      <c r="AG857" s="2" t="s">
        <v>61</v>
      </c>
      <c r="AH857" s="2" t="s">
        <v>62</v>
      </c>
      <c r="AI857" s="2" t="s">
        <v>109</v>
      </c>
      <c r="AJ857" s="2">
        <v>1.15457344087577</v>
      </c>
      <c r="AK857" s="2">
        <v>0.22048350913641401</v>
      </c>
      <c r="AL857" s="2">
        <v>0.52373873030157203</v>
      </c>
      <c r="AM857" s="2">
        <v>0.15956150835054</v>
      </c>
      <c r="AN857" s="2">
        <v>0.402376357581745</v>
      </c>
      <c r="AO857" s="2">
        <v>0.29999660504940101</v>
      </c>
      <c r="AP857" s="2">
        <v>0.29999660504940101</v>
      </c>
      <c r="AQ857" s="2">
        <v>0</v>
      </c>
      <c r="AR857" s="2">
        <v>0</v>
      </c>
      <c r="AS857" s="2">
        <v>18</v>
      </c>
      <c r="AT857" s="2">
        <v>58</v>
      </c>
      <c r="AU857" s="2">
        <v>5</v>
      </c>
      <c r="AV857" s="2">
        <v>29</v>
      </c>
      <c r="AW857" s="2">
        <v>1</v>
      </c>
      <c r="AX857" s="2">
        <v>0</v>
      </c>
      <c r="AZ857" s="2">
        <v>6.8</v>
      </c>
      <c r="BA857" s="2">
        <v>19.899999999999999</v>
      </c>
      <c r="BB857" s="2">
        <v>564</v>
      </c>
      <c r="BC857" s="2">
        <v>68</v>
      </c>
      <c r="BD857" s="2">
        <v>1.5</v>
      </c>
      <c r="BE857" s="2">
        <v>135</v>
      </c>
      <c r="BF857" s="2">
        <v>0.8</v>
      </c>
      <c r="BG857" s="2">
        <v>162</v>
      </c>
      <c r="BH857" s="2">
        <v>9.1</v>
      </c>
      <c r="BI857" s="2">
        <v>9.1999999999999993</v>
      </c>
      <c r="BJ857" s="2">
        <v>18.3</v>
      </c>
      <c r="BK857" s="2">
        <v>0.34</v>
      </c>
      <c r="BL857" s="2">
        <v>7.3</v>
      </c>
      <c r="BM857" s="2">
        <v>0.9</v>
      </c>
      <c r="BN857" s="2">
        <v>7.5</v>
      </c>
      <c r="BO857" s="2">
        <v>2.9</v>
      </c>
      <c r="BP857" s="2">
        <f t="shared" si="26"/>
        <v>6.0378959515826676</v>
      </c>
      <c r="BQ857" s="2">
        <f t="shared" si="27"/>
        <v>18.785536533601668</v>
      </c>
    </row>
    <row r="858" spans="1:69" x14ac:dyDescent="0.2">
      <c r="A858" s="2" t="s">
        <v>513</v>
      </c>
      <c r="B858" s="2" t="s">
        <v>47</v>
      </c>
      <c r="C858" s="2" t="s">
        <v>48</v>
      </c>
      <c r="D858" s="2" t="s">
        <v>49</v>
      </c>
      <c r="E858" s="2" t="s">
        <v>514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89</v>
      </c>
      <c r="L858" s="6" t="s">
        <v>141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515</v>
      </c>
      <c r="R858" s="2">
        <v>5838323.3530000001</v>
      </c>
      <c r="S858" s="2">
        <v>0</v>
      </c>
      <c r="T858" s="2" t="s">
        <v>105</v>
      </c>
      <c r="U858" s="2" t="s">
        <v>106</v>
      </c>
      <c r="V858" s="2" t="s">
        <v>56</v>
      </c>
      <c r="W858" s="2" t="s">
        <v>107</v>
      </c>
      <c r="X858" s="2" t="s">
        <v>108</v>
      </c>
      <c r="Y858" s="2">
        <v>2.80709850531131</v>
      </c>
      <c r="Z858" s="2">
        <v>2807.09850531131</v>
      </c>
      <c r="AA858" s="2">
        <v>4.6254861111111101</v>
      </c>
      <c r="AB858" s="2">
        <v>-74.066980555555503</v>
      </c>
      <c r="AC858" s="2">
        <v>2621</v>
      </c>
      <c r="AD858" s="2">
        <v>15</v>
      </c>
      <c r="AE858" s="2" t="s">
        <v>59</v>
      </c>
      <c r="AF858" s="2" t="s">
        <v>60</v>
      </c>
      <c r="AG858" s="2" t="s">
        <v>61</v>
      </c>
      <c r="AH858" s="2" t="s">
        <v>62</v>
      </c>
      <c r="AI858" s="2" t="s">
        <v>516</v>
      </c>
      <c r="AJ858" s="2">
        <v>0.26323753680371798</v>
      </c>
      <c r="AK858" s="2">
        <v>0.40034510329892498</v>
      </c>
      <c r="AL858" s="2">
        <v>0.20479265949544201</v>
      </c>
      <c r="AM858" s="2">
        <v>0.172510387047351</v>
      </c>
      <c r="AN858" s="2">
        <v>1.5765406272932501</v>
      </c>
      <c r="AO858" s="2">
        <v>0.24203447158785499</v>
      </c>
      <c r="AP858" s="2">
        <v>0.24203447158785499</v>
      </c>
      <c r="AQ858" s="2">
        <v>2</v>
      </c>
      <c r="AR858" s="2">
        <v>4</v>
      </c>
      <c r="AS858" s="2">
        <v>6</v>
      </c>
      <c r="AT858" s="2">
        <v>68</v>
      </c>
      <c r="AU858" s="2">
        <v>13</v>
      </c>
      <c r="AV858" s="2">
        <v>39</v>
      </c>
      <c r="AW858" s="2">
        <v>0</v>
      </c>
      <c r="AX858" s="2">
        <v>7</v>
      </c>
      <c r="AZ858" s="2">
        <v>6.8</v>
      </c>
      <c r="BA858" s="2">
        <v>19.899999999999999</v>
      </c>
      <c r="BB858" s="2">
        <v>564</v>
      </c>
      <c r="BC858" s="2">
        <v>68</v>
      </c>
      <c r="BD858" s="2">
        <v>1.5</v>
      </c>
      <c r="BE858" s="2">
        <v>135</v>
      </c>
      <c r="BF858" s="2">
        <v>0.8</v>
      </c>
      <c r="BG858" s="2">
        <v>162</v>
      </c>
      <c r="BH858" s="2">
        <v>9.1</v>
      </c>
      <c r="BI858" s="2">
        <v>9.1999999999999993</v>
      </c>
      <c r="BJ858" s="2">
        <v>18.3</v>
      </c>
      <c r="BK858" s="2">
        <v>0.34</v>
      </c>
      <c r="BL858" s="2">
        <v>7.3</v>
      </c>
      <c r="BM858" s="2">
        <v>0.9</v>
      </c>
      <c r="BN858" s="2">
        <v>7.5</v>
      </c>
      <c r="BO858" s="2">
        <v>2.9</v>
      </c>
      <c r="BP858" s="2">
        <f t="shared" si="26"/>
        <v>5.9178383354152979</v>
      </c>
      <c r="BQ858" s="2">
        <f t="shared" si="27"/>
        <v>18.603493164013972</v>
      </c>
    </row>
    <row r="859" spans="1:69" x14ac:dyDescent="0.2">
      <c r="A859" s="2" t="s">
        <v>1269</v>
      </c>
      <c r="B859" s="2" t="s">
        <v>47</v>
      </c>
      <c r="C859" s="2" t="s">
        <v>48</v>
      </c>
      <c r="D859" s="2" t="s">
        <v>49</v>
      </c>
      <c r="E859" s="2" t="s">
        <v>1270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89</v>
      </c>
      <c r="L859" s="6" t="s">
        <v>103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1271</v>
      </c>
      <c r="R859" s="2">
        <v>9289781.2410000004</v>
      </c>
      <c r="S859" s="2">
        <v>0</v>
      </c>
      <c r="T859" s="2" t="s">
        <v>105</v>
      </c>
      <c r="U859" s="2" t="s">
        <v>106</v>
      </c>
      <c r="V859" s="2" t="s">
        <v>56</v>
      </c>
      <c r="W859" s="2" t="s">
        <v>107</v>
      </c>
      <c r="X859" s="2" t="s">
        <v>108</v>
      </c>
      <c r="Y859" s="2">
        <v>2.3827986780041699</v>
      </c>
      <c r="Z859" s="2">
        <v>2382.7986780041701</v>
      </c>
      <c r="AA859" s="2">
        <v>4.6254861111111101</v>
      </c>
      <c r="AB859" s="2">
        <v>-74.066980555555503</v>
      </c>
      <c r="AC859" s="2">
        <v>2621</v>
      </c>
      <c r="AD859" s="2">
        <v>15</v>
      </c>
      <c r="AE859" s="2" t="s">
        <v>59</v>
      </c>
      <c r="AF859" s="2" t="s">
        <v>60</v>
      </c>
      <c r="AG859" s="2" t="s">
        <v>61</v>
      </c>
      <c r="AH859" s="2" t="s">
        <v>62</v>
      </c>
      <c r="AI859" s="2" t="s">
        <v>109</v>
      </c>
      <c r="AJ859" s="2">
        <v>1.21249749632268</v>
      </c>
      <c r="AK859" s="2">
        <v>0.15325436824528901</v>
      </c>
      <c r="AL859" s="2">
        <v>0.59793891570019497</v>
      </c>
      <c r="AM859" s="2">
        <v>0.13169353696438199</v>
      </c>
      <c r="AN859" s="2">
        <v>0.42448345820176298</v>
      </c>
      <c r="AO859" s="2">
        <v>0.38525137292240302</v>
      </c>
      <c r="AP859" s="2">
        <v>0.38525137292240302</v>
      </c>
      <c r="AQ859" s="2">
        <v>0</v>
      </c>
      <c r="AR859" s="2">
        <v>0</v>
      </c>
      <c r="AS859" s="2">
        <v>22</v>
      </c>
      <c r="AT859" s="2">
        <v>58</v>
      </c>
      <c r="AU859" s="2">
        <v>4</v>
      </c>
      <c r="AV859" s="2">
        <v>21</v>
      </c>
      <c r="AW859" s="2">
        <v>1</v>
      </c>
      <c r="AX859" s="2">
        <v>0</v>
      </c>
      <c r="AZ859" s="2">
        <v>6.8</v>
      </c>
      <c r="BA859" s="2">
        <v>19.899999999999999</v>
      </c>
      <c r="BB859" s="2">
        <v>564</v>
      </c>
      <c r="BC859" s="2">
        <v>68</v>
      </c>
      <c r="BD859" s="2">
        <v>1.5</v>
      </c>
      <c r="BE859" s="2">
        <v>135</v>
      </c>
      <c r="BF859" s="2">
        <v>0.8</v>
      </c>
      <c r="BG859" s="2">
        <v>162</v>
      </c>
      <c r="BH859" s="2">
        <v>9.1</v>
      </c>
      <c r="BI859" s="2">
        <v>9.1999999999999993</v>
      </c>
      <c r="BJ859" s="2">
        <v>18.3</v>
      </c>
      <c r="BK859" s="2">
        <v>0.34</v>
      </c>
      <c r="BL859" s="2">
        <v>7.3</v>
      </c>
      <c r="BM859" s="2">
        <v>0.9</v>
      </c>
      <c r="BN859" s="2">
        <v>7.5</v>
      </c>
      <c r="BO859" s="2">
        <v>2.9</v>
      </c>
      <c r="BP859" s="2">
        <f t="shared" si="26"/>
        <v>6.0434441782823853</v>
      </c>
      <c r="BQ859" s="2">
        <f t="shared" si="27"/>
        <v>18.793904028636554</v>
      </c>
    </row>
    <row r="860" spans="1:69" x14ac:dyDescent="0.2">
      <c r="A860" s="2" t="s">
        <v>2305</v>
      </c>
      <c r="B860" s="2" t="s">
        <v>47</v>
      </c>
      <c r="C860" s="2" t="s">
        <v>1935</v>
      </c>
      <c r="D860" s="2" t="s">
        <v>49</v>
      </c>
      <c r="E860" s="2" t="s">
        <v>117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89</v>
      </c>
      <c r="L860" s="6" t="s">
        <v>141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2306</v>
      </c>
      <c r="R860" s="2">
        <v>3939393.9389999998</v>
      </c>
      <c r="S860" s="2">
        <v>0</v>
      </c>
      <c r="T860" s="2" t="s">
        <v>105</v>
      </c>
      <c r="U860" s="2" t="s">
        <v>106</v>
      </c>
      <c r="V860" s="2" t="s">
        <v>56</v>
      </c>
      <c r="W860" s="2" t="s">
        <v>107</v>
      </c>
      <c r="X860" s="2" t="s">
        <v>108</v>
      </c>
      <c r="Y860" s="2">
        <v>1.7668329871269099</v>
      </c>
      <c r="Z860" s="2">
        <v>1766.83298712691</v>
      </c>
      <c r="AA860" s="2">
        <v>4.6254861111111101</v>
      </c>
      <c r="AB860" s="2">
        <v>-74.066980555555503</v>
      </c>
      <c r="AC860" s="2">
        <v>2621</v>
      </c>
      <c r="AD860" s="2">
        <v>15</v>
      </c>
      <c r="AE860" s="2" t="s">
        <v>59</v>
      </c>
      <c r="AF860" s="2" t="s">
        <v>60</v>
      </c>
      <c r="AG860" s="2" t="s">
        <v>61</v>
      </c>
      <c r="AH860" s="2" t="s">
        <v>62</v>
      </c>
      <c r="AI860" s="2" t="s">
        <v>287</v>
      </c>
      <c r="AJ860" s="2">
        <v>0.634068957331829</v>
      </c>
      <c r="AK860" s="2">
        <v>1.73260071082098</v>
      </c>
      <c r="AL860" s="2">
        <v>0.62261858178055796</v>
      </c>
      <c r="AM860" s="2">
        <v>0.21905586304070901</v>
      </c>
      <c r="AN860" s="2">
        <v>1.2571129799971701</v>
      </c>
      <c r="AO860" s="2">
        <v>0.136361270052791</v>
      </c>
      <c r="AP860" s="2">
        <v>0.136361270052791</v>
      </c>
      <c r="AQ860" s="2">
        <v>0</v>
      </c>
      <c r="AR860" s="2">
        <v>5</v>
      </c>
      <c r="AS860" s="2">
        <v>0</v>
      </c>
      <c r="AT860" s="2">
        <v>0</v>
      </c>
      <c r="AU860" s="2">
        <v>3</v>
      </c>
      <c r="AV860" s="2">
        <v>34</v>
      </c>
      <c r="AW860" s="2">
        <v>0</v>
      </c>
      <c r="AX860" s="2">
        <v>1</v>
      </c>
      <c r="AZ860" s="2">
        <v>6.8</v>
      </c>
      <c r="BA860" s="2">
        <v>19.899999999999999</v>
      </c>
      <c r="BB860" s="2">
        <v>564</v>
      </c>
      <c r="BC860" s="2">
        <v>68</v>
      </c>
      <c r="BD860" s="2">
        <v>1.5</v>
      </c>
      <c r="BE860" s="2">
        <v>135</v>
      </c>
      <c r="BF860" s="2">
        <v>0.8</v>
      </c>
      <c r="BG860" s="2">
        <v>162</v>
      </c>
      <c r="BH860" s="2">
        <v>9.1</v>
      </c>
      <c r="BI860" s="2">
        <v>9.1999999999999993</v>
      </c>
      <c r="BJ860" s="2">
        <v>18.3</v>
      </c>
      <c r="BK860" s="2">
        <v>0.34</v>
      </c>
      <c r="BL860" s="2">
        <v>7.3</v>
      </c>
      <c r="BM860" s="2">
        <v>0.9</v>
      </c>
      <c r="BN860" s="2">
        <v>7.5</v>
      </c>
      <c r="BO860" s="2">
        <v>2.9</v>
      </c>
      <c r="BP860" s="2">
        <f t="shared" si="26"/>
        <v>6.2305485539678642</v>
      </c>
      <c r="BQ860" s="2">
        <f t="shared" si="27"/>
        <v>19.073801419381965</v>
      </c>
    </row>
    <row r="861" spans="1:69" x14ac:dyDescent="0.2">
      <c r="A861" s="2" t="s">
        <v>1238</v>
      </c>
      <c r="B861" s="2" t="s">
        <v>47</v>
      </c>
      <c r="C861" s="2" t="s">
        <v>48</v>
      </c>
      <c r="D861" s="2" t="s">
        <v>49</v>
      </c>
      <c r="E861" s="2" t="s">
        <v>65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89</v>
      </c>
      <c r="L861" s="6" t="s">
        <v>103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1239</v>
      </c>
      <c r="R861" s="2">
        <v>8699434.5370000005</v>
      </c>
      <c r="S861" s="2">
        <v>0</v>
      </c>
      <c r="T861" s="2" t="s">
        <v>54</v>
      </c>
      <c r="U861" s="2" t="s">
        <v>55</v>
      </c>
      <c r="V861" s="2" t="s">
        <v>56</v>
      </c>
      <c r="W861" s="2" t="s">
        <v>57</v>
      </c>
      <c r="X861" s="2" t="s">
        <v>58</v>
      </c>
      <c r="Y861" s="2">
        <v>2.4860624243703899</v>
      </c>
      <c r="Z861" s="2">
        <v>2486.0624243703901</v>
      </c>
      <c r="AA861" s="2">
        <v>4.6584666666666701</v>
      </c>
      <c r="AB861" s="2">
        <v>-74.083966666666697</v>
      </c>
      <c r="AC861" s="2">
        <v>2552</v>
      </c>
      <c r="AD861" s="2">
        <v>0</v>
      </c>
      <c r="AE861" s="2" t="s">
        <v>59</v>
      </c>
      <c r="AF861" s="2" t="s">
        <v>60</v>
      </c>
      <c r="AG861" s="2" t="s">
        <v>61</v>
      </c>
      <c r="AH861" s="2" t="s">
        <v>62</v>
      </c>
      <c r="AI861" s="2" t="s">
        <v>71</v>
      </c>
      <c r="AJ861" s="2">
        <v>0.24805502086537001</v>
      </c>
      <c r="AK861" s="2">
        <v>5.5974197008917903</v>
      </c>
      <c r="AL861" s="2">
        <v>0.33784835768424498</v>
      </c>
      <c r="AM861" s="2">
        <v>0.164716292250698</v>
      </c>
      <c r="AN861" s="2">
        <v>1.0249029159713301</v>
      </c>
      <c r="AO861" s="2">
        <v>0.37361554688146298</v>
      </c>
      <c r="AP861" s="2">
        <v>0.37361554688146298</v>
      </c>
      <c r="AQ861" s="2">
        <v>1</v>
      </c>
      <c r="AR861" s="2">
        <v>3</v>
      </c>
      <c r="AS861" s="2">
        <v>0</v>
      </c>
      <c r="AT861" s="2">
        <v>0</v>
      </c>
      <c r="AU861" s="2">
        <v>1</v>
      </c>
      <c r="AV861" s="2">
        <v>66</v>
      </c>
      <c r="AW861" s="2">
        <v>0</v>
      </c>
      <c r="AX861" s="2">
        <v>0</v>
      </c>
      <c r="AZ861" s="2">
        <v>6.8</v>
      </c>
      <c r="BA861" s="2">
        <v>19.899999999999999</v>
      </c>
      <c r="BB861" s="2">
        <v>564</v>
      </c>
      <c r="BC861" s="2">
        <v>68</v>
      </c>
      <c r="BD861" s="2">
        <v>1.5</v>
      </c>
      <c r="BE861" s="2">
        <v>135</v>
      </c>
      <c r="BF861" s="2">
        <v>0.8</v>
      </c>
      <c r="BG861" s="2">
        <v>162</v>
      </c>
      <c r="BH861" s="2">
        <v>9.1</v>
      </c>
      <c r="BI861" s="2">
        <v>9.1999999999999993</v>
      </c>
      <c r="BJ861" s="2">
        <v>18.3</v>
      </c>
      <c r="BK861" s="2">
        <v>0.34</v>
      </c>
      <c r="BL861" s="2">
        <v>7.3</v>
      </c>
      <c r="BM861" s="2">
        <v>0.9</v>
      </c>
      <c r="BN861" s="2">
        <v>7.5</v>
      </c>
      <c r="BO861" s="2">
        <v>2.9</v>
      </c>
      <c r="BP861" s="2">
        <f t="shared" si="26"/>
        <v>6.0126315954874743</v>
      </c>
      <c r="BQ861" s="2">
        <f t="shared" si="27"/>
        <v>18.747384203652047</v>
      </c>
    </row>
    <row r="862" spans="1:69" x14ac:dyDescent="0.2">
      <c r="A862" s="2" t="s">
        <v>1815</v>
      </c>
      <c r="B862" s="2" t="s">
        <v>47</v>
      </c>
      <c r="C862" s="2" t="s">
        <v>48</v>
      </c>
      <c r="D862" s="2" t="s">
        <v>49</v>
      </c>
      <c r="E862" s="2" t="s">
        <v>383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89</v>
      </c>
      <c r="L862" s="6" t="s">
        <v>103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1816</v>
      </c>
      <c r="R862" s="2">
        <v>10937500</v>
      </c>
      <c r="S862" s="2">
        <v>0</v>
      </c>
      <c r="T862" s="2" t="s">
        <v>54</v>
      </c>
      <c r="U862" s="2" t="s">
        <v>55</v>
      </c>
      <c r="V862" s="2" t="s">
        <v>56</v>
      </c>
      <c r="W862" s="2" t="s">
        <v>57</v>
      </c>
      <c r="X862" s="2" t="s">
        <v>58</v>
      </c>
      <c r="Y862" s="2">
        <v>3.4651505883307698</v>
      </c>
      <c r="Z862" s="2">
        <v>3465.15058833077</v>
      </c>
      <c r="AA862" s="2">
        <v>4.6584666666666701</v>
      </c>
      <c r="AB862" s="2">
        <v>-74.083966666666697</v>
      </c>
      <c r="AC862" s="2">
        <v>2552</v>
      </c>
      <c r="AD862" s="2">
        <v>0</v>
      </c>
      <c r="AE862" s="2" t="s">
        <v>59</v>
      </c>
      <c r="AF862" s="2" t="s">
        <v>60</v>
      </c>
      <c r="AG862" s="2" t="s">
        <v>61</v>
      </c>
      <c r="AH862" s="2" t="s">
        <v>62</v>
      </c>
      <c r="AI862" s="2" t="s">
        <v>109</v>
      </c>
      <c r="AJ862" s="2">
        <v>0.36863494006070902</v>
      </c>
      <c r="AK862" s="2">
        <v>1.55797306389862</v>
      </c>
      <c r="AL862" s="2">
        <v>0.62607009278039605</v>
      </c>
      <c r="AM862" s="2">
        <v>0.112550888508444</v>
      </c>
      <c r="AN862" s="2">
        <v>2.82168808495816</v>
      </c>
      <c r="AO862" s="2">
        <v>0.83732717917230304</v>
      </c>
      <c r="AP862" s="2">
        <v>0.83732717917230304</v>
      </c>
      <c r="AQ862" s="2">
        <v>2</v>
      </c>
      <c r="AR862" s="2">
        <v>5</v>
      </c>
      <c r="AS862" s="2">
        <v>0</v>
      </c>
      <c r="AT862" s="2">
        <v>0</v>
      </c>
      <c r="AU862" s="2">
        <v>6</v>
      </c>
      <c r="AV862" s="2">
        <v>295</v>
      </c>
      <c r="AW862" s="2">
        <v>0</v>
      </c>
      <c r="AX862" s="2">
        <v>0</v>
      </c>
      <c r="AZ862" s="2">
        <v>6.8</v>
      </c>
      <c r="BA862" s="2">
        <v>19.899999999999999</v>
      </c>
      <c r="BB862" s="2">
        <v>564</v>
      </c>
      <c r="BC862" s="2">
        <v>68</v>
      </c>
      <c r="BD862" s="2">
        <v>1.5</v>
      </c>
      <c r="BE862" s="2">
        <v>135</v>
      </c>
      <c r="BF862" s="2">
        <v>0.8</v>
      </c>
      <c r="BG862" s="2">
        <v>162</v>
      </c>
      <c r="BH862" s="2">
        <v>9.1</v>
      </c>
      <c r="BI862" s="2">
        <v>9.1999999999999993</v>
      </c>
      <c r="BJ862" s="2">
        <v>18.3</v>
      </c>
      <c r="BK862" s="2">
        <v>0.34</v>
      </c>
      <c r="BL862" s="2">
        <v>7.3</v>
      </c>
      <c r="BM862" s="2">
        <v>0.9</v>
      </c>
      <c r="BN862" s="2">
        <v>7.5</v>
      </c>
      <c r="BO862" s="2">
        <v>2.9</v>
      </c>
      <c r="BP862" s="2">
        <f t="shared" si="26"/>
        <v>5.7281788790759345</v>
      </c>
      <c r="BQ862" s="2">
        <f t="shared" si="27"/>
        <v>18.311991484193943</v>
      </c>
    </row>
    <row r="863" spans="1:69" x14ac:dyDescent="0.2">
      <c r="A863" s="2" t="s">
        <v>1300</v>
      </c>
      <c r="B863" s="2" t="s">
        <v>47</v>
      </c>
      <c r="C863" s="2" t="s">
        <v>48</v>
      </c>
      <c r="D863" s="2" t="s">
        <v>49</v>
      </c>
      <c r="E863" s="2" t="s">
        <v>289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89</v>
      </c>
      <c r="L863" s="6" t="s">
        <v>103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1301</v>
      </c>
      <c r="R863" s="2">
        <v>12337662.34</v>
      </c>
      <c r="S863" s="2">
        <v>0</v>
      </c>
      <c r="T863" s="2" t="s">
        <v>54</v>
      </c>
      <c r="U863" s="2" t="s">
        <v>55</v>
      </c>
      <c r="V863" s="2" t="s">
        <v>56</v>
      </c>
      <c r="W863" s="2" t="s">
        <v>57</v>
      </c>
      <c r="X863" s="2" t="s">
        <v>58</v>
      </c>
      <c r="Y863" s="2">
        <v>4.1678577324960999</v>
      </c>
      <c r="Z863" s="2">
        <v>4167.8577324960997</v>
      </c>
      <c r="AA863" s="2">
        <v>4.6584666666666701</v>
      </c>
      <c r="AB863" s="2">
        <v>-74.083966666666697</v>
      </c>
      <c r="AC863" s="2">
        <v>2552</v>
      </c>
      <c r="AD863" s="2">
        <v>0</v>
      </c>
      <c r="AE863" s="2" t="s">
        <v>59</v>
      </c>
      <c r="AF863" s="2" t="s">
        <v>60</v>
      </c>
      <c r="AG863" s="2" t="s">
        <v>61</v>
      </c>
      <c r="AH863" s="2" t="s">
        <v>62</v>
      </c>
      <c r="AI863" s="2" t="s">
        <v>109</v>
      </c>
      <c r="AJ863" s="2">
        <v>1.59063604565238</v>
      </c>
      <c r="AK863" s="2">
        <v>0.17728916037539799</v>
      </c>
      <c r="AL863" s="2">
        <v>0.78234618637439102</v>
      </c>
      <c r="AM863" s="2">
        <v>0.151761697286208</v>
      </c>
      <c r="AN863" s="2">
        <v>2.7394196617733102</v>
      </c>
      <c r="AO863" s="2">
        <v>0.41366893506633601</v>
      </c>
      <c r="AP863" s="2">
        <v>0.41366893506633601</v>
      </c>
      <c r="AQ863" s="2">
        <v>0</v>
      </c>
      <c r="AR863" s="2">
        <v>0</v>
      </c>
      <c r="AS863" s="2">
        <v>9</v>
      </c>
      <c r="AT863" s="2">
        <v>37</v>
      </c>
      <c r="AU863" s="2">
        <v>2</v>
      </c>
      <c r="AV863" s="2">
        <v>16</v>
      </c>
      <c r="AW863" s="2">
        <v>0</v>
      </c>
      <c r="AX863" s="2">
        <v>0</v>
      </c>
      <c r="AZ863" s="2">
        <v>6.8</v>
      </c>
      <c r="BA863" s="2">
        <v>19.899999999999999</v>
      </c>
      <c r="BB863" s="2">
        <v>564</v>
      </c>
      <c r="BC863" s="2">
        <v>68</v>
      </c>
      <c r="BD863" s="2">
        <v>1.5</v>
      </c>
      <c r="BE863" s="2">
        <v>135</v>
      </c>
      <c r="BF863" s="2">
        <v>0.8</v>
      </c>
      <c r="BG863" s="2">
        <v>162</v>
      </c>
      <c r="BH863" s="2">
        <v>9.1</v>
      </c>
      <c r="BI863" s="2">
        <v>9.1999999999999993</v>
      </c>
      <c r="BJ863" s="2">
        <v>18.3</v>
      </c>
      <c r="BK863" s="2">
        <v>0.34</v>
      </c>
      <c r="BL863" s="2">
        <v>7.3</v>
      </c>
      <c r="BM863" s="2">
        <v>0.9</v>
      </c>
      <c r="BN863" s="2">
        <v>7.5</v>
      </c>
      <c r="BO863" s="2">
        <v>2.9</v>
      </c>
      <c r="BP863" s="2">
        <f t="shared" si="26"/>
        <v>5.5323553905304612</v>
      </c>
      <c r="BQ863" s="2">
        <f t="shared" si="27"/>
        <v>18.005749906756222</v>
      </c>
    </row>
    <row r="864" spans="1:69" x14ac:dyDescent="0.2">
      <c r="A864" s="2" t="s">
        <v>1314</v>
      </c>
      <c r="B864" s="2" t="s">
        <v>47</v>
      </c>
      <c r="C864" s="2" t="s">
        <v>48</v>
      </c>
      <c r="D864" s="2" t="s">
        <v>49</v>
      </c>
      <c r="E864" s="2" t="s">
        <v>289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89</v>
      </c>
      <c r="L864" s="6" t="s">
        <v>103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1315</v>
      </c>
      <c r="R864" s="2">
        <v>12337662.34</v>
      </c>
      <c r="S864" s="2">
        <v>0</v>
      </c>
      <c r="T864" s="2" t="s">
        <v>54</v>
      </c>
      <c r="U864" s="2" t="s">
        <v>55</v>
      </c>
      <c r="V864" s="2" t="s">
        <v>56</v>
      </c>
      <c r="W864" s="2" t="s">
        <v>57</v>
      </c>
      <c r="X864" s="2" t="s">
        <v>58</v>
      </c>
      <c r="Y864" s="2">
        <v>4.1678577324960999</v>
      </c>
      <c r="Z864" s="2">
        <v>4167.8577324960997</v>
      </c>
      <c r="AA864" s="2">
        <v>4.6584666666666701</v>
      </c>
      <c r="AB864" s="2">
        <v>-74.083966666666697</v>
      </c>
      <c r="AC864" s="2">
        <v>2552</v>
      </c>
      <c r="AD864" s="2">
        <v>0</v>
      </c>
      <c r="AE864" s="2" t="s">
        <v>59</v>
      </c>
      <c r="AF864" s="2" t="s">
        <v>60</v>
      </c>
      <c r="AG864" s="2" t="s">
        <v>61</v>
      </c>
      <c r="AH864" s="2" t="s">
        <v>62</v>
      </c>
      <c r="AI864" s="2" t="s">
        <v>109</v>
      </c>
      <c r="AJ864" s="2">
        <v>1.59063604565238</v>
      </c>
      <c r="AK864" s="2">
        <v>0.17728916037539799</v>
      </c>
      <c r="AL864" s="2">
        <v>0.78234618637439102</v>
      </c>
      <c r="AM864" s="2">
        <v>0.151761697286208</v>
      </c>
      <c r="AN864" s="2">
        <v>2.7394196617733102</v>
      </c>
      <c r="AO864" s="2">
        <v>0.41366893506633601</v>
      </c>
      <c r="AP864" s="2">
        <v>0.41366893506633601</v>
      </c>
      <c r="AQ864" s="2">
        <v>0</v>
      </c>
      <c r="AR864" s="2">
        <v>0</v>
      </c>
      <c r="AS864" s="2">
        <v>9</v>
      </c>
      <c r="AT864" s="2">
        <v>37</v>
      </c>
      <c r="AU864" s="2">
        <v>2</v>
      </c>
      <c r="AV864" s="2">
        <v>16</v>
      </c>
      <c r="AW864" s="2">
        <v>0</v>
      </c>
      <c r="AX864" s="2">
        <v>0</v>
      </c>
      <c r="AZ864" s="2">
        <v>6.8</v>
      </c>
      <c r="BA864" s="2">
        <v>19.899999999999999</v>
      </c>
      <c r="BB864" s="2">
        <v>564</v>
      </c>
      <c r="BC864" s="2">
        <v>68</v>
      </c>
      <c r="BD864" s="2">
        <v>1.5</v>
      </c>
      <c r="BE864" s="2">
        <v>135</v>
      </c>
      <c r="BF864" s="2">
        <v>0.8</v>
      </c>
      <c r="BG864" s="2">
        <v>162</v>
      </c>
      <c r="BH864" s="2">
        <v>9.1</v>
      </c>
      <c r="BI864" s="2">
        <v>9.1999999999999993</v>
      </c>
      <c r="BJ864" s="2">
        <v>18.3</v>
      </c>
      <c r="BK864" s="2">
        <v>0.34</v>
      </c>
      <c r="BL864" s="2">
        <v>7.3</v>
      </c>
      <c r="BM864" s="2">
        <v>0.9</v>
      </c>
      <c r="BN864" s="2">
        <v>7.5</v>
      </c>
      <c r="BO864" s="2">
        <v>2.9</v>
      </c>
      <c r="BP864" s="2">
        <f t="shared" si="26"/>
        <v>5.5323553905304612</v>
      </c>
      <c r="BQ864" s="2">
        <f t="shared" si="27"/>
        <v>18.005749906756222</v>
      </c>
    </row>
    <row r="865" spans="1:69" x14ac:dyDescent="0.2">
      <c r="A865" s="2" t="s">
        <v>979</v>
      </c>
      <c r="B865" s="2" t="s">
        <v>47</v>
      </c>
      <c r="C865" s="2" t="s">
        <v>48</v>
      </c>
      <c r="D865" s="2" t="s">
        <v>49</v>
      </c>
      <c r="E865" s="2" t="s">
        <v>980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89</v>
      </c>
      <c r="L865" s="6" t="s">
        <v>141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981</v>
      </c>
      <c r="R865" s="2">
        <v>5783727.5800000001</v>
      </c>
      <c r="S865" s="2">
        <v>0</v>
      </c>
      <c r="T865" s="2" t="s">
        <v>54</v>
      </c>
      <c r="U865" s="2" t="s">
        <v>55</v>
      </c>
      <c r="V865" s="2" t="s">
        <v>56</v>
      </c>
      <c r="W865" s="2" t="s">
        <v>57</v>
      </c>
      <c r="X865" s="2" t="s">
        <v>58</v>
      </c>
      <c r="Y865" s="2">
        <v>4.2449875136102397</v>
      </c>
      <c r="Z865" s="2">
        <v>4244.9875136102401</v>
      </c>
      <c r="AA865" s="2">
        <v>4.6584666666666701</v>
      </c>
      <c r="AB865" s="2">
        <v>-74.083966666666697</v>
      </c>
      <c r="AC865" s="2">
        <v>2552</v>
      </c>
      <c r="AD865" s="2">
        <v>0</v>
      </c>
      <c r="AE865" s="2" t="s">
        <v>59</v>
      </c>
      <c r="AF865" s="2" t="s">
        <v>60</v>
      </c>
      <c r="AG865" s="2" t="s">
        <v>61</v>
      </c>
      <c r="AH865" s="2" t="s">
        <v>62</v>
      </c>
      <c r="AI865" s="2" t="s">
        <v>100</v>
      </c>
      <c r="AJ865" s="2">
        <v>8.5547384214619299E-2</v>
      </c>
      <c r="AK865" s="2">
        <v>3.6820291035741799</v>
      </c>
      <c r="AL865" s="2">
        <v>0.64009972320415898</v>
      </c>
      <c r="AM865" s="2">
        <v>7.4067633132527205E-2</v>
      </c>
      <c r="AN865" s="2">
        <v>2.6543850689285802</v>
      </c>
      <c r="AO865" s="2">
        <v>0.33150094849200801</v>
      </c>
      <c r="AP865" s="2">
        <v>0.33150094849200801</v>
      </c>
      <c r="AQ865" s="2">
        <v>1</v>
      </c>
      <c r="AR865" s="2">
        <v>4</v>
      </c>
      <c r="AS865" s="2">
        <v>0</v>
      </c>
      <c r="AT865" s="2">
        <v>0</v>
      </c>
      <c r="AU865" s="2">
        <v>1</v>
      </c>
      <c r="AV865" s="2">
        <v>72</v>
      </c>
      <c r="AW865" s="2">
        <v>0</v>
      </c>
      <c r="AX865" s="2">
        <v>0</v>
      </c>
      <c r="AZ865" s="2">
        <v>6.8</v>
      </c>
      <c r="BA865" s="2">
        <v>19.899999999999999</v>
      </c>
      <c r="BB865" s="2">
        <v>564</v>
      </c>
      <c r="BC865" s="2">
        <v>68</v>
      </c>
      <c r="BD865" s="2">
        <v>1.5</v>
      </c>
      <c r="BE865" s="2">
        <v>135</v>
      </c>
      <c r="BF865" s="2">
        <v>0.8</v>
      </c>
      <c r="BG865" s="2">
        <v>162</v>
      </c>
      <c r="BH865" s="2">
        <v>9.1</v>
      </c>
      <c r="BI865" s="2">
        <v>9.1999999999999993</v>
      </c>
      <c r="BJ865" s="2">
        <v>18.3</v>
      </c>
      <c r="BK865" s="2">
        <v>0.34</v>
      </c>
      <c r="BL865" s="2">
        <v>7.3</v>
      </c>
      <c r="BM865" s="2">
        <v>0.9</v>
      </c>
      <c r="BN865" s="2">
        <v>7.5</v>
      </c>
      <c r="BO865" s="2">
        <v>2.9</v>
      </c>
      <c r="BP865" s="2">
        <f t="shared" si="26"/>
        <v>5.5112735472425882</v>
      </c>
      <c r="BQ865" s="2">
        <f t="shared" si="27"/>
        <v>17.97245002803486</v>
      </c>
    </row>
    <row r="866" spans="1:69" x14ac:dyDescent="0.2">
      <c r="A866" s="2" t="s">
        <v>826</v>
      </c>
      <c r="B866" s="2" t="s">
        <v>47</v>
      </c>
      <c r="C866" s="2" t="s">
        <v>48</v>
      </c>
      <c r="D866" s="2" t="s">
        <v>49</v>
      </c>
      <c r="E866" s="2" t="s">
        <v>208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89</v>
      </c>
      <c r="L866" s="6" t="s">
        <v>90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827</v>
      </c>
      <c r="R866" s="2">
        <v>13333333.33</v>
      </c>
      <c r="S866" s="2">
        <v>0</v>
      </c>
      <c r="T866" s="2" t="s">
        <v>54</v>
      </c>
      <c r="U866" s="2" t="s">
        <v>55</v>
      </c>
      <c r="V866" s="2" t="s">
        <v>56</v>
      </c>
      <c r="W866" s="2" t="s">
        <v>57</v>
      </c>
      <c r="X866" s="2" t="s">
        <v>58</v>
      </c>
      <c r="Y866" s="2">
        <v>4.1588561480430304</v>
      </c>
      <c r="Z866" s="2">
        <v>4158.8561480430299</v>
      </c>
      <c r="AA866" s="2">
        <v>4.6584666666666701</v>
      </c>
      <c r="AB866" s="2">
        <v>-74.083966666666697</v>
      </c>
      <c r="AC866" s="2">
        <v>2552</v>
      </c>
      <c r="AD866" s="2">
        <v>0</v>
      </c>
      <c r="AE866" s="2" t="s">
        <v>59</v>
      </c>
      <c r="AF866" s="2" t="s">
        <v>60</v>
      </c>
      <c r="AG866" s="2" t="s">
        <v>61</v>
      </c>
      <c r="AH866" s="2" t="s">
        <v>62</v>
      </c>
      <c r="AI866" s="2" t="s">
        <v>109</v>
      </c>
      <c r="AJ866" s="2">
        <v>0.79881863643165596</v>
      </c>
      <c r="AK866" s="2">
        <v>1.4779748863062001</v>
      </c>
      <c r="AL866" s="2">
        <v>0.83112080084184103</v>
      </c>
      <c r="AM866" s="2">
        <v>0.12310919354198201</v>
      </c>
      <c r="AN866" s="2">
        <v>3.3278746001452202</v>
      </c>
      <c r="AO866" s="2">
        <v>0.76825519482849702</v>
      </c>
      <c r="AP866" s="2">
        <v>0.76825519482849702</v>
      </c>
      <c r="AQ866" s="2">
        <v>0</v>
      </c>
      <c r="AR866" s="2">
        <v>2</v>
      </c>
      <c r="AS866" s="2">
        <v>0</v>
      </c>
      <c r="AT866" s="2">
        <v>0</v>
      </c>
      <c r="AU866" s="2">
        <v>2</v>
      </c>
      <c r="AV866" s="2">
        <v>206</v>
      </c>
      <c r="AW866" s="2">
        <v>0</v>
      </c>
      <c r="AX866" s="2">
        <v>0</v>
      </c>
      <c r="AZ866" s="2">
        <v>6.8</v>
      </c>
      <c r="BA866" s="2">
        <v>19.899999999999999</v>
      </c>
      <c r="BB866" s="2">
        <v>564</v>
      </c>
      <c r="BC866" s="2">
        <v>68</v>
      </c>
      <c r="BD866" s="2">
        <v>1.5</v>
      </c>
      <c r="BE866" s="2">
        <v>135</v>
      </c>
      <c r="BF866" s="2">
        <v>0.8</v>
      </c>
      <c r="BG866" s="2">
        <v>162</v>
      </c>
      <c r="BH866" s="2">
        <v>9.1</v>
      </c>
      <c r="BI866" s="2">
        <v>9.1999999999999993</v>
      </c>
      <c r="BJ866" s="2">
        <v>18.3</v>
      </c>
      <c r="BK866" s="2">
        <v>0.34</v>
      </c>
      <c r="BL866" s="2">
        <v>7.3</v>
      </c>
      <c r="BM866" s="2">
        <v>0.9</v>
      </c>
      <c r="BN866" s="2">
        <v>7.5</v>
      </c>
      <c r="BO866" s="2">
        <v>2.9</v>
      </c>
      <c r="BP866" s="2">
        <f t="shared" si="26"/>
        <v>5.5348210380408167</v>
      </c>
      <c r="BQ866" s="2">
        <f t="shared" si="27"/>
        <v>18.009640253654762</v>
      </c>
    </row>
    <row r="867" spans="1:69" x14ac:dyDescent="0.2">
      <c r="A867" s="2" t="s">
        <v>1260</v>
      </c>
      <c r="B867" s="2" t="s">
        <v>47</v>
      </c>
      <c r="C867" s="2" t="s">
        <v>48</v>
      </c>
      <c r="D867" s="2" t="s">
        <v>49</v>
      </c>
      <c r="E867" s="2" t="s">
        <v>289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89</v>
      </c>
      <c r="L867" s="6" t="s">
        <v>141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1261</v>
      </c>
      <c r="R867" s="2">
        <v>9066666.6669999994</v>
      </c>
      <c r="S867" s="2">
        <v>0</v>
      </c>
      <c r="T867" s="2" t="s">
        <v>54</v>
      </c>
      <c r="U867" s="2" t="s">
        <v>55</v>
      </c>
      <c r="V867" s="2" t="s">
        <v>56</v>
      </c>
      <c r="W867" s="2" t="s">
        <v>57</v>
      </c>
      <c r="X867" s="2" t="s">
        <v>58</v>
      </c>
      <c r="Y867" s="2">
        <v>4.0696386942164304</v>
      </c>
      <c r="Z867" s="2">
        <v>4069.6386942164299</v>
      </c>
      <c r="AA867" s="2">
        <v>4.6584666666666701</v>
      </c>
      <c r="AB867" s="2">
        <v>-74.083966666666697</v>
      </c>
      <c r="AC867" s="2">
        <v>2552</v>
      </c>
      <c r="AD867" s="2">
        <v>0</v>
      </c>
      <c r="AE867" s="2" t="s">
        <v>59</v>
      </c>
      <c r="AF867" s="2" t="s">
        <v>60</v>
      </c>
      <c r="AG867" s="2" t="s">
        <v>61</v>
      </c>
      <c r="AH867" s="2" t="s">
        <v>62</v>
      </c>
      <c r="AI867" s="2" t="s">
        <v>109</v>
      </c>
      <c r="AJ867" s="2">
        <v>1.6146827282153999</v>
      </c>
      <c r="AK867" s="2">
        <v>5.6547040808427998E-2</v>
      </c>
      <c r="AL867" s="2">
        <v>0.96128084301957994</v>
      </c>
      <c r="AM867" s="2">
        <v>0.46132959261655998</v>
      </c>
      <c r="AN867" s="2">
        <v>2.2735863778938401</v>
      </c>
      <c r="AO867" s="2">
        <v>0.42263829788567098</v>
      </c>
      <c r="AP867" s="2">
        <v>0.42263829788567098</v>
      </c>
      <c r="AQ867" s="2">
        <v>0</v>
      </c>
      <c r="AR867" s="2">
        <v>0</v>
      </c>
      <c r="AS867" s="2">
        <v>15</v>
      </c>
      <c r="AT867" s="2">
        <v>35</v>
      </c>
      <c r="AU867" s="2">
        <v>2</v>
      </c>
      <c r="AV867" s="2">
        <v>11</v>
      </c>
      <c r="AW867" s="2">
        <v>0</v>
      </c>
      <c r="AX867" s="2">
        <v>0</v>
      </c>
      <c r="AZ867" s="2">
        <v>6.8</v>
      </c>
      <c r="BA867" s="2">
        <v>19.899999999999999</v>
      </c>
      <c r="BB867" s="2">
        <v>564</v>
      </c>
      <c r="BC867" s="2">
        <v>68</v>
      </c>
      <c r="BD867" s="2">
        <v>1.5</v>
      </c>
      <c r="BE867" s="2">
        <v>135</v>
      </c>
      <c r="BF867" s="2">
        <v>0.8</v>
      </c>
      <c r="BG867" s="2">
        <v>162</v>
      </c>
      <c r="BH867" s="2">
        <v>9.1</v>
      </c>
      <c r="BI867" s="2">
        <v>9.1999999999999993</v>
      </c>
      <c r="BJ867" s="2">
        <v>18.3</v>
      </c>
      <c r="BK867" s="2">
        <v>0.34</v>
      </c>
      <c r="BL867" s="2">
        <v>7.3</v>
      </c>
      <c r="BM867" s="2">
        <v>0.9</v>
      </c>
      <c r="BN867" s="2">
        <v>7.5</v>
      </c>
      <c r="BO867" s="2">
        <v>2.9</v>
      </c>
      <c r="BP867" s="2">
        <f t="shared" si="26"/>
        <v>5.5593183221621691</v>
      </c>
      <c r="BQ867" s="2">
        <f t="shared" si="27"/>
        <v>18.048244150548445</v>
      </c>
    </row>
    <row r="868" spans="1:69" x14ac:dyDescent="0.2">
      <c r="A868" s="2" t="s">
        <v>3142</v>
      </c>
      <c r="B868" s="2" t="s">
        <v>47</v>
      </c>
      <c r="C868" s="2" t="s">
        <v>1935</v>
      </c>
      <c r="D868" s="2" t="s">
        <v>49</v>
      </c>
      <c r="E868" s="2" t="s">
        <v>3143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89</v>
      </c>
      <c r="L868" s="6" t="s">
        <v>141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3144</v>
      </c>
      <c r="R868" s="2">
        <v>6333333.3329999996</v>
      </c>
      <c r="S868" s="2">
        <v>0</v>
      </c>
      <c r="T868" s="2" t="s">
        <v>54</v>
      </c>
      <c r="U868" s="2" t="s">
        <v>55</v>
      </c>
      <c r="V868" s="2" t="s">
        <v>56</v>
      </c>
      <c r="W868" s="2" t="s">
        <v>57</v>
      </c>
      <c r="X868" s="2" t="s">
        <v>58</v>
      </c>
      <c r="Y868" s="2">
        <v>2.3943310571477499</v>
      </c>
      <c r="Z868" s="2">
        <v>2394.33105714775</v>
      </c>
      <c r="AA868" s="2">
        <v>4.6584666666666701</v>
      </c>
      <c r="AB868" s="2">
        <v>-74.083966666666697</v>
      </c>
      <c r="AC868" s="2">
        <v>2552</v>
      </c>
      <c r="AD868" s="2">
        <v>0</v>
      </c>
      <c r="AE868" s="2" t="s">
        <v>59</v>
      </c>
      <c r="AF868" s="2" t="s">
        <v>60</v>
      </c>
      <c r="AG868" s="2" t="s">
        <v>61</v>
      </c>
      <c r="AH868" s="2" t="s">
        <v>62</v>
      </c>
      <c r="AI868" s="2" t="s">
        <v>321</v>
      </c>
      <c r="AJ868" s="2">
        <v>0.363561331613242</v>
      </c>
      <c r="AK868" s="2">
        <v>1.94186076800437</v>
      </c>
      <c r="AL868" s="2">
        <v>0.38070648819852598</v>
      </c>
      <c r="AM868" s="2">
        <v>7.4482649113024296E-2</v>
      </c>
      <c r="AN868" s="2">
        <v>2.2345425222159299</v>
      </c>
      <c r="AO868" s="2">
        <v>2.5459880514312101E-2</v>
      </c>
      <c r="AP868" s="2">
        <v>2.5459880514312101E-2</v>
      </c>
      <c r="AQ868" s="2">
        <v>2</v>
      </c>
      <c r="AR868" s="2">
        <v>5</v>
      </c>
      <c r="AS868" s="2">
        <v>0</v>
      </c>
      <c r="AT868" s="2">
        <v>0</v>
      </c>
      <c r="AU868" s="2">
        <v>17</v>
      </c>
      <c r="AV868" s="2">
        <v>238</v>
      </c>
      <c r="AW868" s="2">
        <v>0</v>
      </c>
      <c r="AX868" s="2">
        <v>0</v>
      </c>
      <c r="AZ868" s="2">
        <v>6.8</v>
      </c>
      <c r="BA868" s="2">
        <v>19.899999999999999</v>
      </c>
      <c r="BB868" s="2">
        <v>564</v>
      </c>
      <c r="BC868" s="2">
        <v>68</v>
      </c>
      <c r="BD868" s="2">
        <v>1.5</v>
      </c>
      <c r="BE868" s="2">
        <v>135</v>
      </c>
      <c r="BF868" s="2">
        <v>0.8</v>
      </c>
      <c r="BG868" s="2">
        <v>162</v>
      </c>
      <c r="BH868" s="2">
        <v>9.1</v>
      </c>
      <c r="BI868" s="2">
        <v>9.1999999999999993</v>
      </c>
      <c r="BJ868" s="2">
        <v>18.3</v>
      </c>
      <c r="BK868" s="2">
        <v>0.34</v>
      </c>
      <c r="BL868" s="2">
        <v>7.3</v>
      </c>
      <c r="BM868" s="2">
        <v>0.9</v>
      </c>
      <c r="BN868" s="2">
        <v>7.5</v>
      </c>
      <c r="BO868" s="2">
        <v>2.9</v>
      </c>
      <c r="BP868" s="2">
        <f t="shared" si="26"/>
        <v>6.0399952459572752</v>
      </c>
      <c r="BQ868" s="2">
        <f t="shared" si="27"/>
        <v>18.788703026184631</v>
      </c>
    </row>
    <row r="869" spans="1:69" x14ac:dyDescent="0.2">
      <c r="A869" s="2" t="s">
        <v>296</v>
      </c>
      <c r="B869" s="2" t="s">
        <v>47</v>
      </c>
      <c r="C869" s="2" t="s">
        <v>48</v>
      </c>
      <c r="D869" s="2" t="s">
        <v>49</v>
      </c>
      <c r="E869" s="2" t="s">
        <v>297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89</v>
      </c>
      <c r="L869" s="6" t="s">
        <v>90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298</v>
      </c>
      <c r="R869" s="2">
        <v>16107382.550000001</v>
      </c>
      <c r="S869" s="2">
        <v>0</v>
      </c>
      <c r="T869" s="2" t="s">
        <v>54</v>
      </c>
      <c r="U869" s="2" t="s">
        <v>55</v>
      </c>
      <c r="V869" s="2" t="s">
        <v>56</v>
      </c>
      <c r="W869" s="2" t="s">
        <v>57</v>
      </c>
      <c r="X869" s="2" t="s">
        <v>58</v>
      </c>
      <c r="Y869" s="2">
        <v>3.1577631132181398</v>
      </c>
      <c r="Z869" s="2">
        <v>3157.76311321814</v>
      </c>
      <c r="AA869" s="2">
        <v>4.6584666666666701</v>
      </c>
      <c r="AB869" s="2">
        <v>-74.083966666666697</v>
      </c>
      <c r="AC869" s="2">
        <v>2552</v>
      </c>
      <c r="AD869" s="2">
        <v>0</v>
      </c>
      <c r="AE869" s="2" t="s">
        <v>59</v>
      </c>
      <c r="AF869" s="2" t="s">
        <v>60</v>
      </c>
      <c r="AG869" s="2" t="s">
        <v>61</v>
      </c>
      <c r="AH869" s="2" t="s">
        <v>62</v>
      </c>
      <c r="AI869" s="2" t="s">
        <v>71</v>
      </c>
      <c r="AJ869" s="2">
        <v>0.37894431192144901</v>
      </c>
      <c r="AK869" s="2">
        <v>5.0352485816544599</v>
      </c>
      <c r="AL869" s="2">
        <v>0.76787829109810202</v>
      </c>
      <c r="AM869" s="2">
        <v>0.26298597952182801</v>
      </c>
      <c r="AN869" s="2">
        <v>1.2508965816861399</v>
      </c>
      <c r="AO869" s="2">
        <v>0.49572847825128702</v>
      </c>
      <c r="AP869" s="2">
        <v>0.49572847825128702</v>
      </c>
      <c r="AQ869" s="2">
        <v>1</v>
      </c>
      <c r="AR869" s="2">
        <v>3</v>
      </c>
      <c r="AS869" s="2">
        <v>0</v>
      </c>
      <c r="AT869" s="2">
        <v>0</v>
      </c>
      <c r="AU869" s="2">
        <v>1</v>
      </c>
      <c r="AV869" s="2">
        <v>50</v>
      </c>
      <c r="AW869" s="2">
        <v>0</v>
      </c>
      <c r="AX869" s="2">
        <v>0</v>
      </c>
      <c r="AZ869" s="2">
        <v>6.8</v>
      </c>
      <c r="BA869" s="2">
        <v>19.899999999999999</v>
      </c>
      <c r="BB869" s="2">
        <v>564</v>
      </c>
      <c r="BC869" s="2">
        <v>68</v>
      </c>
      <c r="BD869" s="2">
        <v>1.5</v>
      </c>
      <c r="BE869" s="2">
        <v>135</v>
      </c>
      <c r="BF869" s="2">
        <v>0.8</v>
      </c>
      <c r="BG869" s="2">
        <v>162</v>
      </c>
      <c r="BH869" s="2">
        <v>9.1</v>
      </c>
      <c r="BI869" s="2">
        <v>9.1999999999999993</v>
      </c>
      <c r="BJ869" s="2">
        <v>18.3</v>
      </c>
      <c r="BK869" s="2">
        <v>0.34</v>
      </c>
      <c r="BL869" s="2">
        <v>7.3</v>
      </c>
      <c r="BM869" s="2">
        <v>0.9</v>
      </c>
      <c r="BN869" s="2">
        <v>7.5</v>
      </c>
      <c r="BO869" s="2">
        <v>2.9</v>
      </c>
      <c r="BP869" s="2">
        <f t="shared" si="26"/>
        <v>5.8160034770765439</v>
      </c>
      <c r="BQ869" s="2">
        <f t="shared" si="27"/>
        <v>18.447584066608044</v>
      </c>
    </row>
    <row r="870" spans="1:69" x14ac:dyDescent="0.2">
      <c r="A870" s="2" t="s">
        <v>207</v>
      </c>
      <c r="B870" s="2" t="s">
        <v>47</v>
      </c>
      <c r="C870" s="2" t="s">
        <v>48</v>
      </c>
      <c r="D870" s="2" t="s">
        <v>49</v>
      </c>
      <c r="E870" s="2" t="s">
        <v>208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89</v>
      </c>
      <c r="L870" s="6" t="s">
        <v>112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209</v>
      </c>
      <c r="R870" s="2">
        <v>9121621.6219999995</v>
      </c>
      <c r="S870" s="2">
        <v>0</v>
      </c>
      <c r="T870" s="2" t="s">
        <v>54</v>
      </c>
      <c r="U870" s="2" t="s">
        <v>55</v>
      </c>
      <c r="V870" s="2" t="s">
        <v>56</v>
      </c>
      <c r="W870" s="2" t="s">
        <v>57</v>
      </c>
      <c r="X870" s="2" t="s">
        <v>58</v>
      </c>
      <c r="Y870" s="2">
        <v>3.9387234441054901</v>
      </c>
      <c r="Z870" s="2">
        <v>3938.7234441054902</v>
      </c>
      <c r="AA870" s="2">
        <v>4.6584666666666701</v>
      </c>
      <c r="AB870" s="2">
        <v>-74.083966666666697</v>
      </c>
      <c r="AC870" s="2">
        <v>2552</v>
      </c>
      <c r="AD870" s="2">
        <v>0</v>
      </c>
      <c r="AE870" s="2" t="s">
        <v>59</v>
      </c>
      <c r="AF870" s="2" t="s">
        <v>60</v>
      </c>
      <c r="AG870" s="2" t="s">
        <v>61</v>
      </c>
      <c r="AH870" s="2" t="s">
        <v>62</v>
      </c>
      <c r="AI870" s="2" t="s">
        <v>109</v>
      </c>
      <c r="AJ870" s="2">
        <v>0.55490994601209498</v>
      </c>
      <c r="AK870" s="2">
        <v>1.8208425266167201</v>
      </c>
      <c r="AL870" s="2">
        <v>0.691819454602423</v>
      </c>
      <c r="AM870" s="2">
        <v>0.107583526261594</v>
      </c>
      <c r="AN870" s="2">
        <v>3.0020781530768699</v>
      </c>
      <c r="AO870" s="2">
        <v>0.39188716182501399</v>
      </c>
      <c r="AP870" s="2">
        <v>0.39188716182501399</v>
      </c>
      <c r="AQ870" s="2">
        <v>0</v>
      </c>
      <c r="AR870" s="2">
        <v>3</v>
      </c>
      <c r="AS870" s="2">
        <v>0</v>
      </c>
      <c r="AT870" s="2">
        <v>0</v>
      </c>
      <c r="AU870" s="2">
        <v>3</v>
      </c>
      <c r="AV870" s="2">
        <v>230</v>
      </c>
      <c r="AW870" s="2">
        <v>0</v>
      </c>
      <c r="AX870" s="2">
        <v>0</v>
      </c>
      <c r="AZ870" s="2">
        <v>6.8</v>
      </c>
      <c r="BA870" s="2">
        <v>19.899999999999999</v>
      </c>
      <c r="BB870" s="2">
        <v>564</v>
      </c>
      <c r="BC870" s="2">
        <v>68</v>
      </c>
      <c r="BD870" s="2">
        <v>1.5</v>
      </c>
      <c r="BE870" s="2">
        <v>135</v>
      </c>
      <c r="BF870" s="2">
        <v>0.8</v>
      </c>
      <c r="BG870" s="2">
        <v>162</v>
      </c>
      <c r="BH870" s="2">
        <v>9.1</v>
      </c>
      <c r="BI870" s="2">
        <v>9.1999999999999993</v>
      </c>
      <c r="BJ870" s="2">
        <v>18.3</v>
      </c>
      <c r="BK870" s="2">
        <v>0.34</v>
      </c>
      <c r="BL870" s="2">
        <v>7.3</v>
      </c>
      <c r="BM870" s="2">
        <v>0.9</v>
      </c>
      <c r="BN870" s="2">
        <v>7.5</v>
      </c>
      <c r="BO870" s="2">
        <v>2.9</v>
      </c>
      <c r="BP870" s="2">
        <f t="shared" si="26"/>
        <v>5.5954613823585673</v>
      </c>
      <c r="BQ870" s="2">
        <f t="shared" si="27"/>
        <v>18.105040299137137</v>
      </c>
    </row>
    <row r="871" spans="1:69" x14ac:dyDescent="0.2">
      <c r="A871" s="2" t="s">
        <v>476</v>
      </c>
      <c r="B871" s="2" t="s">
        <v>47</v>
      </c>
      <c r="C871" s="2" t="s">
        <v>48</v>
      </c>
      <c r="D871" s="2" t="s">
        <v>49</v>
      </c>
      <c r="E871" s="2" t="s">
        <v>289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89</v>
      </c>
      <c r="L871" s="6" t="s">
        <v>141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477</v>
      </c>
      <c r="R871" s="2">
        <v>8918918.9189999998</v>
      </c>
      <c r="S871" s="2">
        <v>0</v>
      </c>
      <c r="T871" s="2" t="s">
        <v>54</v>
      </c>
      <c r="U871" s="2" t="s">
        <v>55</v>
      </c>
      <c r="V871" s="2" t="s">
        <v>56</v>
      </c>
      <c r="W871" s="2" t="s">
        <v>57</v>
      </c>
      <c r="X871" s="2" t="s">
        <v>58</v>
      </c>
      <c r="Y871" s="2">
        <v>3.7219940104779701</v>
      </c>
      <c r="Z871" s="2">
        <v>3721.9940104779698</v>
      </c>
      <c r="AA871" s="2">
        <v>4.6584666666666701</v>
      </c>
      <c r="AB871" s="2">
        <v>-74.083966666666697</v>
      </c>
      <c r="AC871" s="2">
        <v>2552</v>
      </c>
      <c r="AD871" s="2">
        <v>0</v>
      </c>
      <c r="AE871" s="2" t="s">
        <v>59</v>
      </c>
      <c r="AF871" s="2" t="s">
        <v>60</v>
      </c>
      <c r="AG871" s="2" t="s">
        <v>61</v>
      </c>
      <c r="AH871" s="2" t="s">
        <v>62</v>
      </c>
      <c r="AI871" s="2" t="s">
        <v>109</v>
      </c>
      <c r="AJ871" s="2">
        <v>1.2879885892933001</v>
      </c>
      <c r="AK871" s="2">
        <v>0.387508485771491</v>
      </c>
      <c r="AL871" s="2">
        <v>0.68456624607831695</v>
      </c>
      <c r="AM871" s="2">
        <v>0.24212242059070199</v>
      </c>
      <c r="AN871" s="2">
        <v>2.0986593799119699</v>
      </c>
      <c r="AO871" s="2">
        <v>8.5054838302340799E-2</v>
      </c>
      <c r="AP871" s="2">
        <v>8.5054838302340799E-2</v>
      </c>
      <c r="AQ871" s="2">
        <v>0</v>
      </c>
      <c r="AR871" s="2">
        <v>0</v>
      </c>
      <c r="AS871" s="2">
        <v>9</v>
      </c>
      <c r="AT871" s="2">
        <v>26</v>
      </c>
      <c r="AU871" s="2">
        <v>7</v>
      </c>
      <c r="AV871" s="2">
        <v>40</v>
      </c>
      <c r="AW871" s="2">
        <v>0</v>
      </c>
      <c r="AX871" s="2">
        <v>0</v>
      </c>
      <c r="AZ871" s="2">
        <v>6.8</v>
      </c>
      <c r="BA871" s="2">
        <v>19.899999999999999</v>
      </c>
      <c r="BB871" s="2">
        <v>564</v>
      </c>
      <c r="BC871" s="2">
        <v>68</v>
      </c>
      <c r="BD871" s="2">
        <v>1.5</v>
      </c>
      <c r="BE871" s="2">
        <v>135</v>
      </c>
      <c r="BF871" s="2">
        <v>0.8</v>
      </c>
      <c r="BG871" s="2">
        <v>162</v>
      </c>
      <c r="BH871" s="2">
        <v>9.1</v>
      </c>
      <c r="BI871" s="2">
        <v>9.1999999999999993</v>
      </c>
      <c r="BJ871" s="2">
        <v>18.3</v>
      </c>
      <c r="BK871" s="2">
        <v>0.34</v>
      </c>
      <c r="BL871" s="2">
        <v>7.3</v>
      </c>
      <c r="BM871" s="2">
        <v>0.9</v>
      </c>
      <c r="BN871" s="2">
        <v>7.5</v>
      </c>
      <c r="BO871" s="2">
        <v>2.9</v>
      </c>
      <c r="BP871" s="2">
        <f t="shared" si="26"/>
        <v>5.6558132423543777</v>
      </c>
      <c r="BQ871" s="2">
        <f t="shared" si="27"/>
        <v>18.199459129448307</v>
      </c>
    </row>
    <row r="872" spans="1:69" x14ac:dyDescent="0.2">
      <c r="A872" s="2" t="s">
        <v>2586</v>
      </c>
      <c r="B872" s="2" t="s">
        <v>47</v>
      </c>
      <c r="C872" s="2" t="s">
        <v>1935</v>
      </c>
      <c r="D872" s="2" t="s">
        <v>49</v>
      </c>
      <c r="E872" s="2" t="s">
        <v>2500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89</v>
      </c>
      <c r="L872" s="6" t="s">
        <v>141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2587</v>
      </c>
      <c r="R872" s="2">
        <v>6081081.0810000002</v>
      </c>
      <c r="S872" s="2">
        <v>0</v>
      </c>
      <c r="T872" s="2" t="s">
        <v>54</v>
      </c>
      <c r="U872" s="2" t="s">
        <v>55</v>
      </c>
      <c r="V872" s="2" t="s">
        <v>56</v>
      </c>
      <c r="W872" s="2" t="s">
        <v>57</v>
      </c>
      <c r="X872" s="2" t="s">
        <v>58</v>
      </c>
      <c r="Y872" s="2">
        <v>2.8288759602556701</v>
      </c>
      <c r="Z872" s="2">
        <v>2828.8759602556702</v>
      </c>
      <c r="AA872" s="2">
        <v>4.6584666666666701</v>
      </c>
      <c r="AB872" s="2">
        <v>-74.083966666666697</v>
      </c>
      <c r="AC872" s="2">
        <v>2552</v>
      </c>
      <c r="AD872" s="2">
        <v>0</v>
      </c>
      <c r="AE872" s="2" t="s">
        <v>59</v>
      </c>
      <c r="AF872" s="2" t="s">
        <v>60</v>
      </c>
      <c r="AG872" s="2" t="s">
        <v>61</v>
      </c>
      <c r="AH872" s="2" t="s">
        <v>62</v>
      </c>
      <c r="AI872" s="2" t="s">
        <v>321</v>
      </c>
      <c r="AJ872" s="2">
        <v>0.11152053814004401</v>
      </c>
      <c r="AK872" s="2">
        <v>2.3873693954232502</v>
      </c>
      <c r="AL872" s="2">
        <v>0.581690743096545</v>
      </c>
      <c r="AM872" s="2">
        <v>0.186719546669606</v>
      </c>
      <c r="AN872" s="2">
        <v>1.95153112785254</v>
      </c>
      <c r="AO872" s="2">
        <v>0.41904079364373198</v>
      </c>
      <c r="AP872" s="2">
        <v>0.41904079364373198</v>
      </c>
      <c r="AQ872" s="2">
        <v>3</v>
      </c>
      <c r="AR872" s="2">
        <v>9</v>
      </c>
      <c r="AS872" s="2">
        <v>0</v>
      </c>
      <c r="AT872" s="2">
        <v>0</v>
      </c>
      <c r="AU872" s="2">
        <v>2</v>
      </c>
      <c r="AV872" s="2">
        <v>201</v>
      </c>
      <c r="AW872" s="2">
        <v>0</v>
      </c>
      <c r="AX872" s="2">
        <v>0</v>
      </c>
      <c r="AZ872" s="2">
        <v>6.8</v>
      </c>
      <c r="BA872" s="2">
        <v>19.899999999999999</v>
      </c>
      <c r="BB872" s="2">
        <v>564</v>
      </c>
      <c r="BC872" s="2">
        <v>68</v>
      </c>
      <c r="BD872" s="2">
        <v>1.5</v>
      </c>
      <c r="BE872" s="2">
        <v>135</v>
      </c>
      <c r="BF872" s="2">
        <v>0.8</v>
      </c>
      <c r="BG872" s="2">
        <v>162</v>
      </c>
      <c r="BH872" s="2">
        <v>9.1</v>
      </c>
      <c r="BI872" s="2">
        <v>9.1999999999999993</v>
      </c>
      <c r="BJ872" s="2">
        <v>18.3</v>
      </c>
      <c r="BK872" s="2">
        <v>0.34</v>
      </c>
      <c r="BL872" s="2">
        <v>7.3</v>
      </c>
      <c r="BM872" s="2">
        <v>0.9</v>
      </c>
      <c r="BN872" s="2">
        <v>7.5</v>
      </c>
      <c r="BO872" s="2">
        <v>2.9</v>
      </c>
      <c r="BP872" s="2">
        <f t="shared" si="26"/>
        <v>5.9114624374337748</v>
      </c>
      <c r="BQ872" s="2">
        <f t="shared" si="27"/>
        <v>18.59377242293078</v>
      </c>
    </row>
    <row r="873" spans="1:69" x14ac:dyDescent="0.2">
      <c r="A873" s="2" t="s">
        <v>828</v>
      </c>
      <c r="B873" s="2" t="s">
        <v>47</v>
      </c>
      <c r="C873" s="2" t="s">
        <v>48</v>
      </c>
      <c r="D873" s="2" t="s">
        <v>49</v>
      </c>
      <c r="E873" s="2" t="s">
        <v>50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89</v>
      </c>
      <c r="L873" s="6" t="s">
        <v>90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829</v>
      </c>
      <c r="R873" s="2">
        <v>9589041.0960000008</v>
      </c>
      <c r="S873" s="2">
        <v>0</v>
      </c>
      <c r="T873" s="2" t="s">
        <v>54</v>
      </c>
      <c r="U873" s="2" t="s">
        <v>55</v>
      </c>
      <c r="V873" s="2" t="s">
        <v>56</v>
      </c>
      <c r="W873" s="2" t="s">
        <v>57</v>
      </c>
      <c r="X873" s="2" t="s">
        <v>58</v>
      </c>
      <c r="Y873" s="2">
        <v>1.62135011242037</v>
      </c>
      <c r="Z873" s="2">
        <v>1621.3501124203699</v>
      </c>
      <c r="AA873" s="2">
        <v>4.6584666666666701</v>
      </c>
      <c r="AB873" s="2">
        <v>-74.083966666666697</v>
      </c>
      <c r="AC873" s="2">
        <v>2552</v>
      </c>
      <c r="AD873" s="2">
        <v>0</v>
      </c>
      <c r="AE873" s="2" t="s">
        <v>59</v>
      </c>
      <c r="AF873" s="2" t="s">
        <v>60</v>
      </c>
      <c r="AG873" s="2" t="s">
        <v>61</v>
      </c>
      <c r="AH873" s="2" t="s">
        <v>62</v>
      </c>
      <c r="AI873" s="2" t="s">
        <v>63</v>
      </c>
      <c r="AJ873" s="2">
        <v>0.628831541072436</v>
      </c>
      <c r="AK873" s="2">
        <v>1.9164420985202</v>
      </c>
      <c r="AL873" s="2">
        <v>0.21756823641296499</v>
      </c>
      <c r="AM873" s="2">
        <v>7.7206653070716502E-2</v>
      </c>
      <c r="AN873" s="2">
        <v>1.7967165948955</v>
      </c>
      <c r="AO873" s="2">
        <v>0.38121279546856901</v>
      </c>
      <c r="AP873" s="2">
        <v>0.38121279546856901</v>
      </c>
      <c r="AQ873" s="2">
        <v>0</v>
      </c>
      <c r="AR873" s="2">
        <v>3</v>
      </c>
      <c r="AS873" s="2">
        <v>0</v>
      </c>
      <c r="AT873" s="2">
        <v>0</v>
      </c>
      <c r="AU873" s="2">
        <v>7</v>
      </c>
      <c r="AV873" s="2">
        <v>75</v>
      </c>
      <c r="AW873" s="2">
        <v>0</v>
      </c>
      <c r="AX873" s="2">
        <v>0</v>
      </c>
      <c r="AZ873" s="2">
        <v>6.8</v>
      </c>
      <c r="BA873" s="2">
        <v>19.899999999999999</v>
      </c>
      <c r="BB873" s="2">
        <v>564</v>
      </c>
      <c r="BC873" s="2">
        <v>68</v>
      </c>
      <c r="BD873" s="2">
        <v>1.5</v>
      </c>
      <c r="BE873" s="2">
        <v>135</v>
      </c>
      <c r="BF873" s="2">
        <v>0.8</v>
      </c>
      <c r="BG873" s="2">
        <v>162</v>
      </c>
      <c r="BH873" s="2">
        <v>9.1</v>
      </c>
      <c r="BI873" s="2">
        <v>9.1999999999999993</v>
      </c>
      <c r="BJ873" s="2">
        <v>18.3</v>
      </c>
      <c r="BK873" s="2">
        <v>0.34</v>
      </c>
      <c r="BL873" s="2">
        <v>7.3</v>
      </c>
      <c r="BM873" s="2">
        <v>0.9</v>
      </c>
      <c r="BN873" s="2">
        <v>7.5</v>
      </c>
      <c r="BO873" s="2">
        <v>2.9</v>
      </c>
      <c r="BP873" s="2">
        <f t="shared" si="26"/>
        <v>6.2755791878893916</v>
      </c>
      <c r="BQ873" s="2">
        <f t="shared" si="27"/>
        <v>19.14051569611167</v>
      </c>
    </row>
    <row r="874" spans="1:69" x14ac:dyDescent="0.2">
      <c r="A874" s="2" t="s">
        <v>415</v>
      </c>
      <c r="B874" s="2" t="s">
        <v>47</v>
      </c>
      <c r="C874" s="2" t="s">
        <v>48</v>
      </c>
      <c r="D874" s="2" t="s">
        <v>49</v>
      </c>
      <c r="E874" s="2" t="s">
        <v>289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89</v>
      </c>
      <c r="L874" s="6" t="s">
        <v>103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416</v>
      </c>
      <c r="R874" s="2">
        <v>10206896.550000001</v>
      </c>
      <c r="S874" s="2">
        <v>0</v>
      </c>
      <c r="T874" s="2" t="s">
        <v>54</v>
      </c>
      <c r="U874" s="2" t="s">
        <v>55</v>
      </c>
      <c r="V874" s="2" t="s">
        <v>56</v>
      </c>
      <c r="W874" s="2" t="s">
        <v>57</v>
      </c>
      <c r="X874" s="2" t="s">
        <v>58</v>
      </c>
      <c r="Y874" s="2">
        <v>4.0087883804830398</v>
      </c>
      <c r="Z874" s="2">
        <v>4008.7883804830399</v>
      </c>
      <c r="AA874" s="2">
        <v>4.6584666666666701</v>
      </c>
      <c r="AB874" s="2">
        <v>-74.083966666666697</v>
      </c>
      <c r="AC874" s="2">
        <v>2552</v>
      </c>
      <c r="AD874" s="2">
        <v>0</v>
      </c>
      <c r="AE874" s="2" t="s">
        <v>59</v>
      </c>
      <c r="AF874" s="2" t="s">
        <v>60</v>
      </c>
      <c r="AG874" s="2" t="s">
        <v>61</v>
      </c>
      <c r="AH874" s="2" t="s">
        <v>62</v>
      </c>
      <c r="AI874" s="2" t="s">
        <v>109</v>
      </c>
      <c r="AJ874" s="2">
        <v>1.5780599844972001</v>
      </c>
      <c r="AK874" s="2">
        <v>9.4334444970711501E-2</v>
      </c>
      <c r="AL874" s="2">
        <v>0.94722278297964002</v>
      </c>
      <c r="AM874" s="2">
        <v>0.52527643163428805</v>
      </c>
      <c r="AN874" s="2">
        <v>2.1812345073152</v>
      </c>
      <c r="AO874" s="2">
        <v>0.37627928492084001</v>
      </c>
      <c r="AP874" s="2">
        <v>0.37627928492084001</v>
      </c>
      <c r="AQ874" s="2">
        <v>0</v>
      </c>
      <c r="AR874" s="2">
        <v>0</v>
      </c>
      <c r="AS874" s="2">
        <v>15</v>
      </c>
      <c r="AT874" s="2">
        <v>31</v>
      </c>
      <c r="AU874" s="2">
        <v>2</v>
      </c>
      <c r="AV874" s="2">
        <v>14</v>
      </c>
      <c r="AW874" s="2">
        <v>0</v>
      </c>
      <c r="AX874" s="2">
        <v>0</v>
      </c>
      <c r="AZ874" s="2">
        <v>6.8</v>
      </c>
      <c r="BA874" s="2">
        <v>19.899999999999999</v>
      </c>
      <c r="BB874" s="2">
        <v>564</v>
      </c>
      <c r="BC874" s="2">
        <v>68</v>
      </c>
      <c r="BD874" s="2">
        <v>1.5</v>
      </c>
      <c r="BE874" s="2">
        <v>135</v>
      </c>
      <c r="BF874" s="2">
        <v>0.8</v>
      </c>
      <c r="BG874" s="2">
        <v>162</v>
      </c>
      <c r="BH874" s="2">
        <v>9.1</v>
      </c>
      <c r="BI874" s="2">
        <v>9.1999999999999993</v>
      </c>
      <c r="BJ874" s="2">
        <v>18.3</v>
      </c>
      <c r="BK874" s="2">
        <v>0.34</v>
      </c>
      <c r="BL874" s="2">
        <v>7.3</v>
      </c>
      <c r="BM874" s="2">
        <v>0.9</v>
      </c>
      <c r="BN874" s="2">
        <v>7.5</v>
      </c>
      <c r="BO874" s="2">
        <v>2.9</v>
      </c>
      <c r="BP874" s="2">
        <f t="shared" si="26"/>
        <v>5.576088736556307</v>
      </c>
      <c r="BQ874" s="2">
        <f t="shared" si="27"/>
        <v>18.074621198133379</v>
      </c>
    </row>
    <row r="875" spans="1:69" x14ac:dyDescent="0.2">
      <c r="A875" s="2" t="s">
        <v>1464</v>
      </c>
      <c r="B875" s="2" t="s">
        <v>47</v>
      </c>
      <c r="C875" s="2" t="s">
        <v>48</v>
      </c>
      <c r="D875" s="2" t="s">
        <v>49</v>
      </c>
      <c r="E875" s="2" t="s">
        <v>1465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89</v>
      </c>
      <c r="L875" s="6" t="s">
        <v>103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1466</v>
      </c>
      <c r="R875" s="2">
        <v>6875000</v>
      </c>
      <c r="S875" s="2">
        <v>0</v>
      </c>
      <c r="T875" s="2" t="s">
        <v>54</v>
      </c>
      <c r="U875" s="2" t="s">
        <v>55</v>
      </c>
      <c r="V875" s="2" t="s">
        <v>56</v>
      </c>
      <c r="W875" s="2" t="s">
        <v>57</v>
      </c>
      <c r="X875" s="2" t="s">
        <v>58</v>
      </c>
      <c r="Y875" s="2">
        <v>3.90918305148268</v>
      </c>
      <c r="Z875" s="2">
        <v>3909.1830514826802</v>
      </c>
      <c r="AA875" s="2">
        <v>4.6584666666666701</v>
      </c>
      <c r="AB875" s="2">
        <v>-74.083966666666697</v>
      </c>
      <c r="AC875" s="2">
        <v>2552</v>
      </c>
      <c r="AD875" s="2">
        <v>0</v>
      </c>
      <c r="AE875" s="2" t="s">
        <v>59</v>
      </c>
      <c r="AF875" s="2" t="s">
        <v>60</v>
      </c>
      <c r="AG875" s="2" t="s">
        <v>61</v>
      </c>
      <c r="AH875" s="2" t="s">
        <v>62</v>
      </c>
      <c r="AI875" s="2" t="s">
        <v>109</v>
      </c>
      <c r="AJ875" s="2">
        <v>0.32005982876356198</v>
      </c>
      <c r="AK875" s="2">
        <v>2.0843669781365901</v>
      </c>
      <c r="AL875" s="2">
        <v>0.55057169873103295</v>
      </c>
      <c r="AM875" s="2">
        <v>5.6212287957116601E-2</v>
      </c>
      <c r="AN875" s="2">
        <v>2.8672984404184398</v>
      </c>
      <c r="AO875" s="2">
        <v>0.21213503961099001</v>
      </c>
      <c r="AP875" s="2">
        <v>0.21213503961099001</v>
      </c>
      <c r="AQ875" s="2">
        <v>1</v>
      </c>
      <c r="AR875" s="2">
        <v>4</v>
      </c>
      <c r="AS875" s="2">
        <v>0</v>
      </c>
      <c r="AT875" s="2">
        <v>0</v>
      </c>
      <c r="AU875" s="2">
        <v>3</v>
      </c>
      <c r="AV875" s="2">
        <v>242</v>
      </c>
      <c r="AW875" s="2">
        <v>0</v>
      </c>
      <c r="AX875" s="2">
        <v>0</v>
      </c>
      <c r="AZ875" s="2">
        <v>6.8</v>
      </c>
      <c r="BA875" s="2">
        <v>19.899999999999999</v>
      </c>
      <c r="BB875" s="2">
        <v>564</v>
      </c>
      <c r="BC875" s="2">
        <v>68</v>
      </c>
      <c r="BD875" s="2">
        <v>1.5</v>
      </c>
      <c r="BE875" s="2">
        <v>135</v>
      </c>
      <c r="BF875" s="2">
        <v>0.8</v>
      </c>
      <c r="BG875" s="2">
        <v>162</v>
      </c>
      <c r="BH875" s="2">
        <v>9.1</v>
      </c>
      <c r="BI875" s="2">
        <v>9.1999999999999993</v>
      </c>
      <c r="BJ875" s="2">
        <v>18.3</v>
      </c>
      <c r="BK875" s="2">
        <v>0.34</v>
      </c>
      <c r="BL875" s="2">
        <v>7.3</v>
      </c>
      <c r="BM875" s="2">
        <v>0.9</v>
      </c>
      <c r="BN875" s="2">
        <v>7.5</v>
      </c>
      <c r="BO875" s="2">
        <v>2.9</v>
      </c>
      <c r="BP875" s="2">
        <f t="shared" si="26"/>
        <v>5.6036493275527075</v>
      </c>
      <c r="BQ875" s="2">
        <f t="shared" si="27"/>
        <v>18.117880770323342</v>
      </c>
    </row>
    <row r="876" spans="1:69" x14ac:dyDescent="0.2">
      <c r="A876" s="2" t="s">
        <v>830</v>
      </c>
      <c r="B876" s="2" t="s">
        <v>47</v>
      </c>
      <c r="C876" s="2" t="s">
        <v>48</v>
      </c>
      <c r="D876" s="2" t="s">
        <v>49</v>
      </c>
      <c r="E876" s="2" t="s">
        <v>52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89</v>
      </c>
      <c r="L876" s="6" t="s">
        <v>103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831</v>
      </c>
      <c r="R876" s="2">
        <v>10423905.49</v>
      </c>
      <c r="S876" s="2">
        <v>0</v>
      </c>
      <c r="T876" s="2" t="s">
        <v>54</v>
      </c>
      <c r="U876" s="2" t="s">
        <v>55</v>
      </c>
      <c r="V876" s="2" t="s">
        <v>56</v>
      </c>
      <c r="W876" s="2" t="s">
        <v>57</v>
      </c>
      <c r="X876" s="2" t="s">
        <v>58</v>
      </c>
      <c r="Y876" s="2">
        <v>4.1004807994441403</v>
      </c>
      <c r="Z876" s="2">
        <v>4100.4807994441398</v>
      </c>
      <c r="AA876" s="2">
        <v>4.6584666666666701</v>
      </c>
      <c r="AB876" s="2">
        <v>-74.083966666666697</v>
      </c>
      <c r="AC876" s="2">
        <v>2552</v>
      </c>
      <c r="AD876" s="2">
        <v>0</v>
      </c>
      <c r="AE876" s="2" t="s">
        <v>59</v>
      </c>
      <c r="AF876" s="2" t="s">
        <v>60</v>
      </c>
      <c r="AG876" s="2" t="s">
        <v>61</v>
      </c>
      <c r="AH876" s="2" t="s">
        <v>62</v>
      </c>
      <c r="AI876" s="2" t="s">
        <v>109</v>
      </c>
      <c r="AJ876" s="2">
        <v>0.32234648993794102</v>
      </c>
      <c r="AK876" s="2">
        <v>1.9860292729834399</v>
      </c>
      <c r="AL876" s="2">
        <v>0.51348968679673901</v>
      </c>
      <c r="AM876" s="2">
        <v>2.2452641776897701E-2</v>
      </c>
      <c r="AN876" s="2">
        <v>3.05573345433264</v>
      </c>
      <c r="AO876" s="2">
        <v>0.34536186370305699</v>
      </c>
      <c r="AP876" s="2">
        <v>0.34536186370305699</v>
      </c>
      <c r="AQ876" s="2">
        <v>1</v>
      </c>
      <c r="AR876" s="2">
        <v>3</v>
      </c>
      <c r="AS876" s="2">
        <v>0</v>
      </c>
      <c r="AT876" s="2">
        <v>0</v>
      </c>
      <c r="AU876" s="2">
        <v>5</v>
      </c>
      <c r="AV876" s="2">
        <v>243</v>
      </c>
      <c r="AW876" s="2">
        <v>0</v>
      </c>
      <c r="AX876" s="2">
        <v>0</v>
      </c>
      <c r="AZ876" s="2">
        <v>6.8</v>
      </c>
      <c r="BA876" s="2">
        <v>19.899999999999999</v>
      </c>
      <c r="BB876" s="2">
        <v>564</v>
      </c>
      <c r="BC876" s="2">
        <v>68</v>
      </c>
      <c r="BD876" s="2">
        <v>1.5</v>
      </c>
      <c r="BE876" s="2">
        <v>135</v>
      </c>
      <c r="BF876" s="2">
        <v>0.8</v>
      </c>
      <c r="BG876" s="2">
        <v>162</v>
      </c>
      <c r="BH876" s="2">
        <v>9.1</v>
      </c>
      <c r="BI876" s="2">
        <v>9.1999999999999993</v>
      </c>
      <c r="BJ876" s="2">
        <v>18.3</v>
      </c>
      <c r="BK876" s="2">
        <v>0.34</v>
      </c>
      <c r="BL876" s="2">
        <v>7.3</v>
      </c>
      <c r="BM876" s="2">
        <v>0.9</v>
      </c>
      <c r="BN876" s="2">
        <v>7.5</v>
      </c>
      <c r="BO876" s="2">
        <v>2.9</v>
      </c>
      <c r="BP876" s="2">
        <f t="shared" si="26"/>
        <v>5.5508374741038313</v>
      </c>
      <c r="BQ876" s="2">
        <f t="shared" si="27"/>
        <v>18.034889593463664</v>
      </c>
    </row>
    <row r="877" spans="1:69" x14ac:dyDescent="0.2">
      <c r="A877" s="2" t="s">
        <v>3078</v>
      </c>
      <c r="B877" s="2" t="s">
        <v>47</v>
      </c>
      <c r="C877" s="2" t="s">
        <v>1935</v>
      </c>
      <c r="D877" s="2" t="s">
        <v>49</v>
      </c>
      <c r="E877" s="2" t="s">
        <v>1124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89</v>
      </c>
      <c r="L877" s="6" t="s">
        <v>141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3079</v>
      </c>
      <c r="R877" s="2">
        <v>4718309.8590000002</v>
      </c>
      <c r="S877" s="2">
        <v>0</v>
      </c>
      <c r="T877" s="2" t="s">
        <v>54</v>
      </c>
      <c r="U877" s="2" t="s">
        <v>55</v>
      </c>
      <c r="V877" s="2" t="s">
        <v>56</v>
      </c>
      <c r="W877" s="2" t="s">
        <v>57</v>
      </c>
      <c r="X877" s="2" t="s">
        <v>58</v>
      </c>
      <c r="Y877" s="2">
        <v>2.5875136070052598</v>
      </c>
      <c r="Z877" s="2">
        <v>2587.5136070052599</v>
      </c>
      <c r="AA877" s="2">
        <v>4.6584666666666701</v>
      </c>
      <c r="AB877" s="2">
        <v>-74.083966666666697</v>
      </c>
      <c r="AC877" s="2">
        <v>2552</v>
      </c>
      <c r="AD877" s="2">
        <v>0</v>
      </c>
      <c r="AE877" s="2" t="s">
        <v>59</v>
      </c>
      <c r="AF877" s="2" t="s">
        <v>60</v>
      </c>
      <c r="AG877" s="2" t="s">
        <v>61</v>
      </c>
      <c r="AH877" s="2" t="s">
        <v>62</v>
      </c>
      <c r="AI877" s="2" t="s">
        <v>391</v>
      </c>
      <c r="AJ877" s="2">
        <v>0.81926765685126202</v>
      </c>
      <c r="AK877" s="2">
        <v>5.8480545890212898</v>
      </c>
      <c r="AL877" s="2">
        <v>1.1783171815603599</v>
      </c>
      <c r="AM877" s="2">
        <v>0.169728743057382</v>
      </c>
      <c r="AN877" s="2">
        <v>2.17446513629895</v>
      </c>
      <c r="AO877" s="2">
        <v>0.171288406258746</v>
      </c>
      <c r="AP877" s="2">
        <v>0.171288406258746</v>
      </c>
      <c r="AQ877" s="2">
        <v>0</v>
      </c>
      <c r="AR877" s="2">
        <v>2</v>
      </c>
      <c r="AS877" s="2">
        <v>0</v>
      </c>
      <c r="AT877" s="2">
        <v>0</v>
      </c>
      <c r="AU877" s="2">
        <v>0</v>
      </c>
      <c r="AV877" s="2">
        <v>31</v>
      </c>
      <c r="AW877" s="2">
        <v>0</v>
      </c>
      <c r="AX877" s="2">
        <v>0</v>
      </c>
      <c r="AZ877" s="2">
        <v>6.8</v>
      </c>
      <c r="BA877" s="2">
        <v>19.899999999999999</v>
      </c>
      <c r="BB877" s="2">
        <v>564</v>
      </c>
      <c r="BC877" s="2">
        <v>68</v>
      </c>
      <c r="BD877" s="2">
        <v>1.5</v>
      </c>
      <c r="BE877" s="2">
        <v>135</v>
      </c>
      <c r="BF877" s="2">
        <v>0.8</v>
      </c>
      <c r="BG877" s="2">
        <v>162</v>
      </c>
      <c r="BH877" s="2">
        <v>9.1</v>
      </c>
      <c r="BI877" s="2">
        <v>9.1999999999999993</v>
      </c>
      <c r="BJ877" s="2">
        <v>18.3</v>
      </c>
      <c r="BK877" s="2">
        <v>0.34</v>
      </c>
      <c r="BL877" s="2">
        <v>7.3</v>
      </c>
      <c r="BM877" s="2">
        <v>0.9</v>
      </c>
      <c r="BN877" s="2">
        <v>7.5</v>
      </c>
      <c r="BO877" s="2">
        <v>2.9</v>
      </c>
      <c r="BP877" s="2">
        <f t="shared" si="26"/>
        <v>5.9825128494361444</v>
      </c>
      <c r="BQ877" s="2">
        <f t="shared" si="27"/>
        <v>18.70179306630267</v>
      </c>
    </row>
    <row r="878" spans="1:69" x14ac:dyDescent="0.2">
      <c r="A878" s="2" t="s">
        <v>318</v>
      </c>
      <c r="B878" s="2" t="s">
        <v>47</v>
      </c>
      <c r="C878" s="2" t="s">
        <v>48</v>
      </c>
      <c r="D878" s="2" t="s">
        <v>49</v>
      </c>
      <c r="E878" s="2" t="s">
        <v>319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89</v>
      </c>
      <c r="L878" s="6" t="s">
        <v>141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320</v>
      </c>
      <c r="R878" s="2">
        <v>3873239.4369999999</v>
      </c>
      <c r="S878" s="2">
        <v>0</v>
      </c>
      <c r="T878" s="2" t="s">
        <v>54</v>
      </c>
      <c r="U878" s="2" t="s">
        <v>55</v>
      </c>
      <c r="V878" s="2" t="s">
        <v>56</v>
      </c>
      <c r="W878" s="2" t="s">
        <v>57</v>
      </c>
      <c r="X878" s="2" t="s">
        <v>58</v>
      </c>
      <c r="Y878" s="2">
        <v>0.705966291817126</v>
      </c>
      <c r="Z878" s="2">
        <v>705.96629181712603</v>
      </c>
      <c r="AA878" s="2">
        <v>4.6584666666666701</v>
      </c>
      <c r="AB878" s="2">
        <v>-74.083966666666697</v>
      </c>
      <c r="AC878" s="2">
        <v>2552</v>
      </c>
      <c r="AD878" s="2">
        <v>0</v>
      </c>
      <c r="AE878" s="2" t="s">
        <v>59</v>
      </c>
      <c r="AF878" s="2" t="s">
        <v>60</v>
      </c>
      <c r="AG878" s="2" t="s">
        <v>61</v>
      </c>
      <c r="AH878" s="2" t="s">
        <v>62</v>
      </c>
      <c r="AI878" s="2" t="s">
        <v>321</v>
      </c>
      <c r="AJ878" s="2">
        <v>0.609404881021126</v>
      </c>
      <c r="AK878" s="2">
        <v>3.3868481000108202</v>
      </c>
      <c r="AL878" s="2">
        <v>1.4410549588025801</v>
      </c>
      <c r="AM878" s="2">
        <v>0.168969643495894</v>
      </c>
      <c r="AN878" s="2">
        <v>1.2739052016994601</v>
      </c>
      <c r="AO878" s="2">
        <v>2.3227011137243899E-2</v>
      </c>
      <c r="AP878" s="2">
        <v>2.3227011137243899E-2</v>
      </c>
      <c r="AQ878" s="2">
        <v>0</v>
      </c>
      <c r="AR878" s="2">
        <v>2</v>
      </c>
      <c r="AS878" s="2">
        <v>0</v>
      </c>
      <c r="AT878" s="2">
        <v>0</v>
      </c>
      <c r="AU878" s="2">
        <v>0</v>
      </c>
      <c r="AV878" s="2">
        <v>21</v>
      </c>
      <c r="AW878" s="2">
        <v>0</v>
      </c>
      <c r="AX878" s="2">
        <v>0</v>
      </c>
      <c r="AZ878" s="2">
        <v>6.8</v>
      </c>
      <c r="BA878" s="2">
        <v>19.899999999999999</v>
      </c>
      <c r="BB878" s="2">
        <v>564</v>
      </c>
      <c r="BC878" s="2">
        <v>68</v>
      </c>
      <c r="BD878" s="2">
        <v>1.5</v>
      </c>
      <c r="BE878" s="2">
        <v>135</v>
      </c>
      <c r="BF878" s="2">
        <v>0.8</v>
      </c>
      <c r="BG878" s="2">
        <v>162</v>
      </c>
      <c r="BH878" s="2">
        <v>9.1</v>
      </c>
      <c r="BI878" s="2">
        <v>9.1999999999999993</v>
      </c>
      <c r="BJ878" s="2">
        <v>18.3</v>
      </c>
      <c r="BK878" s="2">
        <v>0.34</v>
      </c>
      <c r="BL878" s="2">
        <v>7.3</v>
      </c>
      <c r="BM878" s="2">
        <v>0.9</v>
      </c>
      <c r="BN878" s="2">
        <v>7.5</v>
      </c>
      <c r="BO878" s="2">
        <v>2.9</v>
      </c>
      <c r="BP878" s="2">
        <f t="shared" si="26"/>
        <v>6.5664758004829764</v>
      </c>
      <c r="BQ878" s="2">
        <f t="shared" si="27"/>
        <v>19.56567079878528</v>
      </c>
    </row>
    <row r="879" spans="1:69" x14ac:dyDescent="0.2">
      <c r="A879" s="2" t="s">
        <v>1573</v>
      </c>
      <c r="B879" s="2" t="s">
        <v>47</v>
      </c>
      <c r="C879" s="2" t="s">
        <v>48</v>
      </c>
      <c r="D879" s="2" t="s">
        <v>49</v>
      </c>
      <c r="E879" s="2" t="s">
        <v>289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89</v>
      </c>
      <c r="L879" s="6" t="s">
        <v>141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1574</v>
      </c>
      <c r="R879" s="2">
        <v>8633093.5250000004</v>
      </c>
      <c r="S879" s="2">
        <v>0</v>
      </c>
      <c r="T879" s="2" t="s">
        <v>105</v>
      </c>
      <c r="U879" s="2" t="s">
        <v>106</v>
      </c>
      <c r="V879" s="2" t="s">
        <v>56</v>
      </c>
      <c r="W879" s="2" t="s">
        <v>107</v>
      </c>
      <c r="X879" s="2" t="s">
        <v>108</v>
      </c>
      <c r="Y879" s="2">
        <v>3.6275286836245102</v>
      </c>
      <c r="Z879" s="2">
        <v>3627.52868362451</v>
      </c>
      <c r="AA879" s="2">
        <v>4.6254861111111101</v>
      </c>
      <c r="AB879" s="2">
        <v>-74.066980555555503</v>
      </c>
      <c r="AC879" s="2">
        <v>2621</v>
      </c>
      <c r="AD879" s="2">
        <v>15</v>
      </c>
      <c r="AE879" s="2" t="s">
        <v>59</v>
      </c>
      <c r="AF879" s="2" t="s">
        <v>60</v>
      </c>
      <c r="AG879" s="2" t="s">
        <v>61</v>
      </c>
      <c r="AH879" s="2" t="s">
        <v>62</v>
      </c>
      <c r="AI879" s="2" t="s">
        <v>109</v>
      </c>
      <c r="AJ879" s="2">
        <v>1.5067120225696899</v>
      </c>
      <c r="AK879" s="2">
        <v>0.100889298550527</v>
      </c>
      <c r="AL879" s="2">
        <v>0.916378485101772</v>
      </c>
      <c r="AM879" s="2">
        <v>0.52115725939928403</v>
      </c>
      <c r="AN879" s="2">
        <v>1.60051311441138</v>
      </c>
      <c r="AO879" s="2">
        <v>0.104498795105733</v>
      </c>
      <c r="AP879" s="2">
        <v>0.104498795105733</v>
      </c>
      <c r="AQ879" s="2">
        <v>0</v>
      </c>
      <c r="AR879" s="2">
        <v>0</v>
      </c>
      <c r="AS879" s="2">
        <v>24</v>
      </c>
      <c r="AT879" s="2">
        <v>43</v>
      </c>
      <c r="AU879" s="2">
        <v>1</v>
      </c>
      <c r="AV879" s="2">
        <v>11</v>
      </c>
      <c r="AW879" s="2">
        <v>0</v>
      </c>
      <c r="AX879" s="2">
        <v>0</v>
      </c>
      <c r="AZ879" s="2">
        <v>6.8</v>
      </c>
      <c r="BA879" s="2">
        <v>19.899999999999999</v>
      </c>
      <c r="BB879" s="2">
        <v>564</v>
      </c>
      <c r="BC879" s="2">
        <v>68</v>
      </c>
      <c r="BD879" s="2">
        <v>1.5</v>
      </c>
      <c r="BE879" s="2">
        <v>135</v>
      </c>
      <c r="BF879" s="2">
        <v>0.8</v>
      </c>
      <c r="BG879" s="2">
        <v>162</v>
      </c>
      <c r="BH879" s="2">
        <v>9.1</v>
      </c>
      <c r="BI879" s="2">
        <v>9.1999999999999993</v>
      </c>
      <c r="BJ879" s="2">
        <v>18.3</v>
      </c>
      <c r="BK879" s="2">
        <v>0.34</v>
      </c>
      <c r="BL879" s="2">
        <v>7.3</v>
      </c>
      <c r="BM879" s="2">
        <v>0.9</v>
      </c>
      <c r="BN879" s="2">
        <v>7.5</v>
      </c>
      <c r="BO879" s="2">
        <v>2.9</v>
      </c>
      <c r="BP879" s="2">
        <f t="shared" si="26"/>
        <v>5.6823219450507638</v>
      </c>
      <c r="BQ879" s="2">
        <f t="shared" si="27"/>
        <v>18.24076716640635</v>
      </c>
    </row>
    <row r="880" spans="1:69" x14ac:dyDescent="0.2">
      <c r="A880" s="2" t="s">
        <v>1951</v>
      </c>
      <c r="B880" s="2" t="s">
        <v>47</v>
      </c>
      <c r="C880" s="2" t="s">
        <v>1935</v>
      </c>
      <c r="D880" s="2" t="s">
        <v>49</v>
      </c>
      <c r="E880" s="2" t="s">
        <v>553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89</v>
      </c>
      <c r="L880" s="6" t="s">
        <v>141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1952</v>
      </c>
      <c r="R880" s="2">
        <v>6258992.8059999999</v>
      </c>
      <c r="S880" s="2">
        <v>0</v>
      </c>
      <c r="T880" s="2" t="s">
        <v>54</v>
      </c>
      <c r="U880" s="2" t="s">
        <v>55</v>
      </c>
      <c r="V880" s="2" t="s">
        <v>56</v>
      </c>
      <c r="W880" s="2" t="s">
        <v>57</v>
      </c>
      <c r="X880" s="2" t="s">
        <v>58</v>
      </c>
      <c r="Y880" s="2">
        <v>4.2679422596460803</v>
      </c>
      <c r="Z880" s="2">
        <v>4267.9422596460799</v>
      </c>
      <c r="AA880" s="2">
        <v>4.6584666666666701</v>
      </c>
      <c r="AB880" s="2">
        <v>-74.083966666666697</v>
      </c>
      <c r="AC880" s="2">
        <v>2552</v>
      </c>
      <c r="AD880" s="2">
        <v>0</v>
      </c>
      <c r="AE880" s="2" t="s">
        <v>59</v>
      </c>
      <c r="AF880" s="2" t="s">
        <v>60</v>
      </c>
      <c r="AG880" s="2" t="s">
        <v>61</v>
      </c>
      <c r="AH880" s="2" t="s">
        <v>62</v>
      </c>
      <c r="AI880" s="2" t="s">
        <v>100</v>
      </c>
      <c r="AJ880" s="2">
        <v>0.72343671536224996</v>
      </c>
      <c r="AK880" s="2">
        <v>4.6591731917035801</v>
      </c>
      <c r="AL880" s="2">
        <v>0.68055565954372499</v>
      </c>
      <c r="AM880" s="2">
        <v>6.4789111731504798E-2</v>
      </c>
      <c r="AN880" s="2">
        <v>2.5378178913801199</v>
      </c>
      <c r="AO880" s="2">
        <v>4.8537277989458803E-2</v>
      </c>
      <c r="AP880" s="2">
        <v>4.8537277989458803E-2</v>
      </c>
      <c r="AQ880" s="2">
        <v>0</v>
      </c>
      <c r="AR880" s="2">
        <v>2</v>
      </c>
      <c r="AS880" s="2">
        <v>0</v>
      </c>
      <c r="AT880" s="2">
        <v>0</v>
      </c>
      <c r="AU880" s="2">
        <v>1</v>
      </c>
      <c r="AV880" s="2">
        <v>38</v>
      </c>
      <c r="AW880" s="2">
        <v>0</v>
      </c>
      <c r="AX880" s="2">
        <v>0</v>
      </c>
      <c r="AZ880" s="2">
        <v>6.8</v>
      </c>
      <c r="BA880" s="2">
        <v>19.899999999999999</v>
      </c>
      <c r="BB880" s="2">
        <v>564</v>
      </c>
      <c r="BC880" s="2">
        <v>68</v>
      </c>
      <c r="BD880" s="2">
        <v>1.5</v>
      </c>
      <c r="BE880" s="2">
        <v>135</v>
      </c>
      <c r="BF880" s="2">
        <v>0.8</v>
      </c>
      <c r="BG880" s="2">
        <v>162</v>
      </c>
      <c r="BH880" s="2">
        <v>9.1</v>
      </c>
      <c r="BI880" s="2">
        <v>9.1999999999999993</v>
      </c>
      <c r="BJ880" s="2">
        <v>18.3</v>
      </c>
      <c r="BK880" s="2">
        <v>0.34</v>
      </c>
      <c r="BL880" s="2">
        <v>7.3</v>
      </c>
      <c r="BM880" s="2">
        <v>0.9</v>
      </c>
      <c r="BN880" s="2">
        <v>7.5</v>
      </c>
      <c r="BO880" s="2">
        <v>2.9</v>
      </c>
      <c r="BP880" s="2">
        <f t="shared" si="26"/>
        <v>5.5050148643729946</v>
      </c>
      <c r="BQ880" s="2">
        <f t="shared" si="27"/>
        <v>17.962551482283612</v>
      </c>
    </row>
    <row r="881" spans="1:69" x14ac:dyDescent="0.2">
      <c r="A881" s="2" t="s">
        <v>3034</v>
      </c>
      <c r="B881" s="2" t="s">
        <v>47</v>
      </c>
      <c r="C881" s="2" t="s">
        <v>1935</v>
      </c>
      <c r="D881" s="2" t="s">
        <v>49</v>
      </c>
      <c r="E881" s="2" t="s">
        <v>3035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89</v>
      </c>
      <c r="L881" s="6" t="s">
        <v>141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3036</v>
      </c>
      <c r="R881" s="2">
        <v>3023758.0989999999</v>
      </c>
      <c r="S881" s="2">
        <v>0</v>
      </c>
      <c r="T881" s="2" t="s">
        <v>398</v>
      </c>
      <c r="U881" s="2" t="s">
        <v>399</v>
      </c>
      <c r="V881" s="2" t="s">
        <v>56</v>
      </c>
      <c r="W881" s="2" t="s">
        <v>57</v>
      </c>
      <c r="X881" s="2" t="s">
        <v>400</v>
      </c>
      <c r="Y881" s="2">
        <v>3.13485312434053</v>
      </c>
      <c r="Z881" s="2">
        <v>3134.85312434053</v>
      </c>
      <c r="AA881" s="2">
        <v>4.7358055555555598</v>
      </c>
      <c r="AB881" s="2">
        <v>-74.125888888888895</v>
      </c>
      <c r="AC881" s="2">
        <v>2574</v>
      </c>
      <c r="AD881" s="2">
        <v>0</v>
      </c>
      <c r="AE881" s="2" t="s">
        <v>133</v>
      </c>
      <c r="AF881" s="2" t="s">
        <v>86</v>
      </c>
      <c r="AG881" s="2" t="s">
        <v>61</v>
      </c>
      <c r="AH881" s="2" t="s">
        <v>62</v>
      </c>
      <c r="AI881" s="2" t="s">
        <v>391</v>
      </c>
      <c r="AJ881" s="2">
        <v>1.3134071389475801</v>
      </c>
      <c r="AK881" s="2">
        <v>1.8755004357977001</v>
      </c>
      <c r="AL881" s="2">
        <v>2.3241223401663702</v>
      </c>
      <c r="AM881" s="2">
        <v>0.27601402525306301</v>
      </c>
      <c r="AN881" s="2">
        <v>2.60097519499157</v>
      </c>
      <c r="AO881" s="2">
        <v>7.2836474215994595E-2</v>
      </c>
      <c r="AP881" s="2">
        <v>7.2836474215994595E-2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17</v>
      </c>
      <c r="AW881" s="2">
        <v>0</v>
      </c>
      <c r="AX881" s="2">
        <v>0</v>
      </c>
      <c r="AZ881" s="2">
        <v>6.8</v>
      </c>
      <c r="BA881" s="2">
        <v>19.899999999999999</v>
      </c>
      <c r="BB881" s="2">
        <v>564</v>
      </c>
      <c r="BC881" s="2">
        <v>68</v>
      </c>
      <c r="BD881" s="2">
        <v>1.5</v>
      </c>
      <c r="BE881" s="2">
        <v>135</v>
      </c>
      <c r="BF881" s="2">
        <v>0.8</v>
      </c>
      <c r="BG881" s="2">
        <v>162</v>
      </c>
      <c r="BH881" s="2">
        <v>9.1</v>
      </c>
      <c r="BI881" s="2">
        <v>9.1999999999999993</v>
      </c>
      <c r="BJ881" s="2">
        <v>18.3</v>
      </c>
      <c r="BK881" s="2">
        <v>0.34</v>
      </c>
      <c r="BL881" s="2">
        <v>7.3</v>
      </c>
      <c r="BM881" s="2">
        <v>0.9</v>
      </c>
      <c r="BN881" s="2">
        <v>7.5</v>
      </c>
      <c r="BO881" s="2">
        <v>2.9</v>
      </c>
      <c r="BP881" s="2">
        <f t="shared" si="26"/>
        <v>5.8226028248072268</v>
      </c>
      <c r="BQ881" s="2">
        <f t="shared" si="27"/>
        <v>18.457730070389267</v>
      </c>
    </row>
    <row r="882" spans="1:69" x14ac:dyDescent="0.2">
      <c r="A882" s="2" t="s">
        <v>2773</v>
      </c>
      <c r="B882" s="2" t="s">
        <v>47</v>
      </c>
      <c r="C882" s="2" t="s">
        <v>1935</v>
      </c>
      <c r="D882" s="2" t="s">
        <v>49</v>
      </c>
      <c r="E882" s="2" t="s">
        <v>1001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89</v>
      </c>
      <c r="L882" s="6" t="s">
        <v>141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2774</v>
      </c>
      <c r="R882" s="2">
        <v>8646779.0749999993</v>
      </c>
      <c r="S882" s="2">
        <v>0</v>
      </c>
      <c r="T882" s="2" t="s">
        <v>54</v>
      </c>
      <c r="U882" s="2" t="s">
        <v>55</v>
      </c>
      <c r="V882" s="2" t="s">
        <v>56</v>
      </c>
      <c r="W882" s="2" t="s">
        <v>57</v>
      </c>
      <c r="X882" s="2" t="s">
        <v>58</v>
      </c>
      <c r="Y882" s="2">
        <v>3.8452759439627502</v>
      </c>
      <c r="Z882" s="2">
        <v>3845.2759439627498</v>
      </c>
      <c r="AA882" s="2">
        <v>4.6584666666666701</v>
      </c>
      <c r="AB882" s="2">
        <v>-74.083966666666697</v>
      </c>
      <c r="AC882" s="2">
        <v>2552</v>
      </c>
      <c r="AD882" s="2">
        <v>0</v>
      </c>
      <c r="AE882" s="2" t="s">
        <v>59</v>
      </c>
      <c r="AF882" s="2" t="s">
        <v>60</v>
      </c>
      <c r="AG882" s="2" t="s">
        <v>61</v>
      </c>
      <c r="AH882" s="2" t="s">
        <v>62</v>
      </c>
      <c r="AI882" s="2" t="s">
        <v>100</v>
      </c>
      <c r="AJ882" s="2">
        <v>0.60189213403054798</v>
      </c>
      <c r="AK882" s="2">
        <v>4.84023126188821</v>
      </c>
      <c r="AL882" s="2">
        <v>0.83078330552737001</v>
      </c>
      <c r="AM882" s="2">
        <v>0.45671907508308102</v>
      </c>
      <c r="AN882" s="2">
        <v>2.10606185878917</v>
      </c>
      <c r="AO882" s="2">
        <v>0.19121028337951301</v>
      </c>
      <c r="AP882" s="2">
        <v>0.19121028337951301</v>
      </c>
      <c r="AQ882" s="2">
        <v>0</v>
      </c>
      <c r="AR882" s="2">
        <v>3</v>
      </c>
      <c r="AS882" s="2">
        <v>0</v>
      </c>
      <c r="AT882" s="2">
        <v>0</v>
      </c>
      <c r="AU882" s="2">
        <v>1</v>
      </c>
      <c r="AV882" s="2">
        <v>45</v>
      </c>
      <c r="AW882" s="2">
        <v>0</v>
      </c>
      <c r="AX882" s="2">
        <v>0</v>
      </c>
      <c r="AZ882" s="2">
        <v>6.8</v>
      </c>
      <c r="BA882" s="2">
        <v>19.899999999999999</v>
      </c>
      <c r="BB882" s="2">
        <v>564</v>
      </c>
      <c r="BC882" s="2">
        <v>68</v>
      </c>
      <c r="BD882" s="2">
        <v>1.5</v>
      </c>
      <c r="BE882" s="2">
        <v>135</v>
      </c>
      <c r="BF882" s="2">
        <v>0.8</v>
      </c>
      <c r="BG882" s="2">
        <v>162</v>
      </c>
      <c r="BH882" s="2">
        <v>9.1</v>
      </c>
      <c r="BI882" s="2">
        <v>9.1999999999999993</v>
      </c>
      <c r="BJ882" s="2">
        <v>18.3</v>
      </c>
      <c r="BK882" s="2">
        <v>0.34</v>
      </c>
      <c r="BL882" s="2">
        <v>7.3</v>
      </c>
      <c r="BM882" s="2">
        <v>0.9</v>
      </c>
      <c r="BN882" s="2">
        <v>7.5</v>
      </c>
      <c r="BO882" s="2">
        <v>2.9</v>
      </c>
      <c r="BP882" s="2">
        <f t="shared" si="26"/>
        <v>5.6214039898060548</v>
      </c>
      <c r="BQ882" s="2">
        <f t="shared" si="27"/>
        <v>18.145690764453089</v>
      </c>
    </row>
    <row r="883" spans="1:69" x14ac:dyDescent="0.2">
      <c r="A883" s="2" t="s">
        <v>1945</v>
      </c>
      <c r="B883" s="2" t="s">
        <v>47</v>
      </c>
      <c r="C883" s="2" t="s">
        <v>1935</v>
      </c>
      <c r="D883" s="2" t="s">
        <v>49</v>
      </c>
      <c r="E883" s="2" t="s">
        <v>1106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89</v>
      </c>
      <c r="L883" s="6" t="s">
        <v>141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1946</v>
      </c>
      <c r="R883" s="2">
        <v>6909090.909</v>
      </c>
      <c r="S883" s="2">
        <v>0</v>
      </c>
      <c r="T883" s="2" t="s">
        <v>54</v>
      </c>
      <c r="U883" s="2" t="s">
        <v>55</v>
      </c>
      <c r="V883" s="2" t="s">
        <v>56</v>
      </c>
      <c r="W883" s="2" t="s">
        <v>57</v>
      </c>
      <c r="X883" s="2" t="s">
        <v>58</v>
      </c>
      <c r="Y883" s="2">
        <v>2.0916759155814102</v>
      </c>
      <c r="Z883" s="2">
        <v>2091.6759155814102</v>
      </c>
      <c r="AA883" s="2">
        <v>4.6584666666666701</v>
      </c>
      <c r="AB883" s="2">
        <v>-74.083966666666697</v>
      </c>
      <c r="AC883" s="2">
        <v>2552</v>
      </c>
      <c r="AD883" s="2">
        <v>0</v>
      </c>
      <c r="AE883" s="2" t="s">
        <v>59</v>
      </c>
      <c r="AF883" s="2" t="s">
        <v>60</v>
      </c>
      <c r="AG883" s="2" t="s">
        <v>61</v>
      </c>
      <c r="AH883" s="2" t="s">
        <v>62</v>
      </c>
      <c r="AI883" s="2" t="s">
        <v>63</v>
      </c>
      <c r="AJ883" s="2">
        <v>0.60867590635408697</v>
      </c>
      <c r="AK883" s="2">
        <v>1.5525255810177001</v>
      </c>
      <c r="AL883" s="2">
        <v>0.17151672856398401</v>
      </c>
      <c r="AM883" s="2">
        <v>7.9506737131104593E-2</v>
      </c>
      <c r="AN883" s="2">
        <v>1.4426765276150499</v>
      </c>
      <c r="AO883" s="2">
        <v>0.19257246269815601</v>
      </c>
      <c r="AP883" s="2">
        <v>0.19257246269815601</v>
      </c>
      <c r="AQ883" s="2">
        <v>0</v>
      </c>
      <c r="AR883" s="2">
        <v>6</v>
      </c>
      <c r="AS883" s="2">
        <v>0</v>
      </c>
      <c r="AT883" s="2">
        <v>0</v>
      </c>
      <c r="AU883" s="2">
        <v>8</v>
      </c>
      <c r="AV883" s="2">
        <v>102</v>
      </c>
      <c r="AW883" s="2">
        <v>0</v>
      </c>
      <c r="AX883" s="2">
        <v>0</v>
      </c>
      <c r="AZ883" s="2">
        <v>6.8</v>
      </c>
      <c r="BA883" s="2">
        <v>19.899999999999999</v>
      </c>
      <c r="BB883" s="2">
        <v>564</v>
      </c>
      <c r="BC883" s="2">
        <v>68</v>
      </c>
      <c r="BD883" s="2">
        <v>1.5</v>
      </c>
      <c r="BE883" s="2">
        <v>135</v>
      </c>
      <c r="BF883" s="2">
        <v>0.8</v>
      </c>
      <c r="BG883" s="2">
        <v>162</v>
      </c>
      <c r="BH883" s="2">
        <v>9.1</v>
      </c>
      <c r="BI883" s="2">
        <v>9.1999999999999993</v>
      </c>
      <c r="BJ883" s="2">
        <v>18.3</v>
      </c>
      <c r="BK883" s="2">
        <v>0.34</v>
      </c>
      <c r="BL883" s="2">
        <v>7.3</v>
      </c>
      <c r="BM883" s="2">
        <v>0.9</v>
      </c>
      <c r="BN883" s="2">
        <v>7.5</v>
      </c>
      <c r="BO883" s="2">
        <v>2.9</v>
      </c>
      <c r="BP883" s="2">
        <f t="shared" si="26"/>
        <v>6.1311642245918074</v>
      </c>
      <c r="BQ883" s="2">
        <f t="shared" si="27"/>
        <v>18.925675832011208</v>
      </c>
    </row>
    <row r="884" spans="1:69" x14ac:dyDescent="0.2">
      <c r="A884" s="2" t="s">
        <v>2680</v>
      </c>
      <c r="B884" s="2" t="s">
        <v>47</v>
      </c>
      <c r="C884" s="2" t="s">
        <v>1935</v>
      </c>
      <c r="D884" s="2" t="s">
        <v>49</v>
      </c>
      <c r="E884" s="2" t="s">
        <v>2681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89</v>
      </c>
      <c r="L884" s="6" t="s">
        <v>141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2682</v>
      </c>
      <c r="R884" s="2">
        <v>3648037.3560000001</v>
      </c>
      <c r="S884" s="2">
        <v>0</v>
      </c>
      <c r="T884" s="2" t="s">
        <v>1822</v>
      </c>
      <c r="U884" s="2" t="s">
        <v>1823</v>
      </c>
      <c r="V884" s="2" t="s">
        <v>56</v>
      </c>
      <c r="W884" s="2" t="s">
        <v>1824</v>
      </c>
      <c r="X884" s="2" t="s">
        <v>1825</v>
      </c>
      <c r="Y884" s="2">
        <v>1.1228976973275</v>
      </c>
      <c r="Z884" s="2">
        <v>1122.8976973275001</v>
      </c>
      <c r="AA884" s="2">
        <v>4.576225</v>
      </c>
      <c r="AB884" s="2">
        <v>-74.130955555555502</v>
      </c>
      <c r="AC884" s="2">
        <v>2589</v>
      </c>
      <c r="AD884" s="2">
        <v>0</v>
      </c>
      <c r="AE884" s="2" t="s">
        <v>59</v>
      </c>
      <c r="AF884" s="2" t="s">
        <v>86</v>
      </c>
      <c r="AG884" s="2" t="s">
        <v>61</v>
      </c>
      <c r="AH884" s="2" t="s">
        <v>62</v>
      </c>
      <c r="AI884" s="2" t="s">
        <v>1826</v>
      </c>
      <c r="AJ884" s="2">
        <v>0.32616653602536899</v>
      </c>
      <c r="AK884" s="2">
        <v>4.9297880626305997</v>
      </c>
      <c r="AL884" s="2">
        <v>2.0646765885551601</v>
      </c>
      <c r="AM884" s="2">
        <v>8.9200862776363701E-2</v>
      </c>
      <c r="AN884" s="2">
        <v>2.1920821635671501</v>
      </c>
      <c r="AO884" s="2">
        <v>0.23351502828735801</v>
      </c>
      <c r="AP884" s="2">
        <v>0.23351502828735801</v>
      </c>
      <c r="AQ884" s="2">
        <v>2</v>
      </c>
      <c r="AR884" s="2">
        <v>4</v>
      </c>
      <c r="AS884" s="2">
        <v>0</v>
      </c>
      <c r="AT884" s="2">
        <v>0</v>
      </c>
      <c r="AU884" s="2">
        <v>0</v>
      </c>
      <c r="AV884" s="2">
        <v>13</v>
      </c>
      <c r="AW884" s="2">
        <v>0</v>
      </c>
      <c r="AX884" s="2">
        <v>0</v>
      </c>
      <c r="AZ884" s="2">
        <v>6.8</v>
      </c>
      <c r="BA884" s="2">
        <v>19.899999999999999</v>
      </c>
      <c r="BB884" s="2">
        <v>564</v>
      </c>
      <c r="BC884" s="2">
        <v>68</v>
      </c>
      <c r="BD884" s="2">
        <v>1.5</v>
      </c>
      <c r="BE884" s="2">
        <v>135</v>
      </c>
      <c r="BF884" s="2">
        <v>0.8</v>
      </c>
      <c r="BG884" s="2">
        <v>162</v>
      </c>
      <c r="BH884" s="2">
        <v>9.1</v>
      </c>
      <c r="BI884" s="2">
        <v>9.1999999999999993</v>
      </c>
      <c r="BJ884" s="2">
        <v>18.3</v>
      </c>
      <c r="BK884" s="2">
        <v>0.34</v>
      </c>
      <c r="BL884" s="2">
        <v>7.3</v>
      </c>
      <c r="BM884" s="2">
        <v>0.9</v>
      </c>
      <c r="BN884" s="2">
        <v>7.5</v>
      </c>
      <c r="BO884" s="2">
        <v>2.9</v>
      </c>
      <c r="BP884" s="2">
        <f t="shared" si="26"/>
        <v>6.4323450493132661</v>
      </c>
      <c r="BQ884" s="2">
        <f t="shared" si="27"/>
        <v>19.370866043841044</v>
      </c>
    </row>
    <row r="885" spans="1:69" x14ac:dyDescent="0.2">
      <c r="A885" s="2" t="s">
        <v>294</v>
      </c>
      <c r="B885" s="2" t="s">
        <v>47</v>
      </c>
      <c r="C885" s="2" t="s">
        <v>48</v>
      </c>
      <c r="D885" s="2" t="s">
        <v>49</v>
      </c>
      <c r="E885" s="2" t="s">
        <v>289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89</v>
      </c>
      <c r="L885" s="6" t="s">
        <v>90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295</v>
      </c>
      <c r="R885" s="2">
        <v>17647058.82</v>
      </c>
      <c r="S885" s="2">
        <v>0</v>
      </c>
      <c r="T885" s="2" t="s">
        <v>54</v>
      </c>
      <c r="U885" s="2" t="s">
        <v>55</v>
      </c>
      <c r="V885" s="2" t="s">
        <v>56</v>
      </c>
      <c r="W885" s="2" t="s">
        <v>57</v>
      </c>
      <c r="X885" s="2" t="s">
        <v>58</v>
      </c>
      <c r="Y885" s="2">
        <v>4.20048895085732</v>
      </c>
      <c r="Z885" s="2">
        <v>4200.4889508573197</v>
      </c>
      <c r="AA885" s="2">
        <v>4.6584666666666701</v>
      </c>
      <c r="AB885" s="2">
        <v>-74.083966666666697</v>
      </c>
      <c r="AC885" s="2">
        <v>2552</v>
      </c>
      <c r="AD885" s="2">
        <v>0</v>
      </c>
      <c r="AE885" s="2" t="s">
        <v>59</v>
      </c>
      <c r="AF885" s="2" t="s">
        <v>60</v>
      </c>
      <c r="AG885" s="2" t="s">
        <v>61</v>
      </c>
      <c r="AH885" s="2" t="s">
        <v>62</v>
      </c>
      <c r="AI885" s="2" t="s">
        <v>109</v>
      </c>
      <c r="AJ885" s="2">
        <v>1.6312305925311601</v>
      </c>
      <c r="AK885" s="2">
        <v>0.14417073379659501</v>
      </c>
      <c r="AL885" s="2">
        <v>0.82149002898493795</v>
      </c>
      <c r="AM885" s="2">
        <v>0.18128316882024201</v>
      </c>
      <c r="AN885" s="2">
        <v>2.7380131423358298</v>
      </c>
      <c r="AO885" s="2">
        <v>0.45467248501431101</v>
      </c>
      <c r="AP885" s="2">
        <v>0.45467248501431101</v>
      </c>
      <c r="AQ885" s="2">
        <v>0</v>
      </c>
      <c r="AR885" s="2">
        <v>0</v>
      </c>
      <c r="AS885" s="2">
        <v>10</v>
      </c>
      <c r="AT885" s="2">
        <v>38</v>
      </c>
      <c r="AU885" s="2">
        <v>2</v>
      </c>
      <c r="AV885" s="2">
        <v>16</v>
      </c>
      <c r="AW885" s="2">
        <v>0</v>
      </c>
      <c r="AX885" s="2">
        <v>0</v>
      </c>
      <c r="AZ885" s="2">
        <v>6.8</v>
      </c>
      <c r="BA885" s="2">
        <v>19.899999999999999</v>
      </c>
      <c r="BB885" s="2">
        <v>564</v>
      </c>
      <c r="BC885" s="2">
        <v>68</v>
      </c>
      <c r="BD885" s="2">
        <v>1.5</v>
      </c>
      <c r="BE885" s="2">
        <v>135</v>
      </c>
      <c r="BF885" s="2">
        <v>0.8</v>
      </c>
      <c r="BG885" s="2">
        <v>162</v>
      </c>
      <c r="BH885" s="2">
        <v>9.1</v>
      </c>
      <c r="BI885" s="2">
        <v>9.1999999999999993</v>
      </c>
      <c r="BJ885" s="2">
        <v>18.3</v>
      </c>
      <c r="BK885" s="2">
        <v>0.34</v>
      </c>
      <c r="BL885" s="2">
        <v>7.3</v>
      </c>
      <c r="BM885" s="2">
        <v>0.9</v>
      </c>
      <c r="BN885" s="2">
        <v>7.5</v>
      </c>
      <c r="BO885" s="2">
        <v>2.9</v>
      </c>
      <c r="BP885" s="2">
        <f t="shared" si="26"/>
        <v>5.5234264925604313</v>
      </c>
      <c r="BQ885" s="2">
        <f t="shared" si="27"/>
        <v>17.991654237615791</v>
      </c>
    </row>
    <row r="886" spans="1:69" x14ac:dyDescent="0.2">
      <c r="A886" s="2" t="s">
        <v>2187</v>
      </c>
      <c r="B886" s="2" t="s">
        <v>47</v>
      </c>
      <c r="C886" s="2" t="s">
        <v>1935</v>
      </c>
      <c r="D886" s="2" t="s">
        <v>49</v>
      </c>
      <c r="E886" s="2" t="s">
        <v>1082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89</v>
      </c>
      <c r="L886" s="6" t="s">
        <v>103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2188</v>
      </c>
      <c r="R886" s="2">
        <v>15486725.66</v>
      </c>
      <c r="S886" s="2">
        <v>0</v>
      </c>
      <c r="T886" s="2" t="s">
        <v>398</v>
      </c>
      <c r="U886" s="2" t="s">
        <v>399</v>
      </c>
      <c r="V886" s="2" t="s">
        <v>56</v>
      </c>
      <c r="W886" s="2" t="s">
        <v>57</v>
      </c>
      <c r="X886" s="2" t="s">
        <v>400</v>
      </c>
      <c r="Y886" s="2">
        <v>3.9859489134806299</v>
      </c>
      <c r="Z886" s="2">
        <v>3985.9489134806299</v>
      </c>
      <c r="AA886" s="2">
        <v>4.7358055555555598</v>
      </c>
      <c r="AB886" s="2">
        <v>-74.125888888888895</v>
      </c>
      <c r="AC886" s="2">
        <v>2574</v>
      </c>
      <c r="AD886" s="2">
        <v>0</v>
      </c>
      <c r="AE886" s="2" t="s">
        <v>133</v>
      </c>
      <c r="AF886" s="2" t="s">
        <v>86</v>
      </c>
      <c r="AG886" s="2" t="s">
        <v>61</v>
      </c>
      <c r="AH886" s="2" t="s">
        <v>62</v>
      </c>
      <c r="AI886" s="2" t="s">
        <v>391</v>
      </c>
      <c r="AJ886" s="2">
        <v>0.31155307687282802</v>
      </c>
      <c r="AK886" s="2">
        <v>2.9702881445100902</v>
      </c>
      <c r="AL886" s="2">
        <v>1.28204215809407</v>
      </c>
      <c r="AM886" s="2">
        <v>0.33008012711152301</v>
      </c>
      <c r="AN886" s="2">
        <v>1.7156117383496801</v>
      </c>
      <c r="AO886" s="2">
        <v>9.0081137835891098E-2</v>
      </c>
      <c r="AP886" s="2">
        <v>9.0081137835891098E-2</v>
      </c>
      <c r="AQ886" s="2">
        <v>1</v>
      </c>
      <c r="AR886" s="2">
        <v>3</v>
      </c>
      <c r="AS886" s="2">
        <v>0</v>
      </c>
      <c r="AT886" s="2">
        <v>0</v>
      </c>
      <c r="AU886" s="2">
        <v>0</v>
      </c>
      <c r="AV886" s="2">
        <v>41</v>
      </c>
      <c r="AW886" s="2">
        <v>0</v>
      </c>
      <c r="AX886" s="2">
        <v>0</v>
      </c>
      <c r="AZ886" s="2">
        <v>6.8</v>
      </c>
      <c r="BA886" s="2">
        <v>19.899999999999999</v>
      </c>
      <c r="BB886" s="2">
        <v>564</v>
      </c>
      <c r="BC886" s="2">
        <v>68</v>
      </c>
      <c r="BD886" s="2">
        <v>1.5</v>
      </c>
      <c r="BE886" s="2">
        <v>135</v>
      </c>
      <c r="BF886" s="2">
        <v>0.8</v>
      </c>
      <c r="BG886" s="2">
        <v>162</v>
      </c>
      <c r="BH886" s="2">
        <v>9.1</v>
      </c>
      <c r="BI886" s="2">
        <v>9.1999999999999993</v>
      </c>
      <c r="BJ886" s="2">
        <v>18.3</v>
      </c>
      <c r="BK886" s="2">
        <v>0.34</v>
      </c>
      <c r="BL886" s="2">
        <v>7.3</v>
      </c>
      <c r="BM886" s="2">
        <v>0.9</v>
      </c>
      <c r="BN886" s="2">
        <v>7.5</v>
      </c>
      <c r="BO886" s="2">
        <v>2.9</v>
      </c>
      <c r="BP886" s="2">
        <f t="shared" si="26"/>
        <v>5.5823963687303522</v>
      </c>
      <c r="BQ886" s="2">
        <f t="shared" si="27"/>
        <v>18.084531467174852</v>
      </c>
    </row>
    <row r="887" spans="1:69" x14ac:dyDescent="0.2">
      <c r="A887" s="2" t="s">
        <v>1255</v>
      </c>
      <c r="B887" s="2" t="s">
        <v>47</v>
      </c>
      <c r="C887" s="2" t="s">
        <v>48</v>
      </c>
      <c r="D887" s="2" t="s">
        <v>49</v>
      </c>
      <c r="E887" s="2" t="s">
        <v>599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89</v>
      </c>
      <c r="L887" s="6" t="s">
        <v>90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1256</v>
      </c>
      <c r="R887" s="2">
        <v>17293233.079999998</v>
      </c>
      <c r="S887" s="2">
        <v>0</v>
      </c>
      <c r="T887" s="2" t="s">
        <v>54</v>
      </c>
      <c r="U887" s="2" t="s">
        <v>55</v>
      </c>
      <c r="V887" s="2" t="s">
        <v>56</v>
      </c>
      <c r="W887" s="2" t="s">
        <v>57</v>
      </c>
      <c r="X887" s="2" t="s">
        <v>58</v>
      </c>
      <c r="Y887" s="2">
        <v>3.93852956143308</v>
      </c>
      <c r="Z887" s="2">
        <v>3938.5295614330798</v>
      </c>
      <c r="AA887" s="2">
        <v>4.6584666666666701</v>
      </c>
      <c r="AB887" s="2">
        <v>-74.083966666666697</v>
      </c>
      <c r="AC887" s="2">
        <v>2552</v>
      </c>
      <c r="AD887" s="2">
        <v>0</v>
      </c>
      <c r="AE887" s="2" t="s">
        <v>59</v>
      </c>
      <c r="AF887" s="2" t="s">
        <v>60</v>
      </c>
      <c r="AG887" s="2" t="s">
        <v>61</v>
      </c>
      <c r="AH887" s="2" t="s">
        <v>62</v>
      </c>
      <c r="AI887" s="2" t="s">
        <v>109</v>
      </c>
      <c r="AJ887" s="2">
        <v>1.18635205820274</v>
      </c>
      <c r="AK887" s="2">
        <v>0.58296362550855996</v>
      </c>
      <c r="AL887" s="2">
        <v>0.53380476274635502</v>
      </c>
      <c r="AM887" s="2">
        <v>0.224628278108779</v>
      </c>
      <c r="AN887" s="2">
        <v>3.0161353999372</v>
      </c>
      <c r="AO887" s="2">
        <v>0.115077207606091</v>
      </c>
      <c r="AP887" s="2">
        <v>0.115077207606091</v>
      </c>
      <c r="AQ887" s="2">
        <v>0</v>
      </c>
      <c r="AR887" s="2">
        <v>0</v>
      </c>
      <c r="AS887" s="2">
        <v>0</v>
      </c>
      <c r="AT887" s="2">
        <v>23</v>
      </c>
      <c r="AU887" s="2">
        <v>7</v>
      </c>
      <c r="AV887" s="2">
        <v>160</v>
      </c>
      <c r="AW887" s="2">
        <v>0</v>
      </c>
      <c r="AX887" s="2">
        <v>0</v>
      </c>
      <c r="AZ887" s="2">
        <v>6.8</v>
      </c>
      <c r="BA887" s="2">
        <v>19.899999999999999</v>
      </c>
      <c r="BB887" s="2">
        <v>564</v>
      </c>
      <c r="BC887" s="2">
        <v>68</v>
      </c>
      <c r="BD887" s="2">
        <v>1.5</v>
      </c>
      <c r="BE887" s="2">
        <v>135</v>
      </c>
      <c r="BF887" s="2">
        <v>0.8</v>
      </c>
      <c r="BG887" s="2">
        <v>162</v>
      </c>
      <c r="BH887" s="2">
        <v>9.1</v>
      </c>
      <c r="BI887" s="2">
        <v>9.1999999999999993</v>
      </c>
      <c r="BJ887" s="2">
        <v>18.3</v>
      </c>
      <c r="BK887" s="2">
        <v>0.34</v>
      </c>
      <c r="BL887" s="2">
        <v>7.3</v>
      </c>
      <c r="BM887" s="2">
        <v>0.9</v>
      </c>
      <c r="BN887" s="2">
        <v>7.5</v>
      </c>
      <c r="BO887" s="2">
        <v>2.9</v>
      </c>
      <c r="BP887" s="2">
        <f t="shared" si="26"/>
        <v>5.5955150833350622</v>
      </c>
      <c r="BQ887" s="2">
        <f t="shared" si="27"/>
        <v>18.105124545419482</v>
      </c>
    </row>
    <row r="888" spans="1:69" x14ac:dyDescent="0.2">
      <c r="A888" s="2" t="s">
        <v>2371</v>
      </c>
      <c r="B888" s="2" t="s">
        <v>47</v>
      </c>
      <c r="C888" s="2" t="s">
        <v>1935</v>
      </c>
      <c r="D888" s="2" t="s">
        <v>49</v>
      </c>
      <c r="E888" s="2" t="s">
        <v>1548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89</v>
      </c>
      <c r="L888" s="6" t="s">
        <v>141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2372</v>
      </c>
      <c r="R888" s="2">
        <v>5602455.8710000003</v>
      </c>
      <c r="S888" s="2">
        <v>0</v>
      </c>
      <c r="T888" s="2" t="s">
        <v>398</v>
      </c>
      <c r="U888" s="2" t="s">
        <v>399</v>
      </c>
      <c r="V888" s="2" t="s">
        <v>56</v>
      </c>
      <c r="W888" s="2" t="s">
        <v>57</v>
      </c>
      <c r="X888" s="2" t="s">
        <v>400</v>
      </c>
      <c r="Y888" s="2">
        <v>4.5542671429301302</v>
      </c>
      <c r="Z888" s="2">
        <v>4554.2671429301299</v>
      </c>
      <c r="AA888" s="2">
        <v>4.7358055555555598</v>
      </c>
      <c r="AB888" s="2">
        <v>-74.125888888888895</v>
      </c>
      <c r="AC888" s="2">
        <v>2574</v>
      </c>
      <c r="AD888" s="2">
        <v>0</v>
      </c>
      <c r="AE888" s="2" t="s">
        <v>133</v>
      </c>
      <c r="AF888" s="2" t="s">
        <v>86</v>
      </c>
      <c r="AG888" s="2" t="s">
        <v>61</v>
      </c>
      <c r="AH888" s="2" t="s">
        <v>62</v>
      </c>
      <c r="AI888" s="2" t="s">
        <v>391</v>
      </c>
      <c r="AJ888" s="2">
        <v>0.39085469815984403</v>
      </c>
      <c r="AK888" s="2">
        <v>3.5989866462029898</v>
      </c>
      <c r="AL888" s="2">
        <v>1.05206112028545</v>
      </c>
      <c r="AM888" s="2">
        <v>0.11887505683981101</v>
      </c>
      <c r="AN888" s="2">
        <v>1.2424621821028501</v>
      </c>
      <c r="AO888" s="2">
        <v>8.3678675129626595E-2</v>
      </c>
      <c r="AP888" s="2">
        <v>8.3678675129626595E-2</v>
      </c>
      <c r="AQ888" s="2">
        <v>2</v>
      </c>
      <c r="AR888" s="2">
        <v>4</v>
      </c>
      <c r="AS888" s="2">
        <v>0</v>
      </c>
      <c r="AT888" s="2">
        <v>0</v>
      </c>
      <c r="AU888" s="2">
        <v>0</v>
      </c>
      <c r="AV888" s="2">
        <v>31</v>
      </c>
      <c r="AW888" s="2">
        <v>0</v>
      </c>
      <c r="AX888" s="2">
        <v>0</v>
      </c>
      <c r="AZ888" s="2">
        <v>6.8</v>
      </c>
      <c r="BA888" s="2">
        <v>19.899999999999999</v>
      </c>
      <c r="BB888" s="2">
        <v>564</v>
      </c>
      <c r="BC888" s="2">
        <v>68</v>
      </c>
      <c r="BD888" s="2">
        <v>1.5</v>
      </c>
      <c r="BE888" s="2">
        <v>135</v>
      </c>
      <c r="BF888" s="2">
        <v>0.8</v>
      </c>
      <c r="BG888" s="2">
        <v>162</v>
      </c>
      <c r="BH888" s="2">
        <v>9.1</v>
      </c>
      <c r="BI888" s="2">
        <v>9.1999999999999993</v>
      </c>
      <c r="BJ888" s="2">
        <v>18.3</v>
      </c>
      <c r="BK888" s="2">
        <v>0.34</v>
      </c>
      <c r="BL888" s="2">
        <v>7.3</v>
      </c>
      <c r="BM888" s="2">
        <v>0.9</v>
      </c>
      <c r="BN888" s="2">
        <v>7.5</v>
      </c>
      <c r="BO888" s="2">
        <v>2.9</v>
      </c>
      <c r="BP888" s="2">
        <f t="shared" si="26"/>
        <v>5.4275421492424041</v>
      </c>
      <c r="BQ888" s="2">
        <f t="shared" si="27"/>
        <v>17.839539611705575</v>
      </c>
    </row>
    <row r="889" spans="1:69" x14ac:dyDescent="0.2">
      <c r="A889" s="2" t="s">
        <v>1343</v>
      </c>
      <c r="B889" s="2" t="s">
        <v>47</v>
      </c>
      <c r="C889" s="2" t="s">
        <v>48</v>
      </c>
      <c r="D889" s="2" t="s">
        <v>49</v>
      </c>
      <c r="E889" s="2" t="s">
        <v>1077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89</v>
      </c>
      <c r="L889" s="6" t="s">
        <v>141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1344</v>
      </c>
      <c r="R889" s="2">
        <v>6000000</v>
      </c>
      <c r="S889" s="2">
        <v>0</v>
      </c>
      <c r="T889" s="2" t="s">
        <v>105</v>
      </c>
      <c r="U889" s="2" t="s">
        <v>106</v>
      </c>
      <c r="V889" s="2" t="s">
        <v>56</v>
      </c>
      <c r="W889" s="2" t="s">
        <v>107</v>
      </c>
      <c r="X889" s="2" t="s">
        <v>108</v>
      </c>
      <c r="Y889" s="2">
        <v>2.0564096395237002</v>
      </c>
      <c r="Z889" s="2">
        <v>2056.4096395237002</v>
      </c>
      <c r="AA889" s="2">
        <v>4.6254861111111101</v>
      </c>
      <c r="AB889" s="2">
        <v>-74.066980555555503</v>
      </c>
      <c r="AC889" s="2">
        <v>2621</v>
      </c>
      <c r="AD889" s="2">
        <v>15</v>
      </c>
      <c r="AE889" s="2" t="s">
        <v>59</v>
      </c>
      <c r="AF889" s="2" t="s">
        <v>60</v>
      </c>
      <c r="AG889" s="2" t="s">
        <v>61</v>
      </c>
      <c r="AH889" s="2" t="s">
        <v>62</v>
      </c>
      <c r="AI889" s="2" t="s">
        <v>117</v>
      </c>
      <c r="AJ889" s="2">
        <v>0.27033088744983802</v>
      </c>
      <c r="AK889" s="2">
        <v>0.223943986962651</v>
      </c>
      <c r="AL889" s="2">
        <v>9.91974108203698E-2</v>
      </c>
      <c r="AM889" s="2">
        <v>0.392901744695907</v>
      </c>
      <c r="AN889" s="2">
        <v>0.91450155293346602</v>
      </c>
      <c r="AO889" s="2">
        <v>0.14476419998323201</v>
      </c>
      <c r="AP889" s="2">
        <v>0.14476419998323201</v>
      </c>
      <c r="AQ889" s="2">
        <v>1</v>
      </c>
      <c r="AR889" s="2">
        <v>6</v>
      </c>
      <c r="AS889" s="2">
        <v>24</v>
      </c>
      <c r="AT889" s="2">
        <v>32</v>
      </c>
      <c r="AU889" s="2">
        <v>9</v>
      </c>
      <c r="AV889" s="2">
        <v>46</v>
      </c>
      <c r="AW889" s="2">
        <v>1</v>
      </c>
      <c r="AX889" s="2">
        <v>7</v>
      </c>
      <c r="AZ889" s="2">
        <v>6.8</v>
      </c>
      <c r="BA889" s="2">
        <v>19.899999999999999</v>
      </c>
      <c r="BB889" s="2">
        <v>564</v>
      </c>
      <c r="BC889" s="2">
        <v>68</v>
      </c>
      <c r="BD889" s="2">
        <v>1.5</v>
      </c>
      <c r="BE889" s="2">
        <v>135</v>
      </c>
      <c r="BF889" s="2">
        <v>0.8</v>
      </c>
      <c r="BG889" s="2">
        <v>162</v>
      </c>
      <c r="BH889" s="2">
        <v>9.1</v>
      </c>
      <c r="BI889" s="2">
        <v>9.1999999999999993</v>
      </c>
      <c r="BJ889" s="2">
        <v>18.3</v>
      </c>
      <c r="BK889" s="2">
        <v>0.34</v>
      </c>
      <c r="BL889" s="2">
        <v>7.3</v>
      </c>
      <c r="BM889" s="2">
        <v>0.9</v>
      </c>
      <c r="BN889" s="2">
        <v>7.5</v>
      </c>
      <c r="BO889" s="2">
        <v>2.9</v>
      </c>
      <c r="BP889" s="2">
        <f t="shared" si="26"/>
        <v>6.1418766269281395</v>
      </c>
      <c r="BQ889" s="2">
        <f t="shared" si="27"/>
        <v>18.94170112748775</v>
      </c>
    </row>
    <row r="890" spans="1:69" x14ac:dyDescent="0.2">
      <c r="A890" s="2" t="s">
        <v>2820</v>
      </c>
      <c r="B890" s="2" t="s">
        <v>47</v>
      </c>
      <c r="C890" s="2" t="s">
        <v>1935</v>
      </c>
      <c r="D890" s="2" t="s">
        <v>49</v>
      </c>
      <c r="E890" s="2" t="s">
        <v>2821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89</v>
      </c>
      <c r="L890" s="6" t="s">
        <v>141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2822</v>
      </c>
      <c r="R890" s="2">
        <v>7539682.54</v>
      </c>
      <c r="S890" s="2">
        <v>0</v>
      </c>
      <c r="T890" s="2" t="s">
        <v>54</v>
      </c>
      <c r="U890" s="2" t="s">
        <v>55</v>
      </c>
      <c r="V890" s="2" t="s">
        <v>56</v>
      </c>
      <c r="W890" s="2" t="s">
        <v>57</v>
      </c>
      <c r="X890" s="2" t="s">
        <v>58</v>
      </c>
      <c r="Y890" s="2">
        <v>1.2089849764924301</v>
      </c>
      <c r="Z890" s="2">
        <v>1208.98497649243</v>
      </c>
      <c r="AA890" s="2">
        <v>4.6584666666666701</v>
      </c>
      <c r="AB890" s="2">
        <v>-74.083966666666697</v>
      </c>
      <c r="AC890" s="2">
        <v>2552</v>
      </c>
      <c r="AD890" s="2">
        <v>0</v>
      </c>
      <c r="AE890" s="2" t="s">
        <v>59</v>
      </c>
      <c r="AF890" s="2" t="s">
        <v>60</v>
      </c>
      <c r="AG890" s="2" t="s">
        <v>61</v>
      </c>
      <c r="AH890" s="2" t="s">
        <v>62</v>
      </c>
      <c r="AI890" s="2" t="s">
        <v>321</v>
      </c>
      <c r="AJ890" s="2">
        <v>1.28829111634911</v>
      </c>
      <c r="AK890" s="2">
        <v>4.4243403090621296</v>
      </c>
      <c r="AL890" s="2">
        <v>2.1461170314008999</v>
      </c>
      <c r="AM890" s="2">
        <v>9.05302389918652E-2</v>
      </c>
      <c r="AN890" s="2">
        <v>0.67783383305669398</v>
      </c>
      <c r="AO890" s="2">
        <v>0.28370949738295098</v>
      </c>
      <c r="AP890" s="2">
        <v>0.28370949738295098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19</v>
      </c>
      <c r="AW890" s="2">
        <v>1</v>
      </c>
      <c r="AX890" s="2">
        <v>0</v>
      </c>
      <c r="AZ890" s="2">
        <v>6.8</v>
      </c>
      <c r="BA890" s="2">
        <v>19.899999999999999</v>
      </c>
      <c r="BB890" s="2">
        <v>564</v>
      </c>
      <c r="BC890" s="2">
        <v>68</v>
      </c>
      <c r="BD890" s="2">
        <v>1.5</v>
      </c>
      <c r="BE890" s="2">
        <v>135</v>
      </c>
      <c r="BF890" s="2">
        <v>0.8</v>
      </c>
      <c r="BG890" s="2">
        <v>162</v>
      </c>
      <c r="BH890" s="2">
        <v>9.1</v>
      </c>
      <c r="BI890" s="2">
        <v>9.1999999999999993</v>
      </c>
      <c r="BJ890" s="2">
        <v>18.3</v>
      </c>
      <c r="BK890" s="2">
        <v>0.34</v>
      </c>
      <c r="BL890" s="2">
        <v>7.3</v>
      </c>
      <c r="BM890" s="2">
        <v>0.9</v>
      </c>
      <c r="BN890" s="2">
        <v>7.5</v>
      </c>
      <c r="BO890" s="2">
        <v>2.9</v>
      </c>
      <c r="BP890" s="2">
        <f t="shared" si="26"/>
        <v>6.4049930857869413</v>
      </c>
      <c r="BQ890" s="2">
        <f t="shared" si="27"/>
        <v>19.330885316381117</v>
      </c>
    </row>
    <row r="891" spans="1:69" x14ac:dyDescent="0.2">
      <c r="A891" s="2" t="s">
        <v>2402</v>
      </c>
      <c r="B891" s="2" t="s">
        <v>47</v>
      </c>
      <c r="C891" s="2" t="s">
        <v>1935</v>
      </c>
      <c r="D891" s="2" t="s">
        <v>49</v>
      </c>
      <c r="E891" s="2" t="s">
        <v>1096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89</v>
      </c>
      <c r="L891" s="6" t="s">
        <v>103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2403</v>
      </c>
      <c r="R891" s="2">
        <v>7142857.1430000002</v>
      </c>
      <c r="S891" s="2">
        <v>0</v>
      </c>
      <c r="T891" s="2" t="s">
        <v>54</v>
      </c>
      <c r="U891" s="2" t="s">
        <v>55</v>
      </c>
      <c r="V891" s="2" t="s">
        <v>56</v>
      </c>
      <c r="W891" s="2" t="s">
        <v>57</v>
      </c>
      <c r="X891" s="2" t="s">
        <v>58</v>
      </c>
      <c r="Y891" s="2">
        <v>1.2253324039144999</v>
      </c>
      <c r="Z891" s="2">
        <v>1225.3324039145</v>
      </c>
      <c r="AA891" s="2">
        <v>4.6584666666666701</v>
      </c>
      <c r="AB891" s="2">
        <v>-74.083966666666697</v>
      </c>
      <c r="AC891" s="2">
        <v>2552</v>
      </c>
      <c r="AD891" s="2">
        <v>0</v>
      </c>
      <c r="AE891" s="2" t="s">
        <v>59</v>
      </c>
      <c r="AF891" s="2" t="s">
        <v>60</v>
      </c>
      <c r="AG891" s="2" t="s">
        <v>61</v>
      </c>
      <c r="AH891" s="2" t="s">
        <v>62</v>
      </c>
      <c r="AI891" s="2" t="s">
        <v>321</v>
      </c>
      <c r="AJ891" s="2">
        <v>1.27184252975858</v>
      </c>
      <c r="AK891" s="2">
        <v>4.41885841573127</v>
      </c>
      <c r="AL891" s="2">
        <v>2.1622781003072902</v>
      </c>
      <c r="AM891" s="2">
        <v>6.6413343556685503E-2</v>
      </c>
      <c r="AN891" s="2">
        <v>0.64815072494577197</v>
      </c>
      <c r="AO891" s="2">
        <v>0.25426072115731102</v>
      </c>
      <c r="AP891" s="2">
        <v>0.25426072115731102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19</v>
      </c>
      <c r="AW891" s="2">
        <v>1</v>
      </c>
      <c r="AX891" s="2">
        <v>0</v>
      </c>
      <c r="AZ891" s="2">
        <v>6.8</v>
      </c>
      <c r="BA891" s="2">
        <v>19.899999999999999</v>
      </c>
      <c r="BB891" s="2">
        <v>564</v>
      </c>
      <c r="BC891" s="2">
        <v>68</v>
      </c>
      <c r="BD891" s="2">
        <v>1.5</v>
      </c>
      <c r="BE891" s="2">
        <v>135</v>
      </c>
      <c r="BF891" s="2">
        <v>0.8</v>
      </c>
      <c r="BG891" s="2">
        <v>162</v>
      </c>
      <c r="BH891" s="2">
        <v>9.1</v>
      </c>
      <c r="BI891" s="2">
        <v>9.1999999999999993</v>
      </c>
      <c r="BJ891" s="2">
        <v>18.3</v>
      </c>
      <c r="BK891" s="2">
        <v>0.34</v>
      </c>
      <c r="BL891" s="2">
        <v>7.3</v>
      </c>
      <c r="BM891" s="2">
        <v>0.9</v>
      </c>
      <c r="BN891" s="2">
        <v>7.5</v>
      </c>
      <c r="BO891" s="2">
        <v>2.9</v>
      </c>
      <c r="BP891" s="2">
        <f t="shared" si="26"/>
        <v>6.3998122768182473</v>
      </c>
      <c r="BQ891" s="2">
        <f t="shared" si="27"/>
        <v>19.323302558108335</v>
      </c>
    </row>
    <row r="892" spans="1:69" x14ac:dyDescent="0.2">
      <c r="A892" s="2" t="s">
        <v>533</v>
      </c>
      <c r="B892" s="2" t="s">
        <v>47</v>
      </c>
      <c r="C892" s="2" t="s">
        <v>48</v>
      </c>
      <c r="D892" s="2" t="s">
        <v>49</v>
      </c>
      <c r="E892" s="2" t="s">
        <v>514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89</v>
      </c>
      <c r="L892" s="6" t="s">
        <v>141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534</v>
      </c>
      <c r="R892" s="2">
        <v>6190476.1900000004</v>
      </c>
      <c r="S892" s="2">
        <v>0</v>
      </c>
      <c r="T892" s="2" t="s">
        <v>105</v>
      </c>
      <c r="U892" s="2" t="s">
        <v>106</v>
      </c>
      <c r="V892" s="2" t="s">
        <v>56</v>
      </c>
      <c r="W892" s="2" t="s">
        <v>107</v>
      </c>
      <c r="X892" s="2" t="s">
        <v>108</v>
      </c>
      <c r="Y892" s="2">
        <v>2.2869605096965699</v>
      </c>
      <c r="Z892" s="2">
        <v>2286.9605096965702</v>
      </c>
      <c r="AA892" s="2">
        <v>4.6254861111111101</v>
      </c>
      <c r="AB892" s="2">
        <v>-74.066980555555503</v>
      </c>
      <c r="AC892" s="2">
        <v>2621</v>
      </c>
      <c r="AD892" s="2">
        <v>15</v>
      </c>
      <c r="AE892" s="2" t="s">
        <v>59</v>
      </c>
      <c r="AF892" s="2" t="s">
        <v>60</v>
      </c>
      <c r="AG892" s="2" t="s">
        <v>61</v>
      </c>
      <c r="AH892" s="2" t="s">
        <v>62</v>
      </c>
      <c r="AI892" s="2" t="s">
        <v>117</v>
      </c>
      <c r="AJ892" s="2">
        <v>9.1847888220908405E-2</v>
      </c>
      <c r="AK892" s="2">
        <v>0.24273609508341401</v>
      </c>
      <c r="AL892" s="2">
        <v>0.23260249858958801</v>
      </c>
      <c r="AM892" s="2">
        <v>0.26069611793023201</v>
      </c>
      <c r="AN892" s="2">
        <v>1.1424697195975799</v>
      </c>
      <c r="AO892" s="2">
        <v>9.5799130257334802E-2</v>
      </c>
      <c r="AP892" s="2">
        <v>9.5799130257334802E-2</v>
      </c>
      <c r="AQ892" s="2">
        <v>2</v>
      </c>
      <c r="AR892" s="2">
        <v>5</v>
      </c>
      <c r="AS892" s="2">
        <v>24</v>
      </c>
      <c r="AT892" s="2">
        <v>41</v>
      </c>
      <c r="AU892" s="2">
        <v>11</v>
      </c>
      <c r="AV892" s="2">
        <v>41</v>
      </c>
      <c r="AW892" s="2">
        <v>0</v>
      </c>
      <c r="AX892" s="2">
        <v>8</v>
      </c>
      <c r="AZ892" s="2">
        <v>6.8</v>
      </c>
      <c r="BA892" s="2">
        <v>19.899999999999999</v>
      </c>
      <c r="BB892" s="2">
        <v>564</v>
      </c>
      <c r="BC892" s="2">
        <v>68</v>
      </c>
      <c r="BD892" s="2">
        <v>1.5</v>
      </c>
      <c r="BE892" s="2">
        <v>135</v>
      </c>
      <c r="BF892" s="2">
        <v>0.8</v>
      </c>
      <c r="BG892" s="2">
        <v>162</v>
      </c>
      <c r="BH892" s="2">
        <v>9.1</v>
      </c>
      <c r="BI892" s="2">
        <v>9.1999999999999993</v>
      </c>
      <c r="BJ892" s="2">
        <v>18.3</v>
      </c>
      <c r="BK892" s="2">
        <v>0.34</v>
      </c>
      <c r="BL892" s="2">
        <v>7.3</v>
      </c>
      <c r="BM892" s="2">
        <v>0.9</v>
      </c>
      <c r="BN892" s="2">
        <v>7.5</v>
      </c>
      <c r="BO892" s="2">
        <v>2.9</v>
      </c>
      <c r="BP892" s="2">
        <f t="shared" si="26"/>
        <v>6.0721823258236647</v>
      </c>
      <c r="BQ892" s="2">
        <f t="shared" si="27"/>
        <v>18.837181941766232</v>
      </c>
    </row>
    <row r="893" spans="1:69" x14ac:dyDescent="0.2">
      <c r="A893" s="2" t="s">
        <v>3085</v>
      </c>
      <c r="B893" s="2" t="s">
        <v>47</v>
      </c>
      <c r="C893" s="2" t="s">
        <v>1935</v>
      </c>
      <c r="D893" s="2" t="s">
        <v>49</v>
      </c>
      <c r="E893" s="2" t="s">
        <v>3086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89</v>
      </c>
      <c r="L893" s="6" t="s">
        <v>141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3087</v>
      </c>
      <c r="R893" s="2">
        <v>4444444.4440000001</v>
      </c>
      <c r="S893" s="2">
        <v>0</v>
      </c>
      <c r="T893" s="2" t="s">
        <v>344</v>
      </c>
      <c r="U893" s="2" t="s">
        <v>345</v>
      </c>
      <c r="V893" s="2" t="s">
        <v>56</v>
      </c>
      <c r="W893" s="2" t="s">
        <v>344</v>
      </c>
      <c r="X893" s="2" t="s">
        <v>346</v>
      </c>
      <c r="Y893" s="2">
        <v>1.6389042568568499</v>
      </c>
      <c r="Z893" s="2">
        <v>1638.90425685685</v>
      </c>
      <c r="AA893" s="2">
        <v>4.6056111111111102</v>
      </c>
      <c r="AB893" s="2">
        <v>-74.204055555555598</v>
      </c>
      <c r="AC893" s="2">
        <v>2546</v>
      </c>
      <c r="AD893" s="2">
        <v>0</v>
      </c>
      <c r="AE893" s="2" t="s">
        <v>59</v>
      </c>
      <c r="AF893" s="2" t="s">
        <v>86</v>
      </c>
      <c r="AG893" s="2" t="s">
        <v>61</v>
      </c>
      <c r="AH893" s="2" t="s">
        <v>62</v>
      </c>
      <c r="AI893" s="2" t="s">
        <v>347</v>
      </c>
      <c r="AJ893" s="2">
        <v>0.78882084696815002</v>
      </c>
      <c r="AK893" s="2">
        <v>3.6348324778224801</v>
      </c>
      <c r="AL893" s="2">
        <v>5.7418089342741299</v>
      </c>
      <c r="AM893" s="2">
        <v>0.17791874385429199</v>
      </c>
      <c r="AN893" s="2">
        <v>0.37315977760148</v>
      </c>
      <c r="AO893" s="2">
        <v>0.18768756678078699</v>
      </c>
      <c r="AP893" s="2">
        <v>0.18768756678078699</v>
      </c>
      <c r="AQ893" s="2">
        <v>0</v>
      </c>
      <c r="AR893" s="2">
        <v>1</v>
      </c>
      <c r="AS893" s="2">
        <v>0</v>
      </c>
      <c r="AT893" s="2">
        <v>0</v>
      </c>
      <c r="AU893" s="2">
        <v>0</v>
      </c>
      <c r="AV893" s="2">
        <v>22</v>
      </c>
      <c r="AW893" s="2">
        <v>1</v>
      </c>
      <c r="AX893" s="2">
        <v>0</v>
      </c>
      <c r="AZ893" s="2">
        <v>6.8</v>
      </c>
      <c r="BA893" s="2">
        <v>19.899999999999999</v>
      </c>
      <c r="BB893" s="2">
        <v>564</v>
      </c>
      <c r="BC893" s="2">
        <v>68</v>
      </c>
      <c r="BD893" s="2">
        <v>1.5</v>
      </c>
      <c r="BE893" s="2">
        <v>135</v>
      </c>
      <c r="BF893" s="2">
        <v>0.8</v>
      </c>
      <c r="BG893" s="2">
        <v>162</v>
      </c>
      <c r="BH893" s="2">
        <v>9.1</v>
      </c>
      <c r="BI893" s="2">
        <v>9.1999999999999993</v>
      </c>
      <c r="BJ893" s="2">
        <v>18.3</v>
      </c>
      <c r="BK893" s="2">
        <v>0.34</v>
      </c>
      <c r="BL893" s="2">
        <v>7.3</v>
      </c>
      <c r="BM893" s="2">
        <v>0.9</v>
      </c>
      <c r="BN893" s="2">
        <v>7.5</v>
      </c>
      <c r="BO893" s="2">
        <v>2.9</v>
      </c>
      <c r="BP893" s="2">
        <f t="shared" si="26"/>
        <v>6.2701285163961504</v>
      </c>
      <c r="BQ893" s="2">
        <f t="shared" si="27"/>
        <v>19.132453505478384</v>
      </c>
    </row>
    <row r="894" spans="1:69" x14ac:dyDescent="0.2">
      <c r="A894" s="2" t="s">
        <v>1681</v>
      </c>
      <c r="B894" s="2" t="s">
        <v>47</v>
      </c>
      <c r="C894" s="2" t="s">
        <v>48</v>
      </c>
      <c r="D894" s="2" t="s">
        <v>49</v>
      </c>
      <c r="E894" s="2" t="s">
        <v>208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89</v>
      </c>
      <c r="L894" s="6" t="s">
        <v>94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1682</v>
      </c>
      <c r="R894" s="2">
        <v>8943089.4309999999</v>
      </c>
      <c r="S894" s="2">
        <v>0</v>
      </c>
      <c r="T894" s="2" t="s">
        <v>54</v>
      </c>
      <c r="U894" s="2" t="s">
        <v>55</v>
      </c>
      <c r="V894" s="2" t="s">
        <v>56</v>
      </c>
      <c r="W894" s="2" t="s">
        <v>57</v>
      </c>
      <c r="X894" s="2" t="s">
        <v>58</v>
      </c>
      <c r="Y894" s="2">
        <v>4.3141635847213804</v>
      </c>
      <c r="Z894" s="2">
        <v>4314.1635847213802</v>
      </c>
      <c r="AA894" s="2">
        <v>4.6584666666666701</v>
      </c>
      <c r="AB894" s="2">
        <v>-74.083966666666697</v>
      </c>
      <c r="AC894" s="2">
        <v>2552</v>
      </c>
      <c r="AD894" s="2">
        <v>0</v>
      </c>
      <c r="AE894" s="2" t="s">
        <v>59</v>
      </c>
      <c r="AF894" s="2" t="s">
        <v>60</v>
      </c>
      <c r="AG894" s="2" t="s">
        <v>61</v>
      </c>
      <c r="AH894" s="2" t="s">
        <v>62</v>
      </c>
      <c r="AI894" s="2" t="s">
        <v>109</v>
      </c>
      <c r="AJ894" s="2">
        <v>1.2059075870374301</v>
      </c>
      <c r="AK894" s="2">
        <v>0.84030004789027402</v>
      </c>
      <c r="AL894" s="2">
        <v>1.1724265028465499</v>
      </c>
      <c r="AM894" s="2">
        <v>4.6211697241759803E-2</v>
      </c>
      <c r="AN894" s="2">
        <v>3.7178757701118599</v>
      </c>
      <c r="AO894" s="2">
        <v>0.82746526797525</v>
      </c>
      <c r="AP894" s="2">
        <v>0.82746526797525</v>
      </c>
      <c r="AQ894" s="2">
        <v>0</v>
      </c>
      <c r="AR894" s="2">
        <v>0</v>
      </c>
      <c r="AS894" s="2">
        <v>0</v>
      </c>
      <c r="AT894" s="2">
        <v>8</v>
      </c>
      <c r="AU894" s="2">
        <v>0</v>
      </c>
      <c r="AV894" s="2">
        <v>101</v>
      </c>
      <c r="AW894" s="2">
        <v>0</v>
      </c>
      <c r="AX894" s="2">
        <v>0</v>
      </c>
      <c r="AZ894" s="2">
        <v>6.8</v>
      </c>
      <c r="BA894" s="2">
        <v>19.899999999999999</v>
      </c>
      <c r="BB894" s="2">
        <v>564</v>
      </c>
      <c r="BC894" s="2">
        <v>68</v>
      </c>
      <c r="BD894" s="2">
        <v>1.5</v>
      </c>
      <c r="BE894" s="2">
        <v>135</v>
      </c>
      <c r="BF894" s="2">
        <v>0.8</v>
      </c>
      <c r="BG894" s="2">
        <v>162</v>
      </c>
      <c r="BH894" s="2">
        <v>9.1</v>
      </c>
      <c r="BI894" s="2">
        <v>9.1999999999999993</v>
      </c>
      <c r="BJ894" s="2">
        <v>18.3</v>
      </c>
      <c r="BK894" s="2">
        <v>0.34</v>
      </c>
      <c r="BL894" s="2">
        <v>7.3</v>
      </c>
      <c r="BM894" s="2">
        <v>0.9</v>
      </c>
      <c r="BN894" s="2">
        <v>7.5</v>
      </c>
      <c r="BO894" s="2">
        <v>2.9</v>
      </c>
      <c r="BP894" s="2">
        <f t="shared" si="26"/>
        <v>5.4924340325146748</v>
      </c>
      <c r="BQ894" s="2">
        <f t="shared" si="27"/>
        <v>17.942636459960632</v>
      </c>
    </row>
    <row r="895" spans="1:69" x14ac:dyDescent="0.2">
      <c r="A895" s="2" t="s">
        <v>382</v>
      </c>
      <c r="B895" s="2" t="s">
        <v>47</v>
      </c>
      <c r="C895" s="2" t="s">
        <v>48</v>
      </c>
      <c r="D895" s="2" t="s">
        <v>49</v>
      </c>
      <c r="E895" s="2" t="s">
        <v>383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89</v>
      </c>
      <c r="L895" s="6" t="s">
        <v>141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384</v>
      </c>
      <c r="R895" s="2">
        <v>8032786.8849999998</v>
      </c>
      <c r="S895" s="2">
        <v>0</v>
      </c>
      <c r="T895" s="2" t="s">
        <v>54</v>
      </c>
      <c r="U895" s="2" t="s">
        <v>55</v>
      </c>
      <c r="V895" s="2" t="s">
        <v>56</v>
      </c>
      <c r="W895" s="2" t="s">
        <v>57</v>
      </c>
      <c r="X895" s="2" t="s">
        <v>58</v>
      </c>
      <c r="Y895" s="2">
        <v>3.3217963757870002</v>
      </c>
      <c r="Z895" s="2">
        <v>3321.7963757870002</v>
      </c>
      <c r="AA895" s="2">
        <v>4.6584666666666701</v>
      </c>
      <c r="AB895" s="2">
        <v>-74.083966666666697</v>
      </c>
      <c r="AC895" s="2">
        <v>2552</v>
      </c>
      <c r="AD895" s="2">
        <v>0</v>
      </c>
      <c r="AE895" s="2" t="s">
        <v>59</v>
      </c>
      <c r="AF895" s="2" t="s">
        <v>60</v>
      </c>
      <c r="AG895" s="2" t="s">
        <v>61</v>
      </c>
      <c r="AH895" s="2" t="s">
        <v>62</v>
      </c>
      <c r="AI895" s="2" t="s">
        <v>109</v>
      </c>
      <c r="AJ895" s="2">
        <v>0.21361040019649699</v>
      </c>
      <c r="AK895" s="2">
        <v>1.7155477937797801</v>
      </c>
      <c r="AL895" s="2">
        <v>0.60691502714465295</v>
      </c>
      <c r="AM895" s="2">
        <v>4.0064203525069501E-2</v>
      </c>
      <c r="AN895" s="2">
        <v>2.6456876664798799</v>
      </c>
      <c r="AO895" s="2">
        <v>0.77881204529357595</v>
      </c>
      <c r="AP895" s="2">
        <v>0.77881204529357595</v>
      </c>
      <c r="AQ895" s="2">
        <v>2</v>
      </c>
      <c r="AR895" s="2">
        <v>5</v>
      </c>
      <c r="AS895" s="2">
        <v>0</v>
      </c>
      <c r="AT895" s="2">
        <v>0</v>
      </c>
      <c r="AU895" s="2">
        <v>5</v>
      </c>
      <c r="AV895" s="2">
        <v>303</v>
      </c>
      <c r="AW895" s="2">
        <v>0</v>
      </c>
      <c r="AX895" s="2">
        <v>0</v>
      </c>
      <c r="AZ895" s="2">
        <v>6.8</v>
      </c>
      <c r="BA895" s="2">
        <v>19.899999999999999</v>
      </c>
      <c r="BB895" s="2">
        <v>564</v>
      </c>
      <c r="BC895" s="2">
        <v>68</v>
      </c>
      <c r="BD895" s="2">
        <v>1.5</v>
      </c>
      <c r="BE895" s="2">
        <v>135</v>
      </c>
      <c r="BF895" s="2">
        <v>0.8</v>
      </c>
      <c r="BG895" s="2">
        <v>162</v>
      </c>
      <c r="BH895" s="2">
        <v>9.1</v>
      </c>
      <c r="BI895" s="2">
        <v>9.1999999999999993</v>
      </c>
      <c r="BJ895" s="2">
        <v>18.3</v>
      </c>
      <c r="BK895" s="2">
        <v>0.34</v>
      </c>
      <c r="BL895" s="2">
        <v>7.3</v>
      </c>
      <c r="BM895" s="2">
        <v>0.9</v>
      </c>
      <c r="BN895" s="2">
        <v>7.5</v>
      </c>
      <c r="BO895" s="2">
        <v>2.9</v>
      </c>
      <c r="BP895" s="2">
        <f t="shared" si="26"/>
        <v>5.7689707876224219</v>
      </c>
      <c r="BQ895" s="2">
        <f t="shared" si="27"/>
        <v>18.375102415418009</v>
      </c>
    </row>
    <row r="896" spans="1:69" x14ac:dyDescent="0.2">
      <c r="A896" s="2" t="s">
        <v>2093</v>
      </c>
      <c r="B896" s="2" t="s">
        <v>47</v>
      </c>
      <c r="C896" s="2" t="s">
        <v>1935</v>
      </c>
      <c r="D896" s="2" t="s">
        <v>49</v>
      </c>
      <c r="E896" s="2" t="s">
        <v>2094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89</v>
      </c>
      <c r="L896" s="6" t="s">
        <v>94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2095</v>
      </c>
      <c r="R896" s="2">
        <v>3916666.6669999999</v>
      </c>
      <c r="S896" s="2">
        <v>0</v>
      </c>
      <c r="T896" s="2" t="s">
        <v>398</v>
      </c>
      <c r="U896" s="2" t="s">
        <v>399</v>
      </c>
      <c r="V896" s="2" t="s">
        <v>56</v>
      </c>
      <c r="W896" s="2" t="s">
        <v>57</v>
      </c>
      <c r="X896" s="2" t="s">
        <v>400</v>
      </c>
      <c r="Y896" s="2">
        <v>2.47451474465301</v>
      </c>
      <c r="Z896" s="2">
        <v>2474.51474465301</v>
      </c>
      <c r="AA896" s="2">
        <v>4.7358055555555598</v>
      </c>
      <c r="AB896" s="2">
        <v>-74.125888888888895</v>
      </c>
      <c r="AC896" s="2">
        <v>2574</v>
      </c>
      <c r="AD896" s="2">
        <v>0</v>
      </c>
      <c r="AE896" s="2" t="s">
        <v>133</v>
      </c>
      <c r="AF896" s="2" t="s">
        <v>86</v>
      </c>
      <c r="AG896" s="2" t="s">
        <v>61</v>
      </c>
      <c r="AH896" s="2" t="s">
        <v>62</v>
      </c>
      <c r="AI896" s="2" t="s">
        <v>391</v>
      </c>
      <c r="AJ896" s="2">
        <v>1.0663575216308501</v>
      </c>
      <c r="AK896" s="2">
        <v>1.78618775830233</v>
      </c>
      <c r="AL896" s="2">
        <v>2.9994937494564899</v>
      </c>
      <c r="AM896" s="2">
        <v>0.33106230048453</v>
      </c>
      <c r="AN896" s="2">
        <v>3.3772136096983698</v>
      </c>
      <c r="AO896" s="2">
        <v>0.19464300405141499</v>
      </c>
      <c r="AP896" s="2">
        <v>0.19464300405141499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12</v>
      </c>
      <c r="AW896" s="2">
        <v>0</v>
      </c>
      <c r="AX896" s="2">
        <v>0</v>
      </c>
      <c r="AZ896" s="2">
        <v>6.8</v>
      </c>
      <c r="BA896" s="2">
        <v>19.899999999999999</v>
      </c>
      <c r="BB896" s="2">
        <v>564</v>
      </c>
      <c r="BC896" s="2">
        <v>68</v>
      </c>
      <c r="BD896" s="2">
        <v>1.5</v>
      </c>
      <c r="BE896" s="2">
        <v>135</v>
      </c>
      <c r="BF896" s="2">
        <v>0.8</v>
      </c>
      <c r="BG896" s="2">
        <v>162</v>
      </c>
      <c r="BH896" s="2">
        <v>9.1</v>
      </c>
      <c r="BI896" s="2">
        <v>9.1999999999999993</v>
      </c>
      <c r="BJ896" s="2">
        <v>18.3</v>
      </c>
      <c r="BK896" s="2">
        <v>0.34</v>
      </c>
      <c r="BL896" s="2">
        <v>7.3</v>
      </c>
      <c r="BM896" s="2">
        <v>0.9</v>
      </c>
      <c r="BN896" s="2">
        <v>7.5</v>
      </c>
      <c r="BO896" s="2">
        <v>2.9</v>
      </c>
      <c r="BP896" s="2">
        <f t="shared" si="26"/>
        <v>6.0160694591769523</v>
      </c>
      <c r="BQ896" s="2">
        <f t="shared" si="27"/>
        <v>18.752580654621941</v>
      </c>
    </row>
    <row r="897" spans="1:69" x14ac:dyDescent="0.2">
      <c r="A897" s="2" t="s">
        <v>2178</v>
      </c>
      <c r="B897" s="2" t="s">
        <v>47</v>
      </c>
      <c r="C897" s="2" t="s">
        <v>1935</v>
      </c>
      <c r="D897" s="2" t="s">
        <v>49</v>
      </c>
      <c r="E897" s="2" t="s">
        <v>2179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89</v>
      </c>
      <c r="L897" s="6" t="s">
        <v>103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2180</v>
      </c>
      <c r="R897" s="2">
        <v>3333333.3330000001</v>
      </c>
      <c r="S897" s="2">
        <v>0</v>
      </c>
      <c r="T897" s="2" t="s">
        <v>398</v>
      </c>
      <c r="U897" s="2" t="s">
        <v>399</v>
      </c>
      <c r="V897" s="2" t="s">
        <v>56</v>
      </c>
      <c r="W897" s="2" t="s">
        <v>57</v>
      </c>
      <c r="X897" s="2" t="s">
        <v>400</v>
      </c>
      <c r="Y897" s="2">
        <v>2.81194202158055</v>
      </c>
      <c r="Z897" s="2">
        <v>2811.9420215805499</v>
      </c>
      <c r="AA897" s="2">
        <v>4.7358055555555598</v>
      </c>
      <c r="AB897" s="2">
        <v>-74.125888888888895</v>
      </c>
      <c r="AC897" s="2">
        <v>2574</v>
      </c>
      <c r="AD897" s="2">
        <v>0</v>
      </c>
      <c r="AE897" s="2" t="s">
        <v>133</v>
      </c>
      <c r="AF897" s="2" t="s">
        <v>86</v>
      </c>
      <c r="AG897" s="2" t="s">
        <v>61</v>
      </c>
      <c r="AH897" s="2" t="s">
        <v>62</v>
      </c>
      <c r="AI897" s="2" t="s">
        <v>391</v>
      </c>
      <c r="AJ897" s="2">
        <v>0.94977198695455001</v>
      </c>
      <c r="AK897" s="2">
        <v>1.67581835558266</v>
      </c>
      <c r="AL897" s="2">
        <v>2.4311592474868098</v>
      </c>
      <c r="AM897" s="2">
        <v>0.221373210822845</v>
      </c>
      <c r="AN897" s="2">
        <v>2.9815978907724898</v>
      </c>
      <c r="AO897" s="2">
        <v>8.0148165572668795E-2</v>
      </c>
      <c r="AP897" s="2">
        <v>8.0148165572668795E-2</v>
      </c>
      <c r="AQ897" s="2">
        <v>0</v>
      </c>
      <c r="AR897" s="2">
        <v>1</v>
      </c>
      <c r="AS897" s="2">
        <v>0</v>
      </c>
      <c r="AT897" s="2">
        <v>0</v>
      </c>
      <c r="AU897" s="2">
        <v>0</v>
      </c>
      <c r="AV897" s="2">
        <v>15</v>
      </c>
      <c r="AW897" s="2">
        <v>0</v>
      </c>
      <c r="AX897" s="2">
        <v>0</v>
      </c>
      <c r="AZ897" s="2">
        <v>6.8</v>
      </c>
      <c r="BA897" s="2">
        <v>19.899999999999999</v>
      </c>
      <c r="BB897" s="2">
        <v>564</v>
      </c>
      <c r="BC897" s="2">
        <v>68</v>
      </c>
      <c r="BD897" s="2">
        <v>1.5</v>
      </c>
      <c r="BE897" s="2">
        <v>135</v>
      </c>
      <c r="BF897" s="2">
        <v>0.8</v>
      </c>
      <c r="BG897" s="2">
        <v>162</v>
      </c>
      <c r="BH897" s="2">
        <v>9.1</v>
      </c>
      <c r="BI897" s="2">
        <v>9.1999999999999993</v>
      </c>
      <c r="BJ897" s="2">
        <v>18.3</v>
      </c>
      <c r="BK897" s="2">
        <v>0.34</v>
      </c>
      <c r="BL897" s="2">
        <v>7.3</v>
      </c>
      <c r="BM897" s="2">
        <v>0.9</v>
      </c>
      <c r="BN897" s="2">
        <v>7.5</v>
      </c>
      <c r="BO897" s="2">
        <v>2.9</v>
      </c>
      <c r="BP897" s="2">
        <f t="shared" si="26"/>
        <v>5.9164196797466309</v>
      </c>
      <c r="BQ897" s="2">
        <f t="shared" si="27"/>
        <v>18.601330737978046</v>
      </c>
    </row>
    <row r="898" spans="1:69" x14ac:dyDescent="0.2">
      <c r="A898" s="2" t="s">
        <v>1792</v>
      </c>
      <c r="B898" s="2" t="s">
        <v>47</v>
      </c>
      <c r="C898" s="2" t="s">
        <v>48</v>
      </c>
      <c r="D898" s="2" t="s">
        <v>49</v>
      </c>
      <c r="E898" s="2" t="s">
        <v>1793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89</v>
      </c>
      <c r="L898" s="6" t="s">
        <v>90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1794</v>
      </c>
      <c r="R898" s="2">
        <v>13983050.85</v>
      </c>
      <c r="S898" s="2">
        <v>0</v>
      </c>
      <c r="T898" s="2" t="s">
        <v>54</v>
      </c>
      <c r="U898" s="2" t="s">
        <v>55</v>
      </c>
      <c r="V898" s="2" t="s">
        <v>56</v>
      </c>
      <c r="W898" s="2" t="s">
        <v>57</v>
      </c>
      <c r="X898" s="2" t="s">
        <v>58</v>
      </c>
      <c r="Y898" s="2">
        <v>3.3474993598453602</v>
      </c>
      <c r="Z898" s="2">
        <v>3347.4993598453598</v>
      </c>
      <c r="AA898" s="2">
        <v>4.6584666666666701</v>
      </c>
      <c r="AB898" s="2">
        <v>-74.083966666666697</v>
      </c>
      <c r="AC898" s="2">
        <v>2552</v>
      </c>
      <c r="AD898" s="2">
        <v>0</v>
      </c>
      <c r="AE898" s="2" t="s">
        <v>59</v>
      </c>
      <c r="AF898" s="2" t="s">
        <v>60</v>
      </c>
      <c r="AG898" s="2" t="s">
        <v>61</v>
      </c>
      <c r="AH898" s="2" t="s">
        <v>62</v>
      </c>
      <c r="AI898" s="2" t="s">
        <v>109</v>
      </c>
      <c r="AJ898" s="2">
        <v>0.24863193569903699</v>
      </c>
      <c r="AK898" s="2">
        <v>1.76231132323115</v>
      </c>
      <c r="AL898" s="2">
        <v>0.67356739252260101</v>
      </c>
      <c r="AM898" s="2">
        <v>9.4984429613736696E-2</v>
      </c>
      <c r="AN898" s="2">
        <v>2.6350413171991902</v>
      </c>
      <c r="AO898" s="2">
        <v>0.71054781072594597</v>
      </c>
      <c r="AP898" s="2">
        <v>0.71054781072594597</v>
      </c>
      <c r="AQ898" s="2">
        <v>2</v>
      </c>
      <c r="AR898" s="2">
        <v>5</v>
      </c>
      <c r="AS898" s="2">
        <v>0</v>
      </c>
      <c r="AT898" s="2">
        <v>0</v>
      </c>
      <c r="AU898" s="2">
        <v>5</v>
      </c>
      <c r="AV898" s="2">
        <v>310</v>
      </c>
      <c r="AW898" s="2">
        <v>0</v>
      </c>
      <c r="AX898" s="2">
        <v>0</v>
      </c>
      <c r="AZ898" s="2">
        <v>6.8</v>
      </c>
      <c r="BA898" s="2">
        <v>19.899999999999999</v>
      </c>
      <c r="BB898" s="2">
        <v>564</v>
      </c>
      <c r="BC898" s="2">
        <v>68</v>
      </c>
      <c r="BD898" s="2">
        <v>1.5</v>
      </c>
      <c r="BE898" s="2">
        <v>135</v>
      </c>
      <c r="BF898" s="2">
        <v>0.8</v>
      </c>
      <c r="BG898" s="2">
        <v>162</v>
      </c>
      <c r="BH898" s="2">
        <v>9.1</v>
      </c>
      <c r="BI898" s="2">
        <v>9.1999999999999993</v>
      </c>
      <c r="BJ898" s="2">
        <v>18.3</v>
      </c>
      <c r="BK898" s="2">
        <v>0.34</v>
      </c>
      <c r="BL898" s="2">
        <v>7.3</v>
      </c>
      <c r="BM898" s="2">
        <v>0.9</v>
      </c>
      <c r="BN898" s="2">
        <v>7.5</v>
      </c>
      <c r="BO898" s="2">
        <v>2.9</v>
      </c>
      <c r="BP898" s="2">
        <f t="shared" ref="BP898:BP961" si="28">+AZ898*EXP(-0.0495*Y898)</f>
        <v>5.7616356065516685</v>
      </c>
      <c r="BQ898" s="2">
        <f t="shared" ref="BQ898:BQ961" si="29">+BA898*EXP(-0.024*Y898)</f>
        <v>18.36377083169663</v>
      </c>
    </row>
    <row r="899" spans="1:69" x14ac:dyDescent="0.2">
      <c r="A899" s="2" t="s">
        <v>1293</v>
      </c>
      <c r="B899" s="2" t="s">
        <v>47</v>
      </c>
      <c r="C899" s="2" t="s">
        <v>48</v>
      </c>
      <c r="D899" s="2" t="s">
        <v>49</v>
      </c>
      <c r="E899" s="2" t="s">
        <v>50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89</v>
      </c>
      <c r="L899" s="6" t="s">
        <v>112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1294</v>
      </c>
      <c r="R899" s="2">
        <v>7033898.3049999997</v>
      </c>
      <c r="S899" s="2">
        <v>0</v>
      </c>
      <c r="T899" s="2" t="s">
        <v>54</v>
      </c>
      <c r="U899" s="2" t="s">
        <v>55</v>
      </c>
      <c r="V899" s="2" t="s">
        <v>56</v>
      </c>
      <c r="W899" s="2" t="s">
        <v>57</v>
      </c>
      <c r="X899" s="2" t="s">
        <v>58</v>
      </c>
      <c r="Y899" s="2">
        <v>1.9435724148028199</v>
      </c>
      <c r="Z899" s="2">
        <v>1943.57241480282</v>
      </c>
      <c r="AA899" s="2">
        <v>4.6584666666666701</v>
      </c>
      <c r="AB899" s="2">
        <v>-74.083966666666697</v>
      </c>
      <c r="AC899" s="2">
        <v>2552</v>
      </c>
      <c r="AD899" s="2">
        <v>0</v>
      </c>
      <c r="AE899" s="2" t="s">
        <v>59</v>
      </c>
      <c r="AF899" s="2" t="s">
        <v>60</v>
      </c>
      <c r="AG899" s="2" t="s">
        <v>61</v>
      </c>
      <c r="AH899" s="2" t="s">
        <v>62</v>
      </c>
      <c r="AI899" s="2" t="s">
        <v>63</v>
      </c>
      <c r="AJ899" s="2">
        <v>0.64570553616987603</v>
      </c>
      <c r="AK899" s="2">
        <v>1.6042475682238799</v>
      </c>
      <c r="AL899" s="2">
        <v>0.40705244938268198</v>
      </c>
      <c r="AM899" s="2">
        <v>0.16919420196943999</v>
      </c>
      <c r="AN899" s="2">
        <v>1.48592104262841</v>
      </c>
      <c r="AO899" s="2">
        <v>0.1921891310535</v>
      </c>
      <c r="AP899" s="2">
        <v>0.1921891310535</v>
      </c>
      <c r="AQ899" s="2">
        <v>0</v>
      </c>
      <c r="AR899" s="2">
        <v>4</v>
      </c>
      <c r="AS899" s="2">
        <v>0</v>
      </c>
      <c r="AT899" s="2">
        <v>0</v>
      </c>
      <c r="AU899" s="2">
        <v>9</v>
      </c>
      <c r="AV899" s="2">
        <v>92</v>
      </c>
      <c r="AW899" s="2">
        <v>0</v>
      </c>
      <c r="AX899" s="2">
        <v>0</v>
      </c>
      <c r="AZ899" s="2">
        <v>6.8</v>
      </c>
      <c r="BA899" s="2">
        <v>19.899999999999999</v>
      </c>
      <c r="BB899" s="2">
        <v>564</v>
      </c>
      <c r="BC899" s="2">
        <v>68</v>
      </c>
      <c r="BD899" s="2">
        <v>1.5</v>
      </c>
      <c r="BE899" s="2">
        <v>135</v>
      </c>
      <c r="BF899" s="2">
        <v>0.8</v>
      </c>
      <c r="BG899" s="2">
        <v>162</v>
      </c>
      <c r="BH899" s="2">
        <v>9.1</v>
      </c>
      <c r="BI899" s="2">
        <v>9.1999999999999993</v>
      </c>
      <c r="BJ899" s="2">
        <v>18.3</v>
      </c>
      <c r="BK899" s="2">
        <v>0.34</v>
      </c>
      <c r="BL899" s="2">
        <v>7.3</v>
      </c>
      <c r="BM899" s="2">
        <v>0.9</v>
      </c>
      <c r="BN899" s="2">
        <v>7.5</v>
      </c>
      <c r="BO899" s="2">
        <v>2.9</v>
      </c>
      <c r="BP899" s="2">
        <f t="shared" si="28"/>
        <v>6.1762777096317532</v>
      </c>
      <c r="BQ899" s="2">
        <f t="shared" si="29"/>
        <v>18.99306654294827</v>
      </c>
    </row>
    <row r="900" spans="1:69" x14ac:dyDescent="0.2">
      <c r="A900" s="2" t="s">
        <v>4607</v>
      </c>
      <c r="B900" s="2" t="s">
        <v>47</v>
      </c>
      <c r="C900" s="2" t="s">
        <v>3273</v>
      </c>
      <c r="D900" s="2" t="s">
        <v>49</v>
      </c>
      <c r="E900" s="2" t="s">
        <v>1811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89</v>
      </c>
      <c r="L900" s="6" t="s">
        <v>90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4608</v>
      </c>
      <c r="R900" s="2">
        <v>16379310.34</v>
      </c>
      <c r="S900" s="2">
        <v>0</v>
      </c>
      <c r="T900" s="2" t="s">
        <v>54</v>
      </c>
      <c r="U900" s="2" t="s">
        <v>55</v>
      </c>
      <c r="V900" s="2" t="s">
        <v>56</v>
      </c>
      <c r="W900" s="2" t="s">
        <v>57</v>
      </c>
      <c r="X900" s="2" t="s">
        <v>58</v>
      </c>
      <c r="Y900" s="2">
        <v>3.8720533621040301</v>
      </c>
      <c r="Z900" s="2">
        <v>3872.0533621040299</v>
      </c>
      <c r="AA900" s="2">
        <v>4.6584666666666701</v>
      </c>
      <c r="AB900" s="2">
        <v>-74.083966666666697</v>
      </c>
      <c r="AC900" s="2">
        <v>2552</v>
      </c>
      <c r="AD900" s="2">
        <v>0</v>
      </c>
      <c r="AE900" s="2" t="s">
        <v>59</v>
      </c>
      <c r="AF900" s="2" t="s">
        <v>60</v>
      </c>
      <c r="AG900" s="2" t="s">
        <v>61</v>
      </c>
      <c r="AH900" s="2" t="s">
        <v>62</v>
      </c>
      <c r="AI900" s="2" t="s">
        <v>109</v>
      </c>
      <c r="AJ900" s="2">
        <v>1.32529028144001</v>
      </c>
      <c r="AK900" s="2">
        <v>0.40574172705353401</v>
      </c>
      <c r="AL900" s="2">
        <v>0.54040578990907495</v>
      </c>
      <c r="AM900" s="2">
        <v>0.14950650249817801</v>
      </c>
      <c r="AN900" s="2">
        <v>2.5291809657995601</v>
      </c>
      <c r="AO900" s="2">
        <v>0.291862022006529</v>
      </c>
      <c r="AP900" s="2">
        <v>0.291862022006529</v>
      </c>
      <c r="AQ900" s="2">
        <v>0</v>
      </c>
      <c r="AR900" s="2">
        <v>0</v>
      </c>
      <c r="AS900" s="2">
        <v>8</v>
      </c>
      <c r="AT900" s="2">
        <v>31</v>
      </c>
      <c r="AU900" s="2">
        <v>6</v>
      </c>
      <c r="AV900" s="2">
        <v>34</v>
      </c>
      <c r="AW900" s="2">
        <v>0</v>
      </c>
      <c r="AX900" s="2">
        <v>0</v>
      </c>
      <c r="AZ900" s="2">
        <v>6.8</v>
      </c>
      <c r="BA900" s="2">
        <v>19.899999999999999</v>
      </c>
      <c r="BB900" s="2">
        <v>564</v>
      </c>
      <c r="BC900" s="2">
        <v>68</v>
      </c>
      <c r="BD900" s="2">
        <v>1.5</v>
      </c>
      <c r="BE900" s="2">
        <v>135</v>
      </c>
      <c r="BF900" s="2">
        <v>0.8</v>
      </c>
      <c r="BG900" s="2">
        <v>162</v>
      </c>
      <c r="BH900" s="2">
        <v>9.1</v>
      </c>
      <c r="BI900" s="2">
        <v>9.1999999999999993</v>
      </c>
      <c r="BJ900" s="2">
        <v>18.3</v>
      </c>
      <c r="BK900" s="2">
        <v>0.34</v>
      </c>
      <c r="BL900" s="2">
        <v>7.3</v>
      </c>
      <c r="BM900" s="2">
        <v>0.9</v>
      </c>
      <c r="BN900" s="2">
        <v>7.5</v>
      </c>
      <c r="BO900" s="2">
        <v>2.9</v>
      </c>
      <c r="BP900" s="2">
        <f t="shared" si="28"/>
        <v>5.6139578548396871</v>
      </c>
      <c r="BQ900" s="2">
        <f t="shared" si="29"/>
        <v>18.13403303684299</v>
      </c>
    </row>
    <row r="901" spans="1:69" x14ac:dyDescent="0.2">
      <c r="A901" s="2" t="s">
        <v>1718</v>
      </c>
      <c r="B901" s="2" t="s">
        <v>47</v>
      </c>
      <c r="C901" s="2" t="s">
        <v>48</v>
      </c>
      <c r="D901" s="2" t="s">
        <v>49</v>
      </c>
      <c r="E901" s="2" t="s">
        <v>980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89</v>
      </c>
      <c r="L901" s="6" t="s">
        <v>141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1719</v>
      </c>
      <c r="R901" s="2">
        <v>4862523.2070000004</v>
      </c>
      <c r="S901" s="2">
        <v>0</v>
      </c>
      <c r="T901" s="2" t="s">
        <v>54</v>
      </c>
      <c r="U901" s="2" t="s">
        <v>55</v>
      </c>
      <c r="V901" s="2" t="s">
        <v>56</v>
      </c>
      <c r="W901" s="2" t="s">
        <v>57</v>
      </c>
      <c r="X901" s="2" t="s">
        <v>58</v>
      </c>
      <c r="Y901" s="2">
        <v>4.3220753888882104</v>
      </c>
      <c r="Z901" s="2">
        <v>4322.07538888821</v>
      </c>
      <c r="AA901" s="2">
        <v>4.6584666666666701</v>
      </c>
      <c r="AB901" s="2">
        <v>-74.083966666666697</v>
      </c>
      <c r="AC901" s="2">
        <v>2552</v>
      </c>
      <c r="AD901" s="2">
        <v>0</v>
      </c>
      <c r="AE901" s="2" t="s">
        <v>59</v>
      </c>
      <c r="AF901" s="2" t="s">
        <v>60</v>
      </c>
      <c r="AG901" s="2" t="s">
        <v>61</v>
      </c>
      <c r="AH901" s="2" t="s">
        <v>62</v>
      </c>
      <c r="AI901" s="2" t="s">
        <v>100</v>
      </c>
      <c r="AJ901" s="2">
        <v>9.8550113391973906E-2</v>
      </c>
      <c r="AK901" s="2">
        <v>3.6512587182069201</v>
      </c>
      <c r="AL901" s="2">
        <v>0.63330365819299494</v>
      </c>
      <c r="AM901" s="2">
        <v>8.3077763329537202E-2</v>
      </c>
      <c r="AN901" s="2">
        <v>2.7380491232778201</v>
      </c>
      <c r="AO901" s="2">
        <v>0.32421841068726198</v>
      </c>
      <c r="AP901" s="2">
        <v>0.32421841068726198</v>
      </c>
      <c r="AQ901" s="2">
        <v>1</v>
      </c>
      <c r="AR901" s="2">
        <v>4</v>
      </c>
      <c r="AS901" s="2">
        <v>0</v>
      </c>
      <c r="AT901" s="2">
        <v>0</v>
      </c>
      <c r="AU901" s="2">
        <v>1</v>
      </c>
      <c r="AV901" s="2">
        <v>73</v>
      </c>
      <c r="AW901" s="2">
        <v>0</v>
      </c>
      <c r="AX901" s="2">
        <v>0</v>
      </c>
      <c r="AZ901" s="2">
        <v>6.8</v>
      </c>
      <c r="BA901" s="2">
        <v>19.899999999999999</v>
      </c>
      <c r="BB901" s="2">
        <v>564</v>
      </c>
      <c r="BC901" s="2">
        <v>68</v>
      </c>
      <c r="BD901" s="2">
        <v>1.5</v>
      </c>
      <c r="BE901" s="2">
        <v>135</v>
      </c>
      <c r="BF901" s="2">
        <v>0.8</v>
      </c>
      <c r="BG901" s="2">
        <v>162</v>
      </c>
      <c r="BH901" s="2">
        <v>9.1</v>
      </c>
      <c r="BI901" s="2">
        <v>9.1999999999999993</v>
      </c>
      <c r="BJ901" s="2">
        <v>18.3</v>
      </c>
      <c r="BK901" s="2">
        <v>0.34</v>
      </c>
      <c r="BL901" s="2">
        <v>7.3</v>
      </c>
      <c r="BM901" s="2">
        <v>0.9</v>
      </c>
      <c r="BN901" s="2">
        <v>7.5</v>
      </c>
      <c r="BO901" s="2">
        <v>2.9</v>
      </c>
      <c r="BP901" s="2">
        <f t="shared" si="28"/>
        <v>5.4902834280754087</v>
      </c>
      <c r="BQ901" s="2">
        <f t="shared" si="29"/>
        <v>17.93922977638524</v>
      </c>
    </row>
    <row r="902" spans="1:69" x14ac:dyDescent="0.2">
      <c r="A902" s="2" t="s">
        <v>1827</v>
      </c>
      <c r="B902" s="2" t="s">
        <v>47</v>
      </c>
      <c r="C902" s="2" t="s">
        <v>48</v>
      </c>
      <c r="D902" s="2" t="s">
        <v>49</v>
      </c>
      <c r="E902" s="2" t="s">
        <v>927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89</v>
      </c>
      <c r="L902" s="6" t="s">
        <v>141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1828</v>
      </c>
      <c r="R902" s="2">
        <v>4265486.7259999998</v>
      </c>
      <c r="S902" s="2">
        <v>0</v>
      </c>
      <c r="T902" s="2" t="s">
        <v>105</v>
      </c>
      <c r="U902" s="2" t="s">
        <v>106</v>
      </c>
      <c r="V902" s="2" t="s">
        <v>56</v>
      </c>
      <c r="W902" s="2" t="s">
        <v>107</v>
      </c>
      <c r="X902" s="2" t="s">
        <v>108</v>
      </c>
      <c r="Y902" s="2">
        <v>1.1535320120057699</v>
      </c>
      <c r="Z902" s="2">
        <v>1153.53201200577</v>
      </c>
      <c r="AA902" s="2">
        <v>4.6254861111111101</v>
      </c>
      <c r="AB902" s="2">
        <v>-74.066980555555503</v>
      </c>
      <c r="AC902" s="2">
        <v>2621</v>
      </c>
      <c r="AD902" s="2">
        <v>15</v>
      </c>
      <c r="AE902" s="2" t="s">
        <v>59</v>
      </c>
      <c r="AF902" s="2" t="s">
        <v>60</v>
      </c>
      <c r="AG902" s="2" t="s">
        <v>61</v>
      </c>
      <c r="AH902" s="2" t="s">
        <v>62</v>
      </c>
      <c r="AI902" s="2" t="s">
        <v>109</v>
      </c>
      <c r="AJ902" s="2">
        <v>0.18940454846758301</v>
      </c>
      <c r="AK902" s="2">
        <v>0.80638898540497495</v>
      </c>
      <c r="AL902" s="2">
        <v>0.18908795447638299</v>
      </c>
      <c r="AM902" s="2">
        <v>3.4627828324497699E-2</v>
      </c>
      <c r="AN902" s="2">
        <v>0.92285787967898503</v>
      </c>
      <c r="AO902" s="2">
        <v>6.4421241048538594E-2</v>
      </c>
      <c r="AP902" s="2">
        <v>6.4421241048538594E-2</v>
      </c>
      <c r="AQ902" s="2">
        <v>3</v>
      </c>
      <c r="AR902" s="2">
        <v>4</v>
      </c>
      <c r="AS902" s="2">
        <v>0</v>
      </c>
      <c r="AT902" s="2">
        <v>8</v>
      </c>
      <c r="AU902" s="2">
        <v>14</v>
      </c>
      <c r="AV902" s="2">
        <v>187</v>
      </c>
      <c r="AW902" s="2">
        <v>1</v>
      </c>
      <c r="AX902" s="2">
        <v>0</v>
      </c>
      <c r="AZ902" s="2">
        <v>6.8</v>
      </c>
      <c r="BA902" s="2">
        <v>19.899999999999999</v>
      </c>
      <c r="BB902" s="2">
        <v>564</v>
      </c>
      <c r="BC902" s="2">
        <v>68</v>
      </c>
      <c r="BD902" s="2">
        <v>1.5</v>
      </c>
      <c r="BE902" s="2">
        <v>135</v>
      </c>
      <c r="BF902" s="2">
        <v>0.8</v>
      </c>
      <c r="BG902" s="2">
        <v>162</v>
      </c>
      <c r="BH902" s="2">
        <v>9.1</v>
      </c>
      <c r="BI902" s="2">
        <v>9.1999999999999993</v>
      </c>
      <c r="BJ902" s="2">
        <v>18.3</v>
      </c>
      <c r="BK902" s="2">
        <v>0.34</v>
      </c>
      <c r="BL902" s="2">
        <v>7.3</v>
      </c>
      <c r="BM902" s="2">
        <v>0.9</v>
      </c>
      <c r="BN902" s="2">
        <v>7.5</v>
      </c>
      <c r="BO902" s="2">
        <v>2.9</v>
      </c>
      <c r="BP902" s="2">
        <f t="shared" si="28"/>
        <v>6.4225984421747127</v>
      </c>
      <c r="BQ902" s="2">
        <f t="shared" si="29"/>
        <v>19.356629361111114</v>
      </c>
    </row>
    <row r="903" spans="1:69" x14ac:dyDescent="0.2">
      <c r="A903" s="2" t="s">
        <v>392</v>
      </c>
      <c r="B903" s="2" t="s">
        <v>47</v>
      </c>
      <c r="C903" s="2" t="s">
        <v>48</v>
      </c>
      <c r="D903" s="2" t="s">
        <v>49</v>
      </c>
      <c r="E903" s="2" t="s">
        <v>393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89</v>
      </c>
      <c r="L903" s="6" t="s">
        <v>103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394</v>
      </c>
      <c r="R903" s="2">
        <v>8636363.6359999999</v>
      </c>
      <c r="S903" s="2">
        <v>0</v>
      </c>
      <c r="T903" s="2" t="s">
        <v>54</v>
      </c>
      <c r="U903" s="2" t="s">
        <v>55</v>
      </c>
      <c r="V903" s="2" t="s">
        <v>56</v>
      </c>
      <c r="W903" s="2" t="s">
        <v>57</v>
      </c>
      <c r="X903" s="2" t="s">
        <v>58</v>
      </c>
      <c r="Y903" s="2">
        <v>0.97170151320737597</v>
      </c>
      <c r="Z903" s="2">
        <v>971.70151320737602</v>
      </c>
      <c r="AA903" s="2">
        <v>4.6584666666666701</v>
      </c>
      <c r="AB903" s="2">
        <v>-74.083966666666697</v>
      </c>
      <c r="AC903" s="2">
        <v>2552</v>
      </c>
      <c r="AD903" s="2">
        <v>0</v>
      </c>
      <c r="AE903" s="2" t="s">
        <v>59</v>
      </c>
      <c r="AF903" s="2" t="s">
        <v>60</v>
      </c>
      <c r="AG903" s="2" t="s">
        <v>61</v>
      </c>
      <c r="AH903" s="2" t="s">
        <v>62</v>
      </c>
      <c r="AI903" s="2" t="s">
        <v>63</v>
      </c>
      <c r="AJ903" s="2">
        <v>0.37298110377888699</v>
      </c>
      <c r="AK903" s="2">
        <v>2.8642876152967802</v>
      </c>
      <c r="AL903" s="2">
        <v>9.2239037673290197E-2</v>
      </c>
      <c r="AM903" s="2">
        <v>0.18352596482310801</v>
      </c>
      <c r="AN903" s="2">
        <v>2.6284549236544201</v>
      </c>
      <c r="AO903" s="2">
        <v>1.2923302804193499E-2</v>
      </c>
      <c r="AP903" s="2">
        <v>1.2923302804193499E-2</v>
      </c>
      <c r="AQ903" s="2">
        <v>1</v>
      </c>
      <c r="AR903" s="2">
        <v>3</v>
      </c>
      <c r="AS903" s="2">
        <v>0</v>
      </c>
      <c r="AT903" s="2">
        <v>0</v>
      </c>
      <c r="AU903" s="2">
        <v>1</v>
      </c>
      <c r="AV903" s="2">
        <v>17</v>
      </c>
      <c r="AW903" s="2">
        <v>0</v>
      </c>
      <c r="AX903" s="2">
        <v>0</v>
      </c>
      <c r="AZ903" s="2">
        <v>6.8</v>
      </c>
      <c r="BA903" s="2">
        <v>19.899999999999999</v>
      </c>
      <c r="BB903" s="2">
        <v>564</v>
      </c>
      <c r="BC903" s="2">
        <v>68</v>
      </c>
      <c r="BD903" s="2">
        <v>1.5</v>
      </c>
      <c r="BE903" s="2">
        <v>135</v>
      </c>
      <c r="BF903" s="2">
        <v>0.8</v>
      </c>
      <c r="BG903" s="2">
        <v>162</v>
      </c>
      <c r="BH903" s="2">
        <v>9.1</v>
      </c>
      <c r="BI903" s="2">
        <v>9.1999999999999993</v>
      </c>
      <c r="BJ903" s="2">
        <v>18.3</v>
      </c>
      <c r="BK903" s="2">
        <v>0.34</v>
      </c>
      <c r="BL903" s="2">
        <v>7.3</v>
      </c>
      <c r="BM903" s="2">
        <v>0.9</v>
      </c>
      <c r="BN903" s="2">
        <v>7.5</v>
      </c>
      <c r="BO903" s="2">
        <v>2.9</v>
      </c>
      <c r="BP903" s="2">
        <f t="shared" si="28"/>
        <v>6.480666676695682</v>
      </c>
      <c r="BQ903" s="2">
        <f t="shared" si="29"/>
        <v>19.44128495611508</v>
      </c>
    </row>
    <row r="904" spans="1:69" x14ac:dyDescent="0.2">
      <c r="A904" s="2" t="s">
        <v>921</v>
      </c>
      <c r="B904" s="2" t="s">
        <v>47</v>
      </c>
      <c r="C904" s="2" t="s">
        <v>48</v>
      </c>
      <c r="D904" s="2" t="s">
        <v>49</v>
      </c>
      <c r="E904" s="2" t="s">
        <v>922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89</v>
      </c>
      <c r="L904" s="6" t="s">
        <v>141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923</v>
      </c>
      <c r="R904" s="2">
        <v>6272727.273</v>
      </c>
      <c r="S904" s="2">
        <v>0</v>
      </c>
      <c r="T904" s="2" t="s">
        <v>105</v>
      </c>
      <c r="U904" s="2" t="s">
        <v>106</v>
      </c>
      <c r="V904" s="2" t="s">
        <v>56</v>
      </c>
      <c r="W904" s="2" t="s">
        <v>107</v>
      </c>
      <c r="X904" s="2" t="s">
        <v>108</v>
      </c>
      <c r="Y904" s="2">
        <v>1.7423282530268001</v>
      </c>
      <c r="Z904" s="2">
        <v>1742.3282530268</v>
      </c>
      <c r="AA904" s="2">
        <v>4.6254861111111101</v>
      </c>
      <c r="AB904" s="2">
        <v>-74.066980555555503</v>
      </c>
      <c r="AC904" s="2">
        <v>2621</v>
      </c>
      <c r="AD904" s="2">
        <v>15</v>
      </c>
      <c r="AE904" s="2" t="s">
        <v>59</v>
      </c>
      <c r="AF904" s="2" t="s">
        <v>60</v>
      </c>
      <c r="AG904" s="2" t="s">
        <v>61</v>
      </c>
      <c r="AH904" s="2" t="s">
        <v>62</v>
      </c>
      <c r="AI904" s="2" t="s">
        <v>63</v>
      </c>
      <c r="AJ904" s="2">
        <v>0.27421114216963699</v>
      </c>
      <c r="AK904" s="2">
        <v>1.08986883724287</v>
      </c>
      <c r="AL904" s="2">
        <v>0.41404577742034299</v>
      </c>
      <c r="AM904" s="2">
        <v>7.6673223240646696E-2</v>
      </c>
      <c r="AN904" s="2">
        <v>1.00871732404503</v>
      </c>
      <c r="AO904" s="2">
        <v>0.194521177008734</v>
      </c>
      <c r="AP904" s="2">
        <v>0.194521177008734</v>
      </c>
      <c r="AQ904" s="2">
        <v>3</v>
      </c>
      <c r="AR904" s="2">
        <v>4</v>
      </c>
      <c r="AS904" s="2">
        <v>0</v>
      </c>
      <c r="AT904" s="2">
        <v>0</v>
      </c>
      <c r="AU904" s="2">
        <v>10</v>
      </c>
      <c r="AV904" s="2">
        <v>187</v>
      </c>
      <c r="AW904" s="2">
        <v>0</v>
      </c>
      <c r="AX904" s="2">
        <v>0</v>
      </c>
      <c r="AZ904" s="2">
        <v>6.8</v>
      </c>
      <c r="BA904" s="2">
        <v>19.899999999999999</v>
      </c>
      <c r="BB904" s="2">
        <v>564</v>
      </c>
      <c r="BC904" s="2">
        <v>68</v>
      </c>
      <c r="BD904" s="2">
        <v>1.5</v>
      </c>
      <c r="BE904" s="2">
        <v>135</v>
      </c>
      <c r="BF904" s="2">
        <v>0.8</v>
      </c>
      <c r="BG904" s="2">
        <v>162</v>
      </c>
      <c r="BH904" s="2">
        <v>9.1</v>
      </c>
      <c r="BI904" s="2">
        <v>9.1999999999999993</v>
      </c>
      <c r="BJ904" s="2">
        <v>18.3</v>
      </c>
      <c r="BK904" s="2">
        <v>0.34</v>
      </c>
      <c r="BL904" s="2">
        <v>7.3</v>
      </c>
      <c r="BM904" s="2">
        <v>0.9</v>
      </c>
      <c r="BN904" s="2">
        <v>7.5</v>
      </c>
      <c r="BO904" s="2">
        <v>2.9</v>
      </c>
      <c r="BP904" s="2">
        <f t="shared" si="28"/>
        <v>6.2381106972341671</v>
      </c>
      <c r="BQ904" s="2">
        <f t="shared" si="29"/>
        <v>19.085022280998754</v>
      </c>
    </row>
    <row r="905" spans="1:69" x14ac:dyDescent="0.2">
      <c r="A905" s="2" t="s">
        <v>431</v>
      </c>
      <c r="B905" s="2" t="s">
        <v>47</v>
      </c>
      <c r="C905" s="2" t="s">
        <v>48</v>
      </c>
      <c r="D905" s="2" t="s">
        <v>49</v>
      </c>
      <c r="E905" s="2" t="s">
        <v>208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89</v>
      </c>
      <c r="L905" s="6" t="s">
        <v>90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432</v>
      </c>
      <c r="R905" s="2">
        <v>12916666.67</v>
      </c>
      <c r="S905" s="2">
        <v>0</v>
      </c>
      <c r="T905" s="2" t="s">
        <v>54</v>
      </c>
      <c r="U905" s="2" t="s">
        <v>55</v>
      </c>
      <c r="V905" s="2" t="s">
        <v>56</v>
      </c>
      <c r="W905" s="2" t="s">
        <v>57</v>
      </c>
      <c r="X905" s="2" t="s">
        <v>58</v>
      </c>
      <c r="Y905" s="2">
        <v>4.0330650445091303</v>
      </c>
      <c r="Z905" s="2">
        <v>4033.0650445091301</v>
      </c>
      <c r="AA905" s="2">
        <v>4.6584666666666701</v>
      </c>
      <c r="AB905" s="2">
        <v>-74.083966666666697</v>
      </c>
      <c r="AC905" s="2">
        <v>2552</v>
      </c>
      <c r="AD905" s="2">
        <v>0</v>
      </c>
      <c r="AE905" s="2" t="s">
        <v>59</v>
      </c>
      <c r="AF905" s="2" t="s">
        <v>60</v>
      </c>
      <c r="AG905" s="2" t="s">
        <v>61</v>
      </c>
      <c r="AH905" s="2" t="s">
        <v>62</v>
      </c>
      <c r="AI905" s="2" t="s">
        <v>109</v>
      </c>
      <c r="AJ905" s="2">
        <v>0.65469624608459798</v>
      </c>
      <c r="AK905" s="2">
        <v>1.6054952546022301</v>
      </c>
      <c r="AL905" s="2">
        <v>0.81365011334761295</v>
      </c>
      <c r="AM905" s="2">
        <v>5.40015475079497E-2</v>
      </c>
      <c r="AN905" s="2">
        <v>3.1706356400228199</v>
      </c>
      <c r="AO905" s="2">
        <v>0.60817089196421403</v>
      </c>
      <c r="AP905" s="2">
        <v>0.60817089196421403</v>
      </c>
      <c r="AQ905" s="2">
        <v>0</v>
      </c>
      <c r="AR905" s="2">
        <v>3</v>
      </c>
      <c r="AS905" s="2">
        <v>0</v>
      </c>
      <c r="AT905" s="2">
        <v>0</v>
      </c>
      <c r="AU905" s="2">
        <v>3</v>
      </c>
      <c r="AV905" s="2">
        <v>222</v>
      </c>
      <c r="AW905" s="2">
        <v>0</v>
      </c>
      <c r="AX905" s="2">
        <v>0</v>
      </c>
      <c r="AZ905" s="2">
        <v>6.8</v>
      </c>
      <c r="BA905" s="2">
        <v>19.899999999999999</v>
      </c>
      <c r="BB905" s="2">
        <v>564</v>
      </c>
      <c r="BC905" s="2">
        <v>68</v>
      </c>
      <c r="BD905" s="2">
        <v>1.5</v>
      </c>
      <c r="BE905" s="2">
        <v>135</v>
      </c>
      <c r="BF905" s="2">
        <v>0.8</v>
      </c>
      <c r="BG905" s="2">
        <v>162</v>
      </c>
      <c r="BH905" s="2">
        <v>9.1</v>
      </c>
      <c r="BI905" s="2">
        <v>9.1999999999999993</v>
      </c>
      <c r="BJ905" s="2">
        <v>18.3</v>
      </c>
      <c r="BK905" s="2">
        <v>0.34</v>
      </c>
      <c r="BL905" s="2">
        <v>7.3</v>
      </c>
      <c r="BM905" s="2">
        <v>0.9</v>
      </c>
      <c r="BN905" s="2">
        <v>7.5</v>
      </c>
      <c r="BO905" s="2">
        <v>2.9</v>
      </c>
      <c r="BP905" s="2">
        <f t="shared" si="28"/>
        <v>5.5693920038514193</v>
      </c>
      <c r="BQ905" s="2">
        <f t="shared" si="29"/>
        <v>18.064093269277684</v>
      </c>
    </row>
    <row r="906" spans="1:69" x14ac:dyDescent="0.2">
      <c r="A906" s="2" t="s">
        <v>1559</v>
      </c>
      <c r="B906" s="2" t="s">
        <v>47</v>
      </c>
      <c r="C906" s="2" t="s">
        <v>48</v>
      </c>
      <c r="D906" s="2" t="s">
        <v>49</v>
      </c>
      <c r="E906" s="2" t="s">
        <v>109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89</v>
      </c>
      <c r="L906" s="6" t="s">
        <v>112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1560</v>
      </c>
      <c r="R906" s="2">
        <v>9027777.7780000009</v>
      </c>
      <c r="S906" s="2">
        <v>0</v>
      </c>
      <c r="T906" s="2" t="s">
        <v>105</v>
      </c>
      <c r="U906" s="2" t="s">
        <v>106</v>
      </c>
      <c r="V906" s="2" t="s">
        <v>56</v>
      </c>
      <c r="W906" s="2" t="s">
        <v>107</v>
      </c>
      <c r="X906" s="2" t="s">
        <v>108</v>
      </c>
      <c r="Y906" s="2">
        <v>2.2478563548584098</v>
      </c>
      <c r="Z906" s="2">
        <v>2247.8563548584102</v>
      </c>
      <c r="AA906" s="2">
        <v>4.6254861111111101</v>
      </c>
      <c r="AB906" s="2">
        <v>-74.066980555555503</v>
      </c>
      <c r="AC906" s="2">
        <v>2621</v>
      </c>
      <c r="AD906" s="2">
        <v>15</v>
      </c>
      <c r="AE906" s="2" t="s">
        <v>59</v>
      </c>
      <c r="AF906" s="2" t="s">
        <v>60</v>
      </c>
      <c r="AG906" s="2" t="s">
        <v>61</v>
      </c>
      <c r="AH906" s="2" t="s">
        <v>62</v>
      </c>
      <c r="AI906" s="2" t="s">
        <v>109</v>
      </c>
      <c r="AJ906" s="2">
        <v>0.88850577509068496</v>
      </c>
      <c r="AK906" s="2">
        <v>0.24581933507018899</v>
      </c>
      <c r="AL906" s="2">
        <v>0.282017959354115</v>
      </c>
      <c r="AM906" s="2">
        <v>0.26854839137632902</v>
      </c>
      <c r="AN906" s="2">
        <v>0.21786907208065801</v>
      </c>
      <c r="AO906" s="2">
        <v>0.10575016255849801</v>
      </c>
      <c r="AP906" s="2">
        <v>0.10575016255849801</v>
      </c>
      <c r="AQ906" s="2">
        <v>0</v>
      </c>
      <c r="AR906" s="2">
        <v>2</v>
      </c>
      <c r="AS906" s="2">
        <v>11</v>
      </c>
      <c r="AT906" s="2">
        <v>50</v>
      </c>
      <c r="AU906" s="2">
        <v>8</v>
      </c>
      <c r="AV906" s="2">
        <v>52</v>
      </c>
      <c r="AW906" s="2">
        <v>1</v>
      </c>
      <c r="AX906" s="2">
        <v>0</v>
      </c>
      <c r="AZ906" s="2">
        <v>6.8</v>
      </c>
      <c r="BA906" s="2">
        <v>19.899999999999999</v>
      </c>
      <c r="BB906" s="2">
        <v>564</v>
      </c>
      <c r="BC906" s="2">
        <v>68</v>
      </c>
      <c r="BD906" s="2">
        <v>1.5</v>
      </c>
      <c r="BE906" s="2">
        <v>135</v>
      </c>
      <c r="BF906" s="2">
        <v>0.8</v>
      </c>
      <c r="BG906" s="2">
        <v>162</v>
      </c>
      <c r="BH906" s="2">
        <v>9.1</v>
      </c>
      <c r="BI906" s="2">
        <v>9.1999999999999993</v>
      </c>
      <c r="BJ906" s="2">
        <v>18.3</v>
      </c>
      <c r="BK906" s="2">
        <v>0.34</v>
      </c>
      <c r="BL906" s="2">
        <v>7.3</v>
      </c>
      <c r="BM906" s="2">
        <v>0.9</v>
      </c>
      <c r="BN906" s="2">
        <v>7.5</v>
      </c>
      <c r="BO906" s="2">
        <v>2.9</v>
      </c>
      <c r="BP906" s="2">
        <f t="shared" si="28"/>
        <v>6.0839473627952829</v>
      </c>
      <c r="BQ906" s="2">
        <f t="shared" si="29"/>
        <v>18.854868929989518</v>
      </c>
    </row>
    <row r="907" spans="1:69" x14ac:dyDescent="0.2">
      <c r="A907" s="2" t="s">
        <v>946</v>
      </c>
      <c r="B907" s="2" t="s">
        <v>47</v>
      </c>
      <c r="C907" s="2" t="s">
        <v>48</v>
      </c>
      <c r="D907" s="2" t="s">
        <v>49</v>
      </c>
      <c r="E907" s="2" t="s">
        <v>742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89</v>
      </c>
      <c r="L907" s="6" t="s">
        <v>141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947</v>
      </c>
      <c r="R907" s="2">
        <v>8736625.1099999994</v>
      </c>
      <c r="S907" s="2">
        <v>0</v>
      </c>
      <c r="T907" s="2" t="s">
        <v>54</v>
      </c>
      <c r="U907" s="2" t="s">
        <v>55</v>
      </c>
      <c r="V907" s="2" t="s">
        <v>56</v>
      </c>
      <c r="W907" s="2" t="s">
        <v>57</v>
      </c>
      <c r="X907" s="2" t="s">
        <v>58</v>
      </c>
      <c r="Y907" s="2">
        <v>3.36617927430986</v>
      </c>
      <c r="Z907" s="2">
        <v>3366.1792743098599</v>
      </c>
      <c r="AA907" s="2">
        <v>4.6584666666666701</v>
      </c>
      <c r="AB907" s="2">
        <v>-74.083966666666697</v>
      </c>
      <c r="AC907" s="2">
        <v>2552</v>
      </c>
      <c r="AD907" s="2">
        <v>0</v>
      </c>
      <c r="AE907" s="2" t="s">
        <v>59</v>
      </c>
      <c r="AF907" s="2" t="s">
        <v>60</v>
      </c>
      <c r="AG907" s="2" t="s">
        <v>61</v>
      </c>
      <c r="AH907" s="2" t="s">
        <v>62</v>
      </c>
      <c r="AI907" s="2" t="s">
        <v>109</v>
      </c>
      <c r="AJ907" s="2">
        <v>1.00652889262474</v>
      </c>
      <c r="AK907" s="2">
        <v>0.59964942075880601</v>
      </c>
      <c r="AL907" s="2">
        <v>0.51332210438035197</v>
      </c>
      <c r="AM907" s="2">
        <v>2.3727021204565501E-2</v>
      </c>
      <c r="AN907" s="2">
        <v>1.3927042310862501</v>
      </c>
      <c r="AO907" s="2">
        <v>5.1102222547240598E-3</v>
      </c>
      <c r="AP907" s="2">
        <v>5.1102222547240598E-3</v>
      </c>
      <c r="AQ907" s="2">
        <v>0</v>
      </c>
      <c r="AR907" s="2">
        <v>0</v>
      </c>
      <c r="AS907" s="2">
        <v>0</v>
      </c>
      <c r="AT907" s="2">
        <v>39</v>
      </c>
      <c r="AU907" s="2">
        <v>12</v>
      </c>
      <c r="AV907" s="2">
        <v>43</v>
      </c>
      <c r="AW907" s="2">
        <v>0</v>
      </c>
      <c r="AX907" s="2">
        <v>0</v>
      </c>
      <c r="AZ907" s="2">
        <v>6.8</v>
      </c>
      <c r="BA907" s="2">
        <v>19.899999999999999</v>
      </c>
      <c r="BB907" s="2">
        <v>564</v>
      </c>
      <c r="BC907" s="2">
        <v>68</v>
      </c>
      <c r="BD907" s="2">
        <v>1.5</v>
      </c>
      <c r="BE907" s="2">
        <v>135</v>
      </c>
      <c r="BF907" s="2">
        <v>0.8</v>
      </c>
      <c r="BG907" s="2">
        <v>162</v>
      </c>
      <c r="BH907" s="2">
        <v>9.1</v>
      </c>
      <c r="BI907" s="2">
        <v>9.1999999999999993</v>
      </c>
      <c r="BJ907" s="2">
        <v>18.3</v>
      </c>
      <c r="BK907" s="2">
        <v>0.34</v>
      </c>
      <c r="BL907" s="2">
        <v>7.3</v>
      </c>
      <c r="BM907" s="2">
        <v>0.9</v>
      </c>
      <c r="BN907" s="2">
        <v>7.5</v>
      </c>
      <c r="BO907" s="2">
        <v>2.9</v>
      </c>
      <c r="BP907" s="2">
        <f t="shared" si="28"/>
        <v>5.7563105392730094</v>
      </c>
      <c r="BQ907" s="2">
        <f t="shared" si="29"/>
        <v>18.355539868837514</v>
      </c>
    </row>
    <row r="908" spans="1:69" x14ac:dyDescent="0.2">
      <c r="A908" s="2" t="s">
        <v>4458</v>
      </c>
      <c r="B908" s="2" t="s">
        <v>47</v>
      </c>
      <c r="C908" s="2" t="s">
        <v>3273</v>
      </c>
      <c r="D908" s="2" t="s">
        <v>49</v>
      </c>
      <c r="E908" s="2" t="s">
        <v>1811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89</v>
      </c>
      <c r="L908" s="6" t="s">
        <v>141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4459</v>
      </c>
      <c r="R908" s="2">
        <v>12000000</v>
      </c>
      <c r="S908" s="2">
        <v>0</v>
      </c>
      <c r="T908" s="2" t="s">
        <v>54</v>
      </c>
      <c r="U908" s="2" t="s">
        <v>55</v>
      </c>
      <c r="V908" s="2" t="s">
        <v>56</v>
      </c>
      <c r="W908" s="2" t="s">
        <v>57</v>
      </c>
      <c r="X908" s="2" t="s">
        <v>58</v>
      </c>
      <c r="Y908" s="2">
        <v>4.1812189261209296</v>
      </c>
      <c r="Z908" s="2">
        <v>4181.2189261209296</v>
      </c>
      <c r="AA908" s="2">
        <v>4.6584666666666701</v>
      </c>
      <c r="AB908" s="2">
        <v>-74.083966666666697</v>
      </c>
      <c r="AC908" s="2">
        <v>2552</v>
      </c>
      <c r="AD908" s="2">
        <v>0</v>
      </c>
      <c r="AE908" s="2" t="s">
        <v>59</v>
      </c>
      <c r="AF908" s="2" t="s">
        <v>60</v>
      </c>
      <c r="AG908" s="2" t="s">
        <v>61</v>
      </c>
      <c r="AH908" s="2" t="s">
        <v>62</v>
      </c>
      <c r="AI908" s="2" t="s">
        <v>109</v>
      </c>
      <c r="AJ908" s="2">
        <v>1.4294855998673299</v>
      </c>
      <c r="AK908" s="2">
        <v>0.41365108119163901</v>
      </c>
      <c r="AL908" s="2">
        <v>0.759785096675619</v>
      </c>
      <c r="AM908" s="2">
        <v>8.1436748841366993E-2</v>
      </c>
      <c r="AN908" s="2">
        <v>3.12441704381588</v>
      </c>
      <c r="AO908" s="2">
        <v>0.22748097705988499</v>
      </c>
      <c r="AP908" s="2">
        <v>0.22748097705988499</v>
      </c>
      <c r="AQ908" s="2">
        <v>0</v>
      </c>
      <c r="AR908" s="2">
        <v>0</v>
      </c>
      <c r="AS908" s="2">
        <v>4</v>
      </c>
      <c r="AT908" s="2">
        <v>32</v>
      </c>
      <c r="AU908" s="2">
        <v>3</v>
      </c>
      <c r="AV908" s="2">
        <v>34</v>
      </c>
      <c r="AW908" s="2">
        <v>0</v>
      </c>
      <c r="AX908" s="2">
        <v>0</v>
      </c>
      <c r="AZ908" s="2">
        <v>6.8</v>
      </c>
      <c r="BA908" s="2">
        <v>19.899999999999999</v>
      </c>
      <c r="BB908" s="2">
        <v>564</v>
      </c>
      <c r="BC908" s="2">
        <v>68</v>
      </c>
      <c r="BD908" s="2">
        <v>1.5</v>
      </c>
      <c r="BE908" s="2">
        <v>135</v>
      </c>
      <c r="BF908" s="2">
        <v>0.8</v>
      </c>
      <c r="BG908" s="2">
        <v>162</v>
      </c>
      <c r="BH908" s="2">
        <v>9.1</v>
      </c>
      <c r="BI908" s="2">
        <v>9.1999999999999993</v>
      </c>
      <c r="BJ908" s="2">
        <v>18.3</v>
      </c>
      <c r="BK908" s="2">
        <v>0.34</v>
      </c>
      <c r="BL908" s="2">
        <v>7.3</v>
      </c>
      <c r="BM908" s="2">
        <v>0.9</v>
      </c>
      <c r="BN908" s="2">
        <v>7.5</v>
      </c>
      <c r="BO908" s="2">
        <v>2.9</v>
      </c>
      <c r="BP908" s="2">
        <f t="shared" si="28"/>
        <v>5.5286976161086177</v>
      </c>
      <c r="BQ908" s="2">
        <f t="shared" si="29"/>
        <v>17.999976952947588</v>
      </c>
    </row>
    <row r="909" spans="1:69" x14ac:dyDescent="0.2">
      <c r="A909" s="2" t="s">
        <v>1607</v>
      </c>
      <c r="B909" s="2" t="s">
        <v>47</v>
      </c>
      <c r="C909" s="2" t="s">
        <v>48</v>
      </c>
      <c r="D909" s="2" t="s">
        <v>49</v>
      </c>
      <c r="E909" s="2" t="s">
        <v>1001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89</v>
      </c>
      <c r="L909" s="6" t="s">
        <v>141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1608</v>
      </c>
      <c r="R909" s="2">
        <v>5612244.898</v>
      </c>
      <c r="S909" s="2">
        <v>0</v>
      </c>
      <c r="T909" s="2" t="s">
        <v>54</v>
      </c>
      <c r="U909" s="2" t="s">
        <v>55</v>
      </c>
      <c r="V909" s="2" t="s">
        <v>56</v>
      </c>
      <c r="W909" s="2" t="s">
        <v>57</v>
      </c>
      <c r="X909" s="2" t="s">
        <v>58</v>
      </c>
      <c r="Y909" s="2">
        <v>4.1169418670604401</v>
      </c>
      <c r="Z909" s="2">
        <v>4116.94186706044</v>
      </c>
      <c r="AA909" s="2">
        <v>4.6584666666666701</v>
      </c>
      <c r="AB909" s="2">
        <v>-74.083966666666697</v>
      </c>
      <c r="AC909" s="2">
        <v>2552</v>
      </c>
      <c r="AD909" s="2">
        <v>0</v>
      </c>
      <c r="AE909" s="2" t="s">
        <v>59</v>
      </c>
      <c r="AF909" s="2" t="s">
        <v>60</v>
      </c>
      <c r="AG909" s="2" t="s">
        <v>61</v>
      </c>
      <c r="AH909" s="2" t="s">
        <v>62</v>
      </c>
      <c r="AI909" s="2" t="s">
        <v>100</v>
      </c>
      <c r="AJ909" s="2">
        <v>0.80456081670255097</v>
      </c>
      <c r="AK909" s="2">
        <v>4.9155617280810198</v>
      </c>
      <c r="AL909" s="2">
        <v>1.0093339829675601</v>
      </c>
      <c r="AM909" s="2">
        <v>0.37797933795521999</v>
      </c>
      <c r="AN909" s="2">
        <v>2.3759135949065402</v>
      </c>
      <c r="AO909" s="2">
        <v>0.31387808864864303</v>
      </c>
      <c r="AP909" s="2">
        <v>0.31387808864864303</v>
      </c>
      <c r="AQ909" s="2">
        <v>0</v>
      </c>
      <c r="AR909" s="2">
        <v>2</v>
      </c>
      <c r="AS909" s="2">
        <v>0</v>
      </c>
      <c r="AT909" s="2">
        <v>0</v>
      </c>
      <c r="AU909" s="2">
        <v>0</v>
      </c>
      <c r="AV909" s="2">
        <v>42</v>
      </c>
      <c r="AW909" s="2">
        <v>0</v>
      </c>
      <c r="AX909" s="2">
        <v>0</v>
      </c>
      <c r="AZ909" s="2">
        <v>6.8</v>
      </c>
      <c r="BA909" s="2">
        <v>19.899999999999999</v>
      </c>
      <c r="BB909" s="2">
        <v>564</v>
      </c>
      <c r="BC909" s="2">
        <v>68</v>
      </c>
      <c r="BD909" s="2">
        <v>1.5</v>
      </c>
      <c r="BE909" s="2">
        <v>135</v>
      </c>
      <c r="BF909" s="2">
        <v>0.8</v>
      </c>
      <c r="BG909" s="2">
        <v>162</v>
      </c>
      <c r="BH909" s="2">
        <v>9.1</v>
      </c>
      <c r="BI909" s="2">
        <v>9.1999999999999993</v>
      </c>
      <c r="BJ909" s="2">
        <v>18.3</v>
      </c>
      <c r="BK909" s="2">
        <v>0.34</v>
      </c>
      <c r="BL909" s="2">
        <v>7.3</v>
      </c>
      <c r="BM909" s="2">
        <v>0.9</v>
      </c>
      <c r="BN909" s="2">
        <v>7.5</v>
      </c>
      <c r="BO909" s="2">
        <v>2.9</v>
      </c>
      <c r="BP909" s="2">
        <f t="shared" si="28"/>
        <v>5.5463163671106894</v>
      </c>
      <c r="BQ909" s="2">
        <f t="shared" si="29"/>
        <v>18.027766035803477</v>
      </c>
    </row>
    <row r="910" spans="1:69" x14ac:dyDescent="0.2">
      <c r="A910" s="2" t="s">
        <v>1714</v>
      </c>
      <c r="B910" s="2" t="s">
        <v>47</v>
      </c>
      <c r="C910" s="2" t="s">
        <v>48</v>
      </c>
      <c r="D910" s="2" t="s">
        <v>49</v>
      </c>
      <c r="E910" s="2" t="s">
        <v>1001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89</v>
      </c>
      <c r="L910" s="6" t="s">
        <v>141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1715</v>
      </c>
      <c r="R910" s="2">
        <v>5612244.898</v>
      </c>
      <c r="S910" s="2">
        <v>0</v>
      </c>
      <c r="T910" s="2" t="s">
        <v>54</v>
      </c>
      <c r="U910" s="2" t="s">
        <v>55</v>
      </c>
      <c r="V910" s="2" t="s">
        <v>56</v>
      </c>
      <c r="W910" s="2" t="s">
        <v>57</v>
      </c>
      <c r="X910" s="2" t="s">
        <v>58</v>
      </c>
      <c r="Y910" s="2">
        <v>4.1169418670604401</v>
      </c>
      <c r="Z910" s="2">
        <v>4116.94186706044</v>
      </c>
      <c r="AA910" s="2">
        <v>4.6584666666666701</v>
      </c>
      <c r="AB910" s="2">
        <v>-74.083966666666697</v>
      </c>
      <c r="AC910" s="2">
        <v>2552</v>
      </c>
      <c r="AD910" s="2">
        <v>0</v>
      </c>
      <c r="AE910" s="2" t="s">
        <v>59</v>
      </c>
      <c r="AF910" s="2" t="s">
        <v>60</v>
      </c>
      <c r="AG910" s="2" t="s">
        <v>61</v>
      </c>
      <c r="AH910" s="2" t="s">
        <v>62</v>
      </c>
      <c r="AI910" s="2" t="s">
        <v>100</v>
      </c>
      <c r="AJ910" s="2">
        <v>0.80456081670255097</v>
      </c>
      <c r="AK910" s="2">
        <v>4.9155617280810198</v>
      </c>
      <c r="AL910" s="2">
        <v>1.0093339829675601</v>
      </c>
      <c r="AM910" s="2">
        <v>0.37797933795521999</v>
      </c>
      <c r="AN910" s="2">
        <v>2.3759135949065402</v>
      </c>
      <c r="AO910" s="2">
        <v>0.31387808864864303</v>
      </c>
      <c r="AP910" s="2">
        <v>0.31387808864864303</v>
      </c>
      <c r="AQ910" s="2">
        <v>0</v>
      </c>
      <c r="AR910" s="2">
        <v>2</v>
      </c>
      <c r="AS910" s="2">
        <v>0</v>
      </c>
      <c r="AT910" s="2">
        <v>0</v>
      </c>
      <c r="AU910" s="2">
        <v>0</v>
      </c>
      <c r="AV910" s="2">
        <v>42</v>
      </c>
      <c r="AW910" s="2">
        <v>0</v>
      </c>
      <c r="AX910" s="2">
        <v>0</v>
      </c>
      <c r="AZ910" s="2">
        <v>6.8</v>
      </c>
      <c r="BA910" s="2">
        <v>19.899999999999999</v>
      </c>
      <c r="BB910" s="2">
        <v>564</v>
      </c>
      <c r="BC910" s="2">
        <v>68</v>
      </c>
      <c r="BD910" s="2">
        <v>1.5</v>
      </c>
      <c r="BE910" s="2">
        <v>135</v>
      </c>
      <c r="BF910" s="2">
        <v>0.8</v>
      </c>
      <c r="BG910" s="2">
        <v>162</v>
      </c>
      <c r="BH910" s="2">
        <v>9.1</v>
      </c>
      <c r="BI910" s="2">
        <v>9.1999999999999993</v>
      </c>
      <c r="BJ910" s="2">
        <v>18.3</v>
      </c>
      <c r="BK910" s="2">
        <v>0.34</v>
      </c>
      <c r="BL910" s="2">
        <v>7.3</v>
      </c>
      <c r="BM910" s="2">
        <v>0.9</v>
      </c>
      <c r="BN910" s="2">
        <v>7.5</v>
      </c>
      <c r="BO910" s="2">
        <v>2.9</v>
      </c>
      <c r="BP910" s="2">
        <f t="shared" si="28"/>
        <v>5.5463163671106894</v>
      </c>
      <c r="BQ910" s="2">
        <f t="shared" si="29"/>
        <v>18.027766035803477</v>
      </c>
    </row>
    <row r="911" spans="1:69" x14ac:dyDescent="0.2">
      <c r="A911" s="2" t="s">
        <v>1452</v>
      </c>
      <c r="B911" s="2" t="s">
        <v>47</v>
      </c>
      <c r="C911" s="2" t="s">
        <v>48</v>
      </c>
      <c r="D911" s="2" t="s">
        <v>49</v>
      </c>
      <c r="E911" s="2" t="s">
        <v>109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89</v>
      </c>
      <c r="L911" s="6" t="s">
        <v>141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1453</v>
      </c>
      <c r="R911" s="2">
        <v>6237113.4019999998</v>
      </c>
      <c r="S911" s="2">
        <v>0</v>
      </c>
      <c r="T911" s="2" t="s">
        <v>105</v>
      </c>
      <c r="U911" s="2" t="s">
        <v>106</v>
      </c>
      <c r="V911" s="2" t="s">
        <v>56</v>
      </c>
      <c r="W911" s="2" t="s">
        <v>107</v>
      </c>
      <c r="X911" s="2" t="s">
        <v>108</v>
      </c>
      <c r="Y911" s="2">
        <v>0.78870655884255103</v>
      </c>
      <c r="Z911" s="2">
        <v>788.70655884255098</v>
      </c>
      <c r="AA911" s="2">
        <v>4.6254861111111101</v>
      </c>
      <c r="AB911" s="2">
        <v>-74.066980555555503</v>
      </c>
      <c r="AC911" s="2">
        <v>2621</v>
      </c>
      <c r="AD911" s="2">
        <v>15</v>
      </c>
      <c r="AE911" s="2" t="s">
        <v>59</v>
      </c>
      <c r="AF911" s="2" t="s">
        <v>60</v>
      </c>
      <c r="AG911" s="2" t="s">
        <v>61</v>
      </c>
      <c r="AH911" s="2" t="s">
        <v>62</v>
      </c>
      <c r="AI911" s="2" t="s">
        <v>109</v>
      </c>
      <c r="AJ911" s="2">
        <v>0.400142137697724</v>
      </c>
      <c r="AK911" s="2">
        <v>0.50563954242073805</v>
      </c>
      <c r="AL911" s="2">
        <v>0.13727556202660901</v>
      </c>
      <c r="AM911" s="2">
        <v>7.6276384568499098E-2</v>
      </c>
      <c r="AN911" s="2">
        <v>0.56551810452599205</v>
      </c>
      <c r="AO911" s="2">
        <v>0.11864055142747899</v>
      </c>
      <c r="AP911" s="2">
        <v>0.11864055142747899</v>
      </c>
      <c r="AQ911" s="2">
        <v>1</v>
      </c>
      <c r="AR911" s="2">
        <v>5</v>
      </c>
      <c r="AS911" s="2">
        <v>0</v>
      </c>
      <c r="AT911" s="2">
        <v>37</v>
      </c>
      <c r="AU911" s="2">
        <v>11</v>
      </c>
      <c r="AV911" s="2">
        <v>126</v>
      </c>
      <c r="AW911" s="2">
        <v>1</v>
      </c>
      <c r="AX911" s="2">
        <v>1</v>
      </c>
      <c r="AZ911" s="2">
        <v>6.8</v>
      </c>
      <c r="BA911" s="2">
        <v>19.899999999999999</v>
      </c>
      <c r="BB911" s="2">
        <v>564</v>
      </c>
      <c r="BC911" s="2">
        <v>68</v>
      </c>
      <c r="BD911" s="2">
        <v>1.5</v>
      </c>
      <c r="BE911" s="2">
        <v>135</v>
      </c>
      <c r="BF911" s="2">
        <v>0.8</v>
      </c>
      <c r="BG911" s="2">
        <v>162</v>
      </c>
      <c r="BH911" s="2">
        <v>9.1</v>
      </c>
      <c r="BI911" s="2">
        <v>9.1999999999999993</v>
      </c>
      <c r="BJ911" s="2">
        <v>18.3</v>
      </c>
      <c r="BK911" s="2">
        <v>0.34</v>
      </c>
      <c r="BL911" s="2">
        <v>7.3</v>
      </c>
      <c r="BM911" s="2">
        <v>0.9</v>
      </c>
      <c r="BN911" s="2">
        <v>7.5</v>
      </c>
      <c r="BO911" s="2">
        <v>2.9</v>
      </c>
      <c r="BP911" s="2">
        <f t="shared" si="28"/>
        <v>6.5396368572909962</v>
      </c>
      <c r="BQ911" s="2">
        <f t="shared" si="29"/>
        <v>19.526856497773288</v>
      </c>
    </row>
    <row r="912" spans="1:69" x14ac:dyDescent="0.2">
      <c r="A912" s="2" t="s">
        <v>359</v>
      </c>
      <c r="B912" s="2" t="s">
        <v>47</v>
      </c>
      <c r="C912" s="2" t="s">
        <v>48</v>
      </c>
      <c r="D912" s="2" t="s">
        <v>49</v>
      </c>
      <c r="E912" s="2" t="s">
        <v>360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89</v>
      </c>
      <c r="L912" s="6" t="s">
        <v>94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361</v>
      </c>
      <c r="R912" s="2">
        <v>5943691.3449999997</v>
      </c>
      <c r="S912" s="2">
        <v>0</v>
      </c>
      <c r="T912" s="2" t="s">
        <v>105</v>
      </c>
      <c r="U912" s="2" t="s">
        <v>106</v>
      </c>
      <c r="V912" s="2" t="s">
        <v>56</v>
      </c>
      <c r="W912" s="2" t="s">
        <v>107</v>
      </c>
      <c r="X912" s="2" t="s">
        <v>108</v>
      </c>
      <c r="Y912" s="2">
        <v>2.5357583245619399</v>
      </c>
      <c r="Z912" s="2">
        <v>2535.7583245619398</v>
      </c>
      <c r="AA912" s="2">
        <v>4.6254861111111101</v>
      </c>
      <c r="AB912" s="2">
        <v>-74.066980555555503</v>
      </c>
      <c r="AC912" s="2">
        <v>2621</v>
      </c>
      <c r="AD912" s="2">
        <v>15</v>
      </c>
      <c r="AE912" s="2" t="s">
        <v>59</v>
      </c>
      <c r="AF912" s="2" t="s">
        <v>60</v>
      </c>
      <c r="AG912" s="2" t="s">
        <v>61</v>
      </c>
      <c r="AH912" s="2" t="s">
        <v>62</v>
      </c>
      <c r="AI912" s="2" t="s">
        <v>117</v>
      </c>
      <c r="AJ912" s="2">
        <v>0.113936399157512</v>
      </c>
      <c r="AK912" s="2">
        <v>0.60300872963191199</v>
      </c>
      <c r="AL912" s="2">
        <v>0.17018660567506899</v>
      </c>
      <c r="AM912" s="2">
        <v>0.132550679810715</v>
      </c>
      <c r="AN912" s="2">
        <v>1.41620585809183</v>
      </c>
      <c r="AO912" s="2">
        <v>0.14971253865780099</v>
      </c>
      <c r="AP912" s="2">
        <v>0.14971253865780099</v>
      </c>
      <c r="AQ912" s="2">
        <v>3</v>
      </c>
      <c r="AR912" s="2">
        <v>7</v>
      </c>
      <c r="AS912" s="2">
        <v>0</v>
      </c>
      <c r="AT912" s="2">
        <v>46</v>
      </c>
      <c r="AU912" s="2">
        <v>12</v>
      </c>
      <c r="AV912" s="2">
        <v>50</v>
      </c>
      <c r="AW912" s="2">
        <v>0</v>
      </c>
      <c r="AX912" s="2">
        <v>8</v>
      </c>
      <c r="AZ912" s="2">
        <v>6.8</v>
      </c>
      <c r="BA912" s="2">
        <v>19.899999999999999</v>
      </c>
      <c r="BB912" s="2">
        <v>564</v>
      </c>
      <c r="BC912" s="2">
        <v>68</v>
      </c>
      <c r="BD912" s="2">
        <v>1.5</v>
      </c>
      <c r="BE912" s="2">
        <v>135</v>
      </c>
      <c r="BF912" s="2">
        <v>0.8</v>
      </c>
      <c r="BG912" s="2">
        <v>162</v>
      </c>
      <c r="BH912" s="2">
        <v>9.1</v>
      </c>
      <c r="BI912" s="2">
        <v>9.1999999999999993</v>
      </c>
      <c r="BJ912" s="2">
        <v>18.3</v>
      </c>
      <c r="BK912" s="2">
        <v>0.34</v>
      </c>
      <c r="BL912" s="2">
        <v>7.3</v>
      </c>
      <c r="BM912" s="2">
        <v>0.9</v>
      </c>
      <c r="BN912" s="2">
        <v>7.5</v>
      </c>
      <c r="BO912" s="2">
        <v>2.9</v>
      </c>
      <c r="BP912" s="2">
        <f t="shared" si="28"/>
        <v>5.9978590174039059</v>
      </c>
      <c r="BQ912" s="2">
        <f t="shared" si="29"/>
        <v>18.725037497555544</v>
      </c>
    </row>
    <row r="913" spans="1:69" x14ac:dyDescent="0.2">
      <c r="A913" s="2" t="s">
        <v>904</v>
      </c>
      <c r="B913" s="2" t="s">
        <v>47</v>
      </c>
      <c r="C913" s="2" t="s">
        <v>48</v>
      </c>
      <c r="D913" s="2" t="s">
        <v>49</v>
      </c>
      <c r="E913" s="2" t="s">
        <v>606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89</v>
      </c>
      <c r="L913" s="6" t="s">
        <v>90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905</v>
      </c>
      <c r="R913" s="2">
        <v>7309322.034</v>
      </c>
      <c r="S913" s="2">
        <v>0</v>
      </c>
      <c r="T913" s="2" t="s">
        <v>398</v>
      </c>
      <c r="U913" s="2" t="s">
        <v>399</v>
      </c>
      <c r="V913" s="2" t="s">
        <v>56</v>
      </c>
      <c r="W913" s="2" t="s">
        <v>57</v>
      </c>
      <c r="X913" s="2" t="s">
        <v>400</v>
      </c>
      <c r="Y913" s="2">
        <v>1.32574927959682</v>
      </c>
      <c r="Z913" s="2">
        <v>1325.7492795968201</v>
      </c>
      <c r="AA913" s="2">
        <v>4.7358055555555598</v>
      </c>
      <c r="AB913" s="2">
        <v>-74.125888888888895</v>
      </c>
      <c r="AC913" s="2">
        <v>2574</v>
      </c>
      <c r="AD913" s="2">
        <v>0</v>
      </c>
      <c r="AE913" s="2" t="s">
        <v>133</v>
      </c>
      <c r="AF913" s="2" t="s">
        <v>86</v>
      </c>
      <c r="AG913" s="2" t="s">
        <v>61</v>
      </c>
      <c r="AH913" s="2" t="s">
        <v>62</v>
      </c>
      <c r="AI913" s="2" t="s">
        <v>391</v>
      </c>
      <c r="AJ913" s="2">
        <v>2.3361961818796502</v>
      </c>
      <c r="AK913" s="2">
        <v>8.7749185661705004E-2</v>
      </c>
      <c r="AL913" s="2">
        <v>4.0219834313198204</v>
      </c>
      <c r="AM913" s="2">
        <v>0.215872878379293</v>
      </c>
      <c r="AN913" s="2">
        <v>3.6361019770188601</v>
      </c>
      <c r="AO913" s="2">
        <v>4.4315284296825103E-2</v>
      </c>
      <c r="AP913" s="2">
        <v>4.4315284296825103E-2</v>
      </c>
      <c r="AQ913" s="2">
        <v>0</v>
      </c>
      <c r="AR913" s="2">
        <v>0</v>
      </c>
      <c r="AS913" s="2">
        <v>10</v>
      </c>
      <c r="AT913" s="2">
        <v>13</v>
      </c>
      <c r="AU913" s="2">
        <v>0</v>
      </c>
      <c r="AV913" s="2">
        <v>4</v>
      </c>
      <c r="AW913" s="2">
        <v>0</v>
      </c>
      <c r="AX913" s="2">
        <v>0</v>
      </c>
      <c r="AZ913" s="2">
        <v>6.8</v>
      </c>
      <c r="BA913" s="2">
        <v>19.899999999999999</v>
      </c>
      <c r="BB913" s="2">
        <v>564</v>
      </c>
      <c r="BC913" s="2">
        <v>68</v>
      </c>
      <c r="BD913" s="2">
        <v>1.5</v>
      </c>
      <c r="BE913" s="2">
        <v>135</v>
      </c>
      <c r="BF913" s="2">
        <v>0.8</v>
      </c>
      <c r="BG913" s="2">
        <v>162</v>
      </c>
      <c r="BH913" s="2">
        <v>9.1</v>
      </c>
      <c r="BI913" s="2">
        <v>9.1999999999999993</v>
      </c>
      <c r="BJ913" s="2">
        <v>18.3</v>
      </c>
      <c r="BK913" s="2">
        <v>0.34</v>
      </c>
      <c r="BL913" s="2">
        <v>7.3</v>
      </c>
      <c r="BM913" s="2">
        <v>0.9</v>
      </c>
      <c r="BN913" s="2">
        <v>7.5</v>
      </c>
      <c r="BO913" s="2">
        <v>2.9</v>
      </c>
      <c r="BP913" s="2">
        <f t="shared" si="28"/>
        <v>6.3680800736454293</v>
      </c>
      <c r="BQ913" s="2">
        <f t="shared" si="29"/>
        <v>19.276789373027896</v>
      </c>
    </row>
    <row r="914" spans="1:69" x14ac:dyDescent="0.2">
      <c r="A914" s="2" t="s">
        <v>1870</v>
      </c>
      <c r="B914" s="2" t="s">
        <v>47</v>
      </c>
      <c r="C914" s="2" t="s">
        <v>48</v>
      </c>
      <c r="D914" s="2" t="s">
        <v>49</v>
      </c>
      <c r="E914" s="2" t="s">
        <v>1364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89</v>
      </c>
      <c r="L914" s="6" t="s">
        <v>112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1871</v>
      </c>
      <c r="R914" s="2">
        <v>9574468.0850000009</v>
      </c>
      <c r="S914" s="2">
        <v>0</v>
      </c>
      <c r="T914" s="2" t="s">
        <v>54</v>
      </c>
      <c r="U914" s="2" t="s">
        <v>55</v>
      </c>
      <c r="V914" s="2" t="s">
        <v>56</v>
      </c>
      <c r="W914" s="2" t="s">
        <v>57</v>
      </c>
      <c r="X914" s="2" t="s">
        <v>58</v>
      </c>
      <c r="Y914" s="2">
        <v>0.59185440069684003</v>
      </c>
      <c r="Z914" s="2">
        <v>591.85440069684</v>
      </c>
      <c r="AA914" s="2">
        <v>4.6584666666666701</v>
      </c>
      <c r="AB914" s="2">
        <v>-74.083966666666697</v>
      </c>
      <c r="AC914" s="2">
        <v>2552</v>
      </c>
      <c r="AD914" s="2">
        <v>0</v>
      </c>
      <c r="AE914" s="2" t="s">
        <v>59</v>
      </c>
      <c r="AF914" s="2" t="s">
        <v>60</v>
      </c>
      <c r="AG914" s="2" t="s">
        <v>61</v>
      </c>
      <c r="AH914" s="2" t="s">
        <v>62</v>
      </c>
      <c r="AI914" s="2" t="s">
        <v>321</v>
      </c>
      <c r="AJ914" s="2">
        <v>0.21495177925070899</v>
      </c>
      <c r="AK914" s="2">
        <v>2.92895141540277</v>
      </c>
      <c r="AL914" s="2">
        <v>0.76556989518264396</v>
      </c>
      <c r="AM914" s="2">
        <v>0.23592890950878601</v>
      </c>
      <c r="AN914" s="2">
        <v>1.9817152625058001</v>
      </c>
      <c r="AO914" s="2">
        <v>0.197649675389137</v>
      </c>
      <c r="AP914" s="2">
        <v>0.197649675389137</v>
      </c>
      <c r="AQ914" s="2">
        <v>1</v>
      </c>
      <c r="AR914" s="2">
        <v>2</v>
      </c>
      <c r="AS914" s="2">
        <v>0</v>
      </c>
      <c r="AT914" s="2">
        <v>0</v>
      </c>
      <c r="AU914" s="2">
        <v>2</v>
      </c>
      <c r="AV914" s="2">
        <v>29</v>
      </c>
      <c r="AW914" s="2">
        <v>0</v>
      </c>
      <c r="AX914" s="2">
        <v>0</v>
      </c>
      <c r="AZ914" s="2">
        <v>6.8</v>
      </c>
      <c r="BA914" s="2">
        <v>19.899999999999999</v>
      </c>
      <c r="BB914" s="2">
        <v>564</v>
      </c>
      <c r="BC914" s="2">
        <v>68</v>
      </c>
      <c r="BD914" s="2">
        <v>1.5</v>
      </c>
      <c r="BE914" s="2">
        <v>135</v>
      </c>
      <c r="BF914" s="2">
        <v>0.8</v>
      </c>
      <c r="BG914" s="2">
        <v>162</v>
      </c>
      <c r="BH914" s="2">
        <v>9.1</v>
      </c>
      <c r="BI914" s="2">
        <v>9.1999999999999993</v>
      </c>
      <c r="BJ914" s="2">
        <v>18.3</v>
      </c>
      <c r="BK914" s="2">
        <v>0.34</v>
      </c>
      <c r="BL914" s="2">
        <v>7.3</v>
      </c>
      <c r="BM914" s="2">
        <v>0.9</v>
      </c>
      <c r="BN914" s="2">
        <v>7.5</v>
      </c>
      <c r="BO914" s="2">
        <v>2.9</v>
      </c>
      <c r="BP914" s="2">
        <f t="shared" si="28"/>
        <v>6.6036717450433899</v>
      </c>
      <c r="BQ914" s="2">
        <f t="shared" si="29"/>
        <v>19.619328457671887</v>
      </c>
    </row>
    <row r="915" spans="1:69" x14ac:dyDescent="0.2">
      <c r="A915" s="2" t="s">
        <v>1250</v>
      </c>
      <c r="B915" s="2" t="s">
        <v>47</v>
      </c>
      <c r="C915" s="2" t="s">
        <v>48</v>
      </c>
      <c r="D915" s="2" t="s">
        <v>49</v>
      </c>
      <c r="E915" s="2" t="s">
        <v>383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89</v>
      </c>
      <c r="L915" s="6" t="s">
        <v>103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1251</v>
      </c>
      <c r="R915" s="2">
        <v>9847826.0869999994</v>
      </c>
      <c r="S915" s="2">
        <v>0</v>
      </c>
      <c r="T915" s="2" t="s">
        <v>54</v>
      </c>
      <c r="U915" s="2" t="s">
        <v>55</v>
      </c>
      <c r="V915" s="2" t="s">
        <v>56</v>
      </c>
      <c r="W915" s="2" t="s">
        <v>57</v>
      </c>
      <c r="X915" s="2" t="s">
        <v>58</v>
      </c>
      <c r="Y915" s="2">
        <v>3.19610380670056</v>
      </c>
      <c r="Z915" s="2">
        <v>3196.1038067005602</v>
      </c>
      <c r="AA915" s="2">
        <v>4.6584666666666701</v>
      </c>
      <c r="AB915" s="2">
        <v>-74.083966666666697</v>
      </c>
      <c r="AC915" s="2">
        <v>2552</v>
      </c>
      <c r="AD915" s="2">
        <v>0</v>
      </c>
      <c r="AE915" s="2" t="s">
        <v>59</v>
      </c>
      <c r="AF915" s="2" t="s">
        <v>60</v>
      </c>
      <c r="AG915" s="2" t="s">
        <v>61</v>
      </c>
      <c r="AH915" s="2" t="s">
        <v>62</v>
      </c>
      <c r="AI915" s="2" t="s">
        <v>109</v>
      </c>
      <c r="AJ915" s="2">
        <v>0.105696631265358</v>
      </c>
      <c r="AK915" s="2">
        <v>1.71775359708495</v>
      </c>
      <c r="AL915" s="2">
        <v>0.485182287736378</v>
      </c>
      <c r="AM915" s="2">
        <v>2.4927912276709499E-2</v>
      </c>
      <c r="AN915" s="2">
        <v>2.5748641726155301</v>
      </c>
      <c r="AO915" s="2">
        <v>0.73969791729020795</v>
      </c>
      <c r="AP915" s="2">
        <v>0.73969791729020795</v>
      </c>
      <c r="AQ915" s="2">
        <v>3</v>
      </c>
      <c r="AR915" s="2">
        <v>5</v>
      </c>
      <c r="AS915" s="2">
        <v>0</v>
      </c>
      <c r="AT915" s="2">
        <v>0</v>
      </c>
      <c r="AU915" s="2">
        <v>7</v>
      </c>
      <c r="AV915" s="2">
        <v>287</v>
      </c>
      <c r="AW915" s="2">
        <v>0</v>
      </c>
      <c r="AX915" s="2">
        <v>0</v>
      </c>
      <c r="AZ915" s="2">
        <v>6.8</v>
      </c>
      <c r="BA915" s="2">
        <v>19.899999999999999</v>
      </c>
      <c r="BB915" s="2">
        <v>564</v>
      </c>
      <c r="BC915" s="2">
        <v>68</v>
      </c>
      <c r="BD915" s="2">
        <v>1.5</v>
      </c>
      <c r="BE915" s="2">
        <v>135</v>
      </c>
      <c r="BF915" s="2">
        <v>0.8</v>
      </c>
      <c r="BG915" s="2">
        <v>162</v>
      </c>
      <c r="BH915" s="2">
        <v>9.1</v>
      </c>
      <c r="BI915" s="2">
        <v>9.1999999999999993</v>
      </c>
      <c r="BJ915" s="2">
        <v>18.3</v>
      </c>
      <c r="BK915" s="2">
        <v>0.34</v>
      </c>
      <c r="BL915" s="2">
        <v>7.3</v>
      </c>
      <c r="BM915" s="2">
        <v>0.9</v>
      </c>
      <c r="BN915" s="2">
        <v>7.5</v>
      </c>
      <c r="BO915" s="2">
        <v>2.9</v>
      </c>
      <c r="BP915" s="2">
        <f t="shared" si="28"/>
        <v>5.8049759592258487</v>
      </c>
      <c r="BQ915" s="2">
        <f t="shared" si="29"/>
        <v>18.430616838240347</v>
      </c>
    </row>
    <row r="916" spans="1:69" x14ac:dyDescent="0.2">
      <c r="A916" s="2" t="s">
        <v>444</v>
      </c>
      <c r="B916" s="2" t="s">
        <v>47</v>
      </c>
      <c r="C916" s="2" t="s">
        <v>48</v>
      </c>
      <c r="D916" s="2" t="s">
        <v>49</v>
      </c>
      <c r="E916" s="2" t="s">
        <v>308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89</v>
      </c>
      <c r="L916" s="6" t="s">
        <v>94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445</v>
      </c>
      <c r="R916" s="2">
        <v>8190267.9060000004</v>
      </c>
      <c r="S916" s="2">
        <v>0</v>
      </c>
      <c r="T916" s="2" t="s">
        <v>54</v>
      </c>
      <c r="U916" s="2" t="s">
        <v>55</v>
      </c>
      <c r="V916" s="2" t="s">
        <v>56</v>
      </c>
      <c r="W916" s="2" t="s">
        <v>57</v>
      </c>
      <c r="X916" s="2" t="s">
        <v>58</v>
      </c>
      <c r="Y916" s="2">
        <v>4.0485953023102397</v>
      </c>
      <c r="Z916" s="2">
        <v>4048.5953023102402</v>
      </c>
      <c r="AA916" s="2">
        <v>4.6584666666666701</v>
      </c>
      <c r="AB916" s="2">
        <v>-74.083966666666697</v>
      </c>
      <c r="AC916" s="2">
        <v>2552</v>
      </c>
      <c r="AD916" s="2">
        <v>0</v>
      </c>
      <c r="AE916" s="2" t="s">
        <v>59</v>
      </c>
      <c r="AF916" s="2" t="s">
        <v>60</v>
      </c>
      <c r="AG916" s="2" t="s">
        <v>61</v>
      </c>
      <c r="AH916" s="2" t="s">
        <v>62</v>
      </c>
      <c r="AI916" s="2" t="s">
        <v>100</v>
      </c>
      <c r="AJ916" s="2">
        <v>0.52760472462101704</v>
      </c>
      <c r="AK916" s="2">
        <v>5.1831837322507903</v>
      </c>
      <c r="AL916" s="2">
        <v>1.1087947308487101</v>
      </c>
      <c r="AM916" s="2">
        <v>0.47784447686614301</v>
      </c>
      <c r="AN916" s="2">
        <v>2.3165733214386099</v>
      </c>
      <c r="AO916" s="2">
        <v>0.492441930088516</v>
      </c>
      <c r="AP916" s="2">
        <v>0.492441930088516</v>
      </c>
      <c r="AQ916" s="2">
        <v>0</v>
      </c>
      <c r="AR916" s="2">
        <v>3</v>
      </c>
      <c r="AS916" s="2">
        <v>0</v>
      </c>
      <c r="AT916" s="2">
        <v>0</v>
      </c>
      <c r="AU916" s="2">
        <v>0</v>
      </c>
      <c r="AV916" s="2">
        <v>30</v>
      </c>
      <c r="AW916" s="2">
        <v>0</v>
      </c>
      <c r="AX916" s="2">
        <v>0</v>
      </c>
      <c r="AZ916" s="2">
        <v>6.8</v>
      </c>
      <c r="BA916" s="2">
        <v>19.899999999999999</v>
      </c>
      <c r="BB916" s="2">
        <v>564</v>
      </c>
      <c r="BC916" s="2">
        <v>68</v>
      </c>
      <c r="BD916" s="2">
        <v>1.5</v>
      </c>
      <c r="BE916" s="2">
        <v>135</v>
      </c>
      <c r="BF916" s="2">
        <v>0.8</v>
      </c>
      <c r="BG916" s="2">
        <v>162</v>
      </c>
      <c r="BH916" s="2">
        <v>9.1</v>
      </c>
      <c r="BI916" s="2">
        <v>9.1999999999999993</v>
      </c>
      <c r="BJ916" s="2">
        <v>18.3</v>
      </c>
      <c r="BK916" s="2">
        <v>0.34</v>
      </c>
      <c r="BL916" s="2">
        <v>7.3</v>
      </c>
      <c r="BM916" s="2">
        <v>0.9</v>
      </c>
      <c r="BN916" s="2">
        <v>7.5</v>
      </c>
      <c r="BO916" s="2">
        <v>2.9</v>
      </c>
      <c r="BP916" s="2">
        <f t="shared" si="28"/>
        <v>5.5651121914763264</v>
      </c>
      <c r="BQ916" s="2">
        <f t="shared" si="29"/>
        <v>18.057361563287209</v>
      </c>
    </row>
    <row r="917" spans="1:69" x14ac:dyDescent="0.2">
      <c r="A917" s="2" t="s">
        <v>1000</v>
      </c>
      <c r="B917" s="2" t="s">
        <v>47</v>
      </c>
      <c r="C917" s="2" t="s">
        <v>48</v>
      </c>
      <c r="D917" s="2" t="s">
        <v>49</v>
      </c>
      <c r="E917" s="2" t="s">
        <v>1001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89</v>
      </c>
      <c r="L917" s="6" t="s">
        <v>103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1002</v>
      </c>
      <c r="R917" s="2">
        <v>7174392.9359999998</v>
      </c>
      <c r="S917" s="2">
        <v>0</v>
      </c>
      <c r="T917" s="2" t="s">
        <v>54</v>
      </c>
      <c r="U917" s="2" t="s">
        <v>55</v>
      </c>
      <c r="V917" s="2" t="s">
        <v>56</v>
      </c>
      <c r="W917" s="2" t="s">
        <v>57</v>
      </c>
      <c r="X917" s="2" t="s">
        <v>58</v>
      </c>
      <c r="Y917" s="2">
        <v>3.10125503597189</v>
      </c>
      <c r="Z917" s="2">
        <v>3101.2550359718898</v>
      </c>
      <c r="AA917" s="2">
        <v>4.6584666666666701</v>
      </c>
      <c r="AB917" s="2">
        <v>-74.083966666666697</v>
      </c>
      <c r="AC917" s="2">
        <v>2552</v>
      </c>
      <c r="AD917" s="2">
        <v>0</v>
      </c>
      <c r="AE917" s="2" t="s">
        <v>59</v>
      </c>
      <c r="AF917" s="2" t="s">
        <v>60</v>
      </c>
      <c r="AG917" s="2" t="s">
        <v>61</v>
      </c>
      <c r="AH917" s="2" t="s">
        <v>62</v>
      </c>
      <c r="AI917" s="2" t="s">
        <v>321</v>
      </c>
      <c r="AJ917" s="2">
        <v>0.159220941356882</v>
      </c>
      <c r="AK917" s="2">
        <v>1.9554540845975299</v>
      </c>
      <c r="AL917" s="2">
        <v>0.63581495815789102</v>
      </c>
      <c r="AM917" s="2">
        <v>1.6807899925153899E-2</v>
      </c>
      <c r="AN917" s="2">
        <v>2.3754212605882401</v>
      </c>
      <c r="AO917" s="2">
        <v>0.60262416035129995</v>
      </c>
      <c r="AP917" s="2">
        <v>0.60262416035129995</v>
      </c>
      <c r="AQ917" s="2">
        <v>2</v>
      </c>
      <c r="AR917" s="2">
        <v>7</v>
      </c>
      <c r="AS917" s="2">
        <v>0</v>
      </c>
      <c r="AT917" s="2">
        <v>0</v>
      </c>
      <c r="AU917" s="2">
        <v>5</v>
      </c>
      <c r="AV917" s="2">
        <v>292</v>
      </c>
      <c r="AW917" s="2">
        <v>0</v>
      </c>
      <c r="AX917" s="2">
        <v>0</v>
      </c>
      <c r="AZ917" s="2">
        <v>6.8</v>
      </c>
      <c r="BA917" s="2">
        <v>19.899999999999999</v>
      </c>
      <c r="BB917" s="2">
        <v>564</v>
      </c>
      <c r="BC917" s="2">
        <v>68</v>
      </c>
      <c r="BD917" s="2">
        <v>1.5</v>
      </c>
      <c r="BE917" s="2">
        <v>135</v>
      </c>
      <c r="BF917" s="2">
        <v>0.8</v>
      </c>
      <c r="BG917" s="2">
        <v>162</v>
      </c>
      <c r="BH917" s="2">
        <v>9.1</v>
      </c>
      <c r="BI917" s="2">
        <v>9.1999999999999993</v>
      </c>
      <c r="BJ917" s="2">
        <v>18.3</v>
      </c>
      <c r="BK917" s="2">
        <v>0.34</v>
      </c>
      <c r="BL917" s="2">
        <v>7.3</v>
      </c>
      <c r="BM917" s="2">
        <v>0.9</v>
      </c>
      <c r="BN917" s="2">
        <v>7.5</v>
      </c>
      <c r="BO917" s="2">
        <v>2.9</v>
      </c>
      <c r="BP917" s="2">
        <f t="shared" si="28"/>
        <v>5.8322944837484467</v>
      </c>
      <c r="BQ917" s="2">
        <f t="shared" si="29"/>
        <v>18.472619539378581</v>
      </c>
    </row>
    <row r="918" spans="1:69" x14ac:dyDescent="0.2">
      <c r="A918" s="2" t="s">
        <v>288</v>
      </c>
      <c r="B918" s="2" t="s">
        <v>47</v>
      </c>
      <c r="C918" s="2" t="s">
        <v>48</v>
      </c>
      <c r="D918" s="2" t="s">
        <v>49</v>
      </c>
      <c r="E918" s="2" t="s">
        <v>289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89</v>
      </c>
      <c r="L918" s="6" t="s">
        <v>112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290</v>
      </c>
      <c r="R918" s="2">
        <v>12222222.220000001</v>
      </c>
      <c r="S918" s="2">
        <v>0</v>
      </c>
      <c r="T918" s="2" t="s">
        <v>54</v>
      </c>
      <c r="U918" s="2" t="s">
        <v>55</v>
      </c>
      <c r="V918" s="2" t="s">
        <v>56</v>
      </c>
      <c r="W918" s="2" t="s">
        <v>57</v>
      </c>
      <c r="X918" s="2" t="s">
        <v>58</v>
      </c>
      <c r="Y918" s="2">
        <v>4.1487072261891402</v>
      </c>
      <c r="Z918" s="2">
        <v>4148.7072261891399</v>
      </c>
      <c r="AA918" s="2">
        <v>4.6584666666666701</v>
      </c>
      <c r="AB918" s="2">
        <v>-74.083966666666697</v>
      </c>
      <c r="AC918" s="2">
        <v>2552</v>
      </c>
      <c r="AD918" s="2">
        <v>0</v>
      </c>
      <c r="AE918" s="2" t="s">
        <v>59</v>
      </c>
      <c r="AF918" s="2" t="s">
        <v>60</v>
      </c>
      <c r="AG918" s="2" t="s">
        <v>61</v>
      </c>
      <c r="AH918" s="2" t="s">
        <v>62</v>
      </c>
      <c r="AI918" s="2" t="s">
        <v>109</v>
      </c>
      <c r="AJ918" s="2">
        <v>1.5965799216794001</v>
      </c>
      <c r="AK918" s="2">
        <v>0.19557346174112999</v>
      </c>
      <c r="AL918" s="2">
        <v>0.78178302996239302</v>
      </c>
      <c r="AM918" s="2">
        <v>0.130736465025898</v>
      </c>
      <c r="AN918" s="2">
        <v>2.6875308374744402</v>
      </c>
      <c r="AO918" s="2">
        <v>0.43921922424918602</v>
      </c>
      <c r="AP918" s="2">
        <v>0.43921922424918602</v>
      </c>
      <c r="AQ918" s="2">
        <v>0</v>
      </c>
      <c r="AR918" s="2">
        <v>0</v>
      </c>
      <c r="AS918" s="2">
        <v>8</v>
      </c>
      <c r="AT918" s="2">
        <v>36</v>
      </c>
      <c r="AU918" s="2">
        <v>2</v>
      </c>
      <c r="AV918" s="2">
        <v>16</v>
      </c>
      <c r="AW918" s="2">
        <v>0</v>
      </c>
      <c r="AX918" s="2">
        <v>0</v>
      </c>
      <c r="AZ918" s="2">
        <v>6.8</v>
      </c>
      <c r="BA918" s="2">
        <v>19.899999999999999</v>
      </c>
      <c r="BB918" s="2">
        <v>564</v>
      </c>
      <c r="BC918" s="2">
        <v>68</v>
      </c>
      <c r="BD918" s="2">
        <v>1.5</v>
      </c>
      <c r="BE918" s="2">
        <v>135</v>
      </c>
      <c r="BF918" s="2">
        <v>0.8</v>
      </c>
      <c r="BG918" s="2">
        <v>162</v>
      </c>
      <c r="BH918" s="2">
        <v>9.1</v>
      </c>
      <c r="BI918" s="2">
        <v>9.1999999999999993</v>
      </c>
      <c r="BJ918" s="2">
        <v>18.3</v>
      </c>
      <c r="BK918" s="2">
        <v>0.34</v>
      </c>
      <c r="BL918" s="2">
        <v>7.3</v>
      </c>
      <c r="BM918" s="2">
        <v>0.9</v>
      </c>
      <c r="BN918" s="2">
        <v>7.5</v>
      </c>
      <c r="BO918" s="2">
        <v>2.9</v>
      </c>
      <c r="BP918" s="2">
        <f t="shared" si="28"/>
        <v>5.5376022736656854</v>
      </c>
      <c r="BQ918" s="2">
        <f t="shared" si="29"/>
        <v>18.014027470296522</v>
      </c>
    </row>
    <row r="919" spans="1:69" x14ac:dyDescent="0.2">
      <c r="A919" s="2" t="s">
        <v>2791</v>
      </c>
      <c r="B919" s="2" t="s">
        <v>47</v>
      </c>
      <c r="C919" s="2" t="s">
        <v>1935</v>
      </c>
      <c r="D919" s="2" t="s">
        <v>49</v>
      </c>
      <c r="E919" s="2" t="s">
        <v>2792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89</v>
      </c>
      <c r="L919" s="6" t="s">
        <v>141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2793</v>
      </c>
      <c r="R919" s="2">
        <v>7333333.3329999996</v>
      </c>
      <c r="S919" s="2">
        <v>0</v>
      </c>
      <c r="T919" s="2" t="s">
        <v>1822</v>
      </c>
      <c r="U919" s="2" t="s">
        <v>1823</v>
      </c>
      <c r="V919" s="2" t="s">
        <v>56</v>
      </c>
      <c r="W919" s="2" t="s">
        <v>1824</v>
      </c>
      <c r="X919" s="2" t="s">
        <v>1825</v>
      </c>
      <c r="Y919" s="2">
        <v>2.54103615973691</v>
      </c>
      <c r="Z919" s="2">
        <v>2541.0361597369101</v>
      </c>
      <c r="AA919" s="2">
        <v>4.576225</v>
      </c>
      <c r="AB919" s="2">
        <v>-74.130955555555502</v>
      </c>
      <c r="AC919" s="2">
        <v>2589</v>
      </c>
      <c r="AD919" s="2">
        <v>0</v>
      </c>
      <c r="AE919" s="2" t="s">
        <v>59</v>
      </c>
      <c r="AF919" s="2" t="s">
        <v>86</v>
      </c>
      <c r="AG919" s="2" t="s">
        <v>61</v>
      </c>
      <c r="AH919" s="2" t="s">
        <v>62</v>
      </c>
      <c r="AI919" s="2" t="s">
        <v>1826</v>
      </c>
      <c r="AJ919" s="2">
        <v>0.26196897325051799</v>
      </c>
      <c r="AK919" s="2">
        <v>3.6807484947177</v>
      </c>
      <c r="AL919" s="2">
        <v>1.5367442010779</v>
      </c>
      <c r="AM919" s="2">
        <v>0.17936402435912499</v>
      </c>
      <c r="AN919" s="2">
        <v>1.0040570965073501</v>
      </c>
      <c r="AO919" s="2">
        <v>0.168278136370384</v>
      </c>
      <c r="AP919" s="2">
        <v>0.168278136370384</v>
      </c>
      <c r="AQ919" s="2">
        <v>1</v>
      </c>
      <c r="AR919" s="2">
        <v>3</v>
      </c>
      <c r="AS919" s="2">
        <v>0</v>
      </c>
      <c r="AT919" s="2">
        <v>0</v>
      </c>
      <c r="AU919" s="2">
        <v>0</v>
      </c>
      <c r="AV919" s="2">
        <v>52</v>
      </c>
      <c r="AW919" s="2">
        <v>0</v>
      </c>
      <c r="AX919" s="2">
        <v>0</v>
      </c>
      <c r="AZ919" s="2">
        <v>6.8</v>
      </c>
      <c r="BA919" s="2">
        <v>19.899999999999999</v>
      </c>
      <c r="BB919" s="2">
        <v>564</v>
      </c>
      <c r="BC919" s="2">
        <v>68</v>
      </c>
      <c r="BD919" s="2">
        <v>1.5</v>
      </c>
      <c r="BE919" s="2">
        <v>135</v>
      </c>
      <c r="BF919" s="2">
        <v>0.8</v>
      </c>
      <c r="BG919" s="2">
        <v>162</v>
      </c>
      <c r="BH919" s="2">
        <v>9.1</v>
      </c>
      <c r="BI919" s="2">
        <v>9.1999999999999993</v>
      </c>
      <c r="BJ919" s="2">
        <v>18.3</v>
      </c>
      <c r="BK919" s="2">
        <v>0.34</v>
      </c>
      <c r="BL919" s="2">
        <v>7.3</v>
      </c>
      <c r="BM919" s="2">
        <v>0.9</v>
      </c>
      <c r="BN919" s="2">
        <v>7.5</v>
      </c>
      <c r="BO919" s="2">
        <v>2.9</v>
      </c>
      <c r="BP919" s="2">
        <f t="shared" si="28"/>
        <v>5.996292264362979</v>
      </c>
      <c r="BQ919" s="2">
        <f t="shared" si="29"/>
        <v>18.722665783891507</v>
      </c>
    </row>
    <row r="920" spans="1:69" x14ac:dyDescent="0.2">
      <c r="A920" s="2" t="s">
        <v>1968</v>
      </c>
      <c r="B920" s="2" t="s">
        <v>47</v>
      </c>
      <c r="C920" s="2" t="s">
        <v>1935</v>
      </c>
      <c r="D920" s="2" t="s">
        <v>49</v>
      </c>
      <c r="E920" s="2" t="s">
        <v>1969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89</v>
      </c>
      <c r="L920" s="6" t="s">
        <v>141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1970</v>
      </c>
      <c r="R920" s="2">
        <v>8570792.5199999996</v>
      </c>
      <c r="S920" s="2">
        <v>0</v>
      </c>
      <c r="T920" s="2" t="s">
        <v>54</v>
      </c>
      <c r="U920" s="2" t="s">
        <v>55</v>
      </c>
      <c r="V920" s="2" t="s">
        <v>56</v>
      </c>
      <c r="W920" s="2" t="s">
        <v>57</v>
      </c>
      <c r="X920" s="2" t="s">
        <v>58</v>
      </c>
      <c r="Y920" s="2">
        <v>3.5266242271941999</v>
      </c>
      <c r="Z920" s="2">
        <v>3526.6242271942001</v>
      </c>
      <c r="AA920" s="2">
        <v>4.6584666666666701</v>
      </c>
      <c r="AB920" s="2">
        <v>-74.083966666666697</v>
      </c>
      <c r="AC920" s="2">
        <v>2552</v>
      </c>
      <c r="AD920" s="2">
        <v>0</v>
      </c>
      <c r="AE920" s="2" t="s">
        <v>59</v>
      </c>
      <c r="AF920" s="2" t="s">
        <v>60</v>
      </c>
      <c r="AG920" s="2" t="s">
        <v>61</v>
      </c>
      <c r="AH920" s="2" t="s">
        <v>62</v>
      </c>
      <c r="AI920" s="2" t="s">
        <v>100</v>
      </c>
      <c r="AJ920" s="2">
        <v>0.55867601348211304</v>
      </c>
      <c r="AK920" s="2">
        <v>4.3984063240658902</v>
      </c>
      <c r="AL920" s="2">
        <v>0.36176720252762701</v>
      </c>
      <c r="AM920" s="2">
        <v>0.26831829795241102</v>
      </c>
      <c r="AN920" s="2">
        <v>1.8034573372293301</v>
      </c>
      <c r="AO920" s="2">
        <v>0.125783832354258</v>
      </c>
      <c r="AP920" s="2">
        <v>0.125783832354258</v>
      </c>
      <c r="AQ920" s="2">
        <v>0</v>
      </c>
      <c r="AR920" s="2">
        <v>3</v>
      </c>
      <c r="AS920" s="2">
        <v>0</v>
      </c>
      <c r="AT920" s="2">
        <v>0</v>
      </c>
      <c r="AU920" s="2">
        <v>1</v>
      </c>
      <c r="AV920" s="2">
        <v>28</v>
      </c>
      <c r="AW920" s="2">
        <v>0</v>
      </c>
      <c r="AX920" s="2">
        <v>0</v>
      </c>
      <c r="AZ920" s="2">
        <v>6.8</v>
      </c>
      <c r="BA920" s="2">
        <v>19.899999999999999</v>
      </c>
      <c r="BB920" s="2">
        <v>564</v>
      </c>
      <c r="BC920" s="2">
        <v>68</v>
      </c>
      <c r="BD920" s="2">
        <v>1.5</v>
      </c>
      <c r="BE920" s="2">
        <v>135</v>
      </c>
      <c r="BF920" s="2">
        <v>0.8</v>
      </c>
      <c r="BG920" s="2">
        <v>162</v>
      </c>
      <c r="BH920" s="2">
        <v>9.1</v>
      </c>
      <c r="BI920" s="2">
        <v>9.1999999999999993</v>
      </c>
      <c r="BJ920" s="2">
        <v>18.3</v>
      </c>
      <c r="BK920" s="2">
        <v>0.34</v>
      </c>
      <c r="BL920" s="2">
        <v>7.3</v>
      </c>
      <c r="BM920" s="2">
        <v>0.9</v>
      </c>
      <c r="BN920" s="2">
        <v>7.5</v>
      </c>
      <c r="BO920" s="2">
        <v>2.9</v>
      </c>
      <c r="BP920" s="2">
        <f t="shared" si="28"/>
        <v>5.710774838287878</v>
      </c>
      <c r="BQ920" s="2">
        <f t="shared" si="29"/>
        <v>18.284994490299557</v>
      </c>
    </row>
    <row r="921" spans="1:69" x14ac:dyDescent="0.2">
      <c r="A921" s="2" t="s">
        <v>552</v>
      </c>
      <c r="B921" s="2" t="s">
        <v>47</v>
      </c>
      <c r="C921" s="2" t="s">
        <v>48</v>
      </c>
      <c r="D921" s="2" t="s">
        <v>49</v>
      </c>
      <c r="E921" s="2" t="s">
        <v>553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89</v>
      </c>
      <c r="L921" s="6" t="s">
        <v>103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554</v>
      </c>
      <c r="R921" s="2">
        <v>8146067.4160000002</v>
      </c>
      <c r="S921" s="2">
        <v>0</v>
      </c>
      <c r="T921" s="2" t="s">
        <v>54</v>
      </c>
      <c r="U921" s="2" t="s">
        <v>55</v>
      </c>
      <c r="V921" s="2" t="s">
        <v>56</v>
      </c>
      <c r="W921" s="2" t="s">
        <v>57</v>
      </c>
      <c r="X921" s="2" t="s">
        <v>58</v>
      </c>
      <c r="Y921" s="2">
        <v>3.94581999261298</v>
      </c>
      <c r="Z921" s="2">
        <v>3945.8199926129801</v>
      </c>
      <c r="AA921" s="2">
        <v>4.6584666666666701</v>
      </c>
      <c r="AB921" s="2">
        <v>-74.083966666666697</v>
      </c>
      <c r="AC921" s="2">
        <v>2552</v>
      </c>
      <c r="AD921" s="2">
        <v>0</v>
      </c>
      <c r="AE921" s="2" t="s">
        <v>59</v>
      </c>
      <c r="AF921" s="2" t="s">
        <v>60</v>
      </c>
      <c r="AG921" s="2" t="s">
        <v>61</v>
      </c>
      <c r="AH921" s="2" t="s">
        <v>62</v>
      </c>
      <c r="AI921" s="2" t="s">
        <v>391</v>
      </c>
      <c r="AJ921" s="2">
        <v>0.195111079666168</v>
      </c>
      <c r="AK921" s="2">
        <v>5.4600823255238096</v>
      </c>
      <c r="AL921" s="2">
        <v>0.93129926168764998</v>
      </c>
      <c r="AM921" s="2">
        <v>0.14922298197003001</v>
      </c>
      <c r="AN921" s="2">
        <v>1.9657566733198899</v>
      </c>
      <c r="AO921" s="2">
        <v>0.17717784682625701</v>
      </c>
      <c r="AP921" s="2">
        <v>0.17717784682625701</v>
      </c>
      <c r="AQ921" s="2">
        <v>2</v>
      </c>
      <c r="AR921" s="2">
        <v>3</v>
      </c>
      <c r="AS921" s="2">
        <v>0</v>
      </c>
      <c r="AT921" s="2">
        <v>0</v>
      </c>
      <c r="AU921" s="2">
        <v>2</v>
      </c>
      <c r="AV921" s="2">
        <v>20</v>
      </c>
      <c r="AW921" s="2">
        <v>0</v>
      </c>
      <c r="AX921" s="2">
        <v>0</v>
      </c>
      <c r="AZ921" s="2">
        <v>6.8</v>
      </c>
      <c r="BA921" s="2">
        <v>19.899999999999999</v>
      </c>
      <c r="BB921" s="2">
        <v>564</v>
      </c>
      <c r="BC921" s="2">
        <v>68</v>
      </c>
      <c r="BD921" s="2">
        <v>1.5</v>
      </c>
      <c r="BE921" s="2">
        <v>135</v>
      </c>
      <c r="BF921" s="2">
        <v>0.8</v>
      </c>
      <c r="BG921" s="2">
        <v>162</v>
      </c>
      <c r="BH921" s="2">
        <v>9.1</v>
      </c>
      <c r="BI921" s="2">
        <v>9.1999999999999993</v>
      </c>
      <c r="BJ921" s="2">
        <v>18.3</v>
      </c>
      <c r="BK921" s="2">
        <v>0.34</v>
      </c>
      <c r="BL921" s="2">
        <v>7.3</v>
      </c>
      <c r="BM921" s="2">
        <v>0.9</v>
      </c>
      <c r="BN921" s="2">
        <v>7.5</v>
      </c>
      <c r="BO921" s="2">
        <v>2.9</v>
      </c>
      <c r="BP921" s="2">
        <f t="shared" si="28"/>
        <v>5.5934961586253147</v>
      </c>
      <c r="BQ921" s="2">
        <f t="shared" si="29"/>
        <v>18.101956962596052</v>
      </c>
    </row>
    <row r="922" spans="1:69" x14ac:dyDescent="0.2">
      <c r="A922" s="2" t="s">
        <v>867</v>
      </c>
      <c r="B922" s="2" t="s">
        <v>47</v>
      </c>
      <c r="C922" s="2" t="s">
        <v>48</v>
      </c>
      <c r="D922" s="2" t="s">
        <v>49</v>
      </c>
      <c r="E922" s="2" t="s">
        <v>109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89</v>
      </c>
      <c r="L922" s="6" t="s">
        <v>103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868</v>
      </c>
      <c r="R922" s="2">
        <v>6781609.1950000003</v>
      </c>
      <c r="S922" s="2">
        <v>0</v>
      </c>
      <c r="T922" s="2" t="s">
        <v>54</v>
      </c>
      <c r="U922" s="2" t="s">
        <v>55</v>
      </c>
      <c r="V922" s="2" t="s">
        <v>56</v>
      </c>
      <c r="W922" s="2" t="s">
        <v>57</v>
      </c>
      <c r="X922" s="2" t="s">
        <v>58</v>
      </c>
      <c r="Y922" s="2">
        <v>2.4938113224972702</v>
      </c>
      <c r="Z922" s="2">
        <v>2493.8113224972699</v>
      </c>
      <c r="AA922" s="2">
        <v>4.6584666666666701</v>
      </c>
      <c r="AB922" s="2">
        <v>-74.083966666666697</v>
      </c>
      <c r="AC922" s="2">
        <v>2552</v>
      </c>
      <c r="AD922" s="2">
        <v>0</v>
      </c>
      <c r="AE922" s="2" t="s">
        <v>59</v>
      </c>
      <c r="AF922" s="2" t="s">
        <v>60</v>
      </c>
      <c r="AG922" s="2" t="s">
        <v>61</v>
      </c>
      <c r="AH922" s="2" t="s">
        <v>62</v>
      </c>
      <c r="AI922" s="2" t="s">
        <v>109</v>
      </c>
      <c r="AJ922" s="2">
        <v>0.27576299493269502</v>
      </c>
      <c r="AK922" s="2">
        <v>1.27970696855363</v>
      </c>
      <c r="AL922" s="2">
        <v>0.10332665561992301</v>
      </c>
      <c r="AM922" s="2">
        <v>7.9264910174481496E-3</v>
      </c>
      <c r="AN922" s="2">
        <v>1.28006463823703</v>
      </c>
      <c r="AO922" s="2">
        <v>7.3330259160430997E-2</v>
      </c>
      <c r="AP922" s="2">
        <v>7.3330259160430997E-2</v>
      </c>
      <c r="AQ922" s="2">
        <v>1</v>
      </c>
      <c r="AR922" s="2">
        <v>3</v>
      </c>
      <c r="AS922" s="2">
        <v>0</v>
      </c>
      <c r="AT922" s="2">
        <v>0</v>
      </c>
      <c r="AU922" s="2">
        <v>23</v>
      </c>
      <c r="AV922" s="2">
        <v>83</v>
      </c>
      <c r="AW922" s="2">
        <v>0</v>
      </c>
      <c r="AX922" s="2">
        <v>0</v>
      </c>
      <c r="AZ922" s="2">
        <v>6.8</v>
      </c>
      <c r="BA922" s="2">
        <v>19.899999999999999</v>
      </c>
      <c r="BB922" s="2">
        <v>564</v>
      </c>
      <c r="BC922" s="2">
        <v>68</v>
      </c>
      <c r="BD922" s="2">
        <v>1.5</v>
      </c>
      <c r="BE922" s="2">
        <v>135</v>
      </c>
      <c r="BF922" s="2">
        <v>0.8</v>
      </c>
      <c r="BG922" s="2">
        <v>162</v>
      </c>
      <c r="BH922" s="2">
        <v>9.1</v>
      </c>
      <c r="BI922" s="2">
        <v>9.1999999999999993</v>
      </c>
      <c r="BJ922" s="2">
        <v>18.3</v>
      </c>
      <c r="BK922" s="2">
        <v>0.34</v>
      </c>
      <c r="BL922" s="2">
        <v>7.3</v>
      </c>
      <c r="BM922" s="2">
        <v>0.9</v>
      </c>
      <c r="BN922" s="2">
        <v>7.5</v>
      </c>
      <c r="BO922" s="2">
        <v>2.9</v>
      </c>
      <c r="BP922" s="2">
        <f t="shared" si="28"/>
        <v>6.0103257698884933</v>
      </c>
      <c r="BQ922" s="2">
        <f t="shared" si="29"/>
        <v>18.743898010143845</v>
      </c>
    </row>
    <row r="923" spans="1:69" x14ac:dyDescent="0.2">
      <c r="A923" s="2" t="s">
        <v>1064</v>
      </c>
      <c r="B923" s="2" t="s">
        <v>47</v>
      </c>
      <c r="C923" s="2" t="s">
        <v>48</v>
      </c>
      <c r="D923" s="2" t="s">
        <v>49</v>
      </c>
      <c r="E923" s="2" t="s">
        <v>618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89</v>
      </c>
      <c r="L923" s="6" t="s">
        <v>90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1065</v>
      </c>
      <c r="R923" s="2">
        <v>7234752.5889999997</v>
      </c>
      <c r="S923" s="2">
        <v>0</v>
      </c>
      <c r="T923" s="2" t="s">
        <v>54</v>
      </c>
      <c r="U923" s="2" t="s">
        <v>55</v>
      </c>
      <c r="V923" s="2" t="s">
        <v>56</v>
      </c>
      <c r="W923" s="2" t="s">
        <v>57</v>
      </c>
      <c r="X923" s="2" t="s">
        <v>58</v>
      </c>
      <c r="Y923" s="2">
        <v>0.87715494712354303</v>
      </c>
      <c r="Z923" s="2">
        <v>877.15494712354302</v>
      </c>
      <c r="AA923" s="2">
        <v>4.6584666666666701</v>
      </c>
      <c r="AB923" s="2">
        <v>-74.083966666666697</v>
      </c>
      <c r="AC923" s="2">
        <v>2552</v>
      </c>
      <c r="AD923" s="2">
        <v>0</v>
      </c>
      <c r="AE923" s="2" t="s">
        <v>59</v>
      </c>
      <c r="AF923" s="2" t="s">
        <v>60</v>
      </c>
      <c r="AG923" s="2" t="s">
        <v>61</v>
      </c>
      <c r="AH923" s="2" t="s">
        <v>62</v>
      </c>
      <c r="AI923" s="2" t="s">
        <v>321</v>
      </c>
      <c r="AJ923" s="2">
        <v>0.49509193480542701</v>
      </c>
      <c r="AK923" s="2">
        <v>3.2803556290696601</v>
      </c>
      <c r="AL923" s="2">
        <v>1.42782731809617</v>
      </c>
      <c r="AM923" s="2">
        <v>8.9824461477754997E-2</v>
      </c>
      <c r="AN923" s="2">
        <v>1.29927617093864</v>
      </c>
      <c r="AO923" s="2">
        <v>7.0462238182893003E-2</v>
      </c>
      <c r="AP923" s="2">
        <v>7.0462238182893003E-2</v>
      </c>
      <c r="AQ923" s="2">
        <v>1</v>
      </c>
      <c r="AR923" s="2">
        <v>2</v>
      </c>
      <c r="AS923" s="2">
        <v>0</v>
      </c>
      <c r="AT923" s="2">
        <v>0</v>
      </c>
      <c r="AU923" s="2">
        <v>0</v>
      </c>
      <c r="AV923" s="2">
        <v>21</v>
      </c>
      <c r="AW923" s="2">
        <v>0</v>
      </c>
      <c r="AX923" s="2">
        <v>0</v>
      </c>
      <c r="AZ923" s="2">
        <v>6.8</v>
      </c>
      <c r="BA923" s="2">
        <v>19.899999999999999</v>
      </c>
      <c r="BB923" s="2">
        <v>564</v>
      </c>
      <c r="BC923" s="2">
        <v>68</v>
      </c>
      <c r="BD923" s="2">
        <v>1.5</v>
      </c>
      <c r="BE923" s="2">
        <v>135</v>
      </c>
      <c r="BF923" s="2">
        <v>0.8</v>
      </c>
      <c r="BG923" s="2">
        <v>162</v>
      </c>
      <c r="BH923" s="2">
        <v>9.1</v>
      </c>
      <c r="BI923" s="2">
        <v>9.1999999999999993</v>
      </c>
      <c r="BJ923" s="2">
        <v>18.3</v>
      </c>
      <c r="BK923" s="2">
        <v>0.34</v>
      </c>
      <c r="BL923" s="2">
        <v>7.3</v>
      </c>
      <c r="BM923" s="2">
        <v>0.9</v>
      </c>
      <c r="BN923" s="2">
        <v>7.5</v>
      </c>
      <c r="BO923" s="2">
        <v>2.9</v>
      </c>
      <c r="BP923" s="2">
        <f t="shared" si="28"/>
        <v>6.5110676369104823</v>
      </c>
      <c r="BQ923" s="2">
        <f t="shared" si="29"/>
        <v>19.485449606145778</v>
      </c>
    </row>
    <row r="924" spans="1:69" x14ac:dyDescent="0.2">
      <c r="A924" s="2" t="s">
        <v>271</v>
      </c>
      <c r="B924" s="2" t="s">
        <v>47</v>
      </c>
      <c r="C924" s="2" t="s">
        <v>48</v>
      </c>
      <c r="D924" s="2" t="s">
        <v>49</v>
      </c>
      <c r="E924" s="2" t="s">
        <v>272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51</v>
      </c>
      <c r="L924" s="6" t="s">
        <v>52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273</v>
      </c>
      <c r="R924" s="2">
        <v>15151162.789999999</v>
      </c>
      <c r="S924" s="2">
        <v>0</v>
      </c>
      <c r="T924" s="2" t="s">
        <v>105</v>
      </c>
      <c r="U924" s="2" t="s">
        <v>106</v>
      </c>
      <c r="V924" s="2" t="s">
        <v>56</v>
      </c>
      <c r="W924" s="2" t="s">
        <v>107</v>
      </c>
      <c r="X924" s="2" t="s">
        <v>108</v>
      </c>
      <c r="Y924" s="2">
        <v>1.60219619260187</v>
      </c>
      <c r="Z924" s="2">
        <v>1602.1961926018701</v>
      </c>
      <c r="AA924" s="2">
        <v>4.6254861111111101</v>
      </c>
      <c r="AB924" s="2">
        <v>-74.066980555555503</v>
      </c>
      <c r="AC924" s="2">
        <v>2621</v>
      </c>
      <c r="AD924" s="2">
        <v>15</v>
      </c>
      <c r="AE924" s="2" t="s">
        <v>59</v>
      </c>
      <c r="AF924" s="2" t="s">
        <v>60</v>
      </c>
      <c r="AG924" s="2" t="s">
        <v>61</v>
      </c>
      <c r="AH924" s="2" t="s">
        <v>62</v>
      </c>
      <c r="AI924" s="2" t="s">
        <v>117</v>
      </c>
      <c r="AJ924" s="2">
        <v>0.47733575772768</v>
      </c>
      <c r="AK924" s="2">
        <v>0.35692331491159202</v>
      </c>
      <c r="AL924" s="2">
        <v>0.46451264872717402</v>
      </c>
      <c r="AM924" s="2">
        <v>0.39257844270589998</v>
      </c>
      <c r="AN924" s="2">
        <v>0.47201820409333101</v>
      </c>
      <c r="AO924" s="2">
        <v>3.30575350259847E-2</v>
      </c>
      <c r="AP924" s="2">
        <v>3.30575350259847E-2</v>
      </c>
      <c r="AQ924" s="2">
        <v>1</v>
      </c>
      <c r="AR924" s="2">
        <v>7</v>
      </c>
      <c r="AS924" s="2">
        <v>6</v>
      </c>
      <c r="AT924" s="2">
        <v>28</v>
      </c>
      <c r="AU924" s="2">
        <v>8</v>
      </c>
      <c r="AV924" s="2">
        <v>53</v>
      </c>
      <c r="AW924" s="2">
        <v>1</v>
      </c>
      <c r="AX924" s="2">
        <v>5</v>
      </c>
      <c r="AZ924" s="2">
        <v>6.8</v>
      </c>
      <c r="BA924" s="2">
        <v>19.899999999999999</v>
      </c>
      <c r="BB924" s="2">
        <v>564</v>
      </c>
      <c r="BC924" s="2">
        <v>68</v>
      </c>
      <c r="BD924" s="2">
        <v>1.5</v>
      </c>
      <c r="BE924" s="2">
        <v>135</v>
      </c>
      <c r="BF924" s="2">
        <v>0.8</v>
      </c>
      <c r="BG924" s="2">
        <v>162</v>
      </c>
      <c r="BH924" s="2">
        <v>9.1</v>
      </c>
      <c r="BI924" s="2">
        <v>9.1999999999999993</v>
      </c>
      <c r="BJ924" s="2">
        <v>18.3</v>
      </c>
      <c r="BK924" s="2">
        <v>0.34</v>
      </c>
      <c r="BL924" s="2">
        <v>7.3</v>
      </c>
      <c r="BM924" s="2">
        <v>0.9</v>
      </c>
      <c r="BN924" s="2">
        <v>7.5</v>
      </c>
      <c r="BO924" s="2">
        <v>2.9</v>
      </c>
      <c r="BP924" s="2">
        <f t="shared" si="28"/>
        <v>6.2815320054919743</v>
      </c>
      <c r="BQ924" s="2">
        <f t="shared" si="29"/>
        <v>19.149316500465773</v>
      </c>
    </row>
    <row r="925" spans="1:69" x14ac:dyDescent="0.2">
      <c r="A925" s="2" t="s">
        <v>794</v>
      </c>
      <c r="B925" s="2" t="s">
        <v>47</v>
      </c>
      <c r="C925" s="2" t="s">
        <v>48</v>
      </c>
      <c r="D925" s="2" t="s">
        <v>49</v>
      </c>
      <c r="E925" s="2" t="s">
        <v>166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89</v>
      </c>
      <c r="L925" s="6" t="s">
        <v>94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795</v>
      </c>
      <c r="R925" s="2">
        <v>11616279.07</v>
      </c>
      <c r="S925" s="2">
        <v>0</v>
      </c>
      <c r="T925" s="2" t="s">
        <v>54</v>
      </c>
      <c r="U925" s="2" t="s">
        <v>55</v>
      </c>
      <c r="V925" s="2" t="s">
        <v>56</v>
      </c>
      <c r="W925" s="2" t="s">
        <v>57</v>
      </c>
      <c r="X925" s="2" t="s">
        <v>58</v>
      </c>
      <c r="Y925" s="2">
        <v>4.4287179417418701</v>
      </c>
      <c r="Z925" s="2">
        <v>4428.7179417418702</v>
      </c>
      <c r="AA925" s="2">
        <v>4.6584666666666701</v>
      </c>
      <c r="AB925" s="2">
        <v>-74.083966666666697</v>
      </c>
      <c r="AC925" s="2">
        <v>2552</v>
      </c>
      <c r="AD925" s="2">
        <v>0</v>
      </c>
      <c r="AE925" s="2" t="s">
        <v>59</v>
      </c>
      <c r="AF925" s="2" t="s">
        <v>60</v>
      </c>
      <c r="AG925" s="2" t="s">
        <v>61</v>
      </c>
      <c r="AH925" s="2" t="s">
        <v>62</v>
      </c>
      <c r="AI925" s="2" t="s">
        <v>109</v>
      </c>
      <c r="AJ925" s="2">
        <v>1.7200512542433699</v>
      </c>
      <c r="AK925" s="2">
        <v>0.18705768896112501</v>
      </c>
      <c r="AL925" s="2">
        <v>0.99259320914645199</v>
      </c>
      <c r="AM925" s="2">
        <v>0.312580254861198</v>
      </c>
      <c r="AN925" s="2">
        <v>3.1351739798365101</v>
      </c>
      <c r="AO925" s="2">
        <v>0.47293501518493603</v>
      </c>
      <c r="AP925" s="2">
        <v>0.47293501518493603</v>
      </c>
      <c r="AQ925" s="2">
        <v>0</v>
      </c>
      <c r="AR925" s="2">
        <v>0</v>
      </c>
      <c r="AS925" s="2">
        <v>19</v>
      </c>
      <c r="AT925" s="2">
        <v>38</v>
      </c>
      <c r="AU925" s="2">
        <v>1</v>
      </c>
      <c r="AV925" s="2">
        <v>14</v>
      </c>
      <c r="AW925" s="2">
        <v>0</v>
      </c>
      <c r="AX925" s="2">
        <v>0</v>
      </c>
      <c r="AZ925" s="2">
        <v>6.8</v>
      </c>
      <c r="BA925" s="2">
        <v>19.899999999999999</v>
      </c>
      <c r="BB925" s="2">
        <v>564</v>
      </c>
      <c r="BC925" s="2">
        <v>68</v>
      </c>
      <c r="BD925" s="2">
        <v>1.5</v>
      </c>
      <c r="BE925" s="2">
        <v>135</v>
      </c>
      <c r="BF925" s="2">
        <v>0.8</v>
      </c>
      <c r="BG925" s="2">
        <v>162</v>
      </c>
      <c r="BH925" s="2">
        <v>9.1</v>
      </c>
      <c r="BI925" s="2">
        <v>9.1999999999999993</v>
      </c>
      <c r="BJ925" s="2">
        <v>18.3</v>
      </c>
      <c r="BK925" s="2">
        <v>0.34</v>
      </c>
      <c r="BL925" s="2">
        <v>7.3</v>
      </c>
      <c r="BM925" s="2">
        <v>0.9</v>
      </c>
      <c r="BN925" s="2">
        <v>7.5</v>
      </c>
      <c r="BO925" s="2">
        <v>2.9</v>
      </c>
      <c r="BP925" s="2">
        <f t="shared" si="28"/>
        <v>5.4613776460992147</v>
      </c>
      <c r="BQ925" s="2">
        <f t="shared" si="29"/>
        <v>17.89337443675284</v>
      </c>
    </row>
    <row r="926" spans="1:69" x14ac:dyDescent="0.2">
      <c r="A926" s="2" t="s">
        <v>1262</v>
      </c>
      <c r="B926" s="2" t="s">
        <v>47</v>
      </c>
      <c r="C926" s="2" t="s">
        <v>48</v>
      </c>
      <c r="D926" s="2" t="s">
        <v>49</v>
      </c>
      <c r="E926" s="2" t="s">
        <v>63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89</v>
      </c>
      <c r="L926" s="6" t="s">
        <v>112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1263</v>
      </c>
      <c r="R926" s="2">
        <v>9647058.8239999991</v>
      </c>
      <c r="S926" s="2">
        <v>0</v>
      </c>
      <c r="T926" s="2" t="s">
        <v>105</v>
      </c>
      <c r="U926" s="2" t="s">
        <v>106</v>
      </c>
      <c r="V926" s="2" t="s">
        <v>56</v>
      </c>
      <c r="W926" s="2" t="s">
        <v>107</v>
      </c>
      <c r="X926" s="2" t="s">
        <v>108</v>
      </c>
      <c r="Y926" s="2">
        <v>0.92103110024526103</v>
      </c>
      <c r="Z926" s="2">
        <v>921.03110024526097</v>
      </c>
      <c r="AA926" s="2">
        <v>4.6254861111111101</v>
      </c>
      <c r="AB926" s="2">
        <v>-74.066980555555503</v>
      </c>
      <c r="AC926" s="2">
        <v>2621</v>
      </c>
      <c r="AD926" s="2">
        <v>15</v>
      </c>
      <c r="AE926" s="2" t="s">
        <v>59</v>
      </c>
      <c r="AF926" s="2" t="s">
        <v>60</v>
      </c>
      <c r="AG926" s="2" t="s">
        <v>61</v>
      </c>
      <c r="AH926" s="2" t="s">
        <v>62</v>
      </c>
      <c r="AI926" s="2" t="s">
        <v>63</v>
      </c>
      <c r="AJ926" s="2">
        <v>0.37636433047868001</v>
      </c>
      <c r="AK926" s="2">
        <v>1.5618427127810599</v>
      </c>
      <c r="AL926" s="2">
        <v>0.34449331331008298</v>
      </c>
      <c r="AM926" s="2">
        <v>0.12805098466053699</v>
      </c>
      <c r="AN926" s="2">
        <v>1.0276173903308701</v>
      </c>
      <c r="AO926" s="2">
        <v>0.101606398064307</v>
      </c>
      <c r="AP926" s="2">
        <v>0.101606398064307</v>
      </c>
      <c r="AQ926" s="2">
        <v>1</v>
      </c>
      <c r="AR926" s="2">
        <v>7</v>
      </c>
      <c r="AS926" s="2">
        <v>0</v>
      </c>
      <c r="AT926" s="2">
        <v>0</v>
      </c>
      <c r="AU926" s="2">
        <v>11</v>
      </c>
      <c r="AV926" s="2">
        <v>96</v>
      </c>
      <c r="AW926" s="2">
        <v>0</v>
      </c>
      <c r="AX926" s="2">
        <v>0</v>
      </c>
      <c r="AZ926" s="2">
        <v>6.8</v>
      </c>
      <c r="BA926" s="2">
        <v>19.899999999999999</v>
      </c>
      <c r="BB926" s="2">
        <v>564</v>
      </c>
      <c r="BC926" s="2">
        <v>68</v>
      </c>
      <c r="BD926" s="2">
        <v>1.5</v>
      </c>
      <c r="BE926" s="2">
        <v>135</v>
      </c>
      <c r="BF926" s="2">
        <v>0.8</v>
      </c>
      <c r="BG926" s="2">
        <v>162</v>
      </c>
      <c r="BH926" s="2">
        <v>9.1</v>
      </c>
      <c r="BI926" s="2">
        <v>9.1999999999999993</v>
      </c>
      <c r="BJ926" s="2">
        <v>18.3</v>
      </c>
      <c r="BK926" s="2">
        <v>0.34</v>
      </c>
      <c r="BL926" s="2">
        <v>7.3</v>
      </c>
      <c r="BM926" s="2">
        <v>0.9</v>
      </c>
      <c r="BN926" s="2">
        <v>7.5</v>
      </c>
      <c r="BO926" s="2">
        <v>2.9</v>
      </c>
      <c r="BP926" s="2">
        <f t="shared" si="28"/>
        <v>6.4969417924782045</v>
      </c>
      <c r="BQ926" s="2">
        <f t="shared" si="29"/>
        <v>19.464941688049926</v>
      </c>
    </row>
    <row r="927" spans="1:69" x14ac:dyDescent="0.2">
      <c r="A927" s="2" t="s">
        <v>1705</v>
      </c>
      <c r="B927" s="2" t="s">
        <v>47</v>
      </c>
      <c r="C927" s="2" t="s">
        <v>48</v>
      </c>
      <c r="D927" s="2" t="s">
        <v>49</v>
      </c>
      <c r="E927" s="2" t="s">
        <v>1706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89</v>
      </c>
      <c r="L927" s="6" t="s">
        <v>90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1707</v>
      </c>
      <c r="R927" s="2">
        <v>5647058.824</v>
      </c>
      <c r="S927" s="2">
        <v>0</v>
      </c>
      <c r="T927" s="2" t="s">
        <v>398</v>
      </c>
      <c r="U927" s="2" t="s">
        <v>399</v>
      </c>
      <c r="V927" s="2" t="s">
        <v>56</v>
      </c>
      <c r="W927" s="2" t="s">
        <v>57</v>
      </c>
      <c r="X927" s="2" t="s">
        <v>400</v>
      </c>
      <c r="Y927" s="2">
        <v>1.4306637936739099</v>
      </c>
      <c r="Z927" s="2">
        <v>1430.66379367391</v>
      </c>
      <c r="AA927" s="2">
        <v>4.7358055555555598</v>
      </c>
      <c r="AB927" s="2">
        <v>-74.125888888888895</v>
      </c>
      <c r="AC927" s="2">
        <v>2574</v>
      </c>
      <c r="AD927" s="2">
        <v>0</v>
      </c>
      <c r="AE927" s="2" t="s">
        <v>133</v>
      </c>
      <c r="AF927" s="2" t="s">
        <v>86</v>
      </c>
      <c r="AG927" s="2" t="s">
        <v>61</v>
      </c>
      <c r="AH927" s="2" t="s">
        <v>62</v>
      </c>
      <c r="AI927" s="2" t="s">
        <v>391</v>
      </c>
      <c r="AJ927" s="2">
        <v>2.7726742589311599</v>
      </c>
      <c r="AK927" s="2">
        <v>5.0836017762988302E-2</v>
      </c>
      <c r="AL927" s="2">
        <v>4.33363702513115</v>
      </c>
      <c r="AM927" s="2">
        <v>0.74435361610223105</v>
      </c>
      <c r="AN927" s="2">
        <v>3.4288617778959298</v>
      </c>
      <c r="AO927" s="2">
        <v>4.37819721198551E-2</v>
      </c>
      <c r="AP927" s="2">
        <v>4.37819721198551E-2</v>
      </c>
      <c r="AQ927" s="2">
        <v>0</v>
      </c>
      <c r="AR927" s="2">
        <v>0</v>
      </c>
      <c r="AS927" s="2">
        <v>7</v>
      </c>
      <c r="AT927" s="2">
        <v>19</v>
      </c>
      <c r="AU927" s="2">
        <v>0</v>
      </c>
      <c r="AV927" s="2">
        <v>1</v>
      </c>
      <c r="AW927" s="2">
        <v>0</v>
      </c>
      <c r="AX927" s="2">
        <v>0</v>
      </c>
      <c r="AZ927" s="2">
        <v>6.8</v>
      </c>
      <c r="BA927" s="2">
        <v>19.899999999999999</v>
      </c>
      <c r="BB927" s="2">
        <v>564</v>
      </c>
      <c r="BC927" s="2">
        <v>68</v>
      </c>
      <c r="BD927" s="2">
        <v>1.5</v>
      </c>
      <c r="BE927" s="2">
        <v>135</v>
      </c>
      <c r="BF927" s="2">
        <v>0.8</v>
      </c>
      <c r="BG927" s="2">
        <v>162</v>
      </c>
      <c r="BH927" s="2">
        <v>9.1</v>
      </c>
      <c r="BI927" s="2">
        <v>9.1999999999999993</v>
      </c>
      <c r="BJ927" s="2">
        <v>18.3</v>
      </c>
      <c r="BK927" s="2">
        <v>0.34</v>
      </c>
      <c r="BL927" s="2">
        <v>7.3</v>
      </c>
      <c r="BM927" s="2">
        <v>0.9</v>
      </c>
      <c r="BN927" s="2">
        <v>7.5</v>
      </c>
      <c r="BO927" s="2">
        <v>2.9</v>
      </c>
      <c r="BP927" s="2">
        <f t="shared" si="28"/>
        <v>6.335094649548064</v>
      </c>
      <c r="BQ927" s="2">
        <f t="shared" si="29"/>
        <v>19.228312470047854</v>
      </c>
    </row>
    <row r="928" spans="1:69" x14ac:dyDescent="0.2">
      <c r="A928" s="2" t="s">
        <v>1105</v>
      </c>
      <c r="B928" s="2" t="s">
        <v>47</v>
      </c>
      <c r="C928" s="2" t="s">
        <v>48</v>
      </c>
      <c r="D928" s="2" t="s">
        <v>49</v>
      </c>
      <c r="E928" s="2" t="s">
        <v>1106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89</v>
      </c>
      <c r="L928" s="6" t="s">
        <v>141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1107</v>
      </c>
      <c r="R928" s="2">
        <v>4705882.3530000001</v>
      </c>
      <c r="S928" s="2">
        <v>0</v>
      </c>
      <c r="T928" s="2" t="s">
        <v>105</v>
      </c>
      <c r="U928" s="2" t="s">
        <v>106</v>
      </c>
      <c r="V928" s="2" t="s">
        <v>56</v>
      </c>
      <c r="W928" s="2" t="s">
        <v>107</v>
      </c>
      <c r="X928" s="2" t="s">
        <v>108</v>
      </c>
      <c r="Y928" s="2">
        <v>1.9059631171489</v>
      </c>
      <c r="Z928" s="2">
        <v>1905.9631171489</v>
      </c>
      <c r="AA928" s="2">
        <v>4.6254861111111101</v>
      </c>
      <c r="AB928" s="2">
        <v>-74.066980555555503</v>
      </c>
      <c r="AC928" s="2">
        <v>2621</v>
      </c>
      <c r="AD928" s="2">
        <v>15</v>
      </c>
      <c r="AE928" s="2" t="s">
        <v>59</v>
      </c>
      <c r="AF928" s="2" t="s">
        <v>60</v>
      </c>
      <c r="AG928" s="2" t="s">
        <v>61</v>
      </c>
      <c r="AH928" s="2" t="s">
        <v>62</v>
      </c>
      <c r="AI928" s="2" t="s">
        <v>63</v>
      </c>
      <c r="AJ928" s="2">
        <v>0.60729692720778305</v>
      </c>
      <c r="AK928" s="2">
        <v>1.51458651497557</v>
      </c>
      <c r="AL928" s="2">
        <v>0.16001139111773299</v>
      </c>
      <c r="AM928" s="2">
        <v>4.0858904984764202E-2</v>
      </c>
      <c r="AN928" s="2">
        <v>1.4246752087536101</v>
      </c>
      <c r="AO928" s="2">
        <v>0.172605606221924</v>
      </c>
      <c r="AP928" s="2">
        <v>0.172605606221924</v>
      </c>
      <c r="AQ928" s="2">
        <v>0</v>
      </c>
      <c r="AR928" s="2">
        <v>5</v>
      </c>
      <c r="AS928" s="2">
        <v>0</v>
      </c>
      <c r="AT928" s="2">
        <v>0</v>
      </c>
      <c r="AU928" s="2">
        <v>9</v>
      </c>
      <c r="AV928" s="2">
        <v>176</v>
      </c>
      <c r="AW928" s="2">
        <v>0</v>
      </c>
      <c r="AX928" s="2">
        <v>0</v>
      </c>
      <c r="AZ928" s="2">
        <v>6.8</v>
      </c>
      <c r="BA928" s="2">
        <v>19.899999999999999</v>
      </c>
      <c r="BB928" s="2">
        <v>564</v>
      </c>
      <c r="BC928" s="2">
        <v>68</v>
      </c>
      <c r="BD928" s="2">
        <v>1.5</v>
      </c>
      <c r="BE928" s="2">
        <v>135</v>
      </c>
      <c r="BF928" s="2">
        <v>0.8</v>
      </c>
      <c r="BG928" s="2">
        <v>162</v>
      </c>
      <c r="BH928" s="2">
        <v>9.1</v>
      </c>
      <c r="BI928" s="2">
        <v>9.1999999999999993</v>
      </c>
      <c r="BJ928" s="2">
        <v>18.3</v>
      </c>
      <c r="BK928" s="2">
        <v>0.34</v>
      </c>
      <c r="BL928" s="2">
        <v>7.3</v>
      </c>
      <c r="BM928" s="2">
        <v>0.9</v>
      </c>
      <c r="BN928" s="2">
        <v>7.5</v>
      </c>
      <c r="BO928" s="2">
        <v>2.9</v>
      </c>
      <c r="BP928" s="2">
        <f t="shared" si="28"/>
        <v>6.1877865496881173</v>
      </c>
      <c r="BQ928" s="2">
        <f t="shared" si="29"/>
        <v>19.010217863804758</v>
      </c>
    </row>
    <row r="929" spans="1:69" x14ac:dyDescent="0.2">
      <c r="A929" s="2" t="s">
        <v>662</v>
      </c>
      <c r="B929" s="2" t="s">
        <v>47</v>
      </c>
      <c r="C929" s="2" t="s">
        <v>48</v>
      </c>
      <c r="D929" s="2" t="s">
        <v>49</v>
      </c>
      <c r="E929" s="2" t="s">
        <v>663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89</v>
      </c>
      <c r="L929" s="6" t="s">
        <v>141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664</v>
      </c>
      <c r="R929" s="2">
        <v>7738095.2379999999</v>
      </c>
      <c r="S929" s="2">
        <v>0</v>
      </c>
      <c r="T929" s="2" t="s">
        <v>54</v>
      </c>
      <c r="U929" s="2" t="s">
        <v>55</v>
      </c>
      <c r="V929" s="2" t="s">
        <v>56</v>
      </c>
      <c r="W929" s="2" t="s">
        <v>57</v>
      </c>
      <c r="X929" s="2" t="s">
        <v>58</v>
      </c>
      <c r="Y929" s="2">
        <v>3.75473424416806</v>
      </c>
      <c r="Z929" s="2">
        <v>3754.7342441680598</v>
      </c>
      <c r="AA929" s="2">
        <v>4.6584666666666701</v>
      </c>
      <c r="AB929" s="2">
        <v>-74.083966666666697</v>
      </c>
      <c r="AC929" s="2">
        <v>2552</v>
      </c>
      <c r="AD929" s="2">
        <v>0</v>
      </c>
      <c r="AE929" s="2" t="s">
        <v>59</v>
      </c>
      <c r="AF929" s="2" t="s">
        <v>60</v>
      </c>
      <c r="AG929" s="2" t="s">
        <v>61</v>
      </c>
      <c r="AH929" s="2" t="s">
        <v>62</v>
      </c>
      <c r="AI929" s="2" t="s">
        <v>321</v>
      </c>
      <c r="AJ929" s="2">
        <v>0.31050137483564899</v>
      </c>
      <c r="AK929" s="2">
        <v>2.3853266292352102</v>
      </c>
      <c r="AL929" s="2">
        <v>0.38164833016651101</v>
      </c>
      <c r="AM929" s="2">
        <v>2.2712572451965601E-2</v>
      </c>
      <c r="AN929" s="2">
        <v>2.6103967958836001</v>
      </c>
      <c r="AO929" s="2">
        <v>0.172309815697469</v>
      </c>
      <c r="AP929" s="2">
        <v>0.172309815697469</v>
      </c>
      <c r="AQ929" s="2">
        <v>2</v>
      </c>
      <c r="AR929" s="2">
        <v>6</v>
      </c>
      <c r="AS929" s="2">
        <v>0</v>
      </c>
      <c r="AT929" s="2">
        <v>0</v>
      </c>
      <c r="AU929" s="2">
        <v>2</v>
      </c>
      <c r="AV929" s="2">
        <v>205</v>
      </c>
      <c r="AW929" s="2">
        <v>0</v>
      </c>
      <c r="AX929" s="2">
        <v>0</v>
      </c>
      <c r="AZ929" s="2">
        <v>6.8</v>
      </c>
      <c r="BA929" s="2">
        <v>19.899999999999999</v>
      </c>
      <c r="BB929" s="2">
        <v>564</v>
      </c>
      <c r="BC929" s="2">
        <v>68</v>
      </c>
      <c r="BD929" s="2">
        <v>1.5</v>
      </c>
      <c r="BE929" s="2">
        <v>135</v>
      </c>
      <c r="BF929" s="2">
        <v>0.8</v>
      </c>
      <c r="BG929" s="2">
        <v>162</v>
      </c>
      <c r="BH929" s="2">
        <v>9.1</v>
      </c>
      <c r="BI929" s="2">
        <v>9.1999999999999993</v>
      </c>
      <c r="BJ929" s="2">
        <v>18.3</v>
      </c>
      <c r="BK929" s="2">
        <v>0.34</v>
      </c>
      <c r="BL929" s="2">
        <v>7.3</v>
      </c>
      <c r="BM929" s="2">
        <v>0.9</v>
      </c>
      <c r="BN929" s="2">
        <v>7.5</v>
      </c>
      <c r="BO929" s="2">
        <v>2.9</v>
      </c>
      <c r="BP929" s="2">
        <f t="shared" si="28"/>
        <v>5.6466546197417316</v>
      </c>
      <c r="BQ929" s="2">
        <f t="shared" si="29"/>
        <v>18.185164237322763</v>
      </c>
    </row>
    <row r="930" spans="1:69" x14ac:dyDescent="0.2">
      <c r="A930" s="2" t="s">
        <v>3883</v>
      </c>
      <c r="B930" s="2" t="s">
        <v>47</v>
      </c>
      <c r="C930" s="2" t="s">
        <v>3273</v>
      </c>
      <c r="D930" s="2" t="s">
        <v>49</v>
      </c>
      <c r="E930" s="2" t="s">
        <v>673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89</v>
      </c>
      <c r="L930" s="6" t="s">
        <v>112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3884</v>
      </c>
      <c r="R930" s="2">
        <v>7183973.8099999996</v>
      </c>
      <c r="S930" s="2">
        <v>0</v>
      </c>
      <c r="T930" s="2" t="s">
        <v>105</v>
      </c>
      <c r="U930" s="2" t="s">
        <v>106</v>
      </c>
      <c r="V930" s="2" t="s">
        <v>56</v>
      </c>
      <c r="W930" s="2" t="s">
        <v>107</v>
      </c>
      <c r="X930" s="2" t="s">
        <v>108</v>
      </c>
      <c r="Y930" s="2">
        <v>2.35147297897548</v>
      </c>
      <c r="Z930" s="2">
        <v>2351.4729789754801</v>
      </c>
      <c r="AA930" s="2">
        <v>4.6254861111111101</v>
      </c>
      <c r="AB930" s="2">
        <v>-74.066980555555503</v>
      </c>
      <c r="AC930" s="2">
        <v>2621</v>
      </c>
      <c r="AD930" s="2">
        <v>15</v>
      </c>
      <c r="AE930" s="2" t="s">
        <v>59</v>
      </c>
      <c r="AF930" s="2" t="s">
        <v>60</v>
      </c>
      <c r="AG930" s="2" t="s">
        <v>61</v>
      </c>
      <c r="AH930" s="2" t="s">
        <v>62</v>
      </c>
      <c r="AI930" s="2" t="s">
        <v>109</v>
      </c>
      <c r="AJ930" s="2">
        <v>1.0320581271707201</v>
      </c>
      <c r="AK930" s="2">
        <v>0.23283216895154801</v>
      </c>
      <c r="AL930" s="2">
        <v>0.39897559395527599</v>
      </c>
      <c r="AM930" s="2">
        <v>0.19658434007362899</v>
      </c>
      <c r="AN930" s="2">
        <v>0.32234361690684399</v>
      </c>
      <c r="AO930" s="2">
        <v>0.19564759063206</v>
      </c>
      <c r="AP930" s="2">
        <v>0.19564759063206</v>
      </c>
      <c r="AQ930" s="2">
        <v>0</v>
      </c>
      <c r="AR930" s="2">
        <v>0</v>
      </c>
      <c r="AS930" s="2">
        <v>12</v>
      </c>
      <c r="AT930" s="2">
        <v>54</v>
      </c>
      <c r="AU930" s="2">
        <v>5</v>
      </c>
      <c r="AV930" s="2">
        <v>43</v>
      </c>
      <c r="AW930" s="2">
        <v>1</v>
      </c>
      <c r="AX930" s="2">
        <v>0</v>
      </c>
      <c r="AZ930" s="2">
        <v>6.8</v>
      </c>
      <c r="BA930" s="2">
        <v>19.899999999999999</v>
      </c>
      <c r="BB930" s="2">
        <v>564</v>
      </c>
      <c r="BC930" s="2">
        <v>68</v>
      </c>
      <c r="BD930" s="2">
        <v>1.5</v>
      </c>
      <c r="BE930" s="2">
        <v>135</v>
      </c>
      <c r="BF930" s="2">
        <v>0.8</v>
      </c>
      <c r="BG930" s="2">
        <v>162</v>
      </c>
      <c r="BH930" s="2">
        <v>9.1</v>
      </c>
      <c r="BI930" s="2">
        <v>9.1999999999999993</v>
      </c>
      <c r="BJ930" s="2">
        <v>18.3</v>
      </c>
      <c r="BK930" s="2">
        <v>0.34</v>
      </c>
      <c r="BL930" s="2">
        <v>7.3</v>
      </c>
      <c r="BM930" s="2">
        <v>0.9</v>
      </c>
      <c r="BN930" s="2">
        <v>7.5</v>
      </c>
      <c r="BO930" s="2">
        <v>2.9</v>
      </c>
      <c r="BP930" s="2">
        <f t="shared" si="28"/>
        <v>6.0528225456696916</v>
      </c>
      <c r="BQ930" s="2">
        <f t="shared" si="29"/>
        <v>18.808038913740848</v>
      </c>
    </row>
    <row r="931" spans="1:69" x14ac:dyDescent="0.2">
      <c r="A931" s="2" t="s">
        <v>3715</v>
      </c>
      <c r="B931" s="2" t="s">
        <v>47</v>
      </c>
      <c r="C931" s="2" t="s">
        <v>3273</v>
      </c>
      <c r="D931" s="2" t="s">
        <v>49</v>
      </c>
      <c r="E931" s="2" t="s">
        <v>211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89</v>
      </c>
      <c r="L931" s="6" t="s">
        <v>141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3716</v>
      </c>
      <c r="R931" s="2">
        <v>8243727.5990000004</v>
      </c>
      <c r="S931" s="2">
        <v>0</v>
      </c>
      <c r="T931" s="2" t="s">
        <v>54</v>
      </c>
      <c r="U931" s="2" t="s">
        <v>55</v>
      </c>
      <c r="V931" s="2" t="s">
        <v>56</v>
      </c>
      <c r="W931" s="2" t="s">
        <v>57</v>
      </c>
      <c r="X931" s="2" t="s">
        <v>58</v>
      </c>
      <c r="Y931" s="2">
        <v>4.1172645635991003</v>
      </c>
      <c r="Z931" s="2">
        <v>4117.2645635991003</v>
      </c>
      <c r="AA931" s="2">
        <v>4.6584666666666701</v>
      </c>
      <c r="AB931" s="2">
        <v>-74.083966666666697</v>
      </c>
      <c r="AC931" s="2">
        <v>2552</v>
      </c>
      <c r="AD931" s="2">
        <v>0</v>
      </c>
      <c r="AE931" s="2" t="s">
        <v>59</v>
      </c>
      <c r="AF931" s="2" t="s">
        <v>60</v>
      </c>
      <c r="AG931" s="2" t="s">
        <v>61</v>
      </c>
      <c r="AH931" s="2" t="s">
        <v>62</v>
      </c>
      <c r="AI931" s="2" t="s">
        <v>109</v>
      </c>
      <c r="AJ931" s="2">
        <v>1.48737255958314</v>
      </c>
      <c r="AK931" s="2">
        <v>0.23739922664770399</v>
      </c>
      <c r="AL931" s="2">
        <v>0.69859811695576401</v>
      </c>
      <c r="AM931" s="2">
        <v>0.18854828332620399</v>
      </c>
      <c r="AN931" s="2">
        <v>2.8179970713408999</v>
      </c>
      <c r="AO931" s="2">
        <v>0.283385976508917</v>
      </c>
      <c r="AP931" s="2">
        <v>0.283385976508917</v>
      </c>
      <c r="AQ931" s="2">
        <v>0</v>
      </c>
      <c r="AR931" s="2">
        <v>0</v>
      </c>
      <c r="AS931" s="2">
        <v>5</v>
      </c>
      <c r="AT931" s="2">
        <v>33</v>
      </c>
      <c r="AU931" s="2">
        <v>2</v>
      </c>
      <c r="AV931" s="2">
        <v>23</v>
      </c>
      <c r="AW931" s="2">
        <v>0</v>
      </c>
      <c r="AX931" s="2">
        <v>0</v>
      </c>
      <c r="AZ931" s="2">
        <v>6.8</v>
      </c>
      <c r="BA931" s="2">
        <v>19.899999999999999</v>
      </c>
      <c r="BB931" s="2">
        <v>564</v>
      </c>
      <c r="BC931" s="2">
        <v>68</v>
      </c>
      <c r="BD931" s="2">
        <v>1.5</v>
      </c>
      <c r="BE931" s="2">
        <v>135</v>
      </c>
      <c r="BF931" s="2">
        <v>0.8</v>
      </c>
      <c r="BG931" s="2">
        <v>162</v>
      </c>
      <c r="BH931" s="2">
        <v>9.1</v>
      </c>
      <c r="BI931" s="2">
        <v>9.1999999999999993</v>
      </c>
      <c r="BJ931" s="2">
        <v>18.3</v>
      </c>
      <c r="BK931" s="2">
        <v>0.34</v>
      </c>
      <c r="BL931" s="2">
        <v>7.3</v>
      </c>
      <c r="BM931" s="2">
        <v>0.9</v>
      </c>
      <c r="BN931" s="2">
        <v>7.5</v>
      </c>
      <c r="BO931" s="2">
        <v>2.9</v>
      </c>
      <c r="BP931" s="2">
        <f t="shared" si="28"/>
        <v>5.5462277738521113</v>
      </c>
      <c r="BQ931" s="2">
        <f t="shared" si="29"/>
        <v>18.027626416399343</v>
      </c>
    </row>
    <row r="932" spans="1:69" x14ac:dyDescent="0.2">
      <c r="A932" s="2" t="s">
        <v>1720</v>
      </c>
      <c r="B932" s="2" t="s">
        <v>47</v>
      </c>
      <c r="C932" s="2" t="s">
        <v>48</v>
      </c>
      <c r="D932" s="2" t="s">
        <v>49</v>
      </c>
      <c r="E932" s="2" t="s">
        <v>308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89</v>
      </c>
      <c r="L932" s="6" t="s">
        <v>103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1721</v>
      </c>
      <c r="R932" s="2">
        <v>7650602.4100000001</v>
      </c>
      <c r="S932" s="2">
        <v>0</v>
      </c>
      <c r="T932" s="2" t="s">
        <v>54</v>
      </c>
      <c r="U932" s="2" t="s">
        <v>55</v>
      </c>
      <c r="V932" s="2" t="s">
        <v>56</v>
      </c>
      <c r="W932" s="2" t="s">
        <v>57</v>
      </c>
      <c r="X932" s="2" t="s">
        <v>58</v>
      </c>
      <c r="Y932" s="2">
        <v>4.1241070685544203</v>
      </c>
      <c r="Z932" s="2">
        <v>4124.10706855442</v>
      </c>
      <c r="AA932" s="2">
        <v>4.6584666666666701</v>
      </c>
      <c r="AB932" s="2">
        <v>-74.083966666666697</v>
      </c>
      <c r="AC932" s="2">
        <v>2552</v>
      </c>
      <c r="AD932" s="2">
        <v>0</v>
      </c>
      <c r="AE932" s="2" t="s">
        <v>59</v>
      </c>
      <c r="AF932" s="2" t="s">
        <v>60</v>
      </c>
      <c r="AG932" s="2" t="s">
        <v>61</v>
      </c>
      <c r="AH932" s="2" t="s">
        <v>62</v>
      </c>
      <c r="AI932" s="2" t="s">
        <v>100</v>
      </c>
      <c r="AJ932" s="2">
        <v>0.49458628415262901</v>
      </c>
      <c r="AK932" s="2">
        <v>5.3304655222964099</v>
      </c>
      <c r="AL932" s="2">
        <v>0.96274381447398905</v>
      </c>
      <c r="AM932" s="2">
        <v>0.381073036477653</v>
      </c>
      <c r="AN932" s="2">
        <v>2.2693680668079099</v>
      </c>
      <c r="AO932" s="2">
        <v>0.49600080627701598</v>
      </c>
      <c r="AP932" s="2">
        <v>0.49600080627701598</v>
      </c>
      <c r="AQ932" s="2">
        <v>1</v>
      </c>
      <c r="AR932" s="2">
        <v>2</v>
      </c>
      <c r="AS932" s="2">
        <v>0</v>
      </c>
      <c r="AT932" s="2">
        <v>0</v>
      </c>
      <c r="AU932" s="2">
        <v>1</v>
      </c>
      <c r="AV932" s="2">
        <v>28</v>
      </c>
      <c r="AW932" s="2">
        <v>0</v>
      </c>
      <c r="AX932" s="2">
        <v>0</v>
      </c>
      <c r="AZ932" s="2">
        <v>6.8</v>
      </c>
      <c r="BA932" s="2">
        <v>19.899999999999999</v>
      </c>
      <c r="BB932" s="2">
        <v>564</v>
      </c>
      <c r="BC932" s="2">
        <v>68</v>
      </c>
      <c r="BD932" s="2">
        <v>1.5</v>
      </c>
      <c r="BE932" s="2">
        <v>135</v>
      </c>
      <c r="BF932" s="2">
        <v>0.8</v>
      </c>
      <c r="BG932" s="2">
        <v>162</v>
      </c>
      <c r="BH932" s="2">
        <v>9.1</v>
      </c>
      <c r="BI932" s="2">
        <v>9.1999999999999993</v>
      </c>
      <c r="BJ932" s="2">
        <v>18.3</v>
      </c>
      <c r="BK932" s="2">
        <v>0.34</v>
      </c>
      <c r="BL932" s="2">
        <v>7.3</v>
      </c>
      <c r="BM932" s="2">
        <v>0.9</v>
      </c>
      <c r="BN932" s="2">
        <v>7.5</v>
      </c>
      <c r="BO932" s="2">
        <v>2.9</v>
      </c>
      <c r="BP932" s="2">
        <f t="shared" si="28"/>
        <v>5.5443495624431378</v>
      </c>
      <c r="BQ932" s="2">
        <f t="shared" si="29"/>
        <v>18.024666160518699</v>
      </c>
    </row>
    <row r="933" spans="1:69" x14ac:dyDescent="0.2">
      <c r="A933" s="2" t="s">
        <v>4512</v>
      </c>
      <c r="B933" s="2" t="s">
        <v>47</v>
      </c>
      <c r="C933" s="2" t="s">
        <v>3273</v>
      </c>
      <c r="D933" s="2" t="s">
        <v>49</v>
      </c>
      <c r="E933" s="2" t="s">
        <v>208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89</v>
      </c>
      <c r="L933" s="6" t="s">
        <v>141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4513</v>
      </c>
      <c r="R933" s="2">
        <v>8092202.0599999996</v>
      </c>
      <c r="S933" s="2">
        <v>0</v>
      </c>
      <c r="T933" s="2" t="s">
        <v>54</v>
      </c>
      <c r="U933" s="2" t="s">
        <v>55</v>
      </c>
      <c r="V933" s="2" t="s">
        <v>56</v>
      </c>
      <c r="W933" s="2" t="s">
        <v>57</v>
      </c>
      <c r="X933" s="2" t="s">
        <v>58</v>
      </c>
      <c r="Y933" s="2">
        <v>4.3325931740834402</v>
      </c>
      <c r="Z933" s="2">
        <v>4332.5931740834403</v>
      </c>
      <c r="AA933" s="2">
        <v>4.6584666666666701</v>
      </c>
      <c r="AB933" s="2">
        <v>-74.083966666666697</v>
      </c>
      <c r="AC933" s="2">
        <v>2552</v>
      </c>
      <c r="AD933" s="2">
        <v>0</v>
      </c>
      <c r="AE933" s="2" t="s">
        <v>59</v>
      </c>
      <c r="AF933" s="2" t="s">
        <v>60</v>
      </c>
      <c r="AG933" s="2" t="s">
        <v>61</v>
      </c>
      <c r="AH933" s="2" t="s">
        <v>62</v>
      </c>
      <c r="AI933" s="2" t="s">
        <v>109</v>
      </c>
      <c r="AJ933" s="2">
        <v>1.18231188187949</v>
      </c>
      <c r="AK933" s="2">
        <v>0.90285375357065401</v>
      </c>
      <c r="AL933" s="2">
        <v>1.22963142710472</v>
      </c>
      <c r="AM933" s="2">
        <v>3.1309004672681898E-2</v>
      </c>
      <c r="AN933" s="2">
        <v>3.70653994892302</v>
      </c>
      <c r="AO933" s="2">
        <v>0.89835514298999697</v>
      </c>
      <c r="AP933" s="2">
        <v>0.89835514298999697</v>
      </c>
      <c r="AQ933" s="2">
        <v>0</v>
      </c>
      <c r="AR933" s="2">
        <v>0</v>
      </c>
      <c r="AS933" s="2">
        <v>0</v>
      </c>
      <c r="AT933" s="2">
        <v>6</v>
      </c>
      <c r="AU933" s="2">
        <v>0</v>
      </c>
      <c r="AV933" s="2">
        <v>106</v>
      </c>
      <c r="AW933" s="2">
        <v>0</v>
      </c>
      <c r="AX933" s="2">
        <v>0</v>
      </c>
      <c r="AZ933" s="2">
        <v>6.8</v>
      </c>
      <c r="BA933" s="2">
        <v>19.899999999999999</v>
      </c>
      <c r="BB933" s="2">
        <v>564</v>
      </c>
      <c r="BC933" s="2">
        <v>68</v>
      </c>
      <c r="BD933" s="2">
        <v>1.5</v>
      </c>
      <c r="BE933" s="2">
        <v>135</v>
      </c>
      <c r="BF933" s="2">
        <v>0.8</v>
      </c>
      <c r="BG933" s="2">
        <v>162</v>
      </c>
      <c r="BH933" s="2">
        <v>9.1</v>
      </c>
      <c r="BI933" s="2">
        <v>9.1999999999999993</v>
      </c>
      <c r="BJ933" s="2">
        <v>18.3</v>
      </c>
      <c r="BK933" s="2">
        <v>0.34</v>
      </c>
      <c r="BL933" s="2">
        <v>7.3</v>
      </c>
      <c r="BM933" s="2">
        <v>0.9</v>
      </c>
      <c r="BN933" s="2">
        <v>7.5</v>
      </c>
      <c r="BO933" s="2">
        <v>2.9</v>
      </c>
      <c r="BP933" s="2">
        <f t="shared" si="28"/>
        <v>5.4874257637563773</v>
      </c>
      <c r="BQ933" s="2">
        <f t="shared" si="29"/>
        <v>17.934702004706303</v>
      </c>
    </row>
    <row r="934" spans="1:69" x14ac:dyDescent="0.2">
      <c r="A934" s="2" t="s">
        <v>926</v>
      </c>
      <c r="B934" s="2" t="s">
        <v>47</v>
      </c>
      <c r="C934" s="2" t="s">
        <v>48</v>
      </c>
      <c r="D934" s="2" t="s">
        <v>49</v>
      </c>
      <c r="E934" s="2" t="s">
        <v>927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89</v>
      </c>
      <c r="L934" s="6" t="s">
        <v>103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928</v>
      </c>
      <c r="R934" s="2">
        <v>7407407.4069999997</v>
      </c>
      <c r="S934" s="2">
        <v>0</v>
      </c>
      <c r="T934" s="2" t="s">
        <v>105</v>
      </c>
      <c r="U934" s="2" t="s">
        <v>106</v>
      </c>
      <c r="V934" s="2" t="s">
        <v>56</v>
      </c>
      <c r="W934" s="2" t="s">
        <v>107</v>
      </c>
      <c r="X934" s="2" t="s">
        <v>108</v>
      </c>
      <c r="Y934" s="2">
        <v>1.3577183992008299</v>
      </c>
      <c r="Z934" s="2">
        <v>1357.7183992008299</v>
      </c>
      <c r="AA934" s="2">
        <v>4.6254861111111101</v>
      </c>
      <c r="AB934" s="2">
        <v>-74.066980555555503</v>
      </c>
      <c r="AC934" s="2">
        <v>2621</v>
      </c>
      <c r="AD934" s="2">
        <v>15</v>
      </c>
      <c r="AE934" s="2" t="s">
        <v>59</v>
      </c>
      <c r="AF934" s="2" t="s">
        <v>60</v>
      </c>
      <c r="AG934" s="2" t="s">
        <v>61</v>
      </c>
      <c r="AH934" s="2" t="s">
        <v>62</v>
      </c>
      <c r="AI934" s="2" t="s">
        <v>109</v>
      </c>
      <c r="AJ934" s="2">
        <v>0.294501334094314</v>
      </c>
      <c r="AK934" s="2">
        <v>0.622294043885538</v>
      </c>
      <c r="AL934" s="2">
        <v>7.2288902169162006E-2</v>
      </c>
      <c r="AM934" s="2">
        <v>4.0568418101021103E-2</v>
      </c>
      <c r="AN934" s="2">
        <v>0.79277682049704401</v>
      </c>
      <c r="AO934" s="2">
        <v>0.117878346113889</v>
      </c>
      <c r="AP934" s="2">
        <v>0.117878346113889</v>
      </c>
      <c r="AQ934" s="2">
        <v>2</v>
      </c>
      <c r="AR934" s="2">
        <v>4</v>
      </c>
      <c r="AS934" s="2">
        <v>0</v>
      </c>
      <c r="AT934" s="2">
        <v>23</v>
      </c>
      <c r="AU934" s="2">
        <v>10</v>
      </c>
      <c r="AV934" s="2">
        <v>141</v>
      </c>
      <c r="AW934" s="2">
        <v>1</v>
      </c>
      <c r="AX934" s="2">
        <v>0</v>
      </c>
      <c r="AZ934" s="2">
        <v>6.8</v>
      </c>
      <c r="BA934" s="2">
        <v>19.899999999999999</v>
      </c>
      <c r="BB934" s="2">
        <v>564</v>
      </c>
      <c r="BC934" s="2">
        <v>68</v>
      </c>
      <c r="BD934" s="2">
        <v>1.5</v>
      </c>
      <c r="BE934" s="2">
        <v>135</v>
      </c>
      <c r="BF934" s="2">
        <v>0.8</v>
      </c>
      <c r="BG934" s="2">
        <v>162</v>
      </c>
      <c r="BH934" s="2">
        <v>9.1</v>
      </c>
      <c r="BI934" s="2">
        <v>9.1999999999999993</v>
      </c>
      <c r="BJ934" s="2">
        <v>18.3</v>
      </c>
      <c r="BK934" s="2">
        <v>0.34</v>
      </c>
      <c r="BL934" s="2">
        <v>7.3</v>
      </c>
      <c r="BM934" s="2">
        <v>0.9</v>
      </c>
      <c r="BN934" s="2">
        <v>7.5</v>
      </c>
      <c r="BO934" s="2">
        <v>2.9</v>
      </c>
      <c r="BP934" s="2">
        <f t="shared" si="28"/>
        <v>6.358010738245139</v>
      </c>
      <c r="BQ934" s="2">
        <f t="shared" si="29"/>
        <v>19.262004757925585</v>
      </c>
    </row>
    <row r="935" spans="1:69" x14ac:dyDescent="0.2">
      <c r="A935" s="2" t="s">
        <v>1066</v>
      </c>
      <c r="B935" s="2" t="s">
        <v>47</v>
      </c>
      <c r="C935" s="2" t="s">
        <v>48</v>
      </c>
      <c r="D935" s="2" t="s">
        <v>49</v>
      </c>
      <c r="E935" s="2" t="s">
        <v>308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89</v>
      </c>
      <c r="L935" s="6" t="s">
        <v>141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1067</v>
      </c>
      <c r="R935" s="2">
        <v>6839094.7529999996</v>
      </c>
      <c r="S935" s="2">
        <v>0</v>
      </c>
      <c r="T935" s="2" t="s">
        <v>54</v>
      </c>
      <c r="U935" s="2" t="s">
        <v>55</v>
      </c>
      <c r="V935" s="2" t="s">
        <v>56</v>
      </c>
      <c r="W935" s="2" t="s">
        <v>57</v>
      </c>
      <c r="X935" s="2" t="s">
        <v>58</v>
      </c>
      <c r="Y935" s="2">
        <v>4.21845472807692</v>
      </c>
      <c r="Z935" s="2">
        <v>4218.4547280769202</v>
      </c>
      <c r="AA935" s="2">
        <v>4.6584666666666701</v>
      </c>
      <c r="AB935" s="2">
        <v>-74.083966666666697</v>
      </c>
      <c r="AC935" s="2">
        <v>2552</v>
      </c>
      <c r="AD935" s="2">
        <v>0</v>
      </c>
      <c r="AE935" s="2" t="s">
        <v>59</v>
      </c>
      <c r="AF935" s="2" t="s">
        <v>60</v>
      </c>
      <c r="AG935" s="2" t="s">
        <v>61</v>
      </c>
      <c r="AH935" s="2" t="s">
        <v>62</v>
      </c>
      <c r="AI935" s="2" t="s">
        <v>100</v>
      </c>
      <c r="AJ935" s="2">
        <v>0.67030916639787896</v>
      </c>
      <c r="AK935" s="2">
        <v>5.2538160634358304</v>
      </c>
      <c r="AL935" s="2">
        <v>1.0357713153381001</v>
      </c>
      <c r="AM935" s="2">
        <v>0.49850152645198798</v>
      </c>
      <c r="AN935" s="2">
        <v>2.4418745407975999</v>
      </c>
      <c r="AO935" s="2">
        <v>0.550731680736953</v>
      </c>
      <c r="AP935" s="2">
        <v>0.550731680736953</v>
      </c>
      <c r="AQ935" s="2">
        <v>0</v>
      </c>
      <c r="AR935" s="2">
        <v>2</v>
      </c>
      <c r="AS935" s="2">
        <v>0</v>
      </c>
      <c r="AT935" s="2">
        <v>0</v>
      </c>
      <c r="AU935" s="2">
        <v>0</v>
      </c>
      <c r="AV935" s="2">
        <v>37</v>
      </c>
      <c r="AW935" s="2">
        <v>0</v>
      </c>
      <c r="AX935" s="2">
        <v>0</v>
      </c>
      <c r="AZ935" s="2">
        <v>6.8</v>
      </c>
      <c r="BA935" s="2">
        <v>19.899999999999999</v>
      </c>
      <c r="BB935" s="2">
        <v>564</v>
      </c>
      <c r="BC935" s="2">
        <v>68</v>
      </c>
      <c r="BD935" s="2">
        <v>1.5</v>
      </c>
      <c r="BE935" s="2">
        <v>135</v>
      </c>
      <c r="BF935" s="2">
        <v>0.8</v>
      </c>
      <c r="BG935" s="2">
        <v>162</v>
      </c>
      <c r="BH935" s="2">
        <v>9.1</v>
      </c>
      <c r="BI935" s="2">
        <v>9.1999999999999993</v>
      </c>
      <c r="BJ935" s="2">
        <v>18.3</v>
      </c>
      <c r="BK935" s="2">
        <v>0.34</v>
      </c>
      <c r="BL935" s="2">
        <v>7.3</v>
      </c>
      <c r="BM935" s="2">
        <v>0.9</v>
      </c>
      <c r="BN935" s="2">
        <v>7.5</v>
      </c>
      <c r="BO935" s="2">
        <v>2.9</v>
      </c>
      <c r="BP935" s="2">
        <f t="shared" si="28"/>
        <v>5.5185166598879931</v>
      </c>
      <c r="BQ935" s="2">
        <f t="shared" si="29"/>
        <v>17.983898292590638</v>
      </c>
    </row>
    <row r="936" spans="1:69" x14ac:dyDescent="0.2">
      <c r="A936" s="2" t="s">
        <v>1708</v>
      </c>
      <c r="B936" s="2" t="s">
        <v>47</v>
      </c>
      <c r="C936" s="2" t="s">
        <v>48</v>
      </c>
      <c r="D936" s="2" t="s">
        <v>49</v>
      </c>
      <c r="E936" s="2" t="s">
        <v>606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89</v>
      </c>
      <c r="L936" s="6" t="s">
        <v>90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1709</v>
      </c>
      <c r="R936" s="2">
        <v>5696202.5319999997</v>
      </c>
      <c r="S936" s="2">
        <v>0</v>
      </c>
      <c r="T936" s="2" t="s">
        <v>398</v>
      </c>
      <c r="U936" s="2" t="s">
        <v>399</v>
      </c>
      <c r="V936" s="2" t="s">
        <v>56</v>
      </c>
      <c r="W936" s="2" t="s">
        <v>57</v>
      </c>
      <c r="X936" s="2" t="s">
        <v>400</v>
      </c>
      <c r="Y936" s="2">
        <v>1.49068898971863</v>
      </c>
      <c r="Z936" s="2">
        <v>1490.68898971863</v>
      </c>
      <c r="AA936" s="2">
        <v>4.7358055555555598</v>
      </c>
      <c r="AB936" s="2">
        <v>-74.125888888888895</v>
      </c>
      <c r="AC936" s="2">
        <v>2574</v>
      </c>
      <c r="AD936" s="2">
        <v>0</v>
      </c>
      <c r="AE936" s="2" t="s">
        <v>133</v>
      </c>
      <c r="AF936" s="2" t="s">
        <v>86</v>
      </c>
      <c r="AG936" s="2" t="s">
        <v>61</v>
      </c>
      <c r="AH936" s="2" t="s">
        <v>62</v>
      </c>
      <c r="AI936" s="2" t="s">
        <v>391</v>
      </c>
      <c r="AJ936" s="2">
        <v>3.0208421945850801</v>
      </c>
      <c r="AK936" s="2">
        <v>0.106537257155861</v>
      </c>
      <c r="AL936" s="2">
        <v>4.5421119681615396</v>
      </c>
      <c r="AM936" s="2">
        <v>0.99346330460063204</v>
      </c>
      <c r="AN936" s="2">
        <v>3.4176622139364898</v>
      </c>
      <c r="AO936" s="2">
        <v>9.3517201028028907E-2</v>
      </c>
      <c r="AP936" s="2">
        <v>9.3517201028028907E-2</v>
      </c>
      <c r="AQ936" s="2">
        <v>0</v>
      </c>
      <c r="AR936" s="2">
        <v>0</v>
      </c>
      <c r="AS936" s="2">
        <v>6</v>
      </c>
      <c r="AT936" s="2">
        <v>23</v>
      </c>
      <c r="AU936" s="2">
        <v>0</v>
      </c>
      <c r="AV936" s="2">
        <v>1</v>
      </c>
      <c r="AW936" s="2">
        <v>0</v>
      </c>
      <c r="AX936" s="2">
        <v>0</v>
      </c>
      <c r="AZ936" s="2">
        <v>6.8</v>
      </c>
      <c r="BA936" s="2">
        <v>19.899999999999999</v>
      </c>
      <c r="BB936" s="2">
        <v>564</v>
      </c>
      <c r="BC936" s="2">
        <v>68</v>
      </c>
      <c r="BD936" s="2">
        <v>1.5</v>
      </c>
      <c r="BE936" s="2">
        <v>135</v>
      </c>
      <c r="BF936" s="2">
        <v>0.8</v>
      </c>
      <c r="BG936" s="2">
        <v>162</v>
      </c>
      <c r="BH936" s="2">
        <v>9.1</v>
      </c>
      <c r="BI936" s="2">
        <v>9.1999999999999993</v>
      </c>
      <c r="BJ936" s="2">
        <v>18.3</v>
      </c>
      <c r="BK936" s="2">
        <v>0.34</v>
      </c>
      <c r="BL936" s="2">
        <v>7.3</v>
      </c>
      <c r="BM936" s="2">
        <v>0.9</v>
      </c>
      <c r="BN936" s="2">
        <v>7.5</v>
      </c>
      <c r="BO936" s="2">
        <v>2.9</v>
      </c>
      <c r="BP936" s="2">
        <f t="shared" si="28"/>
        <v>6.3162994536962112</v>
      </c>
      <c r="BQ936" s="2">
        <f t="shared" si="29"/>
        <v>19.200632015716458</v>
      </c>
    </row>
    <row r="937" spans="1:69" x14ac:dyDescent="0.2">
      <c r="A937" s="2" t="s">
        <v>1716</v>
      </c>
      <c r="B937" s="2" t="s">
        <v>47</v>
      </c>
      <c r="C937" s="2" t="s">
        <v>48</v>
      </c>
      <c r="D937" s="2" t="s">
        <v>49</v>
      </c>
      <c r="E937" s="2" t="s">
        <v>606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89</v>
      </c>
      <c r="L937" s="6" t="s">
        <v>90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1717</v>
      </c>
      <c r="R937" s="2">
        <v>5696202.5319999997</v>
      </c>
      <c r="S937" s="2">
        <v>0</v>
      </c>
      <c r="T937" s="2" t="s">
        <v>398</v>
      </c>
      <c r="U937" s="2" t="s">
        <v>399</v>
      </c>
      <c r="V937" s="2" t="s">
        <v>56</v>
      </c>
      <c r="W937" s="2" t="s">
        <v>57</v>
      </c>
      <c r="X937" s="2" t="s">
        <v>400</v>
      </c>
      <c r="Y937" s="2">
        <v>1.49068898971863</v>
      </c>
      <c r="Z937" s="2">
        <v>1490.68898971863</v>
      </c>
      <c r="AA937" s="2">
        <v>4.7358055555555598</v>
      </c>
      <c r="AB937" s="2">
        <v>-74.125888888888895</v>
      </c>
      <c r="AC937" s="2">
        <v>2574</v>
      </c>
      <c r="AD937" s="2">
        <v>0</v>
      </c>
      <c r="AE937" s="2" t="s">
        <v>133</v>
      </c>
      <c r="AF937" s="2" t="s">
        <v>86</v>
      </c>
      <c r="AG937" s="2" t="s">
        <v>61</v>
      </c>
      <c r="AH937" s="2" t="s">
        <v>62</v>
      </c>
      <c r="AI937" s="2" t="s">
        <v>391</v>
      </c>
      <c r="AJ937" s="2">
        <v>3.0208421945850801</v>
      </c>
      <c r="AK937" s="2">
        <v>0.106537257155861</v>
      </c>
      <c r="AL937" s="2">
        <v>4.5421119681615396</v>
      </c>
      <c r="AM937" s="2">
        <v>0.99346330460063204</v>
      </c>
      <c r="AN937" s="2">
        <v>3.4176622139364898</v>
      </c>
      <c r="AO937" s="2">
        <v>9.3517201028028907E-2</v>
      </c>
      <c r="AP937" s="2">
        <v>9.3517201028028907E-2</v>
      </c>
      <c r="AQ937" s="2">
        <v>0</v>
      </c>
      <c r="AR937" s="2">
        <v>0</v>
      </c>
      <c r="AS937" s="2">
        <v>6</v>
      </c>
      <c r="AT937" s="2">
        <v>23</v>
      </c>
      <c r="AU937" s="2">
        <v>0</v>
      </c>
      <c r="AV937" s="2">
        <v>1</v>
      </c>
      <c r="AW937" s="2">
        <v>0</v>
      </c>
      <c r="AX937" s="2">
        <v>0</v>
      </c>
      <c r="AZ937" s="2">
        <v>6.8</v>
      </c>
      <c r="BA937" s="2">
        <v>19.899999999999999</v>
      </c>
      <c r="BB937" s="2">
        <v>564</v>
      </c>
      <c r="BC937" s="2">
        <v>68</v>
      </c>
      <c r="BD937" s="2">
        <v>1.5</v>
      </c>
      <c r="BE937" s="2">
        <v>135</v>
      </c>
      <c r="BF937" s="2">
        <v>0.8</v>
      </c>
      <c r="BG937" s="2">
        <v>162</v>
      </c>
      <c r="BH937" s="2">
        <v>9.1</v>
      </c>
      <c r="BI937" s="2">
        <v>9.1999999999999993</v>
      </c>
      <c r="BJ937" s="2">
        <v>18.3</v>
      </c>
      <c r="BK937" s="2">
        <v>0.34</v>
      </c>
      <c r="BL937" s="2">
        <v>7.3</v>
      </c>
      <c r="BM937" s="2">
        <v>0.9</v>
      </c>
      <c r="BN937" s="2">
        <v>7.5</v>
      </c>
      <c r="BO937" s="2">
        <v>2.9</v>
      </c>
      <c r="BP937" s="2">
        <f t="shared" si="28"/>
        <v>6.3162994536962112</v>
      </c>
      <c r="BQ937" s="2">
        <f t="shared" si="29"/>
        <v>19.200632015716458</v>
      </c>
    </row>
    <row r="938" spans="1:69" x14ac:dyDescent="0.2">
      <c r="A938" s="2" t="s">
        <v>1323</v>
      </c>
      <c r="B938" s="2" t="s">
        <v>47</v>
      </c>
      <c r="C938" s="2" t="s">
        <v>48</v>
      </c>
      <c r="D938" s="2" t="s">
        <v>49</v>
      </c>
      <c r="E938" s="2" t="s">
        <v>150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89</v>
      </c>
      <c r="L938" s="6" t="s">
        <v>141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1324</v>
      </c>
      <c r="R938" s="2">
        <v>7291139.2410000004</v>
      </c>
      <c r="S938" s="2">
        <v>0</v>
      </c>
      <c r="T938" s="2" t="s">
        <v>54</v>
      </c>
      <c r="U938" s="2" t="s">
        <v>55</v>
      </c>
      <c r="V938" s="2" t="s">
        <v>56</v>
      </c>
      <c r="W938" s="2" t="s">
        <v>57</v>
      </c>
      <c r="X938" s="2" t="s">
        <v>58</v>
      </c>
      <c r="Y938" s="2">
        <v>3.4382861990903599</v>
      </c>
      <c r="Z938" s="2">
        <v>3438.2861990903598</v>
      </c>
      <c r="AA938" s="2">
        <v>4.6584666666666701</v>
      </c>
      <c r="AB938" s="2">
        <v>-74.083966666666697</v>
      </c>
      <c r="AC938" s="2">
        <v>2552</v>
      </c>
      <c r="AD938" s="2">
        <v>0</v>
      </c>
      <c r="AE938" s="2" t="s">
        <v>59</v>
      </c>
      <c r="AF938" s="2" t="s">
        <v>60</v>
      </c>
      <c r="AG938" s="2" t="s">
        <v>61</v>
      </c>
      <c r="AH938" s="2" t="s">
        <v>62</v>
      </c>
      <c r="AI938" s="2" t="s">
        <v>71</v>
      </c>
      <c r="AJ938" s="2">
        <v>0.56732120591077895</v>
      </c>
      <c r="AK938" s="2">
        <v>4.7823800710448303</v>
      </c>
      <c r="AL938" s="2">
        <v>1.08977684201858</v>
      </c>
      <c r="AM938" s="2">
        <v>0.24531367348215999</v>
      </c>
      <c r="AN938" s="2">
        <v>1.42358026300282</v>
      </c>
      <c r="AO938" s="2">
        <v>0.56847648317839405</v>
      </c>
      <c r="AP938" s="2">
        <v>0.56847648317839405</v>
      </c>
      <c r="AQ938" s="2">
        <v>0</v>
      </c>
      <c r="AR938" s="2">
        <v>2</v>
      </c>
      <c r="AS938" s="2">
        <v>0</v>
      </c>
      <c r="AT938" s="2">
        <v>0</v>
      </c>
      <c r="AU938" s="2">
        <v>0</v>
      </c>
      <c r="AV938" s="2">
        <v>35</v>
      </c>
      <c r="AW938" s="2">
        <v>0</v>
      </c>
      <c r="AX938" s="2">
        <v>0</v>
      </c>
      <c r="AZ938" s="2">
        <v>6.8</v>
      </c>
      <c r="BA938" s="2">
        <v>19.899999999999999</v>
      </c>
      <c r="BB938" s="2">
        <v>564</v>
      </c>
      <c r="BC938" s="2">
        <v>68</v>
      </c>
      <c r="BD938" s="2">
        <v>1.5</v>
      </c>
      <c r="BE938" s="2">
        <v>135</v>
      </c>
      <c r="BF938" s="2">
        <v>0.8</v>
      </c>
      <c r="BG938" s="2">
        <v>162</v>
      </c>
      <c r="BH938" s="2">
        <v>9.1</v>
      </c>
      <c r="BI938" s="2">
        <v>9.1999999999999993</v>
      </c>
      <c r="BJ938" s="2">
        <v>18.3</v>
      </c>
      <c r="BK938" s="2">
        <v>0.34</v>
      </c>
      <c r="BL938" s="2">
        <v>7.3</v>
      </c>
      <c r="BM938" s="2">
        <v>0.9</v>
      </c>
      <c r="BN938" s="2">
        <v>7.5</v>
      </c>
      <c r="BO938" s="2">
        <v>2.9</v>
      </c>
      <c r="BP938" s="2">
        <f t="shared" si="28"/>
        <v>5.7358012053276841</v>
      </c>
      <c r="BQ938" s="2">
        <f t="shared" si="29"/>
        <v>18.323801862335923</v>
      </c>
    </row>
    <row r="939" spans="1:69" x14ac:dyDescent="0.2">
      <c r="A939" s="2" t="s">
        <v>4276</v>
      </c>
      <c r="B939" s="2" t="s">
        <v>47</v>
      </c>
      <c r="C939" s="2" t="s">
        <v>3273</v>
      </c>
      <c r="D939" s="2" t="s">
        <v>49</v>
      </c>
      <c r="E939" s="2" t="s">
        <v>211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89</v>
      </c>
      <c r="L939" s="6" t="s">
        <v>90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4277</v>
      </c>
      <c r="R939" s="2">
        <v>17173333.329999998</v>
      </c>
      <c r="S939" s="2">
        <v>0</v>
      </c>
      <c r="T939" s="2" t="s">
        <v>54</v>
      </c>
      <c r="U939" s="2" t="s">
        <v>55</v>
      </c>
      <c r="V939" s="2" t="s">
        <v>56</v>
      </c>
      <c r="W939" s="2" t="s">
        <v>57</v>
      </c>
      <c r="X939" s="2" t="s">
        <v>58</v>
      </c>
      <c r="Y939" s="2">
        <v>4.00449945377206</v>
      </c>
      <c r="Z939" s="2">
        <v>4004.49945377206</v>
      </c>
      <c r="AA939" s="2">
        <v>4.6584666666666701</v>
      </c>
      <c r="AB939" s="2">
        <v>-74.083966666666697</v>
      </c>
      <c r="AC939" s="2">
        <v>2552</v>
      </c>
      <c r="AD939" s="2">
        <v>0</v>
      </c>
      <c r="AE939" s="2" t="s">
        <v>59</v>
      </c>
      <c r="AF939" s="2" t="s">
        <v>60</v>
      </c>
      <c r="AG939" s="2" t="s">
        <v>61</v>
      </c>
      <c r="AH939" s="2" t="s">
        <v>62</v>
      </c>
      <c r="AI939" s="2" t="s">
        <v>109</v>
      </c>
      <c r="AJ939" s="2">
        <v>1.4309583842127001</v>
      </c>
      <c r="AK939" s="2">
        <v>0.34300097199215301</v>
      </c>
      <c r="AL939" s="2">
        <v>0.61772344476371999</v>
      </c>
      <c r="AM939" s="2">
        <v>6.4074523468776595E-2</v>
      </c>
      <c r="AN939" s="2">
        <v>2.6739076981531098</v>
      </c>
      <c r="AO939" s="2">
        <v>0.28590196750364899</v>
      </c>
      <c r="AP939" s="2">
        <v>0.28590196750364899</v>
      </c>
      <c r="AQ939" s="2">
        <v>0</v>
      </c>
      <c r="AR939" s="2">
        <v>0</v>
      </c>
      <c r="AS939" s="2">
        <v>7</v>
      </c>
      <c r="AT939" s="2">
        <v>31</v>
      </c>
      <c r="AU939" s="2">
        <v>5</v>
      </c>
      <c r="AV939" s="2">
        <v>27</v>
      </c>
      <c r="AW939" s="2">
        <v>0</v>
      </c>
      <c r="AX939" s="2">
        <v>0</v>
      </c>
      <c r="AZ939" s="2">
        <v>6.8</v>
      </c>
      <c r="BA939" s="2">
        <v>19.899999999999999</v>
      </c>
      <c r="BB939" s="2">
        <v>564</v>
      </c>
      <c r="BC939" s="2">
        <v>68</v>
      </c>
      <c r="BD939" s="2">
        <v>1.5</v>
      </c>
      <c r="BE939" s="2">
        <v>135</v>
      </c>
      <c r="BF939" s="2">
        <v>0.8</v>
      </c>
      <c r="BG939" s="2">
        <v>162</v>
      </c>
      <c r="BH939" s="2">
        <v>9.1</v>
      </c>
      <c r="BI939" s="2">
        <v>9.1999999999999993</v>
      </c>
      <c r="BJ939" s="2">
        <v>18.3</v>
      </c>
      <c r="BK939" s="2">
        <v>0.34</v>
      </c>
      <c r="BL939" s="2">
        <v>7.3</v>
      </c>
      <c r="BM939" s="2">
        <v>0.9</v>
      </c>
      <c r="BN939" s="2">
        <v>7.5</v>
      </c>
      <c r="BO939" s="2">
        <v>2.9</v>
      </c>
      <c r="BP939" s="2">
        <f t="shared" si="28"/>
        <v>5.5772726763064613</v>
      </c>
      <c r="BQ939" s="2">
        <f t="shared" si="29"/>
        <v>18.076481791306652</v>
      </c>
    </row>
    <row r="940" spans="1:69" x14ac:dyDescent="0.2">
      <c r="A940" s="2" t="s">
        <v>1557</v>
      </c>
      <c r="B940" s="2" t="s">
        <v>47</v>
      </c>
      <c r="C940" s="2" t="s">
        <v>48</v>
      </c>
      <c r="D940" s="2" t="s">
        <v>49</v>
      </c>
      <c r="E940" s="2" t="s">
        <v>383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89</v>
      </c>
      <c r="L940" s="6" t="s">
        <v>112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1558</v>
      </c>
      <c r="R940" s="2">
        <v>9145831.3780000005</v>
      </c>
      <c r="S940" s="2">
        <v>0</v>
      </c>
      <c r="T940" s="2" t="s">
        <v>54</v>
      </c>
      <c r="U940" s="2" t="s">
        <v>55</v>
      </c>
      <c r="V940" s="2" t="s">
        <v>56</v>
      </c>
      <c r="W940" s="2" t="s">
        <v>57</v>
      </c>
      <c r="X940" s="2" t="s">
        <v>58</v>
      </c>
      <c r="Y940" s="2">
        <v>3.1701108549958801</v>
      </c>
      <c r="Z940" s="2">
        <v>3170.1108549958799</v>
      </c>
      <c r="AA940" s="2">
        <v>4.6584666666666701</v>
      </c>
      <c r="AB940" s="2">
        <v>-74.083966666666697</v>
      </c>
      <c r="AC940" s="2">
        <v>2552</v>
      </c>
      <c r="AD940" s="2">
        <v>0</v>
      </c>
      <c r="AE940" s="2" t="s">
        <v>59</v>
      </c>
      <c r="AF940" s="2" t="s">
        <v>60</v>
      </c>
      <c r="AG940" s="2" t="s">
        <v>61</v>
      </c>
      <c r="AH940" s="2" t="s">
        <v>62</v>
      </c>
      <c r="AI940" s="2" t="s">
        <v>109</v>
      </c>
      <c r="AJ940" s="2">
        <v>6.21691641509486E-2</v>
      </c>
      <c r="AK940" s="2">
        <v>1.7806803389360799</v>
      </c>
      <c r="AL940" s="2">
        <v>0.527804807563097</v>
      </c>
      <c r="AM940" s="2">
        <v>8.3769083738488806E-2</v>
      </c>
      <c r="AN940" s="2">
        <v>2.5216808454617601</v>
      </c>
      <c r="AO940" s="2">
        <v>0.69855621452639105</v>
      </c>
      <c r="AP940" s="2">
        <v>0.69855621452639105</v>
      </c>
      <c r="AQ940" s="2">
        <v>2</v>
      </c>
      <c r="AR940" s="2">
        <v>6</v>
      </c>
      <c r="AS940" s="2">
        <v>0</v>
      </c>
      <c r="AT940" s="2">
        <v>0</v>
      </c>
      <c r="AU940" s="2">
        <v>5</v>
      </c>
      <c r="AV940" s="2">
        <v>291</v>
      </c>
      <c r="AW940" s="2">
        <v>0</v>
      </c>
      <c r="AX940" s="2">
        <v>0</v>
      </c>
      <c r="AZ940" s="2">
        <v>6.8</v>
      </c>
      <c r="BA940" s="2">
        <v>19.899999999999999</v>
      </c>
      <c r="BB940" s="2">
        <v>564</v>
      </c>
      <c r="BC940" s="2">
        <v>68</v>
      </c>
      <c r="BD940" s="2">
        <v>1.5</v>
      </c>
      <c r="BE940" s="2">
        <v>135</v>
      </c>
      <c r="BF940" s="2">
        <v>0.8</v>
      </c>
      <c r="BG940" s="2">
        <v>162</v>
      </c>
      <c r="BH940" s="2">
        <v>9.1</v>
      </c>
      <c r="BI940" s="2">
        <v>9.1999999999999993</v>
      </c>
      <c r="BJ940" s="2">
        <v>18.3</v>
      </c>
      <c r="BK940" s="2">
        <v>0.34</v>
      </c>
      <c r="BL940" s="2">
        <v>7.3</v>
      </c>
      <c r="BM940" s="2">
        <v>0.9</v>
      </c>
      <c r="BN940" s="2">
        <v>7.5</v>
      </c>
      <c r="BO940" s="2">
        <v>2.9</v>
      </c>
      <c r="BP940" s="2">
        <f t="shared" si="28"/>
        <v>5.8124497450300652</v>
      </c>
      <c r="BQ940" s="2">
        <f t="shared" si="29"/>
        <v>18.442118012461684</v>
      </c>
    </row>
    <row r="941" spans="1:69" x14ac:dyDescent="0.2">
      <c r="A941" s="2" t="s">
        <v>1189</v>
      </c>
      <c r="B941" s="2" t="s">
        <v>47</v>
      </c>
      <c r="C941" s="2" t="s">
        <v>48</v>
      </c>
      <c r="D941" s="2" t="s">
        <v>49</v>
      </c>
      <c r="E941" s="2" t="s">
        <v>1124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89</v>
      </c>
      <c r="L941" s="6" t="s">
        <v>90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1190</v>
      </c>
      <c r="R941" s="2">
        <v>6662162.1619999995</v>
      </c>
      <c r="S941" s="2">
        <v>0</v>
      </c>
      <c r="T941" s="2" t="s">
        <v>54</v>
      </c>
      <c r="U941" s="2" t="s">
        <v>55</v>
      </c>
      <c r="V941" s="2" t="s">
        <v>56</v>
      </c>
      <c r="W941" s="2" t="s">
        <v>57</v>
      </c>
      <c r="X941" s="2" t="s">
        <v>58</v>
      </c>
      <c r="Y941" s="2">
        <v>2.66021140360133</v>
      </c>
      <c r="Z941" s="2">
        <v>2660.2114036013299</v>
      </c>
      <c r="AA941" s="2">
        <v>4.6584666666666701</v>
      </c>
      <c r="AB941" s="2">
        <v>-74.083966666666697</v>
      </c>
      <c r="AC941" s="2">
        <v>2552</v>
      </c>
      <c r="AD941" s="2">
        <v>0</v>
      </c>
      <c r="AE941" s="2" t="s">
        <v>59</v>
      </c>
      <c r="AF941" s="2" t="s">
        <v>60</v>
      </c>
      <c r="AG941" s="2" t="s">
        <v>61</v>
      </c>
      <c r="AH941" s="2" t="s">
        <v>62</v>
      </c>
      <c r="AI941" s="2" t="s">
        <v>391</v>
      </c>
      <c r="AJ941" s="2">
        <v>0.50423051498295501</v>
      </c>
      <c r="AK941" s="2">
        <v>5.6474854276973403</v>
      </c>
      <c r="AL941" s="2">
        <v>0.90357347311089797</v>
      </c>
      <c r="AM941" s="2">
        <v>0.120174403169168</v>
      </c>
      <c r="AN941" s="2">
        <v>1.8596216360150299</v>
      </c>
      <c r="AO941" s="2">
        <v>0.21204070885164</v>
      </c>
      <c r="AP941" s="2">
        <v>0.21204070885164</v>
      </c>
      <c r="AQ941" s="2">
        <v>0</v>
      </c>
      <c r="AR941" s="2">
        <v>3</v>
      </c>
      <c r="AS941" s="2">
        <v>0</v>
      </c>
      <c r="AT941" s="2">
        <v>0</v>
      </c>
      <c r="AU941" s="2">
        <v>1</v>
      </c>
      <c r="AV941" s="2">
        <v>36</v>
      </c>
      <c r="AW941" s="2">
        <v>0</v>
      </c>
      <c r="AX941" s="2">
        <v>0</v>
      </c>
      <c r="AZ941" s="2">
        <v>6.8</v>
      </c>
      <c r="BA941" s="2">
        <v>19.899999999999999</v>
      </c>
      <c r="BB941" s="2">
        <v>564</v>
      </c>
      <c r="BC941" s="2">
        <v>68</v>
      </c>
      <c r="BD941" s="2">
        <v>1.5</v>
      </c>
      <c r="BE941" s="2">
        <v>135</v>
      </c>
      <c r="BF941" s="2">
        <v>0.8</v>
      </c>
      <c r="BG941" s="2">
        <v>162</v>
      </c>
      <c r="BH941" s="2">
        <v>9.1</v>
      </c>
      <c r="BI941" s="2">
        <v>9.1999999999999993</v>
      </c>
      <c r="BJ941" s="2">
        <v>18.3</v>
      </c>
      <c r="BK941" s="2">
        <v>0.34</v>
      </c>
      <c r="BL941" s="2">
        <v>7.3</v>
      </c>
      <c r="BM941" s="2">
        <v>0.9</v>
      </c>
      <c r="BN941" s="2">
        <v>7.5</v>
      </c>
      <c r="BO941" s="2">
        <v>2.9</v>
      </c>
      <c r="BP941" s="2">
        <f t="shared" si="28"/>
        <v>5.9610232209180873</v>
      </c>
      <c r="BQ941" s="2">
        <f t="shared" si="29"/>
        <v>18.66919161565691</v>
      </c>
    </row>
    <row r="942" spans="1:69" x14ac:dyDescent="0.2">
      <c r="A942" s="2" t="s">
        <v>1123</v>
      </c>
      <c r="B942" s="2" t="s">
        <v>47</v>
      </c>
      <c r="C942" s="2" t="s">
        <v>48</v>
      </c>
      <c r="D942" s="2" t="s">
        <v>49</v>
      </c>
      <c r="E942" s="2" t="s">
        <v>1124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89</v>
      </c>
      <c r="L942" s="6" t="s">
        <v>103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1125</v>
      </c>
      <c r="R942" s="2">
        <v>6662162.1619999995</v>
      </c>
      <c r="S942" s="2">
        <v>0</v>
      </c>
      <c r="T942" s="2" t="s">
        <v>54</v>
      </c>
      <c r="U942" s="2" t="s">
        <v>55</v>
      </c>
      <c r="V942" s="2" t="s">
        <v>56</v>
      </c>
      <c r="W942" s="2" t="s">
        <v>57</v>
      </c>
      <c r="X942" s="2" t="s">
        <v>58</v>
      </c>
      <c r="Y942" s="2">
        <v>2.6593447932733998</v>
      </c>
      <c r="Z942" s="2">
        <v>2659.3447932733998</v>
      </c>
      <c r="AA942" s="2">
        <v>4.6584666666666701</v>
      </c>
      <c r="AB942" s="2">
        <v>-74.083966666666697</v>
      </c>
      <c r="AC942" s="2">
        <v>2552</v>
      </c>
      <c r="AD942" s="2">
        <v>0</v>
      </c>
      <c r="AE942" s="2" t="s">
        <v>59</v>
      </c>
      <c r="AF942" s="2" t="s">
        <v>60</v>
      </c>
      <c r="AG942" s="2" t="s">
        <v>61</v>
      </c>
      <c r="AH942" s="2" t="s">
        <v>62</v>
      </c>
      <c r="AI942" s="2" t="s">
        <v>391</v>
      </c>
      <c r="AJ942" s="2">
        <v>0.49883793508295798</v>
      </c>
      <c r="AK942" s="2">
        <v>5.6462486632497599</v>
      </c>
      <c r="AL942" s="2">
        <v>0.89799666984191995</v>
      </c>
      <c r="AM942" s="2">
        <v>0.12568812916637601</v>
      </c>
      <c r="AN942" s="2">
        <v>1.85425492749112</v>
      </c>
      <c r="AO942" s="2">
        <v>0.21527105013678599</v>
      </c>
      <c r="AP942" s="2">
        <v>0.21527105013678599</v>
      </c>
      <c r="AQ942" s="2">
        <v>1</v>
      </c>
      <c r="AR942" s="2">
        <v>3</v>
      </c>
      <c r="AS942" s="2">
        <v>0</v>
      </c>
      <c r="AT942" s="2">
        <v>0</v>
      </c>
      <c r="AU942" s="2">
        <v>1</v>
      </c>
      <c r="AV942" s="2">
        <v>36</v>
      </c>
      <c r="AW942" s="2">
        <v>0</v>
      </c>
      <c r="AX942" s="2">
        <v>0</v>
      </c>
      <c r="AZ942" s="2">
        <v>6.8</v>
      </c>
      <c r="BA942" s="2">
        <v>19.899999999999999</v>
      </c>
      <c r="BB942" s="2">
        <v>564</v>
      </c>
      <c r="BC942" s="2">
        <v>68</v>
      </c>
      <c r="BD942" s="2">
        <v>1.5</v>
      </c>
      <c r="BE942" s="2">
        <v>135</v>
      </c>
      <c r="BF942" s="2">
        <v>0.8</v>
      </c>
      <c r="BG942" s="2">
        <v>162</v>
      </c>
      <c r="BH942" s="2">
        <v>9.1</v>
      </c>
      <c r="BI942" s="2">
        <v>9.1999999999999993</v>
      </c>
      <c r="BJ942" s="2">
        <v>18.3</v>
      </c>
      <c r="BK942" s="2">
        <v>0.34</v>
      </c>
      <c r="BL942" s="2">
        <v>7.3</v>
      </c>
      <c r="BM942" s="2">
        <v>0.9</v>
      </c>
      <c r="BN942" s="2">
        <v>7.5</v>
      </c>
      <c r="BO942" s="2">
        <v>2.9</v>
      </c>
      <c r="BP942" s="2">
        <f t="shared" si="28"/>
        <v>5.9612789376750861</v>
      </c>
      <c r="BQ942" s="2">
        <f t="shared" si="29"/>
        <v>18.669579913637371</v>
      </c>
    </row>
    <row r="943" spans="1:69" x14ac:dyDescent="0.2">
      <c r="A943" s="2" t="s">
        <v>1368</v>
      </c>
      <c r="B943" s="2" t="s">
        <v>47</v>
      </c>
      <c r="C943" s="2" t="s">
        <v>48</v>
      </c>
      <c r="D943" s="2" t="s">
        <v>49</v>
      </c>
      <c r="E943" s="2" t="s">
        <v>1369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89</v>
      </c>
      <c r="L943" s="6" t="s">
        <v>94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1370</v>
      </c>
      <c r="R943" s="2">
        <v>6097560.9759999998</v>
      </c>
      <c r="S943" s="2">
        <v>0</v>
      </c>
      <c r="T943" s="2" t="s">
        <v>105</v>
      </c>
      <c r="U943" s="2" t="s">
        <v>106</v>
      </c>
      <c r="V943" s="2" t="s">
        <v>56</v>
      </c>
      <c r="W943" s="2" t="s">
        <v>107</v>
      </c>
      <c r="X943" s="2" t="s">
        <v>108</v>
      </c>
      <c r="Y943" s="2">
        <v>1.95760900599975</v>
      </c>
      <c r="Z943" s="2">
        <v>1957.60900599975</v>
      </c>
      <c r="AA943" s="2">
        <v>4.6254861111111101</v>
      </c>
      <c r="AB943" s="2">
        <v>-74.066980555555503</v>
      </c>
      <c r="AC943" s="2">
        <v>2621</v>
      </c>
      <c r="AD943" s="2">
        <v>15</v>
      </c>
      <c r="AE943" s="2" t="s">
        <v>59</v>
      </c>
      <c r="AF943" s="2" t="s">
        <v>60</v>
      </c>
      <c r="AG943" s="2" t="s">
        <v>61</v>
      </c>
      <c r="AH943" s="2" t="s">
        <v>62</v>
      </c>
      <c r="AI943" s="2" t="s">
        <v>287</v>
      </c>
      <c r="AJ943" s="2">
        <v>0.46903391282719398</v>
      </c>
      <c r="AK943" s="2">
        <v>2.2278510793191799</v>
      </c>
      <c r="AL943" s="2">
        <v>1.16124036637886</v>
      </c>
      <c r="AM943" s="2">
        <v>0.29864784978122</v>
      </c>
      <c r="AN943" s="2">
        <v>1.2742280160020301</v>
      </c>
      <c r="AO943" s="2">
        <v>0.33208118532113901</v>
      </c>
      <c r="AP943" s="2">
        <v>0.33208118532113901</v>
      </c>
      <c r="AQ943" s="2">
        <v>1</v>
      </c>
      <c r="AR943" s="2">
        <v>4</v>
      </c>
      <c r="AS943" s="2">
        <v>0</v>
      </c>
      <c r="AT943" s="2">
        <v>0</v>
      </c>
      <c r="AU943" s="2">
        <v>0</v>
      </c>
      <c r="AV943" s="2">
        <v>22</v>
      </c>
      <c r="AW943" s="2">
        <v>0</v>
      </c>
      <c r="AX943" s="2">
        <v>0</v>
      </c>
      <c r="AZ943" s="2">
        <v>6.8</v>
      </c>
      <c r="BA943" s="2">
        <v>19.899999999999999</v>
      </c>
      <c r="BB943" s="2">
        <v>564</v>
      </c>
      <c r="BC943" s="2">
        <v>68</v>
      </c>
      <c r="BD943" s="2">
        <v>1.5</v>
      </c>
      <c r="BE943" s="2">
        <v>135</v>
      </c>
      <c r="BF943" s="2">
        <v>0.8</v>
      </c>
      <c r="BG943" s="2">
        <v>162</v>
      </c>
      <c r="BH943" s="2">
        <v>9.1</v>
      </c>
      <c r="BI943" s="2">
        <v>9.1999999999999993</v>
      </c>
      <c r="BJ943" s="2">
        <v>18.3</v>
      </c>
      <c r="BK943" s="2">
        <v>0.34</v>
      </c>
      <c r="BL943" s="2">
        <v>7.3</v>
      </c>
      <c r="BM943" s="2">
        <v>0.9</v>
      </c>
      <c r="BN943" s="2">
        <v>7.5</v>
      </c>
      <c r="BO943" s="2">
        <v>2.9</v>
      </c>
      <c r="BP943" s="2">
        <f t="shared" si="28"/>
        <v>6.1719878528009824</v>
      </c>
      <c r="BQ943" s="2">
        <f t="shared" si="29"/>
        <v>18.986669270704166</v>
      </c>
    </row>
    <row r="944" spans="1:69" x14ac:dyDescent="0.2">
      <c r="A944" s="2" t="s">
        <v>1363</v>
      </c>
      <c r="B944" s="2" t="s">
        <v>47</v>
      </c>
      <c r="C944" s="2" t="s">
        <v>48</v>
      </c>
      <c r="D944" s="2" t="s">
        <v>49</v>
      </c>
      <c r="E944" s="2" t="s">
        <v>1364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89</v>
      </c>
      <c r="L944" s="6" t="s">
        <v>103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1365</v>
      </c>
      <c r="R944" s="2">
        <v>8904109.5889999997</v>
      </c>
      <c r="S944" s="2">
        <v>0</v>
      </c>
      <c r="T944" s="2" t="s">
        <v>54</v>
      </c>
      <c r="U944" s="2" t="s">
        <v>55</v>
      </c>
      <c r="V944" s="2" t="s">
        <v>56</v>
      </c>
      <c r="W944" s="2" t="s">
        <v>57</v>
      </c>
      <c r="X944" s="2" t="s">
        <v>58</v>
      </c>
      <c r="Y944" s="2">
        <v>0.60731239003447501</v>
      </c>
      <c r="Z944" s="2">
        <v>607.31239003447502</v>
      </c>
      <c r="AA944" s="2">
        <v>4.6584666666666701</v>
      </c>
      <c r="AB944" s="2">
        <v>-74.083966666666697</v>
      </c>
      <c r="AC944" s="2">
        <v>2552</v>
      </c>
      <c r="AD944" s="2">
        <v>0</v>
      </c>
      <c r="AE944" s="2" t="s">
        <v>59</v>
      </c>
      <c r="AF944" s="2" t="s">
        <v>60</v>
      </c>
      <c r="AG944" s="2" t="s">
        <v>61</v>
      </c>
      <c r="AH944" s="2" t="s">
        <v>62</v>
      </c>
      <c r="AI944" s="2" t="s">
        <v>321</v>
      </c>
      <c r="AJ944" s="2">
        <v>0.30300018388897398</v>
      </c>
      <c r="AK944" s="2">
        <v>2.9094376535399702</v>
      </c>
      <c r="AL944" s="2">
        <v>0.66980146465564105</v>
      </c>
      <c r="AM944" s="2">
        <v>0.21674839105858301</v>
      </c>
      <c r="AN944" s="2">
        <v>2.0652116874145401</v>
      </c>
      <c r="AO944" s="2">
        <v>0.26753191289961797</v>
      </c>
      <c r="AP944" s="2">
        <v>0.26753191289961797</v>
      </c>
      <c r="AQ944" s="2">
        <v>1</v>
      </c>
      <c r="AR944" s="2">
        <v>2</v>
      </c>
      <c r="AS944" s="2">
        <v>0</v>
      </c>
      <c r="AT944" s="2">
        <v>0</v>
      </c>
      <c r="AU944" s="2">
        <v>2</v>
      </c>
      <c r="AV944" s="2">
        <v>24</v>
      </c>
      <c r="AW944" s="2">
        <v>0</v>
      </c>
      <c r="AX944" s="2">
        <v>0</v>
      </c>
      <c r="AZ944" s="2">
        <v>6.8</v>
      </c>
      <c r="BA944" s="2">
        <v>19.899999999999999</v>
      </c>
      <c r="BB944" s="2">
        <v>564</v>
      </c>
      <c r="BC944" s="2">
        <v>68</v>
      </c>
      <c r="BD944" s="2">
        <v>1.5</v>
      </c>
      <c r="BE944" s="2">
        <v>135</v>
      </c>
      <c r="BF944" s="2">
        <v>0.8</v>
      </c>
      <c r="BG944" s="2">
        <v>162</v>
      </c>
      <c r="BH944" s="2">
        <v>9.1</v>
      </c>
      <c r="BI944" s="2">
        <v>9.1999999999999993</v>
      </c>
      <c r="BJ944" s="2">
        <v>18.3</v>
      </c>
      <c r="BK944" s="2">
        <v>0.34</v>
      </c>
      <c r="BL944" s="2">
        <v>7.3</v>
      </c>
      <c r="BM944" s="2">
        <v>0.9</v>
      </c>
      <c r="BN944" s="2">
        <v>7.5</v>
      </c>
      <c r="BO944" s="2">
        <v>2.9</v>
      </c>
      <c r="BP944" s="2">
        <f t="shared" si="28"/>
        <v>6.5986207431011072</v>
      </c>
      <c r="BQ944" s="2">
        <f t="shared" si="29"/>
        <v>19.612051198774193</v>
      </c>
    </row>
    <row r="945" spans="1:69" x14ac:dyDescent="0.2">
      <c r="A945" s="2" t="s">
        <v>1539</v>
      </c>
      <c r="B945" s="2" t="s">
        <v>47</v>
      </c>
      <c r="C945" s="2" t="s">
        <v>48</v>
      </c>
      <c r="D945" s="2" t="s">
        <v>49</v>
      </c>
      <c r="E945" s="2" t="s">
        <v>1540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89</v>
      </c>
      <c r="L945" s="6" t="s">
        <v>141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1541</v>
      </c>
      <c r="R945" s="2">
        <v>5684931.5070000002</v>
      </c>
      <c r="S945" s="2">
        <v>0</v>
      </c>
      <c r="T945" s="2" t="s">
        <v>54</v>
      </c>
      <c r="U945" s="2" t="s">
        <v>55</v>
      </c>
      <c r="V945" s="2" t="s">
        <v>56</v>
      </c>
      <c r="W945" s="2" t="s">
        <v>57</v>
      </c>
      <c r="X945" s="2" t="s">
        <v>58</v>
      </c>
      <c r="Y945" s="2">
        <v>2.6505318113390399</v>
      </c>
      <c r="Z945" s="2">
        <v>2650.5318113390399</v>
      </c>
      <c r="AA945" s="2">
        <v>4.6584666666666701</v>
      </c>
      <c r="AB945" s="2">
        <v>-74.083966666666697</v>
      </c>
      <c r="AC945" s="2">
        <v>2552</v>
      </c>
      <c r="AD945" s="2">
        <v>0</v>
      </c>
      <c r="AE945" s="2" t="s">
        <v>59</v>
      </c>
      <c r="AF945" s="2" t="s">
        <v>60</v>
      </c>
      <c r="AG945" s="2" t="s">
        <v>61</v>
      </c>
      <c r="AH945" s="2" t="s">
        <v>62</v>
      </c>
      <c r="AI945" s="2" t="s">
        <v>391</v>
      </c>
      <c r="AJ945" s="2">
        <v>0.48939735970432102</v>
      </c>
      <c r="AK945" s="2">
        <v>4.6181055419764503</v>
      </c>
      <c r="AL945" s="2">
        <v>1.0126097567949801</v>
      </c>
      <c r="AM945" s="2">
        <v>0.15508394049447699</v>
      </c>
      <c r="AN945" s="2">
        <v>0.94088777044877203</v>
      </c>
      <c r="AO945" s="2">
        <v>0.22130053371990399</v>
      </c>
      <c r="AP945" s="2">
        <v>0.22130053371990399</v>
      </c>
      <c r="AQ945" s="2">
        <v>1</v>
      </c>
      <c r="AR945" s="2">
        <v>3</v>
      </c>
      <c r="AS945" s="2">
        <v>0</v>
      </c>
      <c r="AT945" s="2">
        <v>0</v>
      </c>
      <c r="AU945" s="2">
        <v>0</v>
      </c>
      <c r="AV945" s="2">
        <v>22</v>
      </c>
      <c r="AW945" s="2">
        <v>1</v>
      </c>
      <c r="AX945" s="2">
        <v>0</v>
      </c>
      <c r="AZ945" s="2">
        <v>6.8</v>
      </c>
      <c r="BA945" s="2">
        <v>19.899999999999999</v>
      </c>
      <c r="BB945" s="2">
        <v>564</v>
      </c>
      <c r="BC945" s="2">
        <v>68</v>
      </c>
      <c r="BD945" s="2">
        <v>1.5</v>
      </c>
      <c r="BE945" s="2">
        <v>135</v>
      </c>
      <c r="BF945" s="2">
        <v>0.8</v>
      </c>
      <c r="BG945" s="2">
        <v>162</v>
      </c>
      <c r="BH945" s="2">
        <v>9.1</v>
      </c>
      <c r="BI945" s="2">
        <v>9.1999999999999993</v>
      </c>
      <c r="BJ945" s="2">
        <v>18.3</v>
      </c>
      <c r="BK945" s="2">
        <v>0.34</v>
      </c>
      <c r="BL945" s="2">
        <v>7.3</v>
      </c>
      <c r="BM945" s="2">
        <v>0.9</v>
      </c>
      <c r="BN945" s="2">
        <v>7.5</v>
      </c>
      <c r="BO945" s="2">
        <v>2.9</v>
      </c>
      <c r="BP945" s="2">
        <f t="shared" si="28"/>
        <v>5.9638800688533351</v>
      </c>
      <c r="BQ945" s="2">
        <f t="shared" si="29"/>
        <v>18.673529163370667</v>
      </c>
    </row>
    <row r="946" spans="1:69" x14ac:dyDescent="0.2">
      <c r="A946" s="2" t="s">
        <v>1855</v>
      </c>
      <c r="B946" s="2" t="s">
        <v>47</v>
      </c>
      <c r="C946" s="2" t="s">
        <v>48</v>
      </c>
      <c r="D946" s="2" t="s">
        <v>49</v>
      </c>
      <c r="E946" s="2" t="s">
        <v>383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89</v>
      </c>
      <c r="L946" s="6" t="s">
        <v>90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1856</v>
      </c>
      <c r="R946" s="2">
        <v>13103448.279999999</v>
      </c>
      <c r="S946" s="2">
        <v>0</v>
      </c>
      <c r="T946" s="2" t="s">
        <v>54</v>
      </c>
      <c r="U946" s="2" t="s">
        <v>55</v>
      </c>
      <c r="V946" s="2" t="s">
        <v>56</v>
      </c>
      <c r="W946" s="2" t="s">
        <v>57</v>
      </c>
      <c r="X946" s="2" t="s">
        <v>58</v>
      </c>
      <c r="Y946" s="2">
        <v>3.2175766976093199</v>
      </c>
      <c r="Z946" s="2">
        <v>3217.57669760932</v>
      </c>
      <c r="AA946" s="2">
        <v>4.6584666666666701</v>
      </c>
      <c r="AB946" s="2">
        <v>-74.083966666666697</v>
      </c>
      <c r="AC946" s="2">
        <v>2552</v>
      </c>
      <c r="AD946" s="2">
        <v>0</v>
      </c>
      <c r="AE946" s="2" t="s">
        <v>59</v>
      </c>
      <c r="AF946" s="2" t="s">
        <v>60</v>
      </c>
      <c r="AG946" s="2" t="s">
        <v>61</v>
      </c>
      <c r="AH946" s="2" t="s">
        <v>62</v>
      </c>
      <c r="AI946" s="2" t="s">
        <v>109</v>
      </c>
      <c r="AJ946" s="2">
        <v>0.131643597682714</v>
      </c>
      <c r="AK946" s="2">
        <v>1.6939722140697699</v>
      </c>
      <c r="AL946" s="2">
        <v>0.48197045828672203</v>
      </c>
      <c r="AM946" s="2">
        <v>3.0024627063824801E-2</v>
      </c>
      <c r="AN946" s="2">
        <v>2.6008055145242501</v>
      </c>
      <c r="AO946" s="2">
        <v>0.76457944593916305</v>
      </c>
      <c r="AP946" s="2">
        <v>0.76457944593916305</v>
      </c>
      <c r="AQ946" s="2">
        <v>3</v>
      </c>
      <c r="AR946" s="2">
        <v>5</v>
      </c>
      <c r="AS946" s="2">
        <v>0</v>
      </c>
      <c r="AT946" s="2">
        <v>0</v>
      </c>
      <c r="AU946" s="2">
        <v>7</v>
      </c>
      <c r="AV946" s="2">
        <v>285</v>
      </c>
      <c r="AW946" s="2">
        <v>0</v>
      </c>
      <c r="AX946" s="2">
        <v>0</v>
      </c>
      <c r="AZ946" s="2">
        <v>6.8</v>
      </c>
      <c r="BA946" s="2">
        <v>19.899999999999999</v>
      </c>
      <c r="BB946" s="2">
        <v>564</v>
      </c>
      <c r="BC946" s="2">
        <v>68</v>
      </c>
      <c r="BD946" s="2">
        <v>1.5</v>
      </c>
      <c r="BE946" s="2">
        <v>135</v>
      </c>
      <c r="BF946" s="2">
        <v>0.8</v>
      </c>
      <c r="BG946" s="2">
        <v>162</v>
      </c>
      <c r="BH946" s="2">
        <v>9.1</v>
      </c>
      <c r="BI946" s="2">
        <v>9.1999999999999993</v>
      </c>
      <c r="BJ946" s="2">
        <v>18.3</v>
      </c>
      <c r="BK946" s="2">
        <v>0.34</v>
      </c>
      <c r="BL946" s="2">
        <v>7.3</v>
      </c>
      <c r="BM946" s="2">
        <v>0.9</v>
      </c>
      <c r="BN946" s="2">
        <v>7.5</v>
      </c>
      <c r="BO946" s="2">
        <v>2.9</v>
      </c>
      <c r="BP946" s="2">
        <f t="shared" si="28"/>
        <v>5.7988090812514503</v>
      </c>
      <c r="BQ946" s="2">
        <f t="shared" si="29"/>
        <v>18.421121078273554</v>
      </c>
    </row>
    <row r="947" spans="1:69" x14ac:dyDescent="0.2">
      <c r="A947" s="2" t="s">
        <v>1222</v>
      </c>
      <c r="B947" s="2" t="s">
        <v>47</v>
      </c>
      <c r="C947" s="2" t="s">
        <v>48</v>
      </c>
      <c r="D947" s="2" t="s">
        <v>49</v>
      </c>
      <c r="E947" s="2" t="s">
        <v>850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89</v>
      </c>
      <c r="L947" s="6" t="s">
        <v>103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1223</v>
      </c>
      <c r="R947" s="2">
        <v>9027777.7780000009</v>
      </c>
      <c r="S947" s="2">
        <v>0</v>
      </c>
      <c r="T947" s="2" t="s">
        <v>105</v>
      </c>
      <c r="U947" s="2" t="s">
        <v>106</v>
      </c>
      <c r="V947" s="2" t="s">
        <v>56</v>
      </c>
      <c r="W947" s="2" t="s">
        <v>107</v>
      </c>
      <c r="X947" s="2" t="s">
        <v>108</v>
      </c>
      <c r="Y947" s="2">
        <v>2.6079247661967</v>
      </c>
      <c r="Z947" s="2">
        <v>2607.9247661967001</v>
      </c>
      <c r="AA947" s="2">
        <v>4.6254861111111101</v>
      </c>
      <c r="AB947" s="2">
        <v>-74.066980555555503</v>
      </c>
      <c r="AC947" s="2">
        <v>2621</v>
      </c>
      <c r="AD947" s="2">
        <v>15</v>
      </c>
      <c r="AE947" s="2" t="s">
        <v>59</v>
      </c>
      <c r="AF947" s="2" t="s">
        <v>60</v>
      </c>
      <c r="AG947" s="2" t="s">
        <v>61</v>
      </c>
      <c r="AH947" s="2" t="s">
        <v>62</v>
      </c>
      <c r="AI947" s="2" t="s">
        <v>109</v>
      </c>
      <c r="AJ947" s="2">
        <v>1.1900254935486501</v>
      </c>
      <c r="AK947" s="2">
        <v>0.18073939434901601</v>
      </c>
      <c r="AL947" s="2">
        <v>0.515875605691962</v>
      </c>
      <c r="AM947" s="2">
        <v>0.36148348053068802</v>
      </c>
      <c r="AN947" s="2">
        <v>0.59407520515214296</v>
      </c>
      <c r="AO947" s="2">
        <v>0.30674781715689198</v>
      </c>
      <c r="AP947" s="2">
        <v>0.30674781715689198</v>
      </c>
      <c r="AQ947" s="2">
        <v>0</v>
      </c>
      <c r="AR947" s="2">
        <v>0</v>
      </c>
      <c r="AS947" s="2">
        <v>17</v>
      </c>
      <c r="AT947" s="2">
        <v>59</v>
      </c>
      <c r="AU947" s="2">
        <v>5</v>
      </c>
      <c r="AV947" s="2">
        <v>28</v>
      </c>
      <c r="AW947" s="2">
        <v>1</v>
      </c>
      <c r="AX947" s="2">
        <v>0</v>
      </c>
      <c r="AZ947" s="2">
        <v>6.8</v>
      </c>
      <c r="BA947" s="2">
        <v>19.899999999999999</v>
      </c>
      <c r="BB947" s="2">
        <v>564</v>
      </c>
      <c r="BC947" s="2">
        <v>68</v>
      </c>
      <c r="BD947" s="2">
        <v>1.5</v>
      </c>
      <c r="BE947" s="2">
        <v>135</v>
      </c>
      <c r="BF947" s="2">
        <v>0.8</v>
      </c>
      <c r="BG947" s="2">
        <v>162</v>
      </c>
      <c r="BH947" s="2">
        <v>9.1</v>
      </c>
      <c r="BI947" s="2">
        <v>9.1999999999999993</v>
      </c>
      <c r="BJ947" s="2">
        <v>18.3</v>
      </c>
      <c r="BK947" s="2">
        <v>0.34</v>
      </c>
      <c r="BL947" s="2">
        <v>7.3</v>
      </c>
      <c r="BM947" s="2">
        <v>0.9</v>
      </c>
      <c r="BN947" s="2">
        <v>7.5</v>
      </c>
      <c r="BO947" s="2">
        <v>2.9</v>
      </c>
      <c r="BP947" s="2">
        <f t="shared" si="28"/>
        <v>5.9764714558226126</v>
      </c>
      <c r="BQ947" s="2">
        <f t="shared" si="29"/>
        <v>18.692633903264845</v>
      </c>
    </row>
    <row r="948" spans="1:69" x14ac:dyDescent="0.2">
      <c r="A948" s="2" t="s">
        <v>2571</v>
      </c>
      <c r="B948" s="2" t="s">
        <v>47</v>
      </c>
      <c r="C948" s="2" t="s">
        <v>1935</v>
      </c>
      <c r="D948" s="2" t="s">
        <v>49</v>
      </c>
      <c r="E948" s="2" t="s">
        <v>553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89</v>
      </c>
      <c r="L948" s="6" t="s">
        <v>141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2572</v>
      </c>
      <c r="R948" s="2">
        <v>5000000</v>
      </c>
      <c r="S948" s="2">
        <v>0</v>
      </c>
      <c r="T948" s="2" t="s">
        <v>54</v>
      </c>
      <c r="U948" s="2" t="s">
        <v>55</v>
      </c>
      <c r="V948" s="2" t="s">
        <v>56</v>
      </c>
      <c r="W948" s="2" t="s">
        <v>57</v>
      </c>
      <c r="X948" s="2" t="s">
        <v>58</v>
      </c>
      <c r="Y948" s="2">
        <v>4.4780379047900496</v>
      </c>
      <c r="Z948" s="2">
        <v>4478.0379047900497</v>
      </c>
      <c r="AA948" s="2">
        <v>4.6584666666666701</v>
      </c>
      <c r="AB948" s="2">
        <v>-74.083966666666697</v>
      </c>
      <c r="AC948" s="2">
        <v>2552</v>
      </c>
      <c r="AD948" s="2">
        <v>0</v>
      </c>
      <c r="AE948" s="2" t="s">
        <v>59</v>
      </c>
      <c r="AF948" s="2" t="s">
        <v>60</v>
      </c>
      <c r="AG948" s="2" t="s">
        <v>61</v>
      </c>
      <c r="AH948" s="2" t="s">
        <v>62</v>
      </c>
      <c r="AI948" s="2" t="s">
        <v>100</v>
      </c>
      <c r="AJ948" s="2">
        <v>0.36696786734161901</v>
      </c>
      <c r="AK948" s="2">
        <v>4.4298788833548102</v>
      </c>
      <c r="AL948" s="2">
        <v>0.30782626509969502</v>
      </c>
      <c r="AM948" s="2">
        <v>2.0311411900921301E-2</v>
      </c>
      <c r="AN948" s="2">
        <v>2.7714044552547801</v>
      </c>
      <c r="AO948" s="2">
        <v>0.23543906786919799</v>
      </c>
      <c r="AP948" s="2">
        <v>0.23543906786919799</v>
      </c>
      <c r="AQ948" s="2">
        <v>1</v>
      </c>
      <c r="AR948" s="2">
        <v>2</v>
      </c>
      <c r="AS948" s="2">
        <v>0</v>
      </c>
      <c r="AT948" s="2">
        <v>0</v>
      </c>
      <c r="AU948" s="2">
        <v>1</v>
      </c>
      <c r="AV948" s="2">
        <v>47</v>
      </c>
      <c r="AW948" s="2">
        <v>0</v>
      </c>
      <c r="AX948" s="2">
        <v>0</v>
      </c>
      <c r="AZ948" s="2">
        <v>6.8</v>
      </c>
      <c r="BA948" s="2">
        <v>19.899999999999999</v>
      </c>
      <c r="BB948" s="2">
        <v>564</v>
      </c>
      <c r="BC948" s="2">
        <v>68</v>
      </c>
      <c r="BD948" s="2">
        <v>1.5</v>
      </c>
      <c r="BE948" s="2">
        <v>135</v>
      </c>
      <c r="BF948" s="2">
        <v>0.8</v>
      </c>
      <c r="BG948" s="2">
        <v>162</v>
      </c>
      <c r="BH948" s="2">
        <v>9.1</v>
      </c>
      <c r="BI948" s="2">
        <v>9.1999999999999993</v>
      </c>
      <c r="BJ948" s="2">
        <v>18.3</v>
      </c>
      <c r="BK948" s="2">
        <v>0.34</v>
      </c>
      <c r="BL948" s="2">
        <v>7.3</v>
      </c>
      <c r="BM948" s="2">
        <v>0.9</v>
      </c>
      <c r="BN948" s="2">
        <v>7.5</v>
      </c>
      <c r="BO948" s="2">
        <v>2.9</v>
      </c>
      <c r="BP948" s="2">
        <f t="shared" si="28"/>
        <v>5.4480608384157918</v>
      </c>
      <c r="BQ948" s="2">
        <f t="shared" si="29"/>
        <v>17.872206953393611</v>
      </c>
    </row>
    <row r="949" spans="1:69" x14ac:dyDescent="0.2">
      <c r="A949" s="2" t="s">
        <v>4601</v>
      </c>
      <c r="B949" s="2" t="s">
        <v>47</v>
      </c>
      <c r="C949" s="2" t="s">
        <v>3273</v>
      </c>
      <c r="D949" s="2" t="s">
        <v>49</v>
      </c>
      <c r="E949" s="2" t="s">
        <v>488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89</v>
      </c>
      <c r="L949" s="6" t="s">
        <v>112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4602</v>
      </c>
      <c r="R949" s="2">
        <v>9436619.7180000003</v>
      </c>
      <c r="S949" s="2">
        <v>0</v>
      </c>
      <c r="T949" s="2" t="s">
        <v>105</v>
      </c>
      <c r="U949" s="2" t="s">
        <v>106</v>
      </c>
      <c r="V949" s="2" t="s">
        <v>56</v>
      </c>
      <c r="W949" s="2" t="s">
        <v>107</v>
      </c>
      <c r="X949" s="2" t="s">
        <v>108</v>
      </c>
      <c r="Y949" s="2">
        <v>2.1879060917266102</v>
      </c>
      <c r="Z949" s="2">
        <v>2187.9060917266102</v>
      </c>
      <c r="AA949" s="2">
        <v>4.6254861111111101</v>
      </c>
      <c r="AB949" s="2">
        <v>-74.066980555555503</v>
      </c>
      <c r="AC949" s="2">
        <v>2621</v>
      </c>
      <c r="AD949" s="2">
        <v>15</v>
      </c>
      <c r="AE949" s="2" t="s">
        <v>59</v>
      </c>
      <c r="AF949" s="2" t="s">
        <v>60</v>
      </c>
      <c r="AG949" s="2" t="s">
        <v>61</v>
      </c>
      <c r="AH949" s="2" t="s">
        <v>62</v>
      </c>
      <c r="AI949" s="2" t="s">
        <v>109</v>
      </c>
      <c r="AJ949" s="2">
        <v>0.709695052351346</v>
      </c>
      <c r="AK949" s="2">
        <v>0.36430962975589798</v>
      </c>
      <c r="AL949" s="2">
        <v>0.13612221989653001</v>
      </c>
      <c r="AM949" s="2">
        <v>0.19952011970306899</v>
      </c>
      <c r="AN949" s="2">
        <v>0.25527270194763402</v>
      </c>
      <c r="AO949" s="2">
        <v>1.0157267886810701E-2</v>
      </c>
      <c r="AP949" s="2">
        <v>1.0157267886810701E-2</v>
      </c>
      <c r="AQ949" s="2">
        <v>0</v>
      </c>
      <c r="AR949" s="2">
        <v>2</v>
      </c>
      <c r="AS949" s="2">
        <v>7</v>
      </c>
      <c r="AT949" s="2">
        <v>42</v>
      </c>
      <c r="AU949" s="2">
        <v>9</v>
      </c>
      <c r="AV949" s="2">
        <v>86</v>
      </c>
      <c r="AW949" s="2">
        <v>1</v>
      </c>
      <c r="AX949" s="2">
        <v>0</v>
      </c>
      <c r="AZ949" s="2">
        <v>6.8</v>
      </c>
      <c r="BA949" s="2">
        <v>19.899999999999999</v>
      </c>
      <c r="BB949" s="2">
        <v>564</v>
      </c>
      <c r="BC949" s="2">
        <v>68</v>
      </c>
      <c r="BD949" s="2">
        <v>1.5</v>
      </c>
      <c r="BE949" s="2">
        <v>135</v>
      </c>
      <c r="BF949" s="2">
        <v>0.8</v>
      </c>
      <c r="BG949" s="2">
        <v>162</v>
      </c>
      <c r="BH949" s="2">
        <v>9.1</v>
      </c>
      <c r="BI949" s="2">
        <v>9.1999999999999993</v>
      </c>
      <c r="BJ949" s="2">
        <v>18.3</v>
      </c>
      <c r="BK949" s="2">
        <v>0.34</v>
      </c>
      <c r="BL949" s="2">
        <v>7.3</v>
      </c>
      <c r="BM949" s="2">
        <v>0.9</v>
      </c>
      <c r="BN949" s="2">
        <v>7.5</v>
      </c>
      <c r="BO949" s="2">
        <v>2.9</v>
      </c>
      <c r="BP949" s="2">
        <f t="shared" si="28"/>
        <v>6.1020285229327644</v>
      </c>
      <c r="BQ949" s="2">
        <f t="shared" si="29"/>
        <v>18.882016960172791</v>
      </c>
    </row>
    <row r="950" spans="1:69" x14ac:dyDescent="0.2">
      <c r="A950" s="2" t="s">
        <v>2341</v>
      </c>
      <c r="B950" s="2" t="s">
        <v>47</v>
      </c>
      <c r="C950" s="2" t="s">
        <v>1935</v>
      </c>
      <c r="D950" s="2" t="s">
        <v>49</v>
      </c>
      <c r="E950" s="2" t="s">
        <v>2342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89</v>
      </c>
      <c r="L950" s="6" t="s">
        <v>141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2343</v>
      </c>
      <c r="R950" s="2">
        <v>5915492.9579999996</v>
      </c>
      <c r="S950" s="2">
        <v>0</v>
      </c>
      <c r="T950" s="2" t="s">
        <v>398</v>
      </c>
      <c r="U950" s="2" t="s">
        <v>399</v>
      </c>
      <c r="V950" s="2" t="s">
        <v>56</v>
      </c>
      <c r="W950" s="2" t="s">
        <v>57</v>
      </c>
      <c r="X950" s="2" t="s">
        <v>400</v>
      </c>
      <c r="Y950" s="2">
        <v>2.4693118600812198</v>
      </c>
      <c r="Z950" s="2">
        <v>2469.3118600812199</v>
      </c>
      <c r="AA950" s="2">
        <v>4.7358055555555598</v>
      </c>
      <c r="AB950" s="2">
        <v>-74.125888888888895</v>
      </c>
      <c r="AC950" s="2">
        <v>2574</v>
      </c>
      <c r="AD950" s="2">
        <v>0</v>
      </c>
      <c r="AE950" s="2" t="s">
        <v>133</v>
      </c>
      <c r="AF950" s="2" t="s">
        <v>86</v>
      </c>
      <c r="AG950" s="2" t="s">
        <v>61</v>
      </c>
      <c r="AH950" s="2" t="s">
        <v>62</v>
      </c>
      <c r="AI950" s="2" t="s">
        <v>391</v>
      </c>
      <c r="AJ950" s="2">
        <v>1.18845442309728</v>
      </c>
      <c r="AK950" s="2">
        <v>1.8530272504376399</v>
      </c>
      <c r="AL950" s="2">
        <v>3.05440428605479</v>
      </c>
      <c r="AM950" s="2">
        <v>0.30645189036607401</v>
      </c>
      <c r="AN950" s="2">
        <v>3.4648453485521</v>
      </c>
      <c r="AO950" s="2">
        <v>0.142949188471614</v>
      </c>
      <c r="AP950" s="2">
        <v>0.142949188471614</v>
      </c>
      <c r="AQ950" s="2">
        <v>0</v>
      </c>
      <c r="AR950" s="2">
        <v>0</v>
      </c>
      <c r="AS950" s="2">
        <v>0</v>
      </c>
      <c r="AT950" s="2">
        <v>0</v>
      </c>
      <c r="AU950" s="2">
        <v>0</v>
      </c>
      <c r="AV950" s="2">
        <v>8</v>
      </c>
      <c r="AW950" s="2">
        <v>0</v>
      </c>
      <c r="AX950" s="2">
        <v>0</v>
      </c>
      <c r="AZ950" s="2">
        <v>6.8</v>
      </c>
      <c r="BA950" s="2">
        <v>19.899999999999999</v>
      </c>
      <c r="BB950" s="2">
        <v>564</v>
      </c>
      <c r="BC950" s="2">
        <v>68</v>
      </c>
      <c r="BD950" s="2">
        <v>1.5</v>
      </c>
      <c r="BE950" s="2">
        <v>135</v>
      </c>
      <c r="BF950" s="2">
        <v>0.8</v>
      </c>
      <c r="BG950" s="2">
        <v>162</v>
      </c>
      <c r="BH950" s="2">
        <v>9.1</v>
      </c>
      <c r="BI950" s="2">
        <v>9.1999999999999993</v>
      </c>
      <c r="BJ950" s="2">
        <v>18.3</v>
      </c>
      <c r="BK950" s="2">
        <v>0.34</v>
      </c>
      <c r="BL950" s="2">
        <v>7.3</v>
      </c>
      <c r="BM950" s="2">
        <v>0.9</v>
      </c>
      <c r="BN950" s="2">
        <v>7.5</v>
      </c>
      <c r="BO950" s="2">
        <v>2.9</v>
      </c>
      <c r="BP950" s="2">
        <f t="shared" si="28"/>
        <v>6.017619054002985</v>
      </c>
      <c r="BQ950" s="2">
        <f t="shared" si="29"/>
        <v>18.754922421127848</v>
      </c>
    </row>
    <row r="951" spans="1:69" x14ac:dyDescent="0.2">
      <c r="A951" s="2" t="s">
        <v>1155</v>
      </c>
      <c r="B951" s="2" t="s">
        <v>47</v>
      </c>
      <c r="C951" s="2" t="s">
        <v>48</v>
      </c>
      <c r="D951" s="2" t="s">
        <v>49</v>
      </c>
      <c r="E951" s="2" t="s">
        <v>606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89</v>
      </c>
      <c r="L951" s="6" t="s">
        <v>103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1156</v>
      </c>
      <c r="R951" s="2">
        <v>5300000</v>
      </c>
      <c r="S951" s="2">
        <v>0</v>
      </c>
      <c r="T951" s="2" t="s">
        <v>398</v>
      </c>
      <c r="U951" s="2" t="s">
        <v>399</v>
      </c>
      <c r="V951" s="2" t="s">
        <v>56</v>
      </c>
      <c r="W951" s="2" t="s">
        <v>57</v>
      </c>
      <c r="X951" s="2" t="s">
        <v>400</v>
      </c>
      <c r="Y951" s="2">
        <v>1.63944741882205</v>
      </c>
      <c r="Z951" s="2">
        <v>1639.4474188220499</v>
      </c>
      <c r="AA951" s="2">
        <v>4.7358055555555598</v>
      </c>
      <c r="AB951" s="2">
        <v>-74.125888888888895</v>
      </c>
      <c r="AC951" s="2">
        <v>2574</v>
      </c>
      <c r="AD951" s="2">
        <v>0</v>
      </c>
      <c r="AE951" s="2" t="s">
        <v>133</v>
      </c>
      <c r="AF951" s="2" t="s">
        <v>86</v>
      </c>
      <c r="AG951" s="2" t="s">
        <v>61</v>
      </c>
      <c r="AH951" s="2" t="s">
        <v>62</v>
      </c>
      <c r="AI951" s="2" t="s">
        <v>391</v>
      </c>
      <c r="AJ951" s="2">
        <v>2.2881788597796899</v>
      </c>
      <c r="AK951" s="2">
        <v>0.291459484742629</v>
      </c>
      <c r="AL951" s="2">
        <v>3.8607202801896299</v>
      </c>
      <c r="AM951" s="2">
        <v>0.52865713452762098</v>
      </c>
      <c r="AN951" s="2">
        <v>3.29272658206395</v>
      </c>
      <c r="AO951" s="2">
        <v>9.9213088528096599E-2</v>
      </c>
      <c r="AP951" s="2">
        <v>9.9213088528096599E-2</v>
      </c>
      <c r="AQ951" s="2">
        <v>0</v>
      </c>
      <c r="AR951" s="2">
        <v>0</v>
      </c>
      <c r="AS951" s="2">
        <v>3</v>
      </c>
      <c r="AT951" s="2">
        <v>12</v>
      </c>
      <c r="AU951" s="2">
        <v>0</v>
      </c>
      <c r="AV951" s="2">
        <v>4</v>
      </c>
      <c r="AW951" s="2">
        <v>0</v>
      </c>
      <c r="AX951" s="2">
        <v>0</v>
      </c>
      <c r="AZ951" s="2">
        <v>6.8</v>
      </c>
      <c r="BA951" s="2">
        <v>19.899999999999999</v>
      </c>
      <c r="BB951" s="2">
        <v>564</v>
      </c>
      <c r="BC951" s="2">
        <v>68</v>
      </c>
      <c r="BD951" s="2">
        <v>1.5</v>
      </c>
      <c r="BE951" s="2">
        <v>135</v>
      </c>
      <c r="BF951" s="2">
        <v>0.8</v>
      </c>
      <c r="BG951" s="2">
        <v>162</v>
      </c>
      <c r="BH951" s="2">
        <v>9.1</v>
      </c>
      <c r="BI951" s="2">
        <v>9.1999999999999993</v>
      </c>
      <c r="BJ951" s="2">
        <v>18.3</v>
      </c>
      <c r="BK951" s="2">
        <v>0.34</v>
      </c>
      <c r="BL951" s="2">
        <v>7.3</v>
      </c>
      <c r="BM951" s="2">
        <v>0.9</v>
      </c>
      <c r="BN951" s="2">
        <v>7.5</v>
      </c>
      <c r="BO951" s="2">
        <v>2.9</v>
      </c>
      <c r="BP951" s="2">
        <f t="shared" si="28"/>
        <v>6.2699599367437333</v>
      </c>
      <c r="BQ951" s="2">
        <f t="shared" si="29"/>
        <v>19.132204098598926</v>
      </c>
    </row>
    <row r="952" spans="1:69" x14ac:dyDescent="0.2">
      <c r="A952" s="2" t="s">
        <v>1043</v>
      </c>
      <c r="B952" s="2" t="s">
        <v>47</v>
      </c>
      <c r="C952" s="2" t="s">
        <v>48</v>
      </c>
      <c r="D952" s="2" t="s">
        <v>49</v>
      </c>
      <c r="E952" s="2" t="s">
        <v>272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89</v>
      </c>
      <c r="L952" s="6" t="s">
        <v>103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1044</v>
      </c>
      <c r="R952" s="2">
        <v>8985507.2459999993</v>
      </c>
      <c r="S952" s="2">
        <v>0</v>
      </c>
      <c r="T952" s="2" t="s">
        <v>105</v>
      </c>
      <c r="U952" s="2" t="s">
        <v>106</v>
      </c>
      <c r="V952" s="2" t="s">
        <v>56</v>
      </c>
      <c r="W952" s="2" t="s">
        <v>107</v>
      </c>
      <c r="X952" s="2" t="s">
        <v>108</v>
      </c>
      <c r="Y952" s="2">
        <v>1.6817542642026</v>
      </c>
      <c r="Z952" s="2">
        <v>1681.7542642026001</v>
      </c>
      <c r="AA952" s="2">
        <v>4.6254861111111101</v>
      </c>
      <c r="AB952" s="2">
        <v>-74.066980555555503</v>
      </c>
      <c r="AC952" s="2">
        <v>2621</v>
      </c>
      <c r="AD952" s="2">
        <v>15</v>
      </c>
      <c r="AE952" s="2" t="s">
        <v>59</v>
      </c>
      <c r="AF952" s="2" t="s">
        <v>60</v>
      </c>
      <c r="AG952" s="2" t="s">
        <v>61</v>
      </c>
      <c r="AH952" s="2" t="s">
        <v>62</v>
      </c>
      <c r="AI952" s="2" t="s">
        <v>117</v>
      </c>
      <c r="AJ952" s="2">
        <v>0.62801418715329704</v>
      </c>
      <c r="AK952" s="2">
        <v>0.19948634837988599</v>
      </c>
      <c r="AL952" s="2">
        <v>0.44482141246307599</v>
      </c>
      <c r="AM952" s="2">
        <v>0.54084034340481801</v>
      </c>
      <c r="AN952" s="2">
        <v>0.54032915791089098</v>
      </c>
      <c r="AO952" s="2">
        <v>0.174131386851333</v>
      </c>
      <c r="AP952" s="2">
        <v>0.174131386851333</v>
      </c>
      <c r="AQ952" s="2">
        <v>0</v>
      </c>
      <c r="AR952" s="2">
        <v>5</v>
      </c>
      <c r="AS952" s="2">
        <v>18</v>
      </c>
      <c r="AT952" s="2">
        <v>29</v>
      </c>
      <c r="AU952" s="2">
        <v>8</v>
      </c>
      <c r="AV952" s="2">
        <v>39</v>
      </c>
      <c r="AW952" s="2">
        <v>1</v>
      </c>
      <c r="AX952" s="2">
        <v>4</v>
      </c>
      <c r="AZ952" s="2">
        <v>6.8</v>
      </c>
      <c r="BA952" s="2">
        <v>19.899999999999999</v>
      </c>
      <c r="BB952" s="2">
        <v>564</v>
      </c>
      <c r="BC952" s="2">
        <v>68</v>
      </c>
      <c r="BD952" s="2">
        <v>1.5</v>
      </c>
      <c r="BE952" s="2">
        <v>135</v>
      </c>
      <c r="BF952" s="2">
        <v>0.8</v>
      </c>
      <c r="BG952" s="2">
        <v>162</v>
      </c>
      <c r="BH952" s="2">
        <v>9.1</v>
      </c>
      <c r="BI952" s="2">
        <v>9.1999999999999993</v>
      </c>
      <c r="BJ952" s="2">
        <v>18.3</v>
      </c>
      <c r="BK952" s="2">
        <v>0.34</v>
      </c>
      <c r="BL952" s="2">
        <v>7.3</v>
      </c>
      <c r="BM952" s="2">
        <v>0.9</v>
      </c>
      <c r="BN952" s="2">
        <v>7.5</v>
      </c>
      <c r="BO952" s="2">
        <v>2.9</v>
      </c>
      <c r="BP952" s="2">
        <f t="shared" si="28"/>
        <v>6.256843195837237</v>
      </c>
      <c r="BQ952" s="2">
        <f t="shared" si="29"/>
        <v>19.112787800760653</v>
      </c>
    </row>
    <row r="953" spans="1:69" x14ac:dyDescent="0.2">
      <c r="A953" s="2" t="s">
        <v>1520</v>
      </c>
      <c r="B953" s="2" t="s">
        <v>47</v>
      </c>
      <c r="C953" s="2" t="s">
        <v>48</v>
      </c>
      <c r="D953" s="2" t="s">
        <v>49</v>
      </c>
      <c r="E953" s="2" t="s">
        <v>1521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89</v>
      </c>
      <c r="L953" s="6" t="s">
        <v>103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1522</v>
      </c>
      <c r="R953" s="2">
        <v>8347826.0870000003</v>
      </c>
      <c r="S953" s="2">
        <v>0</v>
      </c>
      <c r="T953" s="2" t="s">
        <v>54</v>
      </c>
      <c r="U953" s="2" t="s">
        <v>55</v>
      </c>
      <c r="V953" s="2" t="s">
        <v>56</v>
      </c>
      <c r="W953" s="2" t="s">
        <v>57</v>
      </c>
      <c r="X953" s="2" t="s">
        <v>58</v>
      </c>
      <c r="Y953" s="2">
        <v>3.4527807197706299</v>
      </c>
      <c r="Z953" s="2">
        <v>3452.7807197706302</v>
      </c>
      <c r="AA953" s="2">
        <v>4.6584666666666701</v>
      </c>
      <c r="AB953" s="2">
        <v>-74.083966666666697</v>
      </c>
      <c r="AC953" s="2">
        <v>2552</v>
      </c>
      <c r="AD953" s="2">
        <v>0</v>
      </c>
      <c r="AE953" s="2" t="s">
        <v>59</v>
      </c>
      <c r="AF953" s="2" t="s">
        <v>60</v>
      </c>
      <c r="AG953" s="2" t="s">
        <v>61</v>
      </c>
      <c r="AH953" s="2" t="s">
        <v>62</v>
      </c>
      <c r="AI953" s="2" t="s">
        <v>71</v>
      </c>
      <c r="AJ953" s="2">
        <v>0.60511122235090697</v>
      </c>
      <c r="AK953" s="2">
        <v>4.7612256148951602</v>
      </c>
      <c r="AL953" s="2">
        <v>1.0854889550048099</v>
      </c>
      <c r="AM953" s="2">
        <v>0.23833144413754601</v>
      </c>
      <c r="AN953" s="2">
        <v>1.38977875077462</v>
      </c>
      <c r="AO953" s="2">
        <v>0.57989962272646001</v>
      </c>
      <c r="AP953" s="2">
        <v>0.57989962272646001</v>
      </c>
      <c r="AQ953" s="2">
        <v>0</v>
      </c>
      <c r="AR953" s="2">
        <v>2</v>
      </c>
      <c r="AS953" s="2">
        <v>0</v>
      </c>
      <c r="AT953" s="2">
        <v>0</v>
      </c>
      <c r="AU953" s="2">
        <v>0</v>
      </c>
      <c r="AV953" s="2">
        <v>34</v>
      </c>
      <c r="AW953" s="2">
        <v>0</v>
      </c>
      <c r="AX953" s="2">
        <v>0</v>
      </c>
      <c r="AZ953" s="2">
        <v>6.8</v>
      </c>
      <c r="BA953" s="2">
        <v>19.899999999999999</v>
      </c>
      <c r="BB953" s="2">
        <v>564</v>
      </c>
      <c r="BC953" s="2">
        <v>68</v>
      </c>
      <c r="BD953" s="2">
        <v>1.5</v>
      </c>
      <c r="BE953" s="2">
        <v>135</v>
      </c>
      <c r="BF953" s="2">
        <v>0.8</v>
      </c>
      <c r="BG953" s="2">
        <v>162</v>
      </c>
      <c r="BH953" s="2">
        <v>9.1</v>
      </c>
      <c r="BI953" s="2">
        <v>9.1999999999999993</v>
      </c>
      <c r="BJ953" s="2">
        <v>18.3</v>
      </c>
      <c r="BK953" s="2">
        <v>0.34</v>
      </c>
      <c r="BL953" s="2">
        <v>7.3</v>
      </c>
      <c r="BM953" s="2">
        <v>0.9</v>
      </c>
      <c r="BN953" s="2">
        <v>7.5</v>
      </c>
      <c r="BO953" s="2">
        <v>2.9</v>
      </c>
      <c r="BP953" s="2">
        <f t="shared" si="28"/>
        <v>5.7316873656856382</v>
      </c>
      <c r="BQ953" s="2">
        <f t="shared" si="29"/>
        <v>18.317428697510991</v>
      </c>
    </row>
    <row r="954" spans="1:69" x14ac:dyDescent="0.2">
      <c r="A954" s="2" t="s">
        <v>1214</v>
      </c>
      <c r="B954" s="2" t="s">
        <v>47</v>
      </c>
      <c r="C954" s="2" t="s">
        <v>48</v>
      </c>
      <c r="D954" s="2" t="s">
        <v>49</v>
      </c>
      <c r="E954" s="2" t="s">
        <v>1215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89</v>
      </c>
      <c r="L954" s="6" t="s">
        <v>141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1216</v>
      </c>
      <c r="R954" s="2">
        <v>6086956.5219999999</v>
      </c>
      <c r="S954" s="2">
        <v>0</v>
      </c>
      <c r="T954" s="2" t="s">
        <v>398</v>
      </c>
      <c r="U954" s="2" t="s">
        <v>399</v>
      </c>
      <c r="V954" s="2" t="s">
        <v>56</v>
      </c>
      <c r="W954" s="2" t="s">
        <v>57</v>
      </c>
      <c r="X954" s="2" t="s">
        <v>400</v>
      </c>
      <c r="Y954" s="2">
        <v>2.56739967591017</v>
      </c>
      <c r="Z954" s="2">
        <v>2567.3996759101701</v>
      </c>
      <c r="AA954" s="2">
        <v>4.7358055555555598</v>
      </c>
      <c r="AB954" s="2">
        <v>-74.125888888888895</v>
      </c>
      <c r="AC954" s="2">
        <v>2574</v>
      </c>
      <c r="AD954" s="2">
        <v>0</v>
      </c>
      <c r="AE954" s="2" t="s">
        <v>133</v>
      </c>
      <c r="AF954" s="2" t="s">
        <v>86</v>
      </c>
      <c r="AG954" s="2" t="s">
        <v>61</v>
      </c>
      <c r="AH954" s="2" t="s">
        <v>62</v>
      </c>
      <c r="AI954" s="2" t="s">
        <v>391</v>
      </c>
      <c r="AJ954" s="2">
        <v>0.92627547817294897</v>
      </c>
      <c r="AK954" s="2">
        <v>1.8259885404400999</v>
      </c>
      <c r="AL954" s="2">
        <v>2.8616503331080501</v>
      </c>
      <c r="AM954" s="2">
        <v>0.45873349425972598</v>
      </c>
      <c r="AN954" s="2">
        <v>3.2472067318335398</v>
      </c>
      <c r="AO954" s="2">
        <v>9.1211450143914394E-2</v>
      </c>
      <c r="AP954" s="2">
        <v>9.1211450143914394E-2</v>
      </c>
      <c r="AQ954" s="2">
        <v>0</v>
      </c>
      <c r="AR954" s="2">
        <v>1</v>
      </c>
      <c r="AS954" s="2">
        <v>0</v>
      </c>
      <c r="AT954" s="2">
        <v>0</v>
      </c>
      <c r="AU954" s="2">
        <v>0</v>
      </c>
      <c r="AV954" s="2">
        <v>15</v>
      </c>
      <c r="AW954" s="2">
        <v>0</v>
      </c>
      <c r="AX954" s="2">
        <v>0</v>
      </c>
      <c r="AZ954" s="2">
        <v>6.8</v>
      </c>
      <c r="BA954" s="2">
        <v>19.899999999999999</v>
      </c>
      <c r="BB954" s="2">
        <v>564</v>
      </c>
      <c r="BC954" s="2">
        <v>68</v>
      </c>
      <c r="BD954" s="2">
        <v>1.5</v>
      </c>
      <c r="BE954" s="2">
        <v>135</v>
      </c>
      <c r="BF954" s="2">
        <v>0.8</v>
      </c>
      <c r="BG954" s="2">
        <v>162</v>
      </c>
      <c r="BH954" s="2">
        <v>9.1</v>
      </c>
      <c r="BI954" s="2">
        <v>9.1999999999999993</v>
      </c>
      <c r="BJ954" s="2">
        <v>18.3</v>
      </c>
      <c r="BK954" s="2">
        <v>0.34</v>
      </c>
      <c r="BL954" s="2">
        <v>7.3</v>
      </c>
      <c r="BM954" s="2">
        <v>0.9</v>
      </c>
      <c r="BN954" s="2">
        <v>7.5</v>
      </c>
      <c r="BO954" s="2">
        <v>2.9</v>
      </c>
      <c r="BP954" s="2">
        <f t="shared" si="28"/>
        <v>5.9884722422834109</v>
      </c>
      <c r="BQ954" s="2">
        <f t="shared" si="29"/>
        <v>18.710823243565834</v>
      </c>
    </row>
    <row r="955" spans="1:69" x14ac:dyDescent="0.2">
      <c r="A955" s="2" t="s">
        <v>894</v>
      </c>
      <c r="B955" s="2" t="s">
        <v>47</v>
      </c>
      <c r="C955" s="2" t="s">
        <v>48</v>
      </c>
      <c r="D955" s="2" t="s">
        <v>49</v>
      </c>
      <c r="E955" s="2" t="s">
        <v>895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89</v>
      </c>
      <c r="L955" s="6" t="s">
        <v>141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896</v>
      </c>
      <c r="R955" s="2">
        <v>7761194.0300000003</v>
      </c>
      <c r="S955" s="2">
        <v>0</v>
      </c>
      <c r="T955" s="2" t="s">
        <v>105</v>
      </c>
      <c r="U955" s="2" t="s">
        <v>106</v>
      </c>
      <c r="V955" s="2" t="s">
        <v>56</v>
      </c>
      <c r="W955" s="2" t="s">
        <v>107</v>
      </c>
      <c r="X955" s="2" t="s">
        <v>108</v>
      </c>
      <c r="Y955" s="2">
        <v>2.7096862707671199</v>
      </c>
      <c r="Z955" s="2">
        <v>2709.6862707671198</v>
      </c>
      <c r="AA955" s="2">
        <v>4.6254861111111101</v>
      </c>
      <c r="AB955" s="2">
        <v>-74.066980555555503</v>
      </c>
      <c r="AC955" s="2">
        <v>2621</v>
      </c>
      <c r="AD955" s="2">
        <v>15</v>
      </c>
      <c r="AE955" s="2" t="s">
        <v>59</v>
      </c>
      <c r="AF955" s="2" t="s">
        <v>60</v>
      </c>
      <c r="AG955" s="2" t="s">
        <v>61</v>
      </c>
      <c r="AH955" s="2" t="s">
        <v>62</v>
      </c>
      <c r="AI955" s="2" t="s">
        <v>109</v>
      </c>
      <c r="AJ955" s="2">
        <v>1.0741663322871999</v>
      </c>
      <c r="AK955" s="2">
        <v>0.334574970856028</v>
      </c>
      <c r="AL955" s="2">
        <v>0.34258546635895998</v>
      </c>
      <c r="AM955" s="2">
        <v>0.31325018623293799</v>
      </c>
      <c r="AN955" s="2">
        <v>0.67381793942299795</v>
      </c>
      <c r="AO955" s="2">
        <v>0.153835386287061</v>
      </c>
      <c r="AP955" s="2">
        <v>0.153835386287061</v>
      </c>
      <c r="AQ955" s="2">
        <v>0</v>
      </c>
      <c r="AR955" s="2">
        <v>0</v>
      </c>
      <c r="AS955" s="2">
        <v>7</v>
      </c>
      <c r="AT955" s="2">
        <v>56</v>
      </c>
      <c r="AU955" s="2">
        <v>7</v>
      </c>
      <c r="AV955" s="2">
        <v>38</v>
      </c>
      <c r="AW955" s="2">
        <v>1</v>
      </c>
      <c r="AX955" s="2">
        <v>0</v>
      </c>
      <c r="AZ955" s="2">
        <v>6.8</v>
      </c>
      <c r="BA955" s="2">
        <v>19.899999999999999</v>
      </c>
      <c r="BB955" s="2">
        <v>564</v>
      </c>
      <c r="BC955" s="2">
        <v>68</v>
      </c>
      <c r="BD955" s="2">
        <v>1.5</v>
      </c>
      <c r="BE955" s="2">
        <v>135</v>
      </c>
      <c r="BF955" s="2">
        <v>0.8</v>
      </c>
      <c r="BG955" s="2">
        <v>162</v>
      </c>
      <c r="BH955" s="2">
        <v>9.1</v>
      </c>
      <c r="BI955" s="2">
        <v>9.1999999999999993</v>
      </c>
      <c r="BJ955" s="2">
        <v>18.3</v>
      </c>
      <c r="BK955" s="2">
        <v>0.34</v>
      </c>
      <c r="BL955" s="2">
        <v>7.3</v>
      </c>
      <c r="BM955" s="2">
        <v>0.9</v>
      </c>
      <c r="BN955" s="2">
        <v>7.5</v>
      </c>
      <c r="BO955" s="2">
        <v>2.9</v>
      </c>
      <c r="BP955" s="2">
        <f t="shared" si="28"/>
        <v>5.9464425011547686</v>
      </c>
      <c r="BQ955" s="2">
        <f t="shared" si="29"/>
        <v>18.647037032793786</v>
      </c>
    </row>
    <row r="956" spans="1:69" x14ac:dyDescent="0.2">
      <c r="A956" s="2" t="s">
        <v>4516</v>
      </c>
      <c r="B956" s="2" t="s">
        <v>47</v>
      </c>
      <c r="C956" s="2" t="s">
        <v>3273</v>
      </c>
      <c r="D956" s="2" t="s">
        <v>49</v>
      </c>
      <c r="E956" s="2" t="s">
        <v>111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89</v>
      </c>
      <c r="L956" s="6" t="s">
        <v>112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4517</v>
      </c>
      <c r="R956" s="2">
        <v>13394216.130000001</v>
      </c>
      <c r="S956" s="2">
        <v>0</v>
      </c>
      <c r="T956" s="2" t="s">
        <v>54</v>
      </c>
      <c r="U956" s="2" t="s">
        <v>55</v>
      </c>
      <c r="V956" s="2" t="s">
        <v>56</v>
      </c>
      <c r="W956" s="2" t="s">
        <v>57</v>
      </c>
      <c r="X956" s="2" t="s">
        <v>58</v>
      </c>
      <c r="Y956" s="2">
        <v>4.0207343761327099</v>
      </c>
      <c r="Z956" s="2">
        <v>4020.7343761327102</v>
      </c>
      <c r="AA956" s="2">
        <v>4.6584666666666701</v>
      </c>
      <c r="AB956" s="2">
        <v>-74.083966666666697</v>
      </c>
      <c r="AC956" s="2">
        <v>2552</v>
      </c>
      <c r="AD956" s="2">
        <v>0</v>
      </c>
      <c r="AE956" s="2" t="s">
        <v>59</v>
      </c>
      <c r="AF956" s="2" t="s">
        <v>60</v>
      </c>
      <c r="AG956" s="2" t="s">
        <v>61</v>
      </c>
      <c r="AH956" s="2" t="s">
        <v>62</v>
      </c>
      <c r="AI956" s="2" t="s">
        <v>109</v>
      </c>
      <c r="AJ956" s="2">
        <v>0.65551911086643599</v>
      </c>
      <c r="AK956" s="2">
        <v>1.5462802870735199</v>
      </c>
      <c r="AL956" s="2">
        <v>0.87118337232374099</v>
      </c>
      <c r="AM956" s="2">
        <v>1.1027981722916601E-2</v>
      </c>
      <c r="AN956" s="2">
        <v>3.1858752499563798</v>
      </c>
      <c r="AO956" s="2">
        <v>0.65374431737417404</v>
      </c>
      <c r="AP956" s="2">
        <v>0.65374431737417404</v>
      </c>
      <c r="AQ956" s="2">
        <v>0</v>
      </c>
      <c r="AR956" s="2">
        <v>3</v>
      </c>
      <c r="AS956" s="2">
        <v>0</v>
      </c>
      <c r="AT956" s="2">
        <v>0</v>
      </c>
      <c r="AU956" s="2">
        <v>3</v>
      </c>
      <c r="AV956" s="2">
        <v>228</v>
      </c>
      <c r="AW956" s="2">
        <v>0</v>
      </c>
      <c r="AX956" s="2">
        <v>0</v>
      </c>
      <c r="AZ956" s="2">
        <v>6.8</v>
      </c>
      <c r="BA956" s="2">
        <v>19.899999999999999</v>
      </c>
      <c r="BB956" s="2">
        <v>564</v>
      </c>
      <c r="BC956" s="2">
        <v>68</v>
      </c>
      <c r="BD956" s="2">
        <v>1.5</v>
      </c>
      <c r="BE956" s="2">
        <v>135</v>
      </c>
      <c r="BF956" s="2">
        <v>0.8</v>
      </c>
      <c r="BG956" s="2">
        <v>162</v>
      </c>
      <c r="BH956" s="2">
        <v>9.1</v>
      </c>
      <c r="BI956" s="2">
        <v>9.1999999999999993</v>
      </c>
      <c r="BJ956" s="2">
        <v>18.3</v>
      </c>
      <c r="BK956" s="2">
        <v>0.34</v>
      </c>
      <c r="BL956" s="2">
        <v>7.3</v>
      </c>
      <c r="BM956" s="2">
        <v>0.9</v>
      </c>
      <c r="BN956" s="2">
        <v>7.5</v>
      </c>
      <c r="BO956" s="2">
        <v>2.9</v>
      </c>
      <c r="BP956" s="2">
        <f t="shared" si="28"/>
        <v>5.5727924206287485</v>
      </c>
      <c r="BQ956" s="2">
        <f t="shared" si="29"/>
        <v>18.069439876612549</v>
      </c>
    </row>
    <row r="957" spans="1:69" x14ac:dyDescent="0.2">
      <c r="A957" s="2" t="s">
        <v>672</v>
      </c>
      <c r="B957" s="2" t="s">
        <v>47</v>
      </c>
      <c r="C957" s="2" t="s">
        <v>48</v>
      </c>
      <c r="D957" s="2" t="s">
        <v>49</v>
      </c>
      <c r="E957" s="2" t="s">
        <v>673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89</v>
      </c>
      <c r="L957" s="6" t="s">
        <v>141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674</v>
      </c>
      <c r="R957" s="2">
        <v>8307692.3080000002</v>
      </c>
      <c r="S957" s="2">
        <v>0</v>
      </c>
      <c r="T957" s="2" t="s">
        <v>105</v>
      </c>
      <c r="U957" s="2" t="s">
        <v>106</v>
      </c>
      <c r="V957" s="2" t="s">
        <v>56</v>
      </c>
      <c r="W957" s="2" t="s">
        <v>107</v>
      </c>
      <c r="X957" s="2" t="s">
        <v>108</v>
      </c>
      <c r="Y957" s="2">
        <v>2.26218175717838</v>
      </c>
      <c r="Z957" s="2">
        <v>2262.1817571783799</v>
      </c>
      <c r="AA957" s="2">
        <v>4.6254861111111101</v>
      </c>
      <c r="AB957" s="2">
        <v>-74.066980555555503</v>
      </c>
      <c r="AC957" s="2">
        <v>2621</v>
      </c>
      <c r="AD957" s="2">
        <v>15</v>
      </c>
      <c r="AE957" s="2" t="s">
        <v>59</v>
      </c>
      <c r="AF957" s="2" t="s">
        <v>60</v>
      </c>
      <c r="AG957" s="2" t="s">
        <v>61</v>
      </c>
      <c r="AH957" s="2" t="s">
        <v>62</v>
      </c>
      <c r="AI957" s="2" t="s">
        <v>109</v>
      </c>
      <c r="AJ957" s="2">
        <v>0.65555132432043794</v>
      </c>
      <c r="AK957" s="2">
        <v>0.49623244947822598</v>
      </c>
      <c r="AL957" s="2">
        <v>1.47075588192596E-2</v>
      </c>
      <c r="AM957" s="2">
        <v>7.2492953046720696E-2</v>
      </c>
      <c r="AN957" s="2">
        <v>0.38666674902175702</v>
      </c>
      <c r="AO957" s="2">
        <v>0.142068319439489</v>
      </c>
      <c r="AP957" s="2">
        <v>0.142068319439489</v>
      </c>
      <c r="AQ957" s="2">
        <v>0</v>
      </c>
      <c r="AR957" s="2">
        <v>2</v>
      </c>
      <c r="AS957" s="2">
        <v>1</v>
      </c>
      <c r="AT957" s="2">
        <v>28</v>
      </c>
      <c r="AU957" s="2">
        <v>10</v>
      </c>
      <c r="AV957" s="2">
        <v>91</v>
      </c>
      <c r="AW957" s="2">
        <v>1</v>
      </c>
      <c r="AX957" s="2">
        <v>0</v>
      </c>
      <c r="AZ957" s="2">
        <v>6.8</v>
      </c>
      <c r="BA957" s="2">
        <v>19.899999999999999</v>
      </c>
      <c r="BB957" s="2">
        <v>564</v>
      </c>
      <c r="BC957" s="2">
        <v>68</v>
      </c>
      <c r="BD957" s="2">
        <v>1.5</v>
      </c>
      <c r="BE957" s="2">
        <v>135</v>
      </c>
      <c r="BF957" s="2">
        <v>0.8</v>
      </c>
      <c r="BG957" s="2">
        <v>162</v>
      </c>
      <c r="BH957" s="2">
        <v>9.1</v>
      </c>
      <c r="BI957" s="2">
        <v>9.1999999999999993</v>
      </c>
      <c r="BJ957" s="2">
        <v>18.3</v>
      </c>
      <c r="BK957" s="2">
        <v>0.34</v>
      </c>
      <c r="BL957" s="2">
        <v>7.3</v>
      </c>
      <c r="BM957" s="2">
        <v>0.9</v>
      </c>
      <c r="BN957" s="2">
        <v>7.5</v>
      </c>
      <c r="BO957" s="2">
        <v>2.9</v>
      </c>
      <c r="BP957" s="2">
        <f t="shared" si="28"/>
        <v>6.0796347198530931</v>
      </c>
      <c r="BQ957" s="2">
        <f t="shared" si="29"/>
        <v>18.848387558237761</v>
      </c>
    </row>
    <row r="958" spans="1:69" x14ac:dyDescent="0.2">
      <c r="A958" s="2" t="s">
        <v>1591</v>
      </c>
      <c r="B958" s="2" t="s">
        <v>47</v>
      </c>
      <c r="C958" s="2" t="s">
        <v>48</v>
      </c>
      <c r="D958" s="2" t="s">
        <v>49</v>
      </c>
      <c r="E958" s="2" t="s">
        <v>606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89</v>
      </c>
      <c r="L958" s="6" t="s">
        <v>103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1592</v>
      </c>
      <c r="R958" s="2">
        <v>6087092.2429999998</v>
      </c>
      <c r="S958" s="2">
        <v>0</v>
      </c>
      <c r="T958" s="2" t="s">
        <v>398</v>
      </c>
      <c r="U958" s="2" t="s">
        <v>399</v>
      </c>
      <c r="V958" s="2" t="s">
        <v>56</v>
      </c>
      <c r="W958" s="2" t="s">
        <v>57</v>
      </c>
      <c r="X958" s="2" t="s">
        <v>400</v>
      </c>
      <c r="Y958" s="2">
        <v>1.45690532990543</v>
      </c>
      <c r="Z958" s="2">
        <v>1456.9053299054301</v>
      </c>
      <c r="AA958" s="2">
        <v>4.7358055555555598</v>
      </c>
      <c r="AB958" s="2">
        <v>-74.125888888888895</v>
      </c>
      <c r="AC958" s="2">
        <v>2574</v>
      </c>
      <c r="AD958" s="2">
        <v>0</v>
      </c>
      <c r="AE958" s="2" t="s">
        <v>133</v>
      </c>
      <c r="AF958" s="2" t="s">
        <v>86</v>
      </c>
      <c r="AG958" s="2" t="s">
        <v>61</v>
      </c>
      <c r="AH958" s="2" t="s">
        <v>62</v>
      </c>
      <c r="AI958" s="2" t="s">
        <v>391</v>
      </c>
      <c r="AJ958" s="2">
        <v>2.5618101812284602</v>
      </c>
      <c r="AK958" s="2">
        <v>5.9240364652953501E-2</v>
      </c>
      <c r="AL958" s="2">
        <v>4.1450148823837401</v>
      </c>
      <c r="AM958" s="2">
        <v>0.57305260206318498</v>
      </c>
      <c r="AN958" s="2">
        <v>3.4118355134042702</v>
      </c>
      <c r="AO958" s="2">
        <v>4.09733212771307E-2</v>
      </c>
      <c r="AP958" s="2">
        <v>4.09733212771307E-2</v>
      </c>
      <c r="AQ958" s="2">
        <v>0</v>
      </c>
      <c r="AR958" s="2">
        <v>0</v>
      </c>
      <c r="AS958" s="2">
        <v>8</v>
      </c>
      <c r="AT958" s="2">
        <v>13</v>
      </c>
      <c r="AU958" s="2">
        <v>0</v>
      </c>
      <c r="AV958" s="2">
        <v>1</v>
      </c>
      <c r="AW958" s="2">
        <v>0</v>
      </c>
      <c r="AX958" s="2">
        <v>0</v>
      </c>
      <c r="AZ958" s="2">
        <v>6.8</v>
      </c>
      <c r="BA958" s="2">
        <v>19.899999999999999</v>
      </c>
      <c r="BB958" s="2">
        <v>564</v>
      </c>
      <c r="BC958" s="2">
        <v>68</v>
      </c>
      <c r="BD958" s="2">
        <v>1.5</v>
      </c>
      <c r="BE958" s="2">
        <v>135</v>
      </c>
      <c r="BF958" s="2">
        <v>0.8</v>
      </c>
      <c r="BG958" s="2">
        <v>162</v>
      </c>
      <c r="BH958" s="2">
        <v>9.1</v>
      </c>
      <c r="BI958" s="2">
        <v>9.1999999999999993</v>
      </c>
      <c r="BJ958" s="2">
        <v>18.3</v>
      </c>
      <c r="BK958" s="2">
        <v>0.34</v>
      </c>
      <c r="BL958" s="2">
        <v>7.3</v>
      </c>
      <c r="BM958" s="2">
        <v>0.9</v>
      </c>
      <c r="BN958" s="2">
        <v>7.5</v>
      </c>
      <c r="BO958" s="2">
        <v>2.9</v>
      </c>
      <c r="BP958" s="2">
        <f t="shared" si="28"/>
        <v>6.3268709823145741</v>
      </c>
      <c r="BQ958" s="2">
        <f t="shared" si="29"/>
        <v>19.216206351645251</v>
      </c>
    </row>
    <row r="959" spans="1:69" x14ac:dyDescent="0.2">
      <c r="A959" s="2" t="s">
        <v>1768</v>
      </c>
      <c r="B959" s="2" t="s">
        <v>47</v>
      </c>
      <c r="C959" s="2" t="s">
        <v>48</v>
      </c>
      <c r="D959" s="2" t="s">
        <v>49</v>
      </c>
      <c r="E959" s="2" t="s">
        <v>1769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89</v>
      </c>
      <c r="L959" s="6" t="s">
        <v>90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1770</v>
      </c>
      <c r="R959" s="2">
        <v>13906250</v>
      </c>
      <c r="S959" s="2">
        <v>0</v>
      </c>
      <c r="T959" s="2" t="s">
        <v>54</v>
      </c>
      <c r="U959" s="2" t="s">
        <v>55</v>
      </c>
      <c r="V959" s="2" t="s">
        <v>56</v>
      </c>
      <c r="W959" s="2" t="s">
        <v>57</v>
      </c>
      <c r="X959" s="2" t="s">
        <v>58</v>
      </c>
      <c r="Y959" s="2">
        <v>3.3376311694991498</v>
      </c>
      <c r="Z959" s="2">
        <v>3337.63116949915</v>
      </c>
      <c r="AA959" s="2">
        <v>4.6584666666666701</v>
      </c>
      <c r="AB959" s="2">
        <v>-74.083966666666697</v>
      </c>
      <c r="AC959" s="2">
        <v>2552</v>
      </c>
      <c r="AD959" s="2">
        <v>0</v>
      </c>
      <c r="AE959" s="2" t="s">
        <v>59</v>
      </c>
      <c r="AF959" s="2" t="s">
        <v>60</v>
      </c>
      <c r="AG959" s="2" t="s">
        <v>61</v>
      </c>
      <c r="AH959" s="2" t="s">
        <v>62</v>
      </c>
      <c r="AI959" s="2" t="s">
        <v>109</v>
      </c>
      <c r="AJ959" s="2">
        <v>0.24108155478544499</v>
      </c>
      <c r="AK959" s="2">
        <v>1.7724358611106801</v>
      </c>
      <c r="AL959" s="2">
        <v>0.67363969124038303</v>
      </c>
      <c r="AM959" s="2">
        <v>9.3748090325472405E-2</v>
      </c>
      <c r="AN959" s="2">
        <v>2.6231189053829498</v>
      </c>
      <c r="AO959" s="2">
        <v>0.70866592415843499</v>
      </c>
      <c r="AP959" s="2">
        <v>0.70866592415843499</v>
      </c>
      <c r="AQ959" s="2">
        <v>2</v>
      </c>
      <c r="AR959" s="2">
        <v>5</v>
      </c>
      <c r="AS959" s="2">
        <v>0</v>
      </c>
      <c r="AT959" s="2">
        <v>0</v>
      </c>
      <c r="AU959" s="2">
        <v>5</v>
      </c>
      <c r="AV959" s="2">
        <v>310</v>
      </c>
      <c r="AW959" s="2">
        <v>0</v>
      </c>
      <c r="AX959" s="2">
        <v>0</v>
      </c>
      <c r="AZ959" s="2">
        <v>6.8</v>
      </c>
      <c r="BA959" s="2">
        <v>19.899999999999999</v>
      </c>
      <c r="BB959" s="2">
        <v>564</v>
      </c>
      <c r="BC959" s="2">
        <v>68</v>
      </c>
      <c r="BD959" s="2">
        <v>1.5</v>
      </c>
      <c r="BE959" s="2">
        <v>135</v>
      </c>
      <c r="BF959" s="2">
        <v>0.8</v>
      </c>
      <c r="BG959" s="2">
        <v>162</v>
      </c>
      <c r="BH959" s="2">
        <v>9.1</v>
      </c>
      <c r="BI959" s="2">
        <v>9.1999999999999993</v>
      </c>
      <c r="BJ959" s="2">
        <v>18.3</v>
      </c>
      <c r="BK959" s="2">
        <v>0.34</v>
      </c>
      <c r="BL959" s="2">
        <v>7.3</v>
      </c>
      <c r="BM959" s="2">
        <v>0.9</v>
      </c>
      <c r="BN959" s="2">
        <v>7.5</v>
      </c>
      <c r="BO959" s="2">
        <v>2.9</v>
      </c>
      <c r="BP959" s="2">
        <f t="shared" si="28"/>
        <v>5.7644507114355781</v>
      </c>
      <c r="BQ959" s="2">
        <f t="shared" si="29"/>
        <v>18.368120559228561</v>
      </c>
    </row>
    <row r="960" spans="1:69" x14ac:dyDescent="0.2">
      <c r="A960" s="2" t="s">
        <v>1498</v>
      </c>
      <c r="B960" s="2" t="s">
        <v>47</v>
      </c>
      <c r="C960" s="2" t="s">
        <v>48</v>
      </c>
      <c r="D960" s="2" t="s">
        <v>49</v>
      </c>
      <c r="E960" s="2" t="s">
        <v>606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89</v>
      </c>
      <c r="L960" s="6" t="s">
        <v>90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1499</v>
      </c>
      <c r="R960" s="2">
        <v>5859375</v>
      </c>
      <c r="S960" s="2">
        <v>0</v>
      </c>
      <c r="T960" s="2" t="s">
        <v>398</v>
      </c>
      <c r="U960" s="2" t="s">
        <v>399</v>
      </c>
      <c r="V960" s="2" t="s">
        <v>56</v>
      </c>
      <c r="W960" s="2" t="s">
        <v>57</v>
      </c>
      <c r="X960" s="2" t="s">
        <v>400</v>
      </c>
      <c r="Y960" s="2">
        <v>1.6885842094722301</v>
      </c>
      <c r="Z960" s="2">
        <v>1688.58420947223</v>
      </c>
      <c r="AA960" s="2">
        <v>4.7358055555555598</v>
      </c>
      <c r="AB960" s="2">
        <v>-74.125888888888895</v>
      </c>
      <c r="AC960" s="2">
        <v>2574</v>
      </c>
      <c r="AD960" s="2">
        <v>0</v>
      </c>
      <c r="AE960" s="2" t="s">
        <v>133</v>
      </c>
      <c r="AF960" s="2" t="s">
        <v>86</v>
      </c>
      <c r="AG960" s="2" t="s">
        <v>61</v>
      </c>
      <c r="AH960" s="2" t="s">
        <v>62</v>
      </c>
      <c r="AI960" s="2" t="s">
        <v>391</v>
      </c>
      <c r="AJ960" s="2">
        <v>3.3942276207154198</v>
      </c>
      <c r="AK960" s="2">
        <v>1.9637720961395699E-4</v>
      </c>
      <c r="AL960" s="2">
        <v>4.8029493932282996</v>
      </c>
      <c r="AM960" s="2">
        <v>1.1775496887764301</v>
      </c>
      <c r="AN960" s="2">
        <v>3.40498139235538</v>
      </c>
      <c r="AO960" s="2">
        <v>0.20224583027502699</v>
      </c>
      <c r="AP960" s="2">
        <v>0.20224583027502699</v>
      </c>
      <c r="AQ960" s="2">
        <v>0</v>
      </c>
      <c r="AR960" s="2">
        <v>0</v>
      </c>
      <c r="AS960" s="2">
        <v>9</v>
      </c>
      <c r="AT960" s="2">
        <v>18</v>
      </c>
      <c r="AU960" s="2">
        <v>0</v>
      </c>
      <c r="AV960" s="2">
        <v>0</v>
      </c>
      <c r="AW960" s="2">
        <v>0</v>
      </c>
      <c r="AX960" s="2">
        <v>0</v>
      </c>
      <c r="AZ960" s="2">
        <v>6.8</v>
      </c>
      <c r="BA960" s="2">
        <v>19.899999999999999</v>
      </c>
      <c r="BB960" s="2">
        <v>564</v>
      </c>
      <c r="BC960" s="2">
        <v>68</v>
      </c>
      <c r="BD960" s="2">
        <v>1.5</v>
      </c>
      <c r="BE960" s="2">
        <v>135</v>
      </c>
      <c r="BF960" s="2">
        <v>0.8</v>
      </c>
      <c r="BG960" s="2">
        <v>162</v>
      </c>
      <c r="BH960" s="2">
        <v>9.1</v>
      </c>
      <c r="BI960" s="2">
        <v>9.1999999999999993</v>
      </c>
      <c r="BJ960" s="2">
        <v>18.3</v>
      </c>
      <c r="BK960" s="2">
        <v>0.34</v>
      </c>
      <c r="BL960" s="2">
        <v>7.3</v>
      </c>
      <c r="BM960" s="2">
        <v>0.9</v>
      </c>
      <c r="BN960" s="2">
        <v>7.5</v>
      </c>
      <c r="BO960" s="2">
        <v>2.9</v>
      </c>
      <c r="BP960" s="2">
        <f t="shared" si="28"/>
        <v>6.2547282254932748</v>
      </c>
      <c r="BQ960" s="2">
        <f t="shared" si="29"/>
        <v>19.109655114449478</v>
      </c>
    </row>
    <row r="961" spans="1:69" x14ac:dyDescent="0.2">
      <c r="A961" s="2" t="s">
        <v>857</v>
      </c>
      <c r="B961" s="2" t="s">
        <v>47</v>
      </c>
      <c r="C961" s="2" t="s">
        <v>48</v>
      </c>
      <c r="D961" s="2" t="s">
        <v>49</v>
      </c>
      <c r="E961" s="2" t="s">
        <v>858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89</v>
      </c>
      <c r="L961" s="6" t="s">
        <v>90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859</v>
      </c>
      <c r="R961" s="2">
        <v>5555555.5559999999</v>
      </c>
      <c r="S961" s="2">
        <v>0</v>
      </c>
      <c r="T961" s="2" t="s">
        <v>105</v>
      </c>
      <c r="U961" s="2" t="s">
        <v>106</v>
      </c>
      <c r="V961" s="2" t="s">
        <v>56</v>
      </c>
      <c r="W961" s="2" t="s">
        <v>107</v>
      </c>
      <c r="X961" s="2" t="s">
        <v>108</v>
      </c>
      <c r="Y961" s="2">
        <v>2.48451596007197</v>
      </c>
      <c r="Z961" s="2">
        <v>2484.5159600719699</v>
      </c>
      <c r="AA961" s="2">
        <v>4.6254861111111101</v>
      </c>
      <c r="AB961" s="2">
        <v>-74.066980555555503</v>
      </c>
      <c r="AC961" s="2">
        <v>2621</v>
      </c>
      <c r="AD961" s="2">
        <v>15</v>
      </c>
      <c r="AE961" s="2" t="s">
        <v>59</v>
      </c>
      <c r="AF961" s="2" t="s">
        <v>60</v>
      </c>
      <c r="AG961" s="2" t="s">
        <v>61</v>
      </c>
      <c r="AH961" s="2" t="s">
        <v>62</v>
      </c>
      <c r="AI961" s="2" t="s">
        <v>287</v>
      </c>
      <c r="AJ961" s="2">
        <v>0.35762459129743401</v>
      </c>
      <c r="AK961" s="2">
        <v>1.8642664305018499</v>
      </c>
      <c r="AL961" s="2">
        <v>0.32271100014502002</v>
      </c>
      <c r="AM961" s="2">
        <v>0.16582221493598401</v>
      </c>
      <c r="AN961" s="2">
        <v>0.77090900742549595</v>
      </c>
      <c r="AO961" s="2">
        <v>0.38297430926319898</v>
      </c>
      <c r="AP961" s="2">
        <v>0.38297430926319898</v>
      </c>
      <c r="AQ961" s="2">
        <v>1</v>
      </c>
      <c r="AR961" s="2">
        <v>9</v>
      </c>
      <c r="AS961" s="2">
        <v>0</v>
      </c>
      <c r="AT961" s="2">
        <v>0</v>
      </c>
      <c r="AU961" s="2">
        <v>3</v>
      </c>
      <c r="AV961" s="2">
        <v>34</v>
      </c>
      <c r="AW961" s="2">
        <v>1</v>
      </c>
      <c r="AX961" s="2">
        <v>1</v>
      </c>
      <c r="AZ961" s="2">
        <v>6.8</v>
      </c>
      <c r="BA961" s="2">
        <v>19.899999999999999</v>
      </c>
      <c r="BB961" s="2">
        <v>564</v>
      </c>
      <c r="BC961" s="2">
        <v>68</v>
      </c>
      <c r="BD961" s="2">
        <v>1.5</v>
      </c>
      <c r="BE961" s="2">
        <v>135</v>
      </c>
      <c r="BF961" s="2">
        <v>0.8</v>
      </c>
      <c r="BG961" s="2">
        <v>162</v>
      </c>
      <c r="BH961" s="2">
        <v>9.1</v>
      </c>
      <c r="BI961" s="2">
        <v>9.1999999999999993</v>
      </c>
      <c r="BJ961" s="2">
        <v>18.3</v>
      </c>
      <c r="BK961" s="2">
        <v>0.34</v>
      </c>
      <c r="BL961" s="2">
        <v>7.3</v>
      </c>
      <c r="BM961" s="2">
        <v>0.9</v>
      </c>
      <c r="BN961" s="2">
        <v>7.5</v>
      </c>
      <c r="BO961" s="2">
        <v>2.9</v>
      </c>
      <c r="BP961" s="2">
        <f t="shared" si="28"/>
        <v>6.0130918799496804</v>
      </c>
      <c r="BQ961" s="2">
        <f t="shared" si="29"/>
        <v>18.748080028413419</v>
      </c>
    </row>
    <row r="962" spans="1:69" x14ac:dyDescent="0.2">
      <c r="A962" s="2" t="s">
        <v>617</v>
      </c>
      <c r="B962" s="2" t="s">
        <v>47</v>
      </c>
      <c r="C962" s="2" t="s">
        <v>48</v>
      </c>
      <c r="D962" s="2" t="s">
        <v>49</v>
      </c>
      <c r="E962" s="2" t="s">
        <v>618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51</v>
      </c>
      <c r="L962" s="6" t="s">
        <v>52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619</v>
      </c>
      <c r="R962" s="2">
        <v>10525551.439999999</v>
      </c>
      <c r="S962" s="2">
        <v>0</v>
      </c>
      <c r="T962" s="2" t="s">
        <v>54</v>
      </c>
      <c r="U962" s="2" t="s">
        <v>55</v>
      </c>
      <c r="V962" s="2" t="s">
        <v>56</v>
      </c>
      <c r="W962" s="2" t="s">
        <v>57</v>
      </c>
      <c r="X962" s="2" t="s">
        <v>58</v>
      </c>
      <c r="Y962" s="2">
        <v>0.57725282118917798</v>
      </c>
      <c r="Z962" s="2">
        <v>577.25282118917801</v>
      </c>
      <c r="AA962" s="2">
        <v>4.6584666666666701</v>
      </c>
      <c r="AB962" s="2">
        <v>-74.083966666666697</v>
      </c>
      <c r="AC962" s="2">
        <v>2552</v>
      </c>
      <c r="AD962" s="2">
        <v>0</v>
      </c>
      <c r="AE962" s="2" t="s">
        <v>59</v>
      </c>
      <c r="AF962" s="2" t="s">
        <v>60</v>
      </c>
      <c r="AG962" s="2" t="s">
        <v>61</v>
      </c>
      <c r="AH962" s="2" t="s">
        <v>62</v>
      </c>
      <c r="AI962" s="2" t="s">
        <v>321</v>
      </c>
      <c r="AJ962" s="2">
        <v>0.45664851021150199</v>
      </c>
      <c r="AK962" s="2">
        <v>3.2906681362303898</v>
      </c>
      <c r="AL962" s="2">
        <v>1.2641850056572299</v>
      </c>
      <c r="AM962" s="2">
        <v>0.10222706298203101</v>
      </c>
      <c r="AN962" s="2">
        <v>1.4375849002076899</v>
      </c>
      <c r="AO962" s="2">
        <v>0.20029136224211999</v>
      </c>
      <c r="AP962" s="2">
        <v>0.20029136224211999</v>
      </c>
      <c r="AQ962" s="2">
        <v>1</v>
      </c>
      <c r="AR962" s="2">
        <v>2</v>
      </c>
      <c r="AS962" s="2">
        <v>0</v>
      </c>
      <c r="AT962" s="2">
        <v>0</v>
      </c>
      <c r="AU962" s="2">
        <v>0</v>
      </c>
      <c r="AV962" s="2">
        <v>22</v>
      </c>
      <c r="AW962" s="2">
        <v>0</v>
      </c>
      <c r="AX962" s="2">
        <v>0</v>
      </c>
      <c r="AZ962" s="2">
        <v>6.8</v>
      </c>
      <c r="BA962" s="2">
        <v>19.899999999999999</v>
      </c>
      <c r="BB962" s="2">
        <v>564</v>
      </c>
      <c r="BC962" s="2">
        <v>68</v>
      </c>
      <c r="BD962" s="2">
        <v>1.5</v>
      </c>
      <c r="BE962" s="2">
        <v>135</v>
      </c>
      <c r="BF962" s="2">
        <v>0.8</v>
      </c>
      <c r="BG962" s="2">
        <v>162</v>
      </c>
      <c r="BH962" s="2">
        <v>9.1</v>
      </c>
      <c r="BI962" s="2">
        <v>9.1999999999999993</v>
      </c>
      <c r="BJ962" s="2">
        <v>18.3</v>
      </c>
      <c r="BK962" s="2">
        <v>0.34</v>
      </c>
      <c r="BL962" s="2">
        <v>7.3</v>
      </c>
      <c r="BM962" s="2">
        <v>0.9</v>
      </c>
      <c r="BN962" s="2">
        <v>7.5</v>
      </c>
      <c r="BO962" s="2">
        <v>2.9</v>
      </c>
      <c r="BP962" s="2">
        <f t="shared" ref="BP962:BP1025" si="30">+AZ962*EXP(-0.0495*Y962)</f>
        <v>6.6084464602478965</v>
      </c>
      <c r="BQ962" s="2">
        <f t="shared" ref="BQ962:BQ1025" si="31">+BA962*EXP(-0.024*Y962)</f>
        <v>19.626205018930062</v>
      </c>
    </row>
    <row r="963" spans="1:69" x14ac:dyDescent="0.2">
      <c r="A963" s="2" t="s">
        <v>2087</v>
      </c>
      <c r="B963" s="2" t="s">
        <v>47</v>
      </c>
      <c r="C963" s="2" t="s">
        <v>1935</v>
      </c>
      <c r="D963" s="2" t="s">
        <v>49</v>
      </c>
      <c r="E963" s="2" t="s">
        <v>2088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89</v>
      </c>
      <c r="L963" s="6" t="s">
        <v>94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2089</v>
      </c>
      <c r="R963" s="2">
        <v>3508064.5159999998</v>
      </c>
      <c r="S963" s="2">
        <v>0</v>
      </c>
      <c r="T963" s="2" t="s">
        <v>344</v>
      </c>
      <c r="U963" s="2" t="s">
        <v>345</v>
      </c>
      <c r="V963" s="2" t="s">
        <v>56</v>
      </c>
      <c r="W963" s="2" t="s">
        <v>344</v>
      </c>
      <c r="X963" s="2" t="s">
        <v>346</v>
      </c>
      <c r="Y963" s="2">
        <v>3.5030951566597901</v>
      </c>
      <c r="Z963" s="2">
        <v>3503.0951566597901</v>
      </c>
      <c r="AA963" s="2">
        <v>4.6056111111111102</v>
      </c>
      <c r="AB963" s="2">
        <v>-74.204055555555598</v>
      </c>
      <c r="AC963" s="2">
        <v>2546</v>
      </c>
      <c r="AD963" s="2">
        <v>0</v>
      </c>
      <c r="AE963" s="2" t="s">
        <v>59</v>
      </c>
      <c r="AF963" s="2" t="s">
        <v>86</v>
      </c>
      <c r="AG963" s="2" t="s">
        <v>61</v>
      </c>
      <c r="AH963" s="2" t="s">
        <v>62</v>
      </c>
      <c r="AI963" s="2" t="s">
        <v>347</v>
      </c>
      <c r="AJ963" s="2">
        <v>3.52798299806516</v>
      </c>
      <c r="AK963" s="2">
        <v>0.40399609428759398</v>
      </c>
      <c r="AL963" s="2">
        <v>8.7301386221269794</v>
      </c>
      <c r="AM963" s="2">
        <v>1.3687663392293099</v>
      </c>
      <c r="AN963" s="2">
        <v>4.5019063682798599</v>
      </c>
      <c r="AO963" s="2">
        <v>0.21039229314439101</v>
      </c>
      <c r="AP963" s="2">
        <v>0.21039229314439101</v>
      </c>
      <c r="AQ963" s="2">
        <v>0</v>
      </c>
      <c r="AR963" s="2">
        <v>0</v>
      </c>
      <c r="AS963" s="2">
        <v>4</v>
      </c>
      <c r="AT963" s="2">
        <v>8</v>
      </c>
      <c r="AU963" s="2">
        <v>0</v>
      </c>
      <c r="AV963" s="2">
        <v>0</v>
      </c>
      <c r="AW963" s="2">
        <v>0</v>
      </c>
      <c r="AX963" s="2">
        <v>0</v>
      </c>
      <c r="AZ963" s="2">
        <v>6.8</v>
      </c>
      <c r="BA963" s="2">
        <v>19.899999999999999</v>
      </c>
      <c r="BB963" s="2">
        <v>564</v>
      </c>
      <c r="BC963" s="2">
        <v>68</v>
      </c>
      <c r="BD963" s="2">
        <v>1.5</v>
      </c>
      <c r="BE963" s="2">
        <v>135</v>
      </c>
      <c r="BF963" s="2">
        <v>0.8</v>
      </c>
      <c r="BG963" s="2">
        <v>162</v>
      </c>
      <c r="BH963" s="2">
        <v>9.1</v>
      </c>
      <c r="BI963" s="2">
        <v>9.1999999999999993</v>
      </c>
      <c r="BJ963" s="2">
        <v>18.3</v>
      </c>
      <c r="BK963" s="2">
        <v>0.34</v>
      </c>
      <c r="BL963" s="2">
        <v>7.3</v>
      </c>
      <c r="BM963" s="2">
        <v>0.9</v>
      </c>
      <c r="BN963" s="2">
        <v>7.5</v>
      </c>
      <c r="BO963" s="2">
        <v>2.9</v>
      </c>
      <c r="BP963" s="2">
        <f t="shared" si="30"/>
        <v>5.7174299897131915</v>
      </c>
      <c r="BQ963" s="2">
        <f t="shared" si="31"/>
        <v>18.295322900441789</v>
      </c>
    </row>
    <row r="964" spans="1:69" x14ac:dyDescent="0.2">
      <c r="A964" s="2" t="s">
        <v>1924</v>
      </c>
      <c r="B964" s="2" t="s">
        <v>47</v>
      </c>
      <c r="C964" s="2" t="s">
        <v>48</v>
      </c>
      <c r="D964" s="2" t="s">
        <v>49</v>
      </c>
      <c r="E964" s="2" t="s">
        <v>1925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89</v>
      </c>
      <c r="L964" s="6" t="s">
        <v>112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1926</v>
      </c>
      <c r="R964" s="2">
        <v>7364975.4500000002</v>
      </c>
      <c r="S964" s="2">
        <v>0</v>
      </c>
      <c r="T964" s="2" t="s">
        <v>1822</v>
      </c>
      <c r="U964" s="2" t="s">
        <v>1823</v>
      </c>
      <c r="V964" s="2" t="s">
        <v>56</v>
      </c>
      <c r="W964" s="2" t="s">
        <v>1824</v>
      </c>
      <c r="X964" s="2" t="s">
        <v>1825</v>
      </c>
      <c r="Y964" s="2">
        <v>2.7890707843126599</v>
      </c>
      <c r="Z964" s="2">
        <v>2789.0707843126602</v>
      </c>
      <c r="AA964" s="2">
        <v>4.576225</v>
      </c>
      <c r="AB964" s="2">
        <v>-74.130955555555502</v>
      </c>
      <c r="AC964" s="2">
        <v>2589</v>
      </c>
      <c r="AD964" s="2">
        <v>0</v>
      </c>
      <c r="AE964" s="2" t="s">
        <v>59</v>
      </c>
      <c r="AF964" s="2" t="s">
        <v>86</v>
      </c>
      <c r="AG964" s="2" t="s">
        <v>61</v>
      </c>
      <c r="AH964" s="2" t="s">
        <v>62</v>
      </c>
      <c r="AI964" s="2" t="s">
        <v>1826</v>
      </c>
      <c r="AJ964" s="2">
        <v>0.45973561100576399</v>
      </c>
      <c r="AK964" s="2">
        <v>3.6811992342224</v>
      </c>
      <c r="AL964" s="2">
        <v>1.1017488822404999</v>
      </c>
      <c r="AM964" s="2">
        <v>2.7552197718070499E-2</v>
      </c>
      <c r="AN964" s="2">
        <v>0.493202491920821</v>
      </c>
      <c r="AO964" s="2">
        <v>0.212413813968967</v>
      </c>
      <c r="AP964" s="2">
        <v>0.212413813968967</v>
      </c>
      <c r="AQ964" s="2">
        <v>1</v>
      </c>
      <c r="AR964" s="2">
        <v>3</v>
      </c>
      <c r="AS964" s="2">
        <v>0</v>
      </c>
      <c r="AT964" s="2">
        <v>0</v>
      </c>
      <c r="AU964" s="2">
        <v>0</v>
      </c>
      <c r="AV964" s="2">
        <v>84</v>
      </c>
      <c r="AW964" s="2">
        <v>2</v>
      </c>
      <c r="AX964" s="2">
        <v>0</v>
      </c>
      <c r="AZ964" s="2">
        <v>6.8</v>
      </c>
      <c r="BA964" s="2">
        <v>19.899999999999999</v>
      </c>
      <c r="BB964" s="2">
        <v>564</v>
      </c>
      <c r="BC964" s="2">
        <v>68</v>
      </c>
      <c r="BD964" s="2">
        <v>1.5</v>
      </c>
      <c r="BE964" s="2">
        <v>135</v>
      </c>
      <c r="BF964" s="2">
        <v>0.8</v>
      </c>
      <c r="BG964" s="2">
        <v>162</v>
      </c>
      <c r="BH964" s="2">
        <v>9.1</v>
      </c>
      <c r="BI964" s="2">
        <v>9.1999999999999993</v>
      </c>
      <c r="BJ964" s="2">
        <v>18.3</v>
      </c>
      <c r="BK964" s="2">
        <v>0.34</v>
      </c>
      <c r="BL964" s="2">
        <v>7.3</v>
      </c>
      <c r="BM964" s="2">
        <v>0.9</v>
      </c>
      <c r="BN964" s="2">
        <v>7.5</v>
      </c>
      <c r="BO964" s="2">
        <v>2.9</v>
      </c>
      <c r="BP964" s="2">
        <f t="shared" si="30"/>
        <v>5.9231216067389809</v>
      </c>
      <c r="BQ964" s="2">
        <f t="shared" si="31"/>
        <v>18.611543991569924</v>
      </c>
    </row>
    <row r="965" spans="1:69" x14ac:dyDescent="0.2">
      <c r="A965" s="2" t="s">
        <v>1547</v>
      </c>
      <c r="B965" s="2" t="s">
        <v>47</v>
      </c>
      <c r="C965" s="2" t="s">
        <v>48</v>
      </c>
      <c r="D965" s="2" t="s">
        <v>49</v>
      </c>
      <c r="E965" s="2" t="s">
        <v>1548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89</v>
      </c>
      <c r="L965" s="6" t="s">
        <v>141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1549</v>
      </c>
      <c r="R965" s="2">
        <v>4131147.5410000002</v>
      </c>
      <c r="S965" s="2">
        <v>0</v>
      </c>
      <c r="T965" s="2" t="s">
        <v>398</v>
      </c>
      <c r="U965" s="2" t="s">
        <v>399</v>
      </c>
      <c r="V965" s="2" t="s">
        <v>56</v>
      </c>
      <c r="W965" s="2" t="s">
        <v>57</v>
      </c>
      <c r="X965" s="2" t="s">
        <v>400</v>
      </c>
      <c r="Y965" s="2">
        <v>4.6548223569720104</v>
      </c>
      <c r="Z965" s="2">
        <v>4654.8223569720103</v>
      </c>
      <c r="AA965" s="2">
        <v>4.7358055555555598</v>
      </c>
      <c r="AB965" s="2">
        <v>-74.125888888888895</v>
      </c>
      <c r="AC965" s="2">
        <v>2574</v>
      </c>
      <c r="AD965" s="2">
        <v>0</v>
      </c>
      <c r="AE965" s="2" t="s">
        <v>133</v>
      </c>
      <c r="AF965" s="2" t="s">
        <v>86</v>
      </c>
      <c r="AG965" s="2" t="s">
        <v>61</v>
      </c>
      <c r="AH965" s="2" t="s">
        <v>62</v>
      </c>
      <c r="AI965" s="2" t="s">
        <v>391</v>
      </c>
      <c r="AJ965" s="2">
        <v>0.42283370627616101</v>
      </c>
      <c r="AK965" s="2">
        <v>3.6984265297315</v>
      </c>
      <c r="AL965" s="2">
        <v>1.00567422158655</v>
      </c>
      <c r="AM965" s="2">
        <v>0.16941719561217</v>
      </c>
      <c r="AN965" s="2">
        <v>1.1556739178050801</v>
      </c>
      <c r="AO965" s="2">
        <v>9.9334717059814295E-2</v>
      </c>
      <c r="AP965" s="2">
        <v>9.9334717059814295E-2</v>
      </c>
      <c r="AQ965" s="2">
        <v>2</v>
      </c>
      <c r="AR965" s="2">
        <v>4</v>
      </c>
      <c r="AS965" s="2">
        <v>0</v>
      </c>
      <c r="AT965" s="2">
        <v>0</v>
      </c>
      <c r="AU965" s="2">
        <v>0</v>
      </c>
      <c r="AV965" s="2">
        <v>31</v>
      </c>
      <c r="AW965" s="2">
        <v>0</v>
      </c>
      <c r="AX965" s="2">
        <v>0</v>
      </c>
      <c r="AZ965" s="2">
        <v>6.8</v>
      </c>
      <c r="BA965" s="2">
        <v>19.899999999999999</v>
      </c>
      <c r="BB965" s="2">
        <v>564</v>
      </c>
      <c r="BC965" s="2">
        <v>68</v>
      </c>
      <c r="BD965" s="2">
        <v>1.5</v>
      </c>
      <c r="BE965" s="2">
        <v>135</v>
      </c>
      <c r="BF965" s="2">
        <v>0.8</v>
      </c>
      <c r="BG965" s="2">
        <v>162</v>
      </c>
      <c r="BH965" s="2">
        <v>9.1</v>
      </c>
      <c r="BI965" s="2">
        <v>9.1999999999999993</v>
      </c>
      <c r="BJ965" s="2">
        <v>18.3</v>
      </c>
      <c r="BK965" s="2">
        <v>0.34</v>
      </c>
      <c r="BL965" s="2">
        <v>7.3</v>
      </c>
      <c r="BM965" s="2">
        <v>0.9</v>
      </c>
      <c r="BN965" s="2">
        <v>7.5</v>
      </c>
      <c r="BO965" s="2">
        <v>2.9</v>
      </c>
      <c r="BP965" s="2">
        <f t="shared" si="30"/>
        <v>5.4005937731279321</v>
      </c>
      <c r="BQ965" s="2">
        <f t="shared" si="31"/>
        <v>17.796538910534736</v>
      </c>
    </row>
    <row r="966" spans="1:69" x14ac:dyDescent="0.2">
      <c r="A966" s="2" t="s">
        <v>761</v>
      </c>
      <c r="B966" s="2" t="s">
        <v>47</v>
      </c>
      <c r="C966" s="2" t="s">
        <v>48</v>
      </c>
      <c r="D966" s="2" t="s">
        <v>49</v>
      </c>
      <c r="E966" s="2" t="s">
        <v>606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89</v>
      </c>
      <c r="L966" s="6" t="s">
        <v>103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762</v>
      </c>
      <c r="R966" s="2">
        <v>6083333.3329999996</v>
      </c>
      <c r="S966" s="2">
        <v>0</v>
      </c>
      <c r="T966" s="2" t="s">
        <v>398</v>
      </c>
      <c r="U966" s="2" t="s">
        <v>399</v>
      </c>
      <c r="V966" s="2" t="s">
        <v>56</v>
      </c>
      <c r="W966" s="2" t="s">
        <v>57</v>
      </c>
      <c r="X966" s="2" t="s">
        <v>400</v>
      </c>
      <c r="Y966" s="2">
        <v>1.6960606252019801</v>
      </c>
      <c r="Z966" s="2">
        <v>1696.06062520198</v>
      </c>
      <c r="AA966" s="2">
        <v>4.7358055555555598</v>
      </c>
      <c r="AB966" s="2">
        <v>-74.125888888888895</v>
      </c>
      <c r="AC966" s="2">
        <v>2574</v>
      </c>
      <c r="AD966" s="2">
        <v>0</v>
      </c>
      <c r="AE966" s="2" t="s">
        <v>133</v>
      </c>
      <c r="AF966" s="2" t="s">
        <v>86</v>
      </c>
      <c r="AG966" s="2" t="s">
        <v>61</v>
      </c>
      <c r="AH966" s="2" t="s">
        <v>62</v>
      </c>
      <c r="AI966" s="2" t="s">
        <v>391</v>
      </c>
      <c r="AJ966" s="2">
        <v>3.1681919057910002</v>
      </c>
      <c r="AK966" s="2">
        <v>0.14952021408591001</v>
      </c>
      <c r="AL966" s="2">
        <v>4.6187367411590401</v>
      </c>
      <c r="AM966" s="2">
        <v>1.10034249273394</v>
      </c>
      <c r="AN966" s="2">
        <v>3.2767237650152001</v>
      </c>
      <c r="AO966" s="2">
        <v>2.8256375527836502E-4</v>
      </c>
      <c r="AP966" s="2">
        <v>2.8256375527836502E-4</v>
      </c>
      <c r="AQ966" s="2">
        <v>0</v>
      </c>
      <c r="AR966" s="2">
        <v>0</v>
      </c>
      <c r="AS966" s="2">
        <v>8</v>
      </c>
      <c r="AT966" s="2">
        <v>21</v>
      </c>
      <c r="AU966" s="2">
        <v>0</v>
      </c>
      <c r="AV966" s="2">
        <v>0</v>
      </c>
      <c r="AW966" s="2">
        <v>0</v>
      </c>
      <c r="AX966" s="2">
        <v>0</v>
      </c>
      <c r="AZ966" s="2">
        <v>6.8</v>
      </c>
      <c r="BA966" s="2">
        <v>19.899999999999999</v>
      </c>
      <c r="BB966" s="2">
        <v>564</v>
      </c>
      <c r="BC966" s="2">
        <v>68</v>
      </c>
      <c r="BD966" s="2">
        <v>1.5</v>
      </c>
      <c r="BE966" s="2">
        <v>135</v>
      </c>
      <c r="BF966" s="2">
        <v>0.8</v>
      </c>
      <c r="BG966" s="2">
        <v>162</v>
      </c>
      <c r="BH966" s="2">
        <v>9.1</v>
      </c>
      <c r="BI966" s="2">
        <v>9.1999999999999993</v>
      </c>
      <c r="BJ966" s="2">
        <v>18.3</v>
      </c>
      <c r="BK966" s="2">
        <v>0.34</v>
      </c>
      <c r="BL966" s="2">
        <v>7.3</v>
      </c>
      <c r="BM966" s="2">
        <v>0.9</v>
      </c>
      <c r="BN966" s="2">
        <v>7.5</v>
      </c>
      <c r="BO966" s="2">
        <v>2.9</v>
      </c>
      <c r="BP966" s="2">
        <f t="shared" si="30"/>
        <v>6.2524138878174425</v>
      </c>
      <c r="BQ966" s="2">
        <f t="shared" si="31"/>
        <v>19.106226500637479</v>
      </c>
    </row>
    <row r="967" spans="1:69" x14ac:dyDescent="0.2">
      <c r="A967" s="2" t="s">
        <v>3754</v>
      </c>
      <c r="B967" s="2" t="s">
        <v>47</v>
      </c>
      <c r="C967" s="2" t="s">
        <v>3273</v>
      </c>
      <c r="D967" s="2" t="s">
        <v>49</v>
      </c>
      <c r="E967" s="2" t="s">
        <v>3755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89</v>
      </c>
      <c r="L967" s="6" t="s">
        <v>90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3756</v>
      </c>
      <c r="R967" s="2">
        <v>7666666.6670000004</v>
      </c>
      <c r="S967" s="2">
        <v>0</v>
      </c>
      <c r="T967" s="2" t="s">
        <v>105</v>
      </c>
      <c r="U967" s="2" t="s">
        <v>106</v>
      </c>
      <c r="V967" s="2" t="s">
        <v>56</v>
      </c>
      <c r="W967" s="2" t="s">
        <v>107</v>
      </c>
      <c r="X967" s="2" t="s">
        <v>108</v>
      </c>
      <c r="Y967" s="2">
        <v>1.0378969218954901</v>
      </c>
      <c r="Z967" s="2">
        <v>1037.8969218954901</v>
      </c>
      <c r="AA967" s="2">
        <v>4.6254861111111101</v>
      </c>
      <c r="AB967" s="2">
        <v>-74.066980555555503</v>
      </c>
      <c r="AC967" s="2">
        <v>2621</v>
      </c>
      <c r="AD967" s="2">
        <v>15</v>
      </c>
      <c r="AE967" s="2" t="s">
        <v>59</v>
      </c>
      <c r="AF967" s="2" t="s">
        <v>60</v>
      </c>
      <c r="AG967" s="2" t="s">
        <v>61</v>
      </c>
      <c r="AH967" s="2" t="s">
        <v>62</v>
      </c>
      <c r="AI967" s="2" t="s">
        <v>63</v>
      </c>
      <c r="AJ967" s="2">
        <v>0.104056147026878</v>
      </c>
      <c r="AK967" s="2">
        <v>0.94633565444950896</v>
      </c>
      <c r="AL967" s="2">
        <v>0.37694739972798702</v>
      </c>
      <c r="AM967" s="2">
        <v>9.9083696830319701E-2</v>
      </c>
      <c r="AN967" s="2">
        <v>0.66354688038671905</v>
      </c>
      <c r="AO967" s="2">
        <v>0.32359837421005899</v>
      </c>
      <c r="AP967" s="2">
        <v>0.32359837421005899</v>
      </c>
      <c r="AQ967" s="2">
        <v>2</v>
      </c>
      <c r="AR967" s="2">
        <v>7</v>
      </c>
      <c r="AS967" s="2">
        <v>0</v>
      </c>
      <c r="AT967" s="2">
        <v>1</v>
      </c>
      <c r="AU967" s="2">
        <v>13</v>
      </c>
      <c r="AV967" s="2">
        <v>71</v>
      </c>
      <c r="AW967" s="2">
        <v>1</v>
      </c>
      <c r="AX967" s="2">
        <v>3</v>
      </c>
      <c r="AZ967" s="2">
        <v>6.8</v>
      </c>
      <c r="BA967" s="2">
        <v>19.899999999999999</v>
      </c>
      <c r="BB967" s="2">
        <v>564</v>
      </c>
      <c r="BC967" s="2">
        <v>68</v>
      </c>
      <c r="BD967" s="2">
        <v>1.5</v>
      </c>
      <c r="BE967" s="2">
        <v>135</v>
      </c>
      <c r="BF967" s="2">
        <v>0.8</v>
      </c>
      <c r="BG967" s="2">
        <v>162</v>
      </c>
      <c r="BH967" s="2">
        <v>9.1</v>
      </c>
      <c r="BI967" s="2">
        <v>9.1999999999999993</v>
      </c>
      <c r="BJ967" s="2">
        <v>18.3</v>
      </c>
      <c r="BK967" s="2">
        <v>0.34</v>
      </c>
      <c r="BL967" s="2">
        <v>7.3</v>
      </c>
      <c r="BM967" s="2">
        <v>0.9</v>
      </c>
      <c r="BN967" s="2">
        <v>7.5</v>
      </c>
      <c r="BO967" s="2">
        <v>2.9</v>
      </c>
      <c r="BP967" s="2">
        <f t="shared" si="30"/>
        <v>6.4594664050676958</v>
      </c>
      <c r="BQ967" s="2">
        <f t="shared" si="31"/>
        <v>19.41042330612634</v>
      </c>
    </row>
    <row r="968" spans="1:69" x14ac:dyDescent="0.2">
      <c r="A968" s="2" t="s">
        <v>2777</v>
      </c>
      <c r="B968" s="2" t="s">
        <v>47</v>
      </c>
      <c r="C968" s="2" t="s">
        <v>1935</v>
      </c>
      <c r="D968" s="2" t="s">
        <v>49</v>
      </c>
      <c r="E968" s="2" t="s">
        <v>2778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89</v>
      </c>
      <c r="L968" s="6" t="s">
        <v>94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2779</v>
      </c>
      <c r="R968" s="2">
        <v>3416666.6669999999</v>
      </c>
      <c r="S968" s="2">
        <v>0</v>
      </c>
      <c r="T968" s="2" t="s">
        <v>344</v>
      </c>
      <c r="U968" s="2" t="s">
        <v>345</v>
      </c>
      <c r="V968" s="2" t="s">
        <v>56</v>
      </c>
      <c r="W968" s="2" t="s">
        <v>344</v>
      </c>
      <c r="X968" s="2" t="s">
        <v>346</v>
      </c>
      <c r="Y968" s="2">
        <v>3.3388876455728398</v>
      </c>
      <c r="Z968" s="2">
        <v>3338.88764557284</v>
      </c>
      <c r="AA968" s="2">
        <v>4.6056111111111102</v>
      </c>
      <c r="AB968" s="2">
        <v>-74.204055555555598</v>
      </c>
      <c r="AC968" s="2">
        <v>2546</v>
      </c>
      <c r="AD968" s="2">
        <v>0</v>
      </c>
      <c r="AE968" s="2" t="s">
        <v>59</v>
      </c>
      <c r="AF968" s="2" t="s">
        <v>86</v>
      </c>
      <c r="AG968" s="2" t="s">
        <v>61</v>
      </c>
      <c r="AH968" s="2" t="s">
        <v>62</v>
      </c>
      <c r="AI968" s="2" t="s">
        <v>347</v>
      </c>
      <c r="AJ968" s="2">
        <v>3.2355045854545801</v>
      </c>
      <c r="AK968" s="2">
        <v>0.68622690248794005</v>
      </c>
      <c r="AL968" s="2">
        <v>8.4172963333119704</v>
      </c>
      <c r="AM968" s="2">
        <v>1.05592169966198</v>
      </c>
      <c r="AN968" s="2">
        <v>4.2373788956518199</v>
      </c>
      <c r="AO968" s="2">
        <v>6.1786375415830701E-2</v>
      </c>
      <c r="AP968" s="2">
        <v>6.1786375415830701E-2</v>
      </c>
      <c r="AQ968" s="2">
        <v>0</v>
      </c>
      <c r="AR968" s="2">
        <v>0</v>
      </c>
      <c r="AS968" s="2">
        <v>0</v>
      </c>
      <c r="AT968" s="2">
        <v>7</v>
      </c>
      <c r="AU968" s="2">
        <v>0</v>
      </c>
      <c r="AV968" s="2">
        <v>0</v>
      </c>
      <c r="AW968" s="2">
        <v>0</v>
      </c>
      <c r="AX968" s="2">
        <v>0</v>
      </c>
      <c r="AZ968" s="2">
        <v>6.8</v>
      </c>
      <c r="BA968" s="2">
        <v>19.899999999999999</v>
      </c>
      <c r="BB968" s="2">
        <v>564</v>
      </c>
      <c r="BC968" s="2">
        <v>68</v>
      </c>
      <c r="BD968" s="2">
        <v>1.5</v>
      </c>
      <c r="BE968" s="2">
        <v>135</v>
      </c>
      <c r="BF968" s="2">
        <v>0.8</v>
      </c>
      <c r="BG968" s="2">
        <v>162</v>
      </c>
      <c r="BH968" s="2">
        <v>9.1</v>
      </c>
      <c r="BI968" s="2">
        <v>9.1999999999999993</v>
      </c>
      <c r="BJ968" s="2">
        <v>18.3</v>
      </c>
      <c r="BK968" s="2">
        <v>0.34</v>
      </c>
      <c r="BL968" s="2">
        <v>7.3</v>
      </c>
      <c r="BM968" s="2">
        <v>0.9</v>
      </c>
      <c r="BN968" s="2">
        <v>7.5</v>
      </c>
      <c r="BO968" s="2">
        <v>2.9</v>
      </c>
      <c r="BP968" s="2">
        <f t="shared" si="30"/>
        <v>5.7640921993119809</v>
      </c>
      <c r="BQ968" s="2">
        <f t="shared" si="31"/>
        <v>18.367566669083967</v>
      </c>
    </row>
    <row r="969" spans="1:69" x14ac:dyDescent="0.2">
      <c r="A969" s="2" t="s">
        <v>605</v>
      </c>
      <c r="B969" s="2" t="s">
        <v>47</v>
      </c>
      <c r="C969" s="2" t="s">
        <v>48</v>
      </c>
      <c r="D969" s="2" t="s">
        <v>49</v>
      </c>
      <c r="E969" s="2" t="s">
        <v>606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89</v>
      </c>
      <c r="L969" s="6" t="s">
        <v>103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607</v>
      </c>
      <c r="R969" s="2">
        <v>5593220.3389999997</v>
      </c>
      <c r="S969" s="2">
        <v>0</v>
      </c>
      <c r="T969" s="2" t="s">
        <v>398</v>
      </c>
      <c r="U969" s="2" t="s">
        <v>399</v>
      </c>
      <c r="V969" s="2" t="s">
        <v>56</v>
      </c>
      <c r="W969" s="2" t="s">
        <v>57</v>
      </c>
      <c r="X969" s="2" t="s">
        <v>400</v>
      </c>
      <c r="Y969" s="2">
        <v>1.6596563612541799</v>
      </c>
      <c r="Z969" s="2">
        <v>1659.65636125418</v>
      </c>
      <c r="AA969" s="2">
        <v>4.7358055555555598</v>
      </c>
      <c r="AB969" s="2">
        <v>-74.125888888888895</v>
      </c>
      <c r="AC969" s="2">
        <v>2574</v>
      </c>
      <c r="AD969" s="2">
        <v>0</v>
      </c>
      <c r="AE969" s="2" t="s">
        <v>133</v>
      </c>
      <c r="AF969" s="2" t="s">
        <v>86</v>
      </c>
      <c r="AG969" s="2" t="s">
        <v>61</v>
      </c>
      <c r="AH969" s="2" t="s">
        <v>62</v>
      </c>
      <c r="AI969" s="2" t="s">
        <v>391</v>
      </c>
      <c r="AJ969" s="2">
        <v>2.8542121460523</v>
      </c>
      <c r="AK969" s="2">
        <v>0.29908433970822101</v>
      </c>
      <c r="AL969" s="2">
        <v>4.3294515798930897</v>
      </c>
      <c r="AM969" s="2">
        <v>0.96282916442942101</v>
      </c>
      <c r="AN969" s="2">
        <v>3.2153317343880299</v>
      </c>
      <c r="AO969" s="2">
        <v>0.20011673100122301</v>
      </c>
      <c r="AP969" s="2">
        <v>0.20011673100122301</v>
      </c>
      <c r="AQ969" s="2">
        <v>0</v>
      </c>
      <c r="AR969" s="2">
        <v>0</v>
      </c>
      <c r="AS969" s="2">
        <v>4</v>
      </c>
      <c r="AT969" s="2">
        <v>18</v>
      </c>
      <c r="AU969" s="2">
        <v>0</v>
      </c>
      <c r="AV969" s="2">
        <v>1</v>
      </c>
      <c r="AW969" s="2">
        <v>0</v>
      </c>
      <c r="AX969" s="2">
        <v>0</v>
      </c>
      <c r="AZ969" s="2">
        <v>6.8</v>
      </c>
      <c r="BA969" s="2">
        <v>19.899999999999999</v>
      </c>
      <c r="BB969" s="2">
        <v>564</v>
      </c>
      <c r="BC969" s="2">
        <v>68</v>
      </c>
      <c r="BD969" s="2">
        <v>1.5</v>
      </c>
      <c r="BE969" s="2">
        <v>135</v>
      </c>
      <c r="BF969" s="2">
        <v>0.8</v>
      </c>
      <c r="BG969" s="2">
        <v>162</v>
      </c>
      <c r="BH969" s="2">
        <v>9.1</v>
      </c>
      <c r="BI969" s="2">
        <v>9.1999999999999993</v>
      </c>
      <c r="BJ969" s="2">
        <v>18.3</v>
      </c>
      <c r="BK969" s="2">
        <v>0.34</v>
      </c>
      <c r="BL969" s="2">
        <v>7.3</v>
      </c>
      <c r="BM969" s="2">
        <v>0.9</v>
      </c>
      <c r="BN969" s="2">
        <v>7.5</v>
      </c>
      <c r="BO969" s="2">
        <v>2.9</v>
      </c>
      <c r="BP969" s="2">
        <f t="shared" si="30"/>
        <v>6.2636909644857033</v>
      </c>
      <c r="BQ969" s="2">
        <f t="shared" si="31"/>
        <v>19.122926949887681</v>
      </c>
    </row>
    <row r="970" spans="1:69" x14ac:dyDescent="0.2">
      <c r="A970" s="2" t="s">
        <v>3824</v>
      </c>
      <c r="B970" s="2" t="s">
        <v>47</v>
      </c>
      <c r="C970" s="2" t="s">
        <v>3273</v>
      </c>
      <c r="D970" s="2" t="s">
        <v>49</v>
      </c>
      <c r="E970" s="2" t="s">
        <v>166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89</v>
      </c>
      <c r="L970" s="6" t="s">
        <v>90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3825</v>
      </c>
      <c r="R970" s="2">
        <v>11222120.689999999</v>
      </c>
      <c r="S970" s="2">
        <v>0</v>
      </c>
      <c r="T970" s="2" t="s">
        <v>54</v>
      </c>
      <c r="U970" s="2" t="s">
        <v>55</v>
      </c>
      <c r="V970" s="2" t="s">
        <v>56</v>
      </c>
      <c r="W970" s="2" t="s">
        <v>57</v>
      </c>
      <c r="X970" s="2" t="s">
        <v>58</v>
      </c>
      <c r="Y970" s="2">
        <v>4.4865727495571299</v>
      </c>
      <c r="Z970" s="2">
        <v>4486.57274955713</v>
      </c>
      <c r="AA970" s="2">
        <v>4.6584666666666701</v>
      </c>
      <c r="AB970" s="2">
        <v>-74.083966666666697</v>
      </c>
      <c r="AC970" s="2">
        <v>2552</v>
      </c>
      <c r="AD970" s="2">
        <v>0</v>
      </c>
      <c r="AE970" s="2" t="s">
        <v>59</v>
      </c>
      <c r="AF970" s="2" t="s">
        <v>60</v>
      </c>
      <c r="AG970" s="2" t="s">
        <v>61</v>
      </c>
      <c r="AH970" s="2" t="s">
        <v>62</v>
      </c>
      <c r="AI970" s="2" t="s">
        <v>109</v>
      </c>
      <c r="AJ970" s="2">
        <v>1.74269009190596</v>
      </c>
      <c r="AK970" s="2">
        <v>0.17407173329928999</v>
      </c>
      <c r="AL970" s="2">
        <v>1.05396755986117</v>
      </c>
      <c r="AM970" s="2">
        <v>0.34922092699666601</v>
      </c>
      <c r="AN970" s="2">
        <v>3.2614310214372502</v>
      </c>
      <c r="AO970" s="2">
        <v>0.51969246573692296</v>
      </c>
      <c r="AP970" s="2">
        <v>0.51969246573692296</v>
      </c>
      <c r="AQ970" s="2">
        <v>0</v>
      </c>
      <c r="AR970" s="2">
        <v>0</v>
      </c>
      <c r="AS970" s="2">
        <v>17</v>
      </c>
      <c r="AT970" s="2">
        <v>36</v>
      </c>
      <c r="AU970" s="2">
        <v>0</v>
      </c>
      <c r="AV970" s="2">
        <v>19</v>
      </c>
      <c r="AW970" s="2">
        <v>0</v>
      </c>
      <c r="AX970" s="2">
        <v>0</v>
      </c>
      <c r="AZ970" s="2">
        <v>6.8</v>
      </c>
      <c r="BA970" s="2">
        <v>19.899999999999999</v>
      </c>
      <c r="BB970" s="2">
        <v>564</v>
      </c>
      <c r="BC970" s="2">
        <v>68</v>
      </c>
      <c r="BD970" s="2">
        <v>1.5</v>
      </c>
      <c r="BE970" s="2">
        <v>135</v>
      </c>
      <c r="BF970" s="2">
        <v>0.8</v>
      </c>
      <c r="BG970" s="2">
        <v>162</v>
      </c>
      <c r="BH970" s="2">
        <v>9.1</v>
      </c>
      <c r="BI970" s="2">
        <v>9.1999999999999993</v>
      </c>
      <c r="BJ970" s="2">
        <v>18.3</v>
      </c>
      <c r="BK970" s="2">
        <v>0.34</v>
      </c>
      <c r="BL970" s="2">
        <v>7.3</v>
      </c>
      <c r="BM970" s="2">
        <v>0.9</v>
      </c>
      <c r="BN970" s="2">
        <v>7.5</v>
      </c>
      <c r="BO970" s="2">
        <v>2.9</v>
      </c>
      <c r="BP970" s="2">
        <f t="shared" si="30"/>
        <v>5.4457596560457127</v>
      </c>
      <c r="BQ970" s="2">
        <f t="shared" si="31"/>
        <v>17.868546452020325</v>
      </c>
    </row>
    <row r="971" spans="1:69" x14ac:dyDescent="0.2">
      <c r="A971" s="2" t="s">
        <v>2729</v>
      </c>
      <c r="B971" s="2" t="s">
        <v>47</v>
      </c>
      <c r="C971" s="2" t="s">
        <v>1935</v>
      </c>
      <c r="D971" s="2" t="s">
        <v>49</v>
      </c>
      <c r="E971" s="2" t="s">
        <v>1706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89</v>
      </c>
      <c r="L971" s="6" t="s">
        <v>103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2730</v>
      </c>
      <c r="R971" s="2">
        <v>4568965.517</v>
      </c>
      <c r="S971" s="2">
        <v>0</v>
      </c>
      <c r="T971" s="2" t="s">
        <v>398</v>
      </c>
      <c r="U971" s="2" t="s">
        <v>399</v>
      </c>
      <c r="V971" s="2" t="s">
        <v>56</v>
      </c>
      <c r="W971" s="2" t="s">
        <v>57</v>
      </c>
      <c r="X971" s="2" t="s">
        <v>400</v>
      </c>
      <c r="Y971" s="2">
        <v>1.8352962924406799</v>
      </c>
      <c r="Z971" s="2">
        <v>1835.29629244068</v>
      </c>
      <c r="AA971" s="2">
        <v>4.7358055555555598</v>
      </c>
      <c r="AB971" s="2">
        <v>-74.125888888888895</v>
      </c>
      <c r="AC971" s="2">
        <v>2574</v>
      </c>
      <c r="AD971" s="2">
        <v>0</v>
      </c>
      <c r="AE971" s="2" t="s">
        <v>133</v>
      </c>
      <c r="AF971" s="2" t="s">
        <v>86</v>
      </c>
      <c r="AG971" s="2" t="s">
        <v>61</v>
      </c>
      <c r="AH971" s="2" t="s">
        <v>62</v>
      </c>
      <c r="AI971" s="2" t="s">
        <v>391</v>
      </c>
      <c r="AJ971" s="2">
        <v>1.98352171304891</v>
      </c>
      <c r="AK971" s="2">
        <v>0.55762965954878296</v>
      </c>
      <c r="AL971" s="2">
        <v>3.5605566814218301</v>
      </c>
      <c r="AM971" s="2">
        <v>0.52452122772684995</v>
      </c>
      <c r="AN971" s="2">
        <v>3.2320073466532899</v>
      </c>
      <c r="AO971" s="2">
        <v>0.14365592268285701</v>
      </c>
      <c r="AP971" s="2">
        <v>0.14365592268285701</v>
      </c>
      <c r="AQ971" s="2">
        <v>0</v>
      </c>
      <c r="AR971" s="2">
        <v>0</v>
      </c>
      <c r="AS971" s="2">
        <v>0</v>
      </c>
      <c r="AT971" s="2">
        <v>10</v>
      </c>
      <c r="AU971" s="2">
        <v>0</v>
      </c>
      <c r="AV971" s="2">
        <v>5</v>
      </c>
      <c r="AW971" s="2">
        <v>0</v>
      </c>
      <c r="AX971" s="2">
        <v>0</v>
      </c>
      <c r="AZ971" s="2">
        <v>6.8</v>
      </c>
      <c r="BA971" s="2">
        <v>19.899999999999999</v>
      </c>
      <c r="BB971" s="2">
        <v>564</v>
      </c>
      <c r="BC971" s="2">
        <v>68</v>
      </c>
      <c r="BD971" s="2">
        <v>1.5</v>
      </c>
      <c r="BE971" s="2">
        <v>135</v>
      </c>
      <c r="BF971" s="2">
        <v>0.8</v>
      </c>
      <c r="BG971" s="2">
        <v>162</v>
      </c>
      <c r="BH971" s="2">
        <v>9.1</v>
      </c>
      <c r="BI971" s="2">
        <v>9.1999999999999993</v>
      </c>
      <c r="BJ971" s="2">
        <v>18.3</v>
      </c>
      <c r="BK971" s="2">
        <v>0.34</v>
      </c>
      <c r="BL971" s="2">
        <v>7.3</v>
      </c>
      <c r="BM971" s="2">
        <v>0.9</v>
      </c>
      <c r="BN971" s="2">
        <v>7.5</v>
      </c>
      <c r="BO971" s="2">
        <v>2.9</v>
      </c>
      <c r="BP971" s="2">
        <f t="shared" si="30"/>
        <v>6.2094693766862079</v>
      </c>
      <c r="BQ971" s="2">
        <f t="shared" si="31"/>
        <v>19.042486621640418</v>
      </c>
    </row>
    <row r="972" spans="1:69" x14ac:dyDescent="0.2">
      <c r="A972" s="2" t="s">
        <v>1819</v>
      </c>
      <c r="B972" s="2" t="s">
        <v>47</v>
      </c>
      <c r="C972" s="2" t="s">
        <v>48</v>
      </c>
      <c r="D972" s="2" t="s">
        <v>49</v>
      </c>
      <c r="E972" s="2" t="s">
        <v>1820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89</v>
      </c>
      <c r="L972" s="6" t="s">
        <v>112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1821</v>
      </c>
      <c r="R972" s="2">
        <v>5000000</v>
      </c>
      <c r="S972" s="2">
        <v>0</v>
      </c>
      <c r="T972" s="2" t="s">
        <v>1822</v>
      </c>
      <c r="U972" s="2" t="s">
        <v>1823</v>
      </c>
      <c r="V972" s="2" t="s">
        <v>56</v>
      </c>
      <c r="W972" s="2" t="s">
        <v>1824</v>
      </c>
      <c r="X972" s="2" t="s">
        <v>1825</v>
      </c>
      <c r="Y972" s="2">
        <v>2.19437867511289</v>
      </c>
      <c r="Z972" s="2">
        <v>2194.3786751128901</v>
      </c>
      <c r="AA972" s="2">
        <v>4.576225</v>
      </c>
      <c r="AB972" s="2">
        <v>-74.130955555555502</v>
      </c>
      <c r="AC972" s="2">
        <v>2589</v>
      </c>
      <c r="AD972" s="2">
        <v>0</v>
      </c>
      <c r="AE972" s="2" t="s">
        <v>59</v>
      </c>
      <c r="AF972" s="2" t="s">
        <v>86</v>
      </c>
      <c r="AG972" s="2" t="s">
        <v>61</v>
      </c>
      <c r="AH972" s="2" t="s">
        <v>62</v>
      </c>
      <c r="AI972" s="2" t="s">
        <v>1826</v>
      </c>
      <c r="AJ972" s="2">
        <v>0.72628407981694898</v>
      </c>
      <c r="AK972" s="2">
        <v>4.2911730632456999</v>
      </c>
      <c r="AL972" s="2">
        <v>1.7191839108123901</v>
      </c>
      <c r="AM972" s="2">
        <v>0.36256384074121101</v>
      </c>
      <c r="AN972" s="2">
        <v>0.326688566706068</v>
      </c>
      <c r="AO972" s="2">
        <v>5.7812843597656399E-2</v>
      </c>
      <c r="AP972" s="2">
        <v>5.7812843597656399E-2</v>
      </c>
      <c r="AQ972" s="2">
        <v>0</v>
      </c>
      <c r="AR972" s="2">
        <v>2</v>
      </c>
      <c r="AS972" s="2">
        <v>0</v>
      </c>
      <c r="AT972" s="2">
        <v>0</v>
      </c>
      <c r="AU972" s="2">
        <v>0</v>
      </c>
      <c r="AV972" s="2">
        <v>53</v>
      </c>
      <c r="AW972" s="2">
        <v>1</v>
      </c>
      <c r="AX972" s="2">
        <v>0</v>
      </c>
      <c r="AZ972" s="2">
        <v>6.8</v>
      </c>
      <c r="BA972" s="2">
        <v>19.899999999999999</v>
      </c>
      <c r="BB972" s="2">
        <v>564</v>
      </c>
      <c r="BC972" s="2">
        <v>68</v>
      </c>
      <c r="BD972" s="2">
        <v>1.5</v>
      </c>
      <c r="BE972" s="2">
        <v>135</v>
      </c>
      <c r="BF972" s="2">
        <v>0.8</v>
      </c>
      <c r="BG972" s="2">
        <v>162</v>
      </c>
      <c r="BH972" s="2">
        <v>9.1</v>
      </c>
      <c r="BI972" s="2">
        <v>9.1999999999999993</v>
      </c>
      <c r="BJ972" s="2">
        <v>18.3</v>
      </c>
      <c r="BK972" s="2">
        <v>0.34</v>
      </c>
      <c r="BL972" s="2">
        <v>7.3</v>
      </c>
      <c r="BM972" s="2">
        <v>0.9</v>
      </c>
      <c r="BN972" s="2">
        <v>7.5</v>
      </c>
      <c r="BO972" s="2">
        <v>2.9</v>
      </c>
      <c r="BP972" s="2">
        <f t="shared" si="30"/>
        <v>6.1000737896130151</v>
      </c>
      <c r="BQ972" s="2">
        <f t="shared" si="31"/>
        <v>18.879084017680647</v>
      </c>
    </row>
    <row r="973" spans="1:69" x14ac:dyDescent="0.2">
      <c r="A973" s="2" t="s">
        <v>654</v>
      </c>
      <c r="B973" s="2" t="s">
        <v>47</v>
      </c>
      <c r="C973" s="2" t="s">
        <v>48</v>
      </c>
      <c r="D973" s="2" t="s">
        <v>49</v>
      </c>
      <c r="E973" s="2" t="s">
        <v>655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89</v>
      </c>
      <c r="L973" s="6" t="s">
        <v>141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656</v>
      </c>
      <c r="R973" s="2">
        <v>3532944.7089999998</v>
      </c>
      <c r="S973" s="2">
        <v>0</v>
      </c>
      <c r="T973" s="2" t="s">
        <v>398</v>
      </c>
      <c r="U973" s="2" t="s">
        <v>399</v>
      </c>
      <c r="V973" s="2" t="s">
        <v>56</v>
      </c>
      <c r="W973" s="2" t="s">
        <v>57</v>
      </c>
      <c r="X973" s="2" t="s">
        <v>400</v>
      </c>
      <c r="Y973" s="2">
        <v>1.73437033630977</v>
      </c>
      <c r="Z973" s="2">
        <v>1734.37033630977</v>
      </c>
      <c r="AA973" s="2">
        <v>4.7358055555555598</v>
      </c>
      <c r="AB973" s="2">
        <v>-74.125888888888895</v>
      </c>
      <c r="AC973" s="2">
        <v>2574</v>
      </c>
      <c r="AD973" s="2">
        <v>0</v>
      </c>
      <c r="AE973" s="2" t="s">
        <v>133</v>
      </c>
      <c r="AF973" s="2" t="s">
        <v>86</v>
      </c>
      <c r="AG973" s="2" t="s">
        <v>61</v>
      </c>
      <c r="AH973" s="2" t="s">
        <v>62</v>
      </c>
      <c r="AI973" s="2" t="s">
        <v>391</v>
      </c>
      <c r="AJ973" s="2">
        <v>1.8980715819960901</v>
      </c>
      <c r="AK973" s="2">
        <v>0.54886803867486</v>
      </c>
      <c r="AL973" s="2">
        <v>3.5596504736079</v>
      </c>
      <c r="AM973" s="2">
        <v>0.40232040375322597</v>
      </c>
      <c r="AN973" s="2">
        <v>3.42695069272055</v>
      </c>
      <c r="AO973" s="2">
        <v>4.3904340306970803E-2</v>
      </c>
      <c r="AP973" s="2">
        <v>4.3904340306970803E-2</v>
      </c>
      <c r="AQ973" s="2">
        <v>0</v>
      </c>
      <c r="AR973" s="2">
        <v>0</v>
      </c>
      <c r="AS973" s="2">
        <v>0</v>
      </c>
      <c r="AT973" s="2">
        <v>11</v>
      </c>
      <c r="AU973" s="2">
        <v>0</v>
      </c>
      <c r="AV973" s="2">
        <v>6</v>
      </c>
      <c r="AW973" s="2">
        <v>0</v>
      </c>
      <c r="AX973" s="2">
        <v>0</v>
      </c>
      <c r="AZ973" s="2">
        <v>6.8</v>
      </c>
      <c r="BA973" s="2">
        <v>19.899999999999999</v>
      </c>
      <c r="BB973" s="2">
        <v>564</v>
      </c>
      <c r="BC973" s="2">
        <v>68</v>
      </c>
      <c r="BD973" s="2">
        <v>1.5</v>
      </c>
      <c r="BE973" s="2">
        <v>135</v>
      </c>
      <c r="BF973" s="2">
        <v>0.8</v>
      </c>
      <c r="BG973" s="2">
        <v>162</v>
      </c>
      <c r="BH973" s="2">
        <v>9.1</v>
      </c>
      <c r="BI973" s="2">
        <v>9.1999999999999993</v>
      </c>
      <c r="BJ973" s="2">
        <v>18.3</v>
      </c>
      <c r="BK973" s="2">
        <v>0.34</v>
      </c>
      <c r="BL973" s="2">
        <v>7.3</v>
      </c>
      <c r="BM973" s="2">
        <v>0.9</v>
      </c>
      <c r="BN973" s="2">
        <v>7.5</v>
      </c>
      <c r="BO973" s="2">
        <v>2.9</v>
      </c>
      <c r="BP973" s="2">
        <f t="shared" si="30"/>
        <v>6.2405684783704327</v>
      </c>
      <c r="BQ973" s="2">
        <f t="shared" si="31"/>
        <v>19.088667677533337</v>
      </c>
    </row>
    <row r="974" spans="1:69" x14ac:dyDescent="0.2">
      <c r="A974" s="2" t="s">
        <v>4032</v>
      </c>
      <c r="B974" s="2" t="s">
        <v>47</v>
      </c>
      <c r="C974" s="2" t="s">
        <v>3273</v>
      </c>
      <c r="D974" s="2" t="s">
        <v>49</v>
      </c>
      <c r="E974" s="2" t="s">
        <v>488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89</v>
      </c>
      <c r="L974" s="6" t="s">
        <v>90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4033</v>
      </c>
      <c r="R974" s="2">
        <v>10803571.43</v>
      </c>
      <c r="S974" s="2">
        <v>0</v>
      </c>
      <c r="T974" s="2" t="s">
        <v>105</v>
      </c>
      <c r="U974" s="2" t="s">
        <v>106</v>
      </c>
      <c r="V974" s="2" t="s">
        <v>56</v>
      </c>
      <c r="W974" s="2" t="s">
        <v>107</v>
      </c>
      <c r="X974" s="2" t="s">
        <v>108</v>
      </c>
      <c r="Y974" s="2">
        <v>1.8512176315583</v>
      </c>
      <c r="Z974" s="2">
        <v>1851.2176315582999</v>
      </c>
      <c r="AA974" s="2">
        <v>4.6254861111111101</v>
      </c>
      <c r="AB974" s="2">
        <v>-74.066980555555503</v>
      </c>
      <c r="AC974" s="2">
        <v>2621</v>
      </c>
      <c r="AD974" s="2">
        <v>15</v>
      </c>
      <c r="AE974" s="2" t="s">
        <v>59</v>
      </c>
      <c r="AF974" s="2" t="s">
        <v>60</v>
      </c>
      <c r="AG974" s="2" t="s">
        <v>61</v>
      </c>
      <c r="AH974" s="2" t="s">
        <v>62</v>
      </c>
      <c r="AI974" s="2" t="s">
        <v>109</v>
      </c>
      <c r="AJ974" s="2">
        <v>0.57189489510703795</v>
      </c>
      <c r="AK974" s="2">
        <v>0.380734088252979</v>
      </c>
      <c r="AL974" s="2">
        <v>0.42356107615304001</v>
      </c>
      <c r="AM974" s="2">
        <v>9.2075674111630507E-2</v>
      </c>
      <c r="AN974" s="2">
        <v>0.30202338483562202</v>
      </c>
      <c r="AO974" s="2">
        <v>5.7471919321069001E-2</v>
      </c>
      <c r="AP974" s="2">
        <v>5.7471919321069001E-2</v>
      </c>
      <c r="AQ974" s="2">
        <v>0</v>
      </c>
      <c r="AR974" s="2">
        <v>4</v>
      </c>
      <c r="AS974" s="2">
        <v>8</v>
      </c>
      <c r="AT974" s="2">
        <v>36</v>
      </c>
      <c r="AU974" s="2">
        <v>7</v>
      </c>
      <c r="AV974" s="2">
        <v>122</v>
      </c>
      <c r="AW974" s="2">
        <v>1</v>
      </c>
      <c r="AX974" s="2">
        <v>0</v>
      </c>
      <c r="AZ974" s="2">
        <v>6.8</v>
      </c>
      <c r="BA974" s="2">
        <v>19.899999999999999</v>
      </c>
      <c r="BB974" s="2">
        <v>564</v>
      </c>
      <c r="BC974" s="2">
        <v>68</v>
      </c>
      <c r="BD974" s="2">
        <v>1.5</v>
      </c>
      <c r="BE974" s="2">
        <v>135</v>
      </c>
      <c r="BF974" s="2">
        <v>0.8</v>
      </c>
      <c r="BG974" s="2">
        <v>162</v>
      </c>
      <c r="BH974" s="2">
        <v>9.1</v>
      </c>
      <c r="BI974" s="2">
        <v>9.1999999999999993</v>
      </c>
      <c r="BJ974" s="2">
        <v>18.3</v>
      </c>
      <c r="BK974" s="2">
        <v>0.34</v>
      </c>
      <c r="BL974" s="2">
        <v>7.3</v>
      </c>
      <c r="BM974" s="2">
        <v>0.9</v>
      </c>
      <c r="BN974" s="2">
        <v>7.5</v>
      </c>
      <c r="BO974" s="2">
        <v>2.9</v>
      </c>
      <c r="BP974" s="2">
        <f t="shared" si="30"/>
        <v>6.204577582715701</v>
      </c>
      <c r="BQ974" s="2">
        <f t="shared" si="31"/>
        <v>19.035211646365617</v>
      </c>
    </row>
    <row r="975" spans="1:69" x14ac:dyDescent="0.2">
      <c r="A975" s="2" t="s">
        <v>114</v>
      </c>
      <c r="B975" s="2" t="s">
        <v>47</v>
      </c>
      <c r="C975" s="2" t="s">
        <v>48</v>
      </c>
      <c r="D975" s="2" t="s">
        <v>49</v>
      </c>
      <c r="E975" s="2" t="s">
        <v>115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89</v>
      </c>
      <c r="L975" s="6" t="s">
        <v>103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116</v>
      </c>
      <c r="R975" s="2">
        <v>8214285.7139999997</v>
      </c>
      <c r="S975" s="2">
        <v>0</v>
      </c>
      <c r="T975" s="2" t="s">
        <v>105</v>
      </c>
      <c r="U975" s="2" t="s">
        <v>106</v>
      </c>
      <c r="V975" s="2" t="s">
        <v>56</v>
      </c>
      <c r="W975" s="2" t="s">
        <v>107</v>
      </c>
      <c r="X975" s="2" t="s">
        <v>108</v>
      </c>
      <c r="Y975" s="2">
        <v>0.81395008052073803</v>
      </c>
      <c r="Z975" s="2">
        <v>813.95008052073797</v>
      </c>
      <c r="AA975" s="2">
        <v>4.6254861111111101</v>
      </c>
      <c r="AB975" s="2">
        <v>-74.066980555555503</v>
      </c>
      <c r="AC975" s="2">
        <v>2621</v>
      </c>
      <c r="AD975" s="2">
        <v>15</v>
      </c>
      <c r="AE975" s="2" t="s">
        <v>59</v>
      </c>
      <c r="AF975" s="2" t="s">
        <v>60</v>
      </c>
      <c r="AG975" s="2" t="s">
        <v>61</v>
      </c>
      <c r="AH975" s="2" t="s">
        <v>62</v>
      </c>
      <c r="AI975" s="2" t="s">
        <v>117</v>
      </c>
      <c r="AJ975" s="2">
        <v>0.35490998397742901</v>
      </c>
      <c r="AK975" s="2">
        <v>0.69401190913008903</v>
      </c>
      <c r="AL975" s="2">
        <v>0.36245998093131199</v>
      </c>
      <c r="AM975" s="2">
        <v>8.1802057135610895E-2</v>
      </c>
      <c r="AN975" s="2">
        <v>0.45373323232776502</v>
      </c>
      <c r="AO975" s="2">
        <v>4.48017216131384E-3</v>
      </c>
      <c r="AP975" s="2">
        <v>4.48017216131384E-3</v>
      </c>
      <c r="AQ975" s="2">
        <v>3</v>
      </c>
      <c r="AR975" s="2">
        <v>7</v>
      </c>
      <c r="AS975" s="2">
        <v>0</v>
      </c>
      <c r="AT975" s="2">
        <v>3</v>
      </c>
      <c r="AU975" s="2">
        <v>13</v>
      </c>
      <c r="AV975" s="2">
        <v>72</v>
      </c>
      <c r="AW975" s="2">
        <v>1</v>
      </c>
      <c r="AX975" s="2">
        <v>3</v>
      </c>
      <c r="AZ975" s="2">
        <v>6.8</v>
      </c>
      <c r="BA975" s="2">
        <v>19.899999999999999</v>
      </c>
      <c r="BB975" s="2">
        <v>564</v>
      </c>
      <c r="BC975" s="2">
        <v>68</v>
      </c>
      <c r="BD975" s="2">
        <v>1.5</v>
      </c>
      <c r="BE975" s="2">
        <v>135</v>
      </c>
      <c r="BF975" s="2">
        <v>0.8</v>
      </c>
      <c r="BG975" s="2">
        <v>162</v>
      </c>
      <c r="BH975" s="2">
        <v>9.1</v>
      </c>
      <c r="BI975" s="2">
        <v>9.1999999999999993</v>
      </c>
      <c r="BJ975" s="2">
        <v>18.3</v>
      </c>
      <c r="BK975" s="2">
        <v>0.34</v>
      </c>
      <c r="BL975" s="2">
        <v>7.3</v>
      </c>
      <c r="BM975" s="2">
        <v>0.9</v>
      </c>
      <c r="BN975" s="2">
        <v>7.5</v>
      </c>
      <c r="BO975" s="2">
        <v>2.9</v>
      </c>
      <c r="BP975" s="2">
        <f t="shared" si="30"/>
        <v>6.5314703291075489</v>
      </c>
      <c r="BQ975" s="2">
        <f t="shared" si="31"/>
        <v>19.515029841685024</v>
      </c>
    </row>
    <row r="976" spans="1:69" x14ac:dyDescent="0.2">
      <c r="A976" s="2" t="s">
        <v>2380</v>
      </c>
      <c r="B976" s="2" t="s">
        <v>47</v>
      </c>
      <c r="C976" s="2" t="s">
        <v>1935</v>
      </c>
      <c r="D976" s="2" t="s">
        <v>49</v>
      </c>
      <c r="E976" s="2" t="s">
        <v>2381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89</v>
      </c>
      <c r="L976" s="6" t="s">
        <v>141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2382</v>
      </c>
      <c r="R976" s="2">
        <v>5446428.5710000005</v>
      </c>
      <c r="S976" s="2">
        <v>0</v>
      </c>
      <c r="T976" s="2" t="s">
        <v>398</v>
      </c>
      <c r="U976" s="2" t="s">
        <v>399</v>
      </c>
      <c r="V976" s="2" t="s">
        <v>56</v>
      </c>
      <c r="W976" s="2" t="s">
        <v>57</v>
      </c>
      <c r="X976" s="2" t="s">
        <v>400</v>
      </c>
      <c r="Y976" s="2">
        <v>2.3036407310823401</v>
      </c>
      <c r="Z976" s="2">
        <v>2303.6407310823402</v>
      </c>
      <c r="AA976" s="2">
        <v>4.7358055555555598</v>
      </c>
      <c r="AB976" s="2">
        <v>-74.125888888888895</v>
      </c>
      <c r="AC976" s="2">
        <v>2574</v>
      </c>
      <c r="AD976" s="2">
        <v>0</v>
      </c>
      <c r="AE976" s="2" t="s">
        <v>133</v>
      </c>
      <c r="AF976" s="2" t="s">
        <v>86</v>
      </c>
      <c r="AG976" s="2" t="s">
        <v>61</v>
      </c>
      <c r="AH976" s="2" t="s">
        <v>62</v>
      </c>
      <c r="AI976" s="2" t="s">
        <v>391</v>
      </c>
      <c r="AJ976" s="2">
        <v>1.9254981152845401</v>
      </c>
      <c r="AK976" s="2">
        <v>0.96276448480495602</v>
      </c>
      <c r="AL976" s="2">
        <v>3.28135832484802</v>
      </c>
      <c r="AM976" s="2">
        <v>0.743992114658235</v>
      </c>
      <c r="AN976" s="2">
        <v>2.7672478568506098</v>
      </c>
      <c r="AO976" s="2">
        <v>6.0087503186028297E-2</v>
      </c>
      <c r="AP976" s="2">
        <v>6.0087503186028297E-2</v>
      </c>
      <c r="AQ976" s="2">
        <v>0</v>
      </c>
      <c r="AR976" s="2">
        <v>0</v>
      </c>
      <c r="AS976" s="2">
        <v>0</v>
      </c>
      <c r="AT976" s="2">
        <v>2</v>
      </c>
      <c r="AU976" s="2">
        <v>0</v>
      </c>
      <c r="AV976" s="2">
        <v>8</v>
      </c>
      <c r="AW976" s="2">
        <v>0</v>
      </c>
      <c r="AX976" s="2">
        <v>0</v>
      </c>
      <c r="AZ976" s="2">
        <v>6.8</v>
      </c>
      <c r="BA976" s="2">
        <v>19.899999999999999</v>
      </c>
      <c r="BB976" s="2">
        <v>564</v>
      </c>
      <c r="BC976" s="2">
        <v>68</v>
      </c>
      <c r="BD976" s="2">
        <v>1.5</v>
      </c>
      <c r="BE976" s="2">
        <v>135</v>
      </c>
      <c r="BF976" s="2">
        <v>0.8</v>
      </c>
      <c r="BG976" s="2">
        <v>162</v>
      </c>
      <c r="BH976" s="2">
        <v>9.1</v>
      </c>
      <c r="BI976" s="2">
        <v>9.1999999999999993</v>
      </c>
      <c r="BJ976" s="2">
        <v>18.3</v>
      </c>
      <c r="BK976" s="2">
        <v>0.34</v>
      </c>
      <c r="BL976" s="2">
        <v>7.3</v>
      </c>
      <c r="BM976" s="2">
        <v>0.9</v>
      </c>
      <c r="BN976" s="2">
        <v>7.5</v>
      </c>
      <c r="BO976" s="2">
        <v>2.9</v>
      </c>
      <c r="BP976" s="2">
        <f t="shared" si="30"/>
        <v>6.0671707704545081</v>
      </c>
      <c r="BQ976" s="2">
        <f t="shared" si="31"/>
        <v>18.829642450229834</v>
      </c>
    </row>
    <row r="977" spans="1:69" x14ac:dyDescent="0.2">
      <c r="A977" s="2" t="s">
        <v>4168</v>
      </c>
      <c r="B977" s="2" t="s">
        <v>47</v>
      </c>
      <c r="C977" s="2" t="s">
        <v>3273</v>
      </c>
      <c r="D977" s="2" t="s">
        <v>49</v>
      </c>
      <c r="E977" s="2" t="s">
        <v>4169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89</v>
      </c>
      <c r="L977" s="6" t="s">
        <v>141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4170</v>
      </c>
      <c r="R977" s="2">
        <v>5982142.8569999998</v>
      </c>
      <c r="S977" s="2">
        <v>0</v>
      </c>
      <c r="T977" s="2" t="s">
        <v>105</v>
      </c>
      <c r="U977" s="2" t="s">
        <v>106</v>
      </c>
      <c r="V977" s="2" t="s">
        <v>56</v>
      </c>
      <c r="W977" s="2" t="s">
        <v>107</v>
      </c>
      <c r="X977" s="2" t="s">
        <v>108</v>
      </c>
      <c r="Y977" s="2">
        <v>0.10101899415042</v>
      </c>
      <c r="Z977" s="2">
        <v>101.01899415042</v>
      </c>
      <c r="AA977" s="2">
        <v>4.6254861111111101</v>
      </c>
      <c r="AB977" s="2">
        <v>-74.066980555555503</v>
      </c>
      <c r="AC977" s="2">
        <v>2621</v>
      </c>
      <c r="AD977" s="2">
        <v>15</v>
      </c>
      <c r="AE977" s="2" t="s">
        <v>59</v>
      </c>
      <c r="AF977" s="2" t="s">
        <v>60</v>
      </c>
      <c r="AG977" s="2" t="s">
        <v>61</v>
      </c>
      <c r="AH977" s="2" t="s">
        <v>62</v>
      </c>
      <c r="AI977" s="2" t="s">
        <v>117</v>
      </c>
      <c r="AJ977" s="2">
        <v>0.235369038926351</v>
      </c>
      <c r="AK977" s="2">
        <v>0.63044512932656604</v>
      </c>
      <c r="AL977" s="2">
        <v>0.22142972033303199</v>
      </c>
      <c r="AM977" s="2">
        <v>3.7917159202187203E-2</v>
      </c>
      <c r="AN977" s="2">
        <v>0.12919908131258601</v>
      </c>
      <c r="AO977" s="2">
        <v>2.7258561884809601E-2</v>
      </c>
      <c r="AP977" s="2">
        <v>2.7258561884809601E-2</v>
      </c>
      <c r="AQ977" s="2">
        <v>2</v>
      </c>
      <c r="AR977" s="2">
        <v>4</v>
      </c>
      <c r="AS977" s="2">
        <v>0</v>
      </c>
      <c r="AT977" s="2">
        <v>27</v>
      </c>
      <c r="AU977" s="2">
        <v>19</v>
      </c>
      <c r="AV977" s="2">
        <v>99</v>
      </c>
      <c r="AW977" s="2">
        <v>1</v>
      </c>
      <c r="AX977" s="2">
        <v>1</v>
      </c>
      <c r="AZ977" s="2">
        <v>6.8</v>
      </c>
      <c r="BA977" s="2">
        <v>19.899999999999999</v>
      </c>
      <c r="BB977" s="2">
        <v>564</v>
      </c>
      <c r="BC977" s="2">
        <v>68</v>
      </c>
      <c r="BD977" s="2">
        <v>1.5</v>
      </c>
      <c r="BE977" s="2">
        <v>135</v>
      </c>
      <c r="BF977" s="2">
        <v>0.8</v>
      </c>
      <c r="BG977" s="2">
        <v>162</v>
      </c>
      <c r="BH977" s="2">
        <v>9.1</v>
      </c>
      <c r="BI977" s="2">
        <v>9.1999999999999993</v>
      </c>
      <c r="BJ977" s="2">
        <v>18.3</v>
      </c>
      <c r="BK977" s="2">
        <v>0.34</v>
      </c>
      <c r="BL977" s="2">
        <v>7.3</v>
      </c>
      <c r="BM977" s="2">
        <v>0.9</v>
      </c>
      <c r="BN977" s="2">
        <v>7.5</v>
      </c>
      <c r="BO977" s="2">
        <v>2.9</v>
      </c>
      <c r="BP977" s="2">
        <f t="shared" si="30"/>
        <v>6.7660818800096632</v>
      </c>
      <c r="BQ977" s="2">
        <f t="shared" si="31"/>
        <v>19.851811767119688</v>
      </c>
    </row>
    <row r="978" spans="1:69" x14ac:dyDescent="0.2">
      <c r="A978" s="2" t="s">
        <v>4307</v>
      </c>
      <c r="B978" s="2" t="s">
        <v>47</v>
      </c>
      <c r="C978" s="2" t="s">
        <v>3273</v>
      </c>
      <c r="D978" s="2" t="s">
        <v>49</v>
      </c>
      <c r="E978" s="2" t="s">
        <v>383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89</v>
      </c>
      <c r="L978" s="6" t="s">
        <v>90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4308</v>
      </c>
      <c r="R978" s="2">
        <v>13275249.1</v>
      </c>
      <c r="S978" s="2">
        <v>0</v>
      </c>
      <c r="T978" s="2" t="s">
        <v>54</v>
      </c>
      <c r="U978" s="2" t="s">
        <v>55</v>
      </c>
      <c r="V978" s="2" t="s">
        <v>56</v>
      </c>
      <c r="W978" s="2" t="s">
        <v>57</v>
      </c>
      <c r="X978" s="2" t="s">
        <v>58</v>
      </c>
      <c r="Y978" s="2">
        <v>3.3477198636880501</v>
      </c>
      <c r="Z978" s="2">
        <v>3347.7198636880498</v>
      </c>
      <c r="AA978" s="2">
        <v>4.6584666666666701</v>
      </c>
      <c r="AB978" s="2">
        <v>-74.083966666666697</v>
      </c>
      <c r="AC978" s="2">
        <v>2552</v>
      </c>
      <c r="AD978" s="2">
        <v>0</v>
      </c>
      <c r="AE978" s="2" t="s">
        <v>59</v>
      </c>
      <c r="AF978" s="2" t="s">
        <v>60</v>
      </c>
      <c r="AG978" s="2" t="s">
        <v>61</v>
      </c>
      <c r="AH978" s="2" t="s">
        <v>62</v>
      </c>
      <c r="AI978" s="2" t="s">
        <v>109</v>
      </c>
      <c r="AJ978" s="2">
        <v>0.248170445441947</v>
      </c>
      <c r="AK978" s="2">
        <v>1.76298316640325</v>
      </c>
      <c r="AL978" s="2">
        <v>0.67437301166401897</v>
      </c>
      <c r="AM978" s="2">
        <v>9.5733082391418298E-2</v>
      </c>
      <c r="AN978" s="2">
        <v>2.6348064292443598</v>
      </c>
      <c r="AO978" s="2">
        <v>0.70970513187888695</v>
      </c>
      <c r="AP978" s="2">
        <v>0.70970513187888695</v>
      </c>
      <c r="AQ978" s="2">
        <v>2</v>
      </c>
      <c r="AR978" s="2">
        <v>5</v>
      </c>
      <c r="AS978" s="2">
        <v>0</v>
      </c>
      <c r="AT978" s="2">
        <v>0</v>
      </c>
      <c r="AU978" s="2">
        <v>5</v>
      </c>
      <c r="AV978" s="2">
        <v>310</v>
      </c>
      <c r="AW978" s="2">
        <v>0</v>
      </c>
      <c r="AX978" s="2">
        <v>0</v>
      </c>
      <c r="AZ978" s="2">
        <v>6.8</v>
      </c>
      <c r="BA978" s="2">
        <v>19.899999999999999</v>
      </c>
      <c r="BB978" s="2">
        <v>564</v>
      </c>
      <c r="BC978" s="2">
        <v>68</v>
      </c>
      <c r="BD978" s="2">
        <v>1.5</v>
      </c>
      <c r="BE978" s="2">
        <v>135</v>
      </c>
      <c r="BF978" s="2">
        <v>0.8</v>
      </c>
      <c r="BG978" s="2">
        <v>162</v>
      </c>
      <c r="BH978" s="2">
        <v>9.1</v>
      </c>
      <c r="BI978" s="2">
        <v>9.1999999999999993</v>
      </c>
      <c r="BJ978" s="2">
        <v>18.3</v>
      </c>
      <c r="BK978" s="2">
        <v>0.34</v>
      </c>
      <c r="BL978" s="2">
        <v>7.3</v>
      </c>
      <c r="BM978" s="2">
        <v>0.9</v>
      </c>
      <c r="BN978" s="2">
        <v>7.5</v>
      </c>
      <c r="BO978" s="2">
        <v>2.9</v>
      </c>
      <c r="BP978" s="2">
        <f t="shared" si="30"/>
        <v>5.7615727189867005</v>
      </c>
      <c r="BQ978" s="2">
        <f t="shared" si="31"/>
        <v>18.363673649184946</v>
      </c>
    </row>
    <row r="979" spans="1:69" x14ac:dyDescent="0.2">
      <c r="A979" s="2" t="s">
        <v>611</v>
      </c>
      <c r="B979" s="2" t="s">
        <v>47</v>
      </c>
      <c r="C979" s="2" t="s">
        <v>48</v>
      </c>
      <c r="D979" s="2" t="s">
        <v>49</v>
      </c>
      <c r="E979" s="2" t="s">
        <v>612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89</v>
      </c>
      <c r="L979" s="6" t="s">
        <v>90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613</v>
      </c>
      <c r="R979" s="2">
        <v>10595906.539999999</v>
      </c>
      <c r="S979" s="2">
        <v>0</v>
      </c>
      <c r="T979" s="2" t="s">
        <v>105</v>
      </c>
      <c r="U979" s="2" t="s">
        <v>106</v>
      </c>
      <c r="V979" s="2" t="s">
        <v>56</v>
      </c>
      <c r="W979" s="2" t="s">
        <v>107</v>
      </c>
      <c r="X979" s="2" t="s">
        <v>108</v>
      </c>
      <c r="Y979" s="2">
        <v>0.94003226606589096</v>
      </c>
      <c r="Z979" s="2">
        <v>940.03226606589101</v>
      </c>
      <c r="AA979" s="2">
        <v>4.6254861111111101</v>
      </c>
      <c r="AB979" s="2">
        <v>-74.066980555555503</v>
      </c>
      <c r="AC979" s="2">
        <v>2621</v>
      </c>
      <c r="AD979" s="2">
        <v>15</v>
      </c>
      <c r="AE979" s="2" t="s">
        <v>59</v>
      </c>
      <c r="AF979" s="2" t="s">
        <v>60</v>
      </c>
      <c r="AG979" s="2" t="s">
        <v>61</v>
      </c>
      <c r="AH979" s="2" t="s">
        <v>62</v>
      </c>
      <c r="AI979" s="2" t="s">
        <v>63</v>
      </c>
      <c r="AJ979" s="2">
        <v>0.60886664580894401</v>
      </c>
      <c r="AK979" s="2">
        <v>1.5682698365180501</v>
      </c>
      <c r="AL979" s="2">
        <v>0.18674591515112199</v>
      </c>
      <c r="AM979" s="2">
        <v>0.157123143369723</v>
      </c>
      <c r="AN979" s="2">
        <v>0.93509381719076401</v>
      </c>
      <c r="AO979" s="2">
        <v>9.2600943883735694E-3</v>
      </c>
      <c r="AP979" s="2">
        <v>9.2600943883735694E-3</v>
      </c>
      <c r="AQ979" s="2">
        <v>0</v>
      </c>
      <c r="AR979" s="2">
        <v>8</v>
      </c>
      <c r="AS979" s="2">
        <v>0</v>
      </c>
      <c r="AT979" s="2">
        <v>0</v>
      </c>
      <c r="AU979" s="2">
        <v>14</v>
      </c>
      <c r="AV979" s="2">
        <v>133</v>
      </c>
      <c r="AW979" s="2">
        <v>1</v>
      </c>
      <c r="AX979" s="2">
        <v>0</v>
      </c>
      <c r="AZ979" s="2">
        <v>6.8</v>
      </c>
      <c r="BA979" s="2">
        <v>19.899999999999999</v>
      </c>
      <c r="BB979" s="2">
        <v>564</v>
      </c>
      <c r="BC979" s="2">
        <v>68</v>
      </c>
      <c r="BD979" s="2">
        <v>1.5</v>
      </c>
      <c r="BE979" s="2">
        <v>135</v>
      </c>
      <c r="BF979" s="2">
        <v>0.8</v>
      </c>
      <c r="BG979" s="2">
        <v>162</v>
      </c>
      <c r="BH979" s="2">
        <v>9.1</v>
      </c>
      <c r="BI979" s="2">
        <v>9.1999999999999993</v>
      </c>
      <c r="BJ979" s="2">
        <v>18.3</v>
      </c>
      <c r="BK979" s="2">
        <v>0.34</v>
      </c>
      <c r="BL979" s="2">
        <v>7.3</v>
      </c>
      <c r="BM979" s="2">
        <v>0.9</v>
      </c>
      <c r="BN979" s="2">
        <v>7.5</v>
      </c>
      <c r="BO979" s="2">
        <v>2.9</v>
      </c>
      <c r="BP979" s="2">
        <f t="shared" si="30"/>
        <v>6.490833916651197</v>
      </c>
      <c r="BQ979" s="2">
        <f t="shared" si="31"/>
        <v>19.456067153688824</v>
      </c>
    </row>
    <row r="980" spans="1:69" x14ac:dyDescent="0.2">
      <c r="A980" s="2" t="s">
        <v>3533</v>
      </c>
      <c r="B980" s="2" t="s">
        <v>47</v>
      </c>
      <c r="C980" s="2" t="s">
        <v>3273</v>
      </c>
      <c r="D980" s="2" t="s">
        <v>49</v>
      </c>
      <c r="E980" s="2" t="s">
        <v>850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89</v>
      </c>
      <c r="L980" s="6" t="s">
        <v>112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3534</v>
      </c>
      <c r="R980" s="2">
        <v>8727272.727</v>
      </c>
      <c r="S980" s="2">
        <v>0</v>
      </c>
      <c r="T980" s="2" t="s">
        <v>105</v>
      </c>
      <c r="U980" s="2" t="s">
        <v>106</v>
      </c>
      <c r="V980" s="2" t="s">
        <v>56</v>
      </c>
      <c r="W980" s="2" t="s">
        <v>107</v>
      </c>
      <c r="X980" s="2" t="s">
        <v>108</v>
      </c>
      <c r="Y980" s="2">
        <v>2.8621480746259</v>
      </c>
      <c r="Z980" s="2">
        <v>2862.1480746258999</v>
      </c>
      <c r="AA980" s="2">
        <v>4.6254861111111101</v>
      </c>
      <c r="AB980" s="2">
        <v>-74.066980555555503</v>
      </c>
      <c r="AC980" s="2">
        <v>2621</v>
      </c>
      <c r="AD980" s="2">
        <v>15</v>
      </c>
      <c r="AE980" s="2" t="s">
        <v>59</v>
      </c>
      <c r="AF980" s="2" t="s">
        <v>60</v>
      </c>
      <c r="AG980" s="2" t="s">
        <v>61</v>
      </c>
      <c r="AH980" s="2" t="s">
        <v>62</v>
      </c>
      <c r="AI980" s="2" t="s">
        <v>109</v>
      </c>
      <c r="AJ980" s="2">
        <v>1.30250560817994</v>
      </c>
      <c r="AK980" s="2">
        <v>0.129669058086437</v>
      </c>
      <c r="AL980" s="2">
        <v>0.52952353264949503</v>
      </c>
      <c r="AM980" s="2">
        <v>0.50182869914956496</v>
      </c>
      <c r="AN980" s="2">
        <v>0.84616472933614695</v>
      </c>
      <c r="AO980" s="2">
        <v>0.37492593072857799</v>
      </c>
      <c r="AP980" s="2">
        <v>0.37492593072857799</v>
      </c>
      <c r="AQ980" s="2">
        <v>0</v>
      </c>
      <c r="AR980" s="2">
        <v>0</v>
      </c>
      <c r="AS980" s="2">
        <v>17</v>
      </c>
      <c r="AT980" s="2">
        <v>57</v>
      </c>
      <c r="AU980" s="2">
        <v>4</v>
      </c>
      <c r="AV980" s="2">
        <v>21</v>
      </c>
      <c r="AW980" s="2">
        <v>1</v>
      </c>
      <c r="AX980" s="2">
        <v>0</v>
      </c>
      <c r="AZ980" s="2">
        <v>6.8</v>
      </c>
      <c r="BA980" s="2">
        <v>19.899999999999999</v>
      </c>
      <c r="BB980" s="2">
        <v>564</v>
      </c>
      <c r="BC980" s="2">
        <v>68</v>
      </c>
      <c r="BD980" s="2">
        <v>1.5</v>
      </c>
      <c r="BE980" s="2">
        <v>135</v>
      </c>
      <c r="BF980" s="2">
        <v>0.8</v>
      </c>
      <c r="BG980" s="2">
        <v>162</v>
      </c>
      <c r="BH980" s="2">
        <v>9.1</v>
      </c>
      <c r="BI980" s="2">
        <v>9.1999999999999993</v>
      </c>
      <c r="BJ980" s="2">
        <v>18.3</v>
      </c>
      <c r="BK980" s="2">
        <v>0.34</v>
      </c>
      <c r="BL980" s="2">
        <v>7.3</v>
      </c>
      <c r="BM980" s="2">
        <v>0.9</v>
      </c>
      <c r="BN980" s="2">
        <v>7.5</v>
      </c>
      <c r="BO980" s="2">
        <v>2.9</v>
      </c>
      <c r="BP980" s="2">
        <f t="shared" si="30"/>
        <v>5.9017344511932901</v>
      </c>
      <c r="BQ980" s="2">
        <f t="shared" si="31"/>
        <v>18.578930650582087</v>
      </c>
    </row>
    <row r="981" spans="1:69" x14ac:dyDescent="0.2">
      <c r="A981" s="2" t="s">
        <v>3881</v>
      </c>
      <c r="B981" s="2" t="s">
        <v>47</v>
      </c>
      <c r="C981" s="2" t="s">
        <v>3273</v>
      </c>
      <c r="D981" s="2" t="s">
        <v>49</v>
      </c>
      <c r="E981" s="2" t="s">
        <v>109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89</v>
      </c>
      <c r="L981" s="6" t="s">
        <v>103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3882</v>
      </c>
      <c r="R981" s="2">
        <v>7818181.818</v>
      </c>
      <c r="S981" s="2">
        <v>0</v>
      </c>
      <c r="T981" s="2" t="s">
        <v>105</v>
      </c>
      <c r="U981" s="2" t="s">
        <v>106</v>
      </c>
      <c r="V981" s="2" t="s">
        <v>56</v>
      </c>
      <c r="W981" s="2" t="s">
        <v>107</v>
      </c>
      <c r="X981" s="2" t="s">
        <v>108</v>
      </c>
      <c r="Y981" s="2">
        <v>2.8896171102183099</v>
      </c>
      <c r="Z981" s="2">
        <v>2889.6171102183098</v>
      </c>
      <c r="AA981" s="2">
        <v>4.6254861111111101</v>
      </c>
      <c r="AB981" s="2">
        <v>-74.066980555555503</v>
      </c>
      <c r="AC981" s="2">
        <v>2621</v>
      </c>
      <c r="AD981" s="2">
        <v>15</v>
      </c>
      <c r="AE981" s="2" t="s">
        <v>59</v>
      </c>
      <c r="AF981" s="2" t="s">
        <v>60</v>
      </c>
      <c r="AG981" s="2" t="s">
        <v>61</v>
      </c>
      <c r="AH981" s="2" t="s">
        <v>62</v>
      </c>
      <c r="AI981" s="2" t="s">
        <v>109</v>
      </c>
      <c r="AJ981" s="2">
        <v>1.3184267805704499</v>
      </c>
      <c r="AK981" s="2">
        <v>0.117274598796046</v>
      </c>
      <c r="AL981" s="2">
        <v>0.539735733090699</v>
      </c>
      <c r="AM981" s="2">
        <v>0.51254981589682702</v>
      </c>
      <c r="AN981" s="2">
        <v>0.873752286735897</v>
      </c>
      <c r="AO981" s="2">
        <v>0.39185680193917899</v>
      </c>
      <c r="AP981" s="2">
        <v>0.39185680193917899</v>
      </c>
      <c r="AQ981" s="2">
        <v>0</v>
      </c>
      <c r="AR981" s="2">
        <v>0</v>
      </c>
      <c r="AS981" s="2">
        <v>18</v>
      </c>
      <c r="AT981" s="2">
        <v>55</v>
      </c>
      <c r="AU981" s="2">
        <v>4</v>
      </c>
      <c r="AV981" s="2">
        <v>22</v>
      </c>
      <c r="AW981" s="2">
        <v>1</v>
      </c>
      <c r="AX981" s="2">
        <v>0</v>
      </c>
      <c r="AZ981" s="2">
        <v>6.8</v>
      </c>
      <c r="BA981" s="2">
        <v>19.899999999999999</v>
      </c>
      <c r="BB981" s="2">
        <v>564</v>
      </c>
      <c r="BC981" s="2">
        <v>68</v>
      </c>
      <c r="BD981" s="2">
        <v>1.5</v>
      </c>
      <c r="BE981" s="2">
        <v>135</v>
      </c>
      <c r="BF981" s="2">
        <v>0.8</v>
      </c>
      <c r="BG981" s="2">
        <v>162</v>
      </c>
      <c r="BH981" s="2">
        <v>9.1</v>
      </c>
      <c r="BI981" s="2">
        <v>9.1999999999999993</v>
      </c>
      <c r="BJ981" s="2">
        <v>18.3</v>
      </c>
      <c r="BK981" s="2">
        <v>0.34</v>
      </c>
      <c r="BL981" s="2">
        <v>7.3</v>
      </c>
      <c r="BM981" s="2">
        <v>0.9</v>
      </c>
      <c r="BN981" s="2">
        <v>7.5</v>
      </c>
      <c r="BO981" s="2">
        <v>2.9</v>
      </c>
      <c r="BP981" s="2">
        <f t="shared" si="30"/>
        <v>5.8937152141683216</v>
      </c>
      <c r="BQ981" s="2">
        <f t="shared" si="31"/>
        <v>18.566686399703276</v>
      </c>
    </row>
    <row r="982" spans="1:69" x14ac:dyDescent="0.2">
      <c r="A982" s="2" t="s">
        <v>4028</v>
      </c>
      <c r="B982" s="2" t="s">
        <v>47</v>
      </c>
      <c r="C982" s="2" t="s">
        <v>3273</v>
      </c>
      <c r="D982" s="2" t="s">
        <v>49</v>
      </c>
      <c r="E982" s="2" t="s">
        <v>3777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89</v>
      </c>
      <c r="L982" s="6" t="s">
        <v>103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4029</v>
      </c>
      <c r="R982" s="2">
        <v>7090909.091</v>
      </c>
      <c r="S982" s="2">
        <v>0</v>
      </c>
      <c r="T982" s="2" t="s">
        <v>105</v>
      </c>
      <c r="U982" s="2" t="s">
        <v>106</v>
      </c>
      <c r="V982" s="2" t="s">
        <v>56</v>
      </c>
      <c r="W982" s="2" t="s">
        <v>107</v>
      </c>
      <c r="X982" s="2" t="s">
        <v>108</v>
      </c>
      <c r="Y982" s="2">
        <v>1.8897271561331901</v>
      </c>
      <c r="Z982" s="2">
        <v>1889.72715613319</v>
      </c>
      <c r="AA982" s="2">
        <v>4.6254861111111101</v>
      </c>
      <c r="AB982" s="2">
        <v>-74.066980555555503</v>
      </c>
      <c r="AC982" s="2">
        <v>2621</v>
      </c>
      <c r="AD982" s="2">
        <v>15</v>
      </c>
      <c r="AE982" s="2" t="s">
        <v>59</v>
      </c>
      <c r="AF982" s="2" t="s">
        <v>60</v>
      </c>
      <c r="AG982" s="2" t="s">
        <v>61</v>
      </c>
      <c r="AH982" s="2" t="s">
        <v>62</v>
      </c>
      <c r="AI982" s="2" t="s">
        <v>63</v>
      </c>
      <c r="AJ982" s="2">
        <v>0.15000161370454701</v>
      </c>
      <c r="AK982" s="2">
        <v>2.1013795210903701</v>
      </c>
      <c r="AL982" s="2">
        <v>0.22441009641596299</v>
      </c>
      <c r="AM982" s="2">
        <v>1.7120924186914601E-2</v>
      </c>
      <c r="AN982" s="2">
        <v>1.7508864378421001</v>
      </c>
      <c r="AO982" s="2">
        <v>0.57466715507520905</v>
      </c>
      <c r="AP982" s="2">
        <v>0.57466715507520905</v>
      </c>
      <c r="AQ982" s="2">
        <v>1</v>
      </c>
      <c r="AR982" s="2">
        <v>4</v>
      </c>
      <c r="AS982" s="2">
        <v>0</v>
      </c>
      <c r="AT982" s="2">
        <v>0</v>
      </c>
      <c r="AU982" s="2">
        <v>6</v>
      </c>
      <c r="AV982" s="2">
        <v>91</v>
      </c>
      <c r="AW982" s="2">
        <v>0</v>
      </c>
      <c r="AX982" s="2">
        <v>0</v>
      </c>
      <c r="AZ982" s="2">
        <v>6.8</v>
      </c>
      <c r="BA982" s="2">
        <v>19.899999999999999</v>
      </c>
      <c r="BB982" s="2">
        <v>564</v>
      </c>
      <c r="BC982" s="2">
        <v>68</v>
      </c>
      <c r="BD982" s="2">
        <v>1.5</v>
      </c>
      <c r="BE982" s="2">
        <v>135</v>
      </c>
      <c r="BF982" s="2">
        <v>0.8</v>
      </c>
      <c r="BG982" s="2">
        <v>162</v>
      </c>
      <c r="BH982" s="2">
        <v>9.1</v>
      </c>
      <c r="BI982" s="2">
        <v>9.1999999999999993</v>
      </c>
      <c r="BJ982" s="2">
        <v>18.3</v>
      </c>
      <c r="BK982" s="2">
        <v>0.34</v>
      </c>
      <c r="BL982" s="2">
        <v>7.3</v>
      </c>
      <c r="BM982" s="2">
        <v>0.9</v>
      </c>
      <c r="BN982" s="2">
        <v>7.5</v>
      </c>
      <c r="BO982" s="2">
        <v>2.9</v>
      </c>
      <c r="BP982" s="2">
        <f t="shared" si="30"/>
        <v>6.1927615493034738</v>
      </c>
      <c r="BQ982" s="2">
        <f t="shared" si="31"/>
        <v>19.017626886969634</v>
      </c>
    </row>
    <row r="983" spans="1:69" x14ac:dyDescent="0.2">
      <c r="A983" s="2" t="s">
        <v>651</v>
      </c>
      <c r="B983" s="2" t="s">
        <v>47</v>
      </c>
      <c r="C983" s="2" t="s">
        <v>48</v>
      </c>
      <c r="D983" s="2" t="s">
        <v>49</v>
      </c>
      <c r="E983" s="2" t="s">
        <v>652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89</v>
      </c>
      <c r="L983" s="6" t="s">
        <v>90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653</v>
      </c>
      <c r="R983" s="2">
        <v>6272727.273</v>
      </c>
      <c r="S983" s="2">
        <v>0</v>
      </c>
      <c r="T983" s="2" t="s">
        <v>54</v>
      </c>
      <c r="U983" s="2" t="s">
        <v>55</v>
      </c>
      <c r="V983" s="2" t="s">
        <v>56</v>
      </c>
      <c r="W983" s="2" t="s">
        <v>57</v>
      </c>
      <c r="X983" s="2" t="s">
        <v>58</v>
      </c>
      <c r="Y983" s="2">
        <v>2.2134238392532399</v>
      </c>
      <c r="Z983" s="2">
        <v>2213.4238392532402</v>
      </c>
      <c r="AA983" s="2">
        <v>4.6584666666666701</v>
      </c>
      <c r="AB983" s="2">
        <v>-74.083966666666697</v>
      </c>
      <c r="AC983" s="2">
        <v>2552</v>
      </c>
      <c r="AD983" s="2">
        <v>0</v>
      </c>
      <c r="AE983" s="2" t="s">
        <v>59</v>
      </c>
      <c r="AF983" s="2" t="s">
        <v>60</v>
      </c>
      <c r="AG983" s="2" t="s">
        <v>61</v>
      </c>
      <c r="AH983" s="2" t="s">
        <v>62</v>
      </c>
      <c r="AI983" s="2" t="s">
        <v>321</v>
      </c>
      <c r="AJ983" s="2">
        <v>0.406375873866338</v>
      </c>
      <c r="AK983" s="2">
        <v>3.76894591210741</v>
      </c>
      <c r="AL983" s="2">
        <v>1.0894751786660299</v>
      </c>
      <c r="AM983" s="2">
        <v>7.9422478938128899E-2</v>
      </c>
      <c r="AN983" s="2">
        <v>0.66048564956645806</v>
      </c>
      <c r="AO983" s="2">
        <v>3.4119630507472798E-2</v>
      </c>
      <c r="AP983" s="2">
        <v>3.4119630507472798E-2</v>
      </c>
      <c r="AQ983" s="2">
        <v>1</v>
      </c>
      <c r="AR983" s="2">
        <v>4</v>
      </c>
      <c r="AS983" s="2">
        <v>0</v>
      </c>
      <c r="AT983" s="2">
        <v>0</v>
      </c>
      <c r="AU983" s="2">
        <v>0</v>
      </c>
      <c r="AV983" s="2">
        <v>15</v>
      </c>
      <c r="AW983" s="2">
        <v>1</v>
      </c>
      <c r="AX983" s="2">
        <v>0</v>
      </c>
      <c r="AZ983" s="2">
        <v>6.8</v>
      </c>
      <c r="BA983" s="2">
        <v>19.899999999999999</v>
      </c>
      <c r="BB983" s="2">
        <v>564</v>
      </c>
      <c r="BC983" s="2">
        <v>68</v>
      </c>
      <c r="BD983" s="2">
        <v>1.5</v>
      </c>
      <c r="BE983" s="2">
        <v>135</v>
      </c>
      <c r="BF983" s="2">
        <v>0.8</v>
      </c>
      <c r="BG983" s="2">
        <v>162</v>
      </c>
      <c r="BH983" s="2">
        <v>9.1</v>
      </c>
      <c r="BI983" s="2">
        <v>9.1999999999999993</v>
      </c>
      <c r="BJ983" s="2">
        <v>18.3</v>
      </c>
      <c r="BK983" s="2">
        <v>0.34</v>
      </c>
      <c r="BL983" s="2">
        <v>7.3</v>
      </c>
      <c r="BM983" s="2">
        <v>0.9</v>
      </c>
      <c r="BN983" s="2">
        <v>7.5</v>
      </c>
      <c r="BO983" s="2">
        <v>2.9</v>
      </c>
      <c r="BP983" s="2">
        <f t="shared" si="30"/>
        <v>6.0943257426067978</v>
      </c>
      <c r="BQ983" s="2">
        <f t="shared" si="31"/>
        <v>18.870456663448916</v>
      </c>
    </row>
    <row r="984" spans="1:69" x14ac:dyDescent="0.2">
      <c r="A984" s="2" t="s">
        <v>772</v>
      </c>
      <c r="B984" s="2" t="s">
        <v>47</v>
      </c>
      <c r="C984" s="2" t="s">
        <v>48</v>
      </c>
      <c r="D984" s="2" t="s">
        <v>49</v>
      </c>
      <c r="E984" s="2" t="s">
        <v>773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51</v>
      </c>
      <c r="L984" s="6" t="s">
        <v>52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774</v>
      </c>
      <c r="R984" s="2">
        <v>4264298.7249999996</v>
      </c>
      <c r="S984" s="2">
        <v>0</v>
      </c>
      <c r="T984" s="2" t="s">
        <v>344</v>
      </c>
      <c r="U984" s="2" t="s">
        <v>345</v>
      </c>
      <c r="V984" s="2" t="s">
        <v>56</v>
      </c>
      <c r="W984" s="2" t="s">
        <v>344</v>
      </c>
      <c r="X984" s="2" t="s">
        <v>346</v>
      </c>
      <c r="Y984" s="2">
        <v>2.6751795149599298</v>
      </c>
      <c r="Z984" s="2">
        <v>2675.1795149599302</v>
      </c>
      <c r="AA984" s="2">
        <v>4.6056111111111102</v>
      </c>
      <c r="AB984" s="2">
        <v>-74.204055555555598</v>
      </c>
      <c r="AC984" s="2">
        <v>2546</v>
      </c>
      <c r="AD984" s="2">
        <v>0</v>
      </c>
      <c r="AE984" s="2" t="s">
        <v>59</v>
      </c>
      <c r="AF984" s="2" t="s">
        <v>86</v>
      </c>
      <c r="AG984" s="2" t="s">
        <v>61</v>
      </c>
      <c r="AH984" s="2" t="s">
        <v>62</v>
      </c>
      <c r="AI984" s="2" t="s">
        <v>347</v>
      </c>
      <c r="AJ984" s="2">
        <v>3.82822816552018</v>
      </c>
      <c r="AK984" s="2">
        <v>0.61157518878163797</v>
      </c>
      <c r="AL984" s="2">
        <v>8.6361610867448295</v>
      </c>
      <c r="AM984" s="2">
        <v>1.38699368470878</v>
      </c>
      <c r="AN984" s="2">
        <v>3.9687514046329899</v>
      </c>
      <c r="AO984" s="2">
        <v>0.19560391940189301</v>
      </c>
      <c r="AP984" s="2">
        <v>0.19560391940189301</v>
      </c>
      <c r="AQ984" s="2">
        <v>0</v>
      </c>
      <c r="AR984" s="2">
        <v>0</v>
      </c>
      <c r="AS984" s="2">
        <v>0</v>
      </c>
      <c r="AT984" s="2">
        <v>5</v>
      </c>
      <c r="AU984" s="2">
        <v>0</v>
      </c>
      <c r="AV984" s="2">
        <v>0</v>
      </c>
      <c r="AW984" s="2">
        <v>0</v>
      </c>
      <c r="AX984" s="2">
        <v>0</v>
      </c>
      <c r="AZ984" s="2">
        <v>6.8</v>
      </c>
      <c r="BA984" s="2">
        <v>19.899999999999999</v>
      </c>
      <c r="BB984" s="2">
        <v>564</v>
      </c>
      <c r="BC984" s="2">
        <v>68</v>
      </c>
      <c r="BD984" s="2">
        <v>1.5</v>
      </c>
      <c r="BE984" s="2">
        <v>135</v>
      </c>
      <c r="BF984" s="2">
        <v>0.8</v>
      </c>
      <c r="BG984" s="2">
        <v>162</v>
      </c>
      <c r="BH984" s="2">
        <v>9.1</v>
      </c>
      <c r="BI984" s="2">
        <v>9.1999999999999993</v>
      </c>
      <c r="BJ984" s="2">
        <v>18.3</v>
      </c>
      <c r="BK984" s="2">
        <v>0.34</v>
      </c>
      <c r="BL984" s="2">
        <v>7.3</v>
      </c>
      <c r="BM984" s="2">
        <v>0.9</v>
      </c>
      <c r="BN984" s="2">
        <v>7.5</v>
      </c>
      <c r="BO984" s="2">
        <v>2.9</v>
      </c>
      <c r="BP984" s="2">
        <f t="shared" si="30"/>
        <v>5.9566082063702854</v>
      </c>
      <c r="BQ984" s="2">
        <f t="shared" si="31"/>
        <v>18.662486199200185</v>
      </c>
    </row>
    <row r="985" spans="1:69" x14ac:dyDescent="0.2">
      <c r="A985" s="2" t="s">
        <v>1609</v>
      </c>
      <c r="B985" s="2" t="s">
        <v>47</v>
      </c>
      <c r="C985" s="2" t="s">
        <v>48</v>
      </c>
      <c r="D985" s="2" t="s">
        <v>49</v>
      </c>
      <c r="E985" s="2" t="s">
        <v>606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89</v>
      </c>
      <c r="L985" s="6" t="s">
        <v>112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1610</v>
      </c>
      <c r="R985" s="2">
        <v>6806475.3499999996</v>
      </c>
      <c r="S985" s="2">
        <v>0</v>
      </c>
      <c r="T985" s="2" t="s">
        <v>398</v>
      </c>
      <c r="U985" s="2" t="s">
        <v>399</v>
      </c>
      <c r="V985" s="2" t="s">
        <v>56</v>
      </c>
      <c r="W985" s="2" t="s">
        <v>57</v>
      </c>
      <c r="X985" s="2" t="s">
        <v>400</v>
      </c>
      <c r="Y985" s="2">
        <v>1.4035620053458999</v>
      </c>
      <c r="Z985" s="2">
        <v>1403.5620053458999</v>
      </c>
      <c r="AA985" s="2">
        <v>4.7358055555555598</v>
      </c>
      <c r="AB985" s="2">
        <v>-74.125888888888895</v>
      </c>
      <c r="AC985" s="2">
        <v>2574</v>
      </c>
      <c r="AD985" s="2">
        <v>0</v>
      </c>
      <c r="AE985" s="2" t="s">
        <v>133</v>
      </c>
      <c r="AF985" s="2" t="s">
        <v>86</v>
      </c>
      <c r="AG985" s="2" t="s">
        <v>61</v>
      </c>
      <c r="AH985" s="2" t="s">
        <v>62</v>
      </c>
      <c r="AI985" s="2" t="s">
        <v>391</v>
      </c>
      <c r="AJ985" s="2">
        <v>2.2863482310510999</v>
      </c>
      <c r="AK985" s="2">
        <v>0.15029786043335</v>
      </c>
      <c r="AL985" s="2">
        <v>3.9560573403333601</v>
      </c>
      <c r="AM985" s="2">
        <v>0.255207974049179</v>
      </c>
      <c r="AN985" s="2">
        <v>3.5677369490930499</v>
      </c>
      <c r="AO985" s="2">
        <v>4.92918903147268E-3</v>
      </c>
      <c r="AP985" s="2">
        <v>4.92918903147268E-3</v>
      </c>
      <c r="AQ985" s="2">
        <v>0</v>
      </c>
      <c r="AR985" s="2">
        <v>0</v>
      </c>
      <c r="AS985" s="2">
        <v>9</v>
      </c>
      <c r="AT985" s="2">
        <v>12</v>
      </c>
      <c r="AU985" s="2">
        <v>0</v>
      </c>
      <c r="AV985" s="2">
        <v>4</v>
      </c>
      <c r="AW985" s="2">
        <v>0</v>
      </c>
      <c r="AX985" s="2">
        <v>0</v>
      </c>
      <c r="AZ985" s="2">
        <v>6.8</v>
      </c>
      <c r="BA985" s="2">
        <v>19.899999999999999</v>
      </c>
      <c r="BB985" s="2">
        <v>564</v>
      </c>
      <c r="BC985" s="2">
        <v>68</v>
      </c>
      <c r="BD985" s="2">
        <v>1.5</v>
      </c>
      <c r="BE985" s="2">
        <v>135</v>
      </c>
      <c r="BF985" s="2">
        <v>0.8</v>
      </c>
      <c r="BG985" s="2">
        <v>162</v>
      </c>
      <c r="BH985" s="2">
        <v>9.1</v>
      </c>
      <c r="BI985" s="2">
        <v>9.1999999999999993</v>
      </c>
      <c r="BJ985" s="2">
        <v>18.3</v>
      </c>
      <c r="BK985" s="2">
        <v>0.34</v>
      </c>
      <c r="BL985" s="2">
        <v>7.3</v>
      </c>
      <c r="BM985" s="2">
        <v>0.9</v>
      </c>
      <c r="BN985" s="2">
        <v>7.5</v>
      </c>
      <c r="BO985" s="2">
        <v>2.9</v>
      </c>
      <c r="BP985" s="2">
        <f t="shared" si="30"/>
        <v>6.3435991263285763</v>
      </c>
      <c r="BQ985" s="2">
        <f t="shared" si="31"/>
        <v>19.240823458155813</v>
      </c>
    </row>
    <row r="986" spans="1:69" x14ac:dyDescent="0.2">
      <c r="A986" s="2" t="s">
        <v>4197</v>
      </c>
      <c r="B986" s="2" t="s">
        <v>47</v>
      </c>
      <c r="C986" s="2" t="s">
        <v>3273</v>
      </c>
      <c r="D986" s="2" t="s">
        <v>49</v>
      </c>
      <c r="E986" s="2" t="s">
        <v>1509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89</v>
      </c>
      <c r="L986" s="6" t="s">
        <v>90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4198</v>
      </c>
      <c r="R986" s="2">
        <v>12222222.220000001</v>
      </c>
      <c r="S986" s="2">
        <v>0</v>
      </c>
      <c r="T986" s="2" t="s">
        <v>105</v>
      </c>
      <c r="U986" s="2" t="s">
        <v>106</v>
      </c>
      <c r="V986" s="2" t="s">
        <v>56</v>
      </c>
      <c r="W986" s="2" t="s">
        <v>107</v>
      </c>
      <c r="X986" s="2" t="s">
        <v>108</v>
      </c>
      <c r="Y986" s="2">
        <v>0.80870900730704798</v>
      </c>
      <c r="Z986" s="2">
        <v>808.70900730704795</v>
      </c>
      <c r="AA986" s="2">
        <v>4.6254861111111101</v>
      </c>
      <c r="AB986" s="2">
        <v>-74.066980555555503</v>
      </c>
      <c r="AC986" s="2">
        <v>2621</v>
      </c>
      <c r="AD986" s="2">
        <v>15</v>
      </c>
      <c r="AE986" s="2" t="s">
        <v>59</v>
      </c>
      <c r="AF986" s="2" t="s">
        <v>60</v>
      </c>
      <c r="AG986" s="2" t="s">
        <v>61</v>
      </c>
      <c r="AH986" s="2" t="s">
        <v>62</v>
      </c>
      <c r="AI986" s="2" t="s">
        <v>117</v>
      </c>
      <c r="AJ986" s="2">
        <v>0.37728943586000002</v>
      </c>
      <c r="AK986" s="2">
        <v>0.54814671608964205</v>
      </c>
      <c r="AL986" s="2">
        <v>0.33706103228955397</v>
      </c>
      <c r="AM986" s="2">
        <v>6.9678573708152197E-2</v>
      </c>
      <c r="AN986" s="2">
        <v>0.35535215647576401</v>
      </c>
      <c r="AO986" s="2">
        <v>0.14293296740255401</v>
      </c>
      <c r="AP986" s="2">
        <v>0.14293296740255401</v>
      </c>
      <c r="AQ986" s="2">
        <v>2</v>
      </c>
      <c r="AR986" s="2">
        <v>7</v>
      </c>
      <c r="AS986" s="2">
        <v>0</v>
      </c>
      <c r="AT986" s="2">
        <v>6</v>
      </c>
      <c r="AU986" s="2">
        <v>12</v>
      </c>
      <c r="AV986" s="2">
        <v>68</v>
      </c>
      <c r="AW986" s="2">
        <v>1</v>
      </c>
      <c r="AX986" s="2">
        <v>2</v>
      </c>
      <c r="AZ986" s="2">
        <v>6.8</v>
      </c>
      <c r="BA986" s="2">
        <v>19.899999999999999</v>
      </c>
      <c r="BB986" s="2">
        <v>564</v>
      </c>
      <c r="BC986" s="2">
        <v>68</v>
      </c>
      <c r="BD986" s="2">
        <v>1.5</v>
      </c>
      <c r="BE986" s="2">
        <v>135</v>
      </c>
      <c r="BF986" s="2">
        <v>0.8</v>
      </c>
      <c r="BG986" s="2">
        <v>162</v>
      </c>
      <c r="BH986" s="2">
        <v>9.1</v>
      </c>
      <c r="BI986" s="2">
        <v>9.1999999999999993</v>
      </c>
      <c r="BJ986" s="2">
        <v>18.3</v>
      </c>
      <c r="BK986" s="2">
        <v>0.34</v>
      </c>
      <c r="BL986" s="2">
        <v>7.3</v>
      </c>
      <c r="BM986" s="2">
        <v>0.9</v>
      </c>
      <c r="BN986" s="2">
        <v>7.5</v>
      </c>
      <c r="BO986" s="2">
        <v>2.9</v>
      </c>
      <c r="BP986" s="2">
        <f t="shared" si="30"/>
        <v>6.5331650286809468</v>
      </c>
      <c r="BQ986" s="2">
        <f t="shared" si="31"/>
        <v>19.517484708879476</v>
      </c>
    </row>
    <row r="987" spans="1:69" x14ac:dyDescent="0.2">
      <c r="A987" s="2" t="s">
        <v>3537</v>
      </c>
      <c r="B987" s="2" t="s">
        <v>47</v>
      </c>
      <c r="C987" s="2" t="s">
        <v>3273</v>
      </c>
      <c r="D987" s="2" t="s">
        <v>49</v>
      </c>
      <c r="E987" s="2" t="s">
        <v>3538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89</v>
      </c>
      <c r="L987" s="6" t="s">
        <v>112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3539</v>
      </c>
      <c r="R987" s="2">
        <v>11111111.109999999</v>
      </c>
      <c r="S987" s="2">
        <v>0</v>
      </c>
      <c r="T987" s="2" t="s">
        <v>105</v>
      </c>
      <c r="U987" s="2" t="s">
        <v>106</v>
      </c>
      <c r="V987" s="2" t="s">
        <v>56</v>
      </c>
      <c r="W987" s="2" t="s">
        <v>107</v>
      </c>
      <c r="X987" s="2" t="s">
        <v>108</v>
      </c>
      <c r="Y987" s="2">
        <v>0.70021011849888604</v>
      </c>
      <c r="Z987" s="2">
        <v>700.210118498886</v>
      </c>
      <c r="AA987" s="2">
        <v>4.6254861111111101</v>
      </c>
      <c r="AB987" s="2">
        <v>-74.066980555555503</v>
      </c>
      <c r="AC987" s="2">
        <v>2621</v>
      </c>
      <c r="AD987" s="2">
        <v>15</v>
      </c>
      <c r="AE987" s="2" t="s">
        <v>59</v>
      </c>
      <c r="AF987" s="2" t="s">
        <v>60</v>
      </c>
      <c r="AG987" s="2" t="s">
        <v>61</v>
      </c>
      <c r="AH987" s="2" t="s">
        <v>62</v>
      </c>
      <c r="AI987" s="2" t="s">
        <v>117</v>
      </c>
      <c r="AJ987" s="2">
        <v>0.437110709726445</v>
      </c>
      <c r="AK987" s="2">
        <v>0.51822644484147695</v>
      </c>
      <c r="AL987" s="2">
        <v>0.19519738183201299</v>
      </c>
      <c r="AM987" s="2">
        <v>0.13292359280176899</v>
      </c>
      <c r="AN987" s="2">
        <v>0.43452513969567502</v>
      </c>
      <c r="AO987" s="2">
        <v>0.10740463668863</v>
      </c>
      <c r="AP987" s="2">
        <v>0.10740463668863</v>
      </c>
      <c r="AQ987" s="2">
        <v>1</v>
      </c>
      <c r="AR987" s="2">
        <v>5</v>
      </c>
      <c r="AS987" s="2">
        <v>0</v>
      </c>
      <c r="AT987" s="2">
        <v>8</v>
      </c>
      <c r="AU987" s="2">
        <v>13</v>
      </c>
      <c r="AV987" s="2">
        <v>69</v>
      </c>
      <c r="AW987" s="2">
        <v>2</v>
      </c>
      <c r="AX987" s="2">
        <v>2</v>
      </c>
      <c r="AZ987" s="2">
        <v>6.8</v>
      </c>
      <c r="BA987" s="2">
        <v>19.899999999999999</v>
      </c>
      <c r="BB987" s="2">
        <v>564</v>
      </c>
      <c r="BC987" s="2">
        <v>68</v>
      </c>
      <c r="BD987" s="2">
        <v>1.5</v>
      </c>
      <c r="BE987" s="2">
        <v>135</v>
      </c>
      <c r="BF987" s="2">
        <v>0.8</v>
      </c>
      <c r="BG987" s="2">
        <v>162</v>
      </c>
      <c r="BH987" s="2">
        <v>9.1</v>
      </c>
      <c r="BI987" s="2">
        <v>9.1999999999999993</v>
      </c>
      <c r="BJ987" s="2">
        <v>18.3</v>
      </c>
      <c r="BK987" s="2">
        <v>0.34</v>
      </c>
      <c r="BL987" s="2">
        <v>7.3</v>
      </c>
      <c r="BM987" s="2">
        <v>0.9</v>
      </c>
      <c r="BN987" s="2">
        <v>7.5</v>
      </c>
      <c r="BO987" s="2">
        <v>2.9</v>
      </c>
      <c r="BP987" s="2">
        <f t="shared" si="30"/>
        <v>6.5683470568128737</v>
      </c>
      <c r="BQ987" s="2">
        <f t="shared" si="31"/>
        <v>19.568373946911382</v>
      </c>
    </row>
    <row r="988" spans="1:69" x14ac:dyDescent="0.2">
      <c r="A988" s="2" t="s">
        <v>4195</v>
      </c>
      <c r="B988" s="2" t="s">
        <v>47</v>
      </c>
      <c r="C988" s="2" t="s">
        <v>3273</v>
      </c>
      <c r="D988" s="2" t="s">
        <v>49</v>
      </c>
      <c r="E988" s="2" t="s">
        <v>87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89</v>
      </c>
      <c r="L988" s="6" t="s">
        <v>90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4196</v>
      </c>
      <c r="R988" s="2">
        <v>7870370.3700000001</v>
      </c>
      <c r="S988" s="2">
        <v>0</v>
      </c>
      <c r="T988" s="2" t="s">
        <v>105</v>
      </c>
      <c r="U988" s="2" t="s">
        <v>106</v>
      </c>
      <c r="V988" s="2" t="s">
        <v>56</v>
      </c>
      <c r="W988" s="2" t="s">
        <v>107</v>
      </c>
      <c r="X988" s="2" t="s">
        <v>108</v>
      </c>
      <c r="Y988" s="2">
        <v>2.1402561574389298</v>
      </c>
      <c r="Z988" s="2">
        <v>2140.2561574389301</v>
      </c>
      <c r="AA988" s="2">
        <v>4.6254861111111101</v>
      </c>
      <c r="AB988" s="2">
        <v>-74.066980555555503</v>
      </c>
      <c r="AC988" s="2">
        <v>2621</v>
      </c>
      <c r="AD988" s="2">
        <v>15</v>
      </c>
      <c r="AE988" s="2" t="s">
        <v>59</v>
      </c>
      <c r="AF988" s="2" t="s">
        <v>60</v>
      </c>
      <c r="AG988" s="2" t="s">
        <v>61</v>
      </c>
      <c r="AH988" s="2" t="s">
        <v>62</v>
      </c>
      <c r="AI988" s="2" t="s">
        <v>117</v>
      </c>
      <c r="AJ988" s="2">
        <v>0.29008746862006501</v>
      </c>
      <c r="AK988" s="2">
        <v>0.77934653195057702</v>
      </c>
      <c r="AL988" s="2">
        <v>0.133869760857704</v>
      </c>
      <c r="AM988" s="2">
        <v>0.14893351680112499</v>
      </c>
      <c r="AN988" s="2">
        <v>1.1095532551276599</v>
      </c>
      <c r="AO988" s="2">
        <v>0.10054457565418499</v>
      </c>
      <c r="AP988" s="2">
        <v>0.10054457565418499</v>
      </c>
      <c r="AQ988" s="2">
        <v>2</v>
      </c>
      <c r="AR988" s="2">
        <v>10</v>
      </c>
      <c r="AS988" s="2">
        <v>0</v>
      </c>
      <c r="AT988" s="2">
        <v>22</v>
      </c>
      <c r="AU988" s="2">
        <v>14</v>
      </c>
      <c r="AV988" s="2">
        <v>58</v>
      </c>
      <c r="AW988" s="2">
        <v>0</v>
      </c>
      <c r="AX988" s="2">
        <v>8</v>
      </c>
      <c r="AZ988" s="2">
        <v>6.8</v>
      </c>
      <c r="BA988" s="2">
        <v>19.899999999999999</v>
      </c>
      <c r="BB988" s="2">
        <v>564</v>
      </c>
      <c r="BC988" s="2">
        <v>68</v>
      </c>
      <c r="BD988" s="2">
        <v>1.5</v>
      </c>
      <c r="BE988" s="2">
        <v>135</v>
      </c>
      <c r="BF988" s="2">
        <v>0.8</v>
      </c>
      <c r="BG988" s="2">
        <v>162</v>
      </c>
      <c r="BH988" s="2">
        <v>9.1</v>
      </c>
      <c r="BI988" s="2">
        <v>9.1999999999999993</v>
      </c>
      <c r="BJ988" s="2">
        <v>18.3</v>
      </c>
      <c r="BK988" s="2">
        <v>0.34</v>
      </c>
      <c r="BL988" s="2">
        <v>7.3</v>
      </c>
      <c r="BM988" s="2">
        <v>0.9</v>
      </c>
      <c r="BN988" s="2">
        <v>7.5</v>
      </c>
      <c r="BO988" s="2">
        <v>2.9</v>
      </c>
      <c r="BP988" s="2">
        <f t="shared" si="30"/>
        <v>6.1164381923702731</v>
      </c>
      <c r="BQ988" s="2">
        <f t="shared" si="31"/>
        <v>18.903622756812478</v>
      </c>
    </row>
    <row r="989" spans="1:69" x14ac:dyDescent="0.2">
      <c r="A989" s="2" t="s">
        <v>4221</v>
      </c>
      <c r="B989" s="2" t="s">
        <v>47</v>
      </c>
      <c r="C989" s="2" t="s">
        <v>3273</v>
      </c>
      <c r="D989" s="2" t="s">
        <v>49</v>
      </c>
      <c r="E989" s="2" t="s">
        <v>790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89</v>
      </c>
      <c r="L989" s="6" t="s">
        <v>103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4222</v>
      </c>
      <c r="R989" s="2">
        <v>7037037.0369999995</v>
      </c>
      <c r="S989" s="2">
        <v>0</v>
      </c>
      <c r="T989" s="2" t="s">
        <v>105</v>
      </c>
      <c r="U989" s="2" t="s">
        <v>106</v>
      </c>
      <c r="V989" s="2" t="s">
        <v>56</v>
      </c>
      <c r="W989" s="2" t="s">
        <v>107</v>
      </c>
      <c r="X989" s="2" t="s">
        <v>108</v>
      </c>
      <c r="Y989" s="2">
        <v>2.5719187403758199</v>
      </c>
      <c r="Z989" s="2">
        <v>2571.9187403758201</v>
      </c>
      <c r="AA989" s="2">
        <v>4.6254861111111101</v>
      </c>
      <c r="AB989" s="2">
        <v>-74.066980555555503</v>
      </c>
      <c r="AC989" s="2">
        <v>2621</v>
      </c>
      <c r="AD989" s="2">
        <v>15</v>
      </c>
      <c r="AE989" s="2" t="s">
        <v>59</v>
      </c>
      <c r="AF989" s="2" t="s">
        <v>60</v>
      </c>
      <c r="AG989" s="2" t="s">
        <v>61</v>
      </c>
      <c r="AH989" s="2" t="s">
        <v>62</v>
      </c>
      <c r="AI989" s="2" t="s">
        <v>109</v>
      </c>
      <c r="AJ989" s="2">
        <v>0.46331278925005198</v>
      </c>
      <c r="AK989" s="2">
        <v>0.81395841409107605</v>
      </c>
      <c r="AL989" s="2">
        <v>9.7119936283234107E-2</v>
      </c>
      <c r="AM989" s="2">
        <v>0.101232668154594</v>
      </c>
      <c r="AN989" s="2">
        <v>0.72558740438689495</v>
      </c>
      <c r="AO989" s="2">
        <v>0.193257046899343</v>
      </c>
      <c r="AP989" s="2">
        <v>0.193257046899343</v>
      </c>
      <c r="AQ989" s="2">
        <v>1</v>
      </c>
      <c r="AR989" s="2">
        <v>3</v>
      </c>
      <c r="AS989" s="2">
        <v>0</v>
      </c>
      <c r="AT989" s="2">
        <v>12</v>
      </c>
      <c r="AU989" s="2">
        <v>14</v>
      </c>
      <c r="AV989" s="2">
        <v>77</v>
      </c>
      <c r="AW989" s="2">
        <v>1</v>
      </c>
      <c r="AX989" s="2">
        <v>0</v>
      </c>
      <c r="AZ989" s="2">
        <v>6.8</v>
      </c>
      <c r="BA989" s="2">
        <v>19.899999999999999</v>
      </c>
      <c r="BB989" s="2">
        <v>564</v>
      </c>
      <c r="BC989" s="2">
        <v>68</v>
      </c>
      <c r="BD989" s="2">
        <v>1.5</v>
      </c>
      <c r="BE989" s="2">
        <v>135</v>
      </c>
      <c r="BF989" s="2">
        <v>0.8</v>
      </c>
      <c r="BG989" s="2">
        <v>162</v>
      </c>
      <c r="BH989" s="2">
        <v>9.1</v>
      </c>
      <c r="BI989" s="2">
        <v>9.1999999999999993</v>
      </c>
      <c r="BJ989" s="2">
        <v>18.3</v>
      </c>
      <c r="BK989" s="2">
        <v>0.34</v>
      </c>
      <c r="BL989" s="2">
        <v>7.3</v>
      </c>
      <c r="BM989" s="2">
        <v>0.9</v>
      </c>
      <c r="BN989" s="2">
        <v>7.5</v>
      </c>
      <c r="BO989" s="2">
        <v>2.9</v>
      </c>
      <c r="BP989" s="2">
        <f t="shared" si="30"/>
        <v>5.9871328086407987</v>
      </c>
      <c r="BQ989" s="2">
        <f t="shared" si="31"/>
        <v>18.708794023615297</v>
      </c>
    </row>
    <row r="990" spans="1:69" x14ac:dyDescent="0.2">
      <c r="A990" s="2" t="s">
        <v>4341</v>
      </c>
      <c r="B990" s="2" t="s">
        <v>47</v>
      </c>
      <c r="C990" s="2" t="s">
        <v>3273</v>
      </c>
      <c r="D990" s="2" t="s">
        <v>49</v>
      </c>
      <c r="E990" s="2" t="s">
        <v>1509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89</v>
      </c>
      <c r="L990" s="6" t="s">
        <v>112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4342</v>
      </c>
      <c r="R990" s="2">
        <v>8540660.9729999993</v>
      </c>
      <c r="S990" s="2">
        <v>0</v>
      </c>
      <c r="T990" s="2" t="s">
        <v>105</v>
      </c>
      <c r="U990" s="2" t="s">
        <v>106</v>
      </c>
      <c r="V990" s="2" t="s">
        <v>56</v>
      </c>
      <c r="W990" s="2" t="s">
        <v>107</v>
      </c>
      <c r="X990" s="2" t="s">
        <v>108</v>
      </c>
      <c r="Y990" s="2">
        <v>0.80844720811516801</v>
      </c>
      <c r="Z990" s="2">
        <v>808.447208115168</v>
      </c>
      <c r="AA990" s="2">
        <v>4.6254861111111101</v>
      </c>
      <c r="AB990" s="2">
        <v>-74.066980555555503</v>
      </c>
      <c r="AC990" s="2">
        <v>2621</v>
      </c>
      <c r="AD990" s="2">
        <v>15</v>
      </c>
      <c r="AE990" s="2" t="s">
        <v>59</v>
      </c>
      <c r="AF990" s="2" t="s">
        <v>60</v>
      </c>
      <c r="AG990" s="2" t="s">
        <v>61</v>
      </c>
      <c r="AH990" s="2" t="s">
        <v>62</v>
      </c>
      <c r="AI990" s="2" t="s">
        <v>117</v>
      </c>
      <c r="AJ990" s="2">
        <v>0.377699870530816</v>
      </c>
      <c r="AK990" s="2">
        <v>0.54785569422110103</v>
      </c>
      <c r="AL990" s="2">
        <v>0.33665081448388201</v>
      </c>
      <c r="AM990" s="2">
        <v>6.9536496757347702E-2</v>
      </c>
      <c r="AN990" s="2">
        <v>0.35538351860973699</v>
      </c>
      <c r="AO990" s="2">
        <v>0.14341419106511899</v>
      </c>
      <c r="AP990" s="2">
        <v>0.14341419106511899</v>
      </c>
      <c r="AQ990" s="2">
        <v>2</v>
      </c>
      <c r="AR990" s="2">
        <v>7</v>
      </c>
      <c r="AS990" s="2">
        <v>0</v>
      </c>
      <c r="AT990" s="2">
        <v>6</v>
      </c>
      <c r="AU990" s="2">
        <v>12</v>
      </c>
      <c r="AV990" s="2">
        <v>68</v>
      </c>
      <c r="AW990" s="2">
        <v>1</v>
      </c>
      <c r="AX990" s="2">
        <v>2</v>
      </c>
      <c r="AZ990" s="2">
        <v>6.8</v>
      </c>
      <c r="BA990" s="2">
        <v>19.899999999999999</v>
      </c>
      <c r="BB990" s="2">
        <v>564</v>
      </c>
      <c r="BC990" s="2">
        <v>68</v>
      </c>
      <c r="BD990" s="2">
        <v>1.5</v>
      </c>
      <c r="BE990" s="2">
        <v>135</v>
      </c>
      <c r="BF990" s="2">
        <v>0.8</v>
      </c>
      <c r="BG990" s="2">
        <v>162</v>
      </c>
      <c r="BH990" s="2">
        <v>9.1</v>
      </c>
      <c r="BI990" s="2">
        <v>9.1999999999999993</v>
      </c>
      <c r="BJ990" s="2">
        <v>18.3</v>
      </c>
      <c r="BK990" s="2">
        <v>0.34</v>
      </c>
      <c r="BL990" s="2">
        <v>7.3</v>
      </c>
      <c r="BM990" s="2">
        <v>0.9</v>
      </c>
      <c r="BN990" s="2">
        <v>7.5</v>
      </c>
      <c r="BO990" s="2">
        <v>2.9</v>
      </c>
      <c r="BP990" s="2">
        <f t="shared" si="30"/>
        <v>6.5332496929071135</v>
      </c>
      <c r="BQ990" s="2">
        <f t="shared" si="31"/>
        <v>19.517607341146118</v>
      </c>
    </row>
    <row r="991" spans="1:69" x14ac:dyDescent="0.2">
      <c r="A991" s="2" t="s">
        <v>3305</v>
      </c>
      <c r="B991" s="2" t="s">
        <v>47</v>
      </c>
      <c r="C991" s="2" t="s">
        <v>3273</v>
      </c>
      <c r="D991" s="2" t="s">
        <v>49</v>
      </c>
      <c r="E991" s="2" t="s">
        <v>2500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89</v>
      </c>
      <c r="L991" s="6" t="s">
        <v>90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3306</v>
      </c>
      <c r="R991" s="2">
        <v>12224938.880000001</v>
      </c>
      <c r="S991" s="2">
        <v>0</v>
      </c>
      <c r="T991" s="2" t="s">
        <v>54</v>
      </c>
      <c r="U991" s="2" t="s">
        <v>55</v>
      </c>
      <c r="V991" s="2" t="s">
        <v>56</v>
      </c>
      <c r="W991" s="2" t="s">
        <v>57</v>
      </c>
      <c r="X991" s="2" t="s">
        <v>58</v>
      </c>
      <c r="Y991" s="2">
        <v>2.5467879479722999</v>
      </c>
      <c r="Z991" s="2">
        <v>2546.7879479723001</v>
      </c>
      <c r="AA991" s="2">
        <v>4.6584666666666701</v>
      </c>
      <c r="AB991" s="2">
        <v>-74.083966666666697</v>
      </c>
      <c r="AC991" s="2">
        <v>2552</v>
      </c>
      <c r="AD991" s="2">
        <v>0</v>
      </c>
      <c r="AE991" s="2" t="s">
        <v>59</v>
      </c>
      <c r="AF991" s="2" t="s">
        <v>60</v>
      </c>
      <c r="AG991" s="2" t="s">
        <v>61</v>
      </c>
      <c r="AH991" s="2" t="s">
        <v>62</v>
      </c>
      <c r="AI991" s="2" t="s">
        <v>321</v>
      </c>
      <c r="AJ991" s="2">
        <v>0.136890712308541</v>
      </c>
      <c r="AK991" s="2">
        <v>2.3076183359975002</v>
      </c>
      <c r="AL991" s="2">
        <v>0.80888925508398402</v>
      </c>
      <c r="AM991" s="2">
        <v>0.12815544697217901</v>
      </c>
      <c r="AN991" s="2">
        <v>1.89867080334959</v>
      </c>
      <c r="AO991" s="2">
        <v>4.7779363435587897E-2</v>
      </c>
      <c r="AP991" s="2">
        <v>4.7779363435587897E-2</v>
      </c>
      <c r="AQ991" s="2">
        <v>2</v>
      </c>
      <c r="AR991" s="2">
        <v>9</v>
      </c>
      <c r="AS991" s="2">
        <v>0</v>
      </c>
      <c r="AT991" s="2">
        <v>0</v>
      </c>
      <c r="AU991" s="2">
        <v>4</v>
      </c>
      <c r="AV991" s="2">
        <v>230</v>
      </c>
      <c r="AW991" s="2">
        <v>0</v>
      </c>
      <c r="AX991" s="2">
        <v>0</v>
      </c>
      <c r="AZ991" s="2">
        <v>6.8</v>
      </c>
      <c r="BA991" s="2">
        <v>19.899999999999999</v>
      </c>
      <c r="BB991" s="2">
        <v>564</v>
      </c>
      <c r="BC991" s="2">
        <v>68</v>
      </c>
      <c r="BD991" s="2">
        <v>1.5</v>
      </c>
      <c r="BE991" s="2">
        <v>135</v>
      </c>
      <c r="BF991" s="2">
        <v>0.8</v>
      </c>
      <c r="BG991" s="2">
        <v>162</v>
      </c>
      <c r="BH991" s="2">
        <v>9.1</v>
      </c>
      <c r="BI991" s="2">
        <v>9.1999999999999993</v>
      </c>
      <c r="BJ991" s="2">
        <v>18.3</v>
      </c>
      <c r="BK991" s="2">
        <v>0.34</v>
      </c>
      <c r="BL991" s="2">
        <v>7.3</v>
      </c>
      <c r="BM991" s="2">
        <v>0.9</v>
      </c>
      <c r="BN991" s="2">
        <v>7.5</v>
      </c>
      <c r="BO991" s="2">
        <v>2.9</v>
      </c>
      <c r="BP991" s="2">
        <f t="shared" si="30"/>
        <v>5.9945852819115446</v>
      </c>
      <c r="BQ991" s="2">
        <f t="shared" si="31"/>
        <v>18.720081430860446</v>
      </c>
    </row>
    <row r="992" spans="1:69" x14ac:dyDescent="0.2">
      <c r="A992" s="2" t="s">
        <v>1150</v>
      </c>
      <c r="B992" s="2" t="s">
        <v>47</v>
      </c>
      <c r="C992" s="2" t="s">
        <v>48</v>
      </c>
      <c r="D992" s="2" t="s">
        <v>49</v>
      </c>
      <c r="E992" s="2" t="s">
        <v>109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89</v>
      </c>
      <c r="L992" s="6" t="s">
        <v>90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1151</v>
      </c>
      <c r="R992" s="2">
        <v>14056603.77</v>
      </c>
      <c r="S992" s="2">
        <v>0</v>
      </c>
      <c r="T992" s="2" t="s">
        <v>54</v>
      </c>
      <c r="U992" s="2" t="s">
        <v>55</v>
      </c>
      <c r="V992" s="2" t="s">
        <v>56</v>
      </c>
      <c r="W992" s="2" t="s">
        <v>57</v>
      </c>
      <c r="X992" s="2" t="s">
        <v>58</v>
      </c>
      <c r="Y992" s="2">
        <v>1.80401502797222</v>
      </c>
      <c r="Z992" s="2">
        <v>1804.01502797222</v>
      </c>
      <c r="AA992" s="2">
        <v>4.6584666666666701</v>
      </c>
      <c r="AB992" s="2">
        <v>-74.083966666666697</v>
      </c>
      <c r="AC992" s="2">
        <v>2552</v>
      </c>
      <c r="AD992" s="2">
        <v>0</v>
      </c>
      <c r="AE992" s="2" t="s">
        <v>59</v>
      </c>
      <c r="AF992" s="2" t="s">
        <v>60</v>
      </c>
      <c r="AG992" s="2" t="s">
        <v>61</v>
      </c>
      <c r="AH992" s="2" t="s">
        <v>62</v>
      </c>
      <c r="AI992" s="2" t="s">
        <v>321</v>
      </c>
      <c r="AJ992" s="2">
        <v>0.56775429968900604</v>
      </c>
      <c r="AK992" s="2">
        <v>2.0368457879939998</v>
      </c>
      <c r="AL992" s="2">
        <v>0.44985068286999103</v>
      </c>
      <c r="AM992" s="2">
        <v>0.27898090070738901</v>
      </c>
      <c r="AN992" s="2">
        <v>1.9677231876485299</v>
      </c>
      <c r="AO992" s="2">
        <v>0.109060400395645</v>
      </c>
      <c r="AP992" s="2">
        <v>0.109060400395645</v>
      </c>
      <c r="AQ992" s="2">
        <v>0</v>
      </c>
      <c r="AR992" s="2">
        <v>3</v>
      </c>
      <c r="AS992" s="2">
        <v>0</v>
      </c>
      <c r="AT992" s="2">
        <v>0</v>
      </c>
      <c r="AU992" s="2">
        <v>18</v>
      </c>
      <c r="AV992" s="2">
        <v>69</v>
      </c>
      <c r="AW992" s="2">
        <v>0</v>
      </c>
      <c r="AX992" s="2">
        <v>0</v>
      </c>
      <c r="AZ992" s="2">
        <v>6.8</v>
      </c>
      <c r="BA992" s="2">
        <v>19.899999999999999</v>
      </c>
      <c r="BB992" s="2">
        <v>564</v>
      </c>
      <c r="BC992" s="2">
        <v>68</v>
      </c>
      <c r="BD992" s="2">
        <v>1.5</v>
      </c>
      <c r="BE992" s="2">
        <v>135</v>
      </c>
      <c r="BF992" s="2">
        <v>0.8</v>
      </c>
      <c r="BG992" s="2">
        <v>162</v>
      </c>
      <c r="BH992" s="2">
        <v>9.1</v>
      </c>
      <c r="BI992" s="2">
        <v>9.1999999999999993</v>
      </c>
      <c r="BJ992" s="2">
        <v>18.3</v>
      </c>
      <c r="BK992" s="2">
        <v>0.34</v>
      </c>
      <c r="BL992" s="2">
        <v>7.3</v>
      </c>
      <c r="BM992" s="2">
        <v>0.9</v>
      </c>
      <c r="BN992" s="2">
        <v>7.5</v>
      </c>
      <c r="BO992" s="2">
        <v>2.9</v>
      </c>
      <c r="BP992" s="2">
        <f t="shared" si="30"/>
        <v>6.2190917071427414</v>
      </c>
      <c r="BQ992" s="2">
        <f t="shared" si="31"/>
        <v>19.056788142848266</v>
      </c>
    </row>
    <row r="993" spans="1:69" x14ac:dyDescent="0.2">
      <c r="A993" s="2" t="s">
        <v>3977</v>
      </c>
      <c r="B993" s="2" t="s">
        <v>47</v>
      </c>
      <c r="C993" s="2" t="s">
        <v>3273</v>
      </c>
      <c r="D993" s="2" t="s">
        <v>49</v>
      </c>
      <c r="E993" s="2" t="s">
        <v>1225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89</v>
      </c>
      <c r="L993" s="6" t="s">
        <v>90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3978</v>
      </c>
      <c r="R993" s="2">
        <v>13584905.66</v>
      </c>
      <c r="S993" s="2">
        <v>0</v>
      </c>
      <c r="T993" s="2" t="s">
        <v>54</v>
      </c>
      <c r="U993" s="2" t="s">
        <v>55</v>
      </c>
      <c r="V993" s="2" t="s">
        <v>56</v>
      </c>
      <c r="W993" s="2" t="s">
        <v>57</v>
      </c>
      <c r="X993" s="2" t="s">
        <v>58</v>
      </c>
      <c r="Y993" s="2">
        <v>3.33486271287271</v>
      </c>
      <c r="Z993" s="2">
        <v>3334.8627128727098</v>
      </c>
      <c r="AA993" s="2">
        <v>4.6584666666666701</v>
      </c>
      <c r="AB993" s="2">
        <v>-74.083966666666697</v>
      </c>
      <c r="AC993" s="2">
        <v>2552</v>
      </c>
      <c r="AD993" s="2">
        <v>0</v>
      </c>
      <c r="AE993" s="2" t="s">
        <v>59</v>
      </c>
      <c r="AF993" s="2" t="s">
        <v>60</v>
      </c>
      <c r="AG993" s="2" t="s">
        <v>61</v>
      </c>
      <c r="AH993" s="2" t="s">
        <v>62</v>
      </c>
      <c r="AI993" s="2" t="s">
        <v>109</v>
      </c>
      <c r="AJ993" s="2">
        <v>0.230942760932661</v>
      </c>
      <c r="AK993" s="2">
        <v>1.7859161571359401</v>
      </c>
      <c r="AL993" s="2">
        <v>0.67336818115696895</v>
      </c>
      <c r="AM993" s="2">
        <v>0.103375586257374</v>
      </c>
      <c r="AN993" s="2">
        <v>2.6138160100476102</v>
      </c>
      <c r="AO993" s="2">
        <v>0.69781735207537499</v>
      </c>
      <c r="AP993" s="2">
        <v>0.69781735207537499</v>
      </c>
      <c r="AQ993" s="2">
        <v>2</v>
      </c>
      <c r="AR993" s="2">
        <v>5</v>
      </c>
      <c r="AS993" s="2">
        <v>0</v>
      </c>
      <c r="AT993" s="2">
        <v>0</v>
      </c>
      <c r="AU993" s="2">
        <v>5</v>
      </c>
      <c r="AV993" s="2">
        <v>314</v>
      </c>
      <c r="AW993" s="2">
        <v>0</v>
      </c>
      <c r="AX993" s="2">
        <v>0</v>
      </c>
      <c r="AZ993" s="2">
        <v>6.8</v>
      </c>
      <c r="BA993" s="2">
        <v>19.899999999999999</v>
      </c>
      <c r="BB993" s="2">
        <v>564</v>
      </c>
      <c r="BC993" s="2">
        <v>68</v>
      </c>
      <c r="BD993" s="2">
        <v>1.5</v>
      </c>
      <c r="BE993" s="2">
        <v>135</v>
      </c>
      <c r="BF993" s="2">
        <v>0.8</v>
      </c>
      <c r="BG993" s="2">
        <v>162</v>
      </c>
      <c r="BH993" s="2">
        <v>9.1</v>
      </c>
      <c r="BI993" s="2">
        <v>9.1999999999999993</v>
      </c>
      <c r="BJ993" s="2">
        <v>18.3</v>
      </c>
      <c r="BK993" s="2">
        <v>0.34</v>
      </c>
      <c r="BL993" s="2">
        <v>7.3</v>
      </c>
      <c r="BM993" s="2">
        <v>0.9</v>
      </c>
      <c r="BN993" s="2">
        <v>7.5</v>
      </c>
      <c r="BO993" s="2">
        <v>2.9</v>
      </c>
      <c r="BP993" s="2">
        <f t="shared" si="30"/>
        <v>5.7652407178376368</v>
      </c>
      <c r="BQ993" s="2">
        <f t="shared" si="31"/>
        <v>18.369341032055885</v>
      </c>
    </row>
    <row r="994" spans="1:69" x14ac:dyDescent="0.2">
      <c r="A994" s="2" t="s">
        <v>3648</v>
      </c>
      <c r="B994" s="2" t="s">
        <v>47</v>
      </c>
      <c r="C994" s="2" t="s">
        <v>3273</v>
      </c>
      <c r="D994" s="2" t="s">
        <v>49</v>
      </c>
      <c r="E994" s="2" t="s">
        <v>3538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89</v>
      </c>
      <c r="L994" s="6" t="s">
        <v>112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3649</v>
      </c>
      <c r="R994" s="2">
        <v>9150943.3959999997</v>
      </c>
      <c r="S994" s="2">
        <v>0</v>
      </c>
      <c r="T994" s="2" t="s">
        <v>105</v>
      </c>
      <c r="U994" s="2" t="s">
        <v>106</v>
      </c>
      <c r="V994" s="2" t="s">
        <v>56</v>
      </c>
      <c r="W994" s="2" t="s">
        <v>107</v>
      </c>
      <c r="X994" s="2" t="s">
        <v>108</v>
      </c>
      <c r="Y994" s="2">
        <v>0.806619733998168</v>
      </c>
      <c r="Z994" s="2">
        <v>806.61973399816804</v>
      </c>
      <c r="AA994" s="2">
        <v>4.6254861111111101</v>
      </c>
      <c r="AB994" s="2">
        <v>-74.066980555555503</v>
      </c>
      <c r="AC994" s="2">
        <v>2621</v>
      </c>
      <c r="AD994" s="2">
        <v>15</v>
      </c>
      <c r="AE994" s="2" t="s">
        <v>59</v>
      </c>
      <c r="AF994" s="2" t="s">
        <v>60</v>
      </c>
      <c r="AG994" s="2" t="s">
        <v>61</v>
      </c>
      <c r="AH994" s="2" t="s">
        <v>62</v>
      </c>
      <c r="AI994" s="2" t="s">
        <v>117</v>
      </c>
      <c r="AJ994" s="2">
        <v>0.39110829763132199</v>
      </c>
      <c r="AK994" s="2">
        <v>0.52457518211626197</v>
      </c>
      <c r="AL994" s="2">
        <v>0.32482276639410301</v>
      </c>
      <c r="AM994" s="2">
        <v>7.8682217236042504E-2</v>
      </c>
      <c r="AN994" s="2">
        <v>0.34599170319901601</v>
      </c>
      <c r="AO994" s="2">
        <v>0.16324286879373401</v>
      </c>
      <c r="AP994" s="2">
        <v>0.16324286879373401</v>
      </c>
      <c r="AQ994" s="2">
        <v>2</v>
      </c>
      <c r="AR994" s="2">
        <v>6</v>
      </c>
      <c r="AS994" s="2">
        <v>0</v>
      </c>
      <c r="AT994" s="2">
        <v>7</v>
      </c>
      <c r="AU994" s="2">
        <v>12</v>
      </c>
      <c r="AV994" s="2">
        <v>67</v>
      </c>
      <c r="AW994" s="2">
        <v>1</v>
      </c>
      <c r="AX994" s="2">
        <v>2</v>
      </c>
      <c r="AZ994" s="2">
        <v>6.8</v>
      </c>
      <c r="BA994" s="2">
        <v>19.899999999999999</v>
      </c>
      <c r="BB994" s="2">
        <v>564</v>
      </c>
      <c r="BC994" s="2">
        <v>68</v>
      </c>
      <c r="BD994" s="2">
        <v>1.5</v>
      </c>
      <c r="BE994" s="2">
        <v>135</v>
      </c>
      <c r="BF994" s="2">
        <v>0.8</v>
      </c>
      <c r="BG994" s="2">
        <v>162</v>
      </c>
      <c r="BH994" s="2">
        <v>9.1</v>
      </c>
      <c r="BI994" s="2">
        <v>9.1999999999999993</v>
      </c>
      <c r="BJ994" s="2">
        <v>18.3</v>
      </c>
      <c r="BK994" s="2">
        <v>0.34</v>
      </c>
      <c r="BL994" s="2">
        <v>7.3</v>
      </c>
      <c r="BM994" s="2">
        <v>0.9</v>
      </c>
      <c r="BN994" s="2">
        <v>7.5</v>
      </c>
      <c r="BO994" s="2">
        <v>2.9</v>
      </c>
      <c r="BP994" s="2">
        <f t="shared" si="30"/>
        <v>6.5338407172020583</v>
      </c>
      <c r="BQ994" s="2">
        <f t="shared" si="31"/>
        <v>19.51846339005267</v>
      </c>
    </row>
    <row r="995" spans="1:69" x14ac:dyDescent="0.2">
      <c r="A995" s="2" t="s">
        <v>3816</v>
      </c>
      <c r="B995" s="2" t="s">
        <v>47</v>
      </c>
      <c r="C995" s="2" t="s">
        <v>3273</v>
      </c>
      <c r="D995" s="2" t="s">
        <v>49</v>
      </c>
      <c r="E995" s="2" t="s">
        <v>1509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89</v>
      </c>
      <c r="L995" s="6" t="s">
        <v>90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3817</v>
      </c>
      <c r="R995" s="2">
        <v>9056603.7740000002</v>
      </c>
      <c r="S995" s="2">
        <v>0</v>
      </c>
      <c r="T995" s="2" t="s">
        <v>105</v>
      </c>
      <c r="U995" s="2" t="s">
        <v>106</v>
      </c>
      <c r="V995" s="2" t="s">
        <v>56</v>
      </c>
      <c r="W995" s="2" t="s">
        <v>107</v>
      </c>
      <c r="X995" s="2" t="s">
        <v>108</v>
      </c>
      <c r="Y995" s="2">
        <v>0.68133436338281295</v>
      </c>
      <c r="Z995" s="2">
        <v>681.33436338281297</v>
      </c>
      <c r="AA995" s="2">
        <v>4.6254861111111101</v>
      </c>
      <c r="AB995" s="2">
        <v>-74.066980555555503</v>
      </c>
      <c r="AC995" s="2">
        <v>2621</v>
      </c>
      <c r="AD995" s="2">
        <v>15</v>
      </c>
      <c r="AE995" s="2" t="s">
        <v>59</v>
      </c>
      <c r="AF995" s="2" t="s">
        <v>60</v>
      </c>
      <c r="AG995" s="2" t="s">
        <v>61</v>
      </c>
      <c r="AH995" s="2" t="s">
        <v>62</v>
      </c>
      <c r="AI995" s="2" t="s">
        <v>117</v>
      </c>
      <c r="AJ995" s="2">
        <v>0.38836413995774</v>
      </c>
      <c r="AK995" s="2">
        <v>0.56504358541099498</v>
      </c>
      <c r="AL995" s="2">
        <v>0.19635006038478101</v>
      </c>
      <c r="AM995" s="2">
        <v>9.6263434174079093E-2</v>
      </c>
      <c r="AN995" s="2">
        <v>0.45658935684334701</v>
      </c>
      <c r="AO995" s="2">
        <v>0.15872634713557801</v>
      </c>
      <c r="AP995" s="2">
        <v>0.15872634713557801</v>
      </c>
      <c r="AQ995" s="2">
        <v>1</v>
      </c>
      <c r="AR995" s="2">
        <v>5</v>
      </c>
      <c r="AS995" s="2">
        <v>0</v>
      </c>
      <c r="AT995" s="2">
        <v>8</v>
      </c>
      <c r="AU995" s="2">
        <v>14</v>
      </c>
      <c r="AV995" s="2">
        <v>70</v>
      </c>
      <c r="AW995" s="2">
        <v>2</v>
      </c>
      <c r="AX995" s="2">
        <v>2</v>
      </c>
      <c r="AZ995" s="2">
        <v>6.8</v>
      </c>
      <c r="BA995" s="2">
        <v>19.899999999999999</v>
      </c>
      <c r="BB995" s="2">
        <v>564</v>
      </c>
      <c r="BC995" s="2">
        <v>68</v>
      </c>
      <c r="BD995" s="2">
        <v>1.5</v>
      </c>
      <c r="BE995" s="2">
        <v>135</v>
      </c>
      <c r="BF995" s="2">
        <v>0.8</v>
      </c>
      <c r="BG995" s="2">
        <v>162</v>
      </c>
      <c r="BH995" s="2">
        <v>9.1</v>
      </c>
      <c r="BI995" s="2">
        <v>9.1999999999999993</v>
      </c>
      <c r="BJ995" s="2">
        <v>18.3</v>
      </c>
      <c r="BK995" s="2">
        <v>0.34</v>
      </c>
      <c r="BL995" s="2">
        <v>7.3</v>
      </c>
      <c r="BM995" s="2">
        <v>0.9</v>
      </c>
      <c r="BN995" s="2">
        <v>7.5</v>
      </c>
      <c r="BO995" s="2">
        <v>2.9</v>
      </c>
      <c r="BP995" s="2">
        <f t="shared" si="30"/>
        <v>6.5744870590941833</v>
      </c>
      <c r="BQ995" s="2">
        <f t="shared" si="31"/>
        <v>19.577240783209906</v>
      </c>
    </row>
    <row r="996" spans="1:69" x14ac:dyDescent="0.2">
      <c r="A996" s="2" t="s">
        <v>3475</v>
      </c>
      <c r="B996" s="2" t="s">
        <v>47</v>
      </c>
      <c r="C996" s="2" t="s">
        <v>3273</v>
      </c>
      <c r="D996" s="2" t="s">
        <v>49</v>
      </c>
      <c r="E996" s="2" t="s">
        <v>1509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89</v>
      </c>
      <c r="L996" s="6" t="s">
        <v>112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3476</v>
      </c>
      <c r="R996" s="2">
        <v>8773584.9059999995</v>
      </c>
      <c r="S996" s="2">
        <v>0</v>
      </c>
      <c r="T996" s="2" t="s">
        <v>105</v>
      </c>
      <c r="U996" s="2" t="s">
        <v>106</v>
      </c>
      <c r="V996" s="2" t="s">
        <v>56</v>
      </c>
      <c r="W996" s="2" t="s">
        <v>107</v>
      </c>
      <c r="X996" s="2" t="s">
        <v>108</v>
      </c>
      <c r="Y996" s="2">
        <v>0.80680032785786904</v>
      </c>
      <c r="Z996" s="2">
        <v>806.80032785786898</v>
      </c>
      <c r="AA996" s="2">
        <v>4.6254861111111101</v>
      </c>
      <c r="AB996" s="2">
        <v>-74.066980555555503</v>
      </c>
      <c r="AC996" s="2">
        <v>2621</v>
      </c>
      <c r="AD996" s="2">
        <v>15</v>
      </c>
      <c r="AE996" s="2" t="s">
        <v>59</v>
      </c>
      <c r="AF996" s="2" t="s">
        <v>60</v>
      </c>
      <c r="AG996" s="2" t="s">
        <v>61</v>
      </c>
      <c r="AH996" s="2" t="s">
        <v>62</v>
      </c>
      <c r="AI996" s="2" t="s">
        <v>117</v>
      </c>
      <c r="AJ996" s="2">
        <v>0.38935801878852699</v>
      </c>
      <c r="AK996" s="2">
        <v>0.527468002791046</v>
      </c>
      <c r="AL996" s="2">
        <v>0.32620599722835197</v>
      </c>
      <c r="AM996" s="2">
        <v>7.7097183167618599E-2</v>
      </c>
      <c r="AN996" s="2">
        <v>0.34706798584160897</v>
      </c>
      <c r="AO996" s="2">
        <v>0.16641429908232599</v>
      </c>
      <c r="AP996" s="2">
        <v>0.16641429908232599</v>
      </c>
      <c r="AQ996" s="2">
        <v>2</v>
      </c>
      <c r="AR996" s="2">
        <v>6</v>
      </c>
      <c r="AS996" s="2">
        <v>0</v>
      </c>
      <c r="AT996" s="2">
        <v>7</v>
      </c>
      <c r="AU996" s="2">
        <v>12</v>
      </c>
      <c r="AV996" s="2">
        <v>67</v>
      </c>
      <c r="AW996" s="2">
        <v>1</v>
      </c>
      <c r="AX996" s="2">
        <v>2</v>
      </c>
      <c r="AZ996" s="2">
        <v>6.8</v>
      </c>
      <c r="BA996" s="2">
        <v>19.899999999999999</v>
      </c>
      <c r="BB996" s="2">
        <v>564</v>
      </c>
      <c r="BC996" s="2">
        <v>68</v>
      </c>
      <c r="BD996" s="2">
        <v>1.5</v>
      </c>
      <c r="BE996" s="2">
        <v>135</v>
      </c>
      <c r="BF996" s="2">
        <v>0.8</v>
      </c>
      <c r="BG996" s="2">
        <v>162</v>
      </c>
      <c r="BH996" s="2">
        <v>9.1</v>
      </c>
      <c r="BI996" s="2">
        <v>9.1999999999999993</v>
      </c>
      <c r="BJ996" s="2">
        <v>18.3</v>
      </c>
      <c r="BK996" s="2">
        <v>0.34</v>
      </c>
      <c r="BL996" s="2">
        <v>7.3</v>
      </c>
      <c r="BM996" s="2">
        <v>0.9</v>
      </c>
      <c r="BN996" s="2">
        <v>7.5</v>
      </c>
      <c r="BO996" s="2">
        <v>2.9</v>
      </c>
      <c r="BP996" s="2">
        <f t="shared" si="30"/>
        <v>6.5337823088731932</v>
      </c>
      <c r="BQ996" s="2">
        <f t="shared" si="31"/>
        <v>19.518378792284665</v>
      </c>
    </row>
    <row r="997" spans="1:69" x14ac:dyDescent="0.2">
      <c r="A997" s="2" t="s">
        <v>4642</v>
      </c>
      <c r="B997" s="2" t="s">
        <v>47</v>
      </c>
      <c r="C997" s="2" t="s">
        <v>3273</v>
      </c>
      <c r="D997" s="2" t="s">
        <v>49</v>
      </c>
      <c r="E997" s="2" t="s">
        <v>3538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89</v>
      </c>
      <c r="L997" s="6" t="s">
        <v>103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4643</v>
      </c>
      <c r="R997" s="2">
        <v>7358490.5659999996</v>
      </c>
      <c r="S997" s="2">
        <v>0</v>
      </c>
      <c r="T997" s="2" t="s">
        <v>105</v>
      </c>
      <c r="U997" s="2" t="s">
        <v>106</v>
      </c>
      <c r="V997" s="2" t="s">
        <v>56</v>
      </c>
      <c r="W997" s="2" t="s">
        <v>107</v>
      </c>
      <c r="X997" s="2" t="s">
        <v>108</v>
      </c>
      <c r="Y997" s="2">
        <v>0.83341418968582903</v>
      </c>
      <c r="Z997" s="2">
        <v>833.414189685829</v>
      </c>
      <c r="AA997" s="2">
        <v>4.6254861111111101</v>
      </c>
      <c r="AB997" s="2">
        <v>-74.066980555555503</v>
      </c>
      <c r="AC997" s="2">
        <v>2621</v>
      </c>
      <c r="AD997" s="2">
        <v>15</v>
      </c>
      <c r="AE997" s="2" t="s">
        <v>59</v>
      </c>
      <c r="AF997" s="2" t="s">
        <v>60</v>
      </c>
      <c r="AG997" s="2" t="s">
        <v>61</v>
      </c>
      <c r="AH997" s="2" t="s">
        <v>62</v>
      </c>
      <c r="AI997" s="2" t="s">
        <v>117</v>
      </c>
      <c r="AJ997" s="2">
        <v>0.31066498588004399</v>
      </c>
      <c r="AK997" s="2">
        <v>0.84636018346515296</v>
      </c>
      <c r="AL997" s="2">
        <v>0.37336408784969599</v>
      </c>
      <c r="AM997" s="2">
        <v>7.0869034859921895E-2</v>
      </c>
      <c r="AN997" s="2">
        <v>0.58702931218848997</v>
      </c>
      <c r="AO997" s="2">
        <v>0.112576528901843</v>
      </c>
      <c r="AP997" s="2">
        <v>0.112576528901843</v>
      </c>
      <c r="AQ997" s="2">
        <v>3</v>
      </c>
      <c r="AR997" s="2">
        <v>7</v>
      </c>
      <c r="AS997" s="2">
        <v>0</v>
      </c>
      <c r="AT997" s="2">
        <v>1</v>
      </c>
      <c r="AU997" s="2">
        <v>13</v>
      </c>
      <c r="AV997" s="2">
        <v>77</v>
      </c>
      <c r="AW997" s="2">
        <v>1</v>
      </c>
      <c r="AX997" s="2">
        <v>3</v>
      </c>
      <c r="AZ997" s="2">
        <v>6.8</v>
      </c>
      <c r="BA997" s="2">
        <v>19.899999999999999</v>
      </c>
      <c r="BB997" s="2">
        <v>564</v>
      </c>
      <c r="BC997" s="2">
        <v>68</v>
      </c>
      <c r="BD997" s="2">
        <v>1.5</v>
      </c>
      <c r="BE997" s="2">
        <v>135</v>
      </c>
      <c r="BF997" s="2">
        <v>0.8</v>
      </c>
      <c r="BG997" s="2">
        <v>162</v>
      </c>
      <c r="BH997" s="2">
        <v>9.1</v>
      </c>
      <c r="BI997" s="2">
        <v>9.1999999999999993</v>
      </c>
      <c r="BJ997" s="2">
        <v>18.3</v>
      </c>
      <c r="BK997" s="2">
        <v>0.34</v>
      </c>
      <c r="BL997" s="2">
        <v>7.3</v>
      </c>
      <c r="BM997" s="2">
        <v>0.9</v>
      </c>
      <c r="BN997" s="2">
        <v>7.5</v>
      </c>
      <c r="BO997" s="2">
        <v>2.9</v>
      </c>
      <c r="BP997" s="2">
        <f t="shared" si="30"/>
        <v>6.5251804617051219</v>
      </c>
      <c r="BQ997" s="2">
        <f t="shared" si="31"/>
        <v>19.505915746514919</v>
      </c>
    </row>
    <row r="998" spans="1:69" x14ac:dyDescent="0.2">
      <c r="A998" s="2" t="s">
        <v>395</v>
      </c>
      <c r="B998" s="2" t="s">
        <v>47</v>
      </c>
      <c r="C998" s="2" t="s">
        <v>48</v>
      </c>
      <c r="D998" s="2" t="s">
        <v>49</v>
      </c>
      <c r="E998" s="2" t="s">
        <v>396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89</v>
      </c>
      <c r="L998" s="6" t="s">
        <v>94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397</v>
      </c>
      <c r="R998" s="2">
        <v>4905660.3770000003</v>
      </c>
      <c r="S998" s="2">
        <v>0</v>
      </c>
      <c r="T998" s="2" t="s">
        <v>398</v>
      </c>
      <c r="U998" s="2" t="s">
        <v>399</v>
      </c>
      <c r="V998" s="2" t="s">
        <v>56</v>
      </c>
      <c r="W998" s="2" t="s">
        <v>57</v>
      </c>
      <c r="X998" s="2" t="s">
        <v>400</v>
      </c>
      <c r="Y998" s="2">
        <v>2.97252428118481</v>
      </c>
      <c r="Z998" s="2">
        <v>2972.5242811848102</v>
      </c>
      <c r="AA998" s="2">
        <v>4.7358055555555598</v>
      </c>
      <c r="AB998" s="2">
        <v>-74.125888888888895</v>
      </c>
      <c r="AC998" s="2">
        <v>2574</v>
      </c>
      <c r="AD998" s="2">
        <v>0</v>
      </c>
      <c r="AE998" s="2" t="s">
        <v>133</v>
      </c>
      <c r="AF998" s="2" t="s">
        <v>86</v>
      </c>
      <c r="AG998" s="2" t="s">
        <v>61</v>
      </c>
      <c r="AH998" s="2" t="s">
        <v>62</v>
      </c>
      <c r="AI998" s="2" t="s">
        <v>391</v>
      </c>
      <c r="AJ998" s="2">
        <v>0.81824456998741002</v>
      </c>
      <c r="AK998" s="2">
        <v>2.26455493931722</v>
      </c>
      <c r="AL998" s="2">
        <v>2.5596360358024199</v>
      </c>
      <c r="AM998" s="2">
        <v>0.44314441848896602</v>
      </c>
      <c r="AN998" s="2">
        <v>2.9755559181764402</v>
      </c>
      <c r="AO998" s="2">
        <v>0.1092699323312</v>
      </c>
      <c r="AP998" s="2">
        <v>0.1092699323312</v>
      </c>
      <c r="AQ998" s="2">
        <v>0</v>
      </c>
      <c r="AR998" s="2">
        <v>1</v>
      </c>
      <c r="AS998" s="2">
        <v>0</v>
      </c>
      <c r="AT998" s="2">
        <v>0</v>
      </c>
      <c r="AU998" s="2">
        <v>0</v>
      </c>
      <c r="AV998" s="2">
        <v>11</v>
      </c>
      <c r="AW998" s="2">
        <v>0</v>
      </c>
      <c r="AX998" s="2">
        <v>0</v>
      </c>
      <c r="AZ998" s="2">
        <v>6.8</v>
      </c>
      <c r="BA998" s="2">
        <v>19.899999999999999</v>
      </c>
      <c r="BB998" s="2">
        <v>564</v>
      </c>
      <c r="BC998" s="2">
        <v>68</v>
      </c>
      <c r="BD998" s="2">
        <v>1.5</v>
      </c>
      <c r="BE998" s="2">
        <v>135</v>
      </c>
      <c r="BF998" s="2">
        <v>0.8</v>
      </c>
      <c r="BG998" s="2">
        <v>162</v>
      </c>
      <c r="BH998" s="2">
        <v>9.1</v>
      </c>
      <c r="BI998" s="2">
        <v>9.1999999999999993</v>
      </c>
      <c r="BJ998" s="2">
        <v>18.3</v>
      </c>
      <c r="BK998" s="2">
        <v>0.34</v>
      </c>
      <c r="BL998" s="2">
        <v>7.3</v>
      </c>
      <c r="BM998" s="2">
        <v>0.9</v>
      </c>
      <c r="BN998" s="2">
        <v>7.5</v>
      </c>
      <c r="BO998" s="2">
        <v>2.9</v>
      </c>
      <c r="BP998" s="2">
        <f t="shared" si="30"/>
        <v>5.8695775303089137</v>
      </c>
      <c r="BQ998" s="2">
        <f t="shared" si="31"/>
        <v>18.529779655238382</v>
      </c>
    </row>
    <row r="999" spans="1:69" x14ac:dyDescent="0.2">
      <c r="A999" s="2" t="s">
        <v>3407</v>
      </c>
      <c r="B999" s="2" t="s">
        <v>47</v>
      </c>
      <c r="C999" s="2" t="s">
        <v>3273</v>
      </c>
      <c r="D999" s="2" t="s">
        <v>49</v>
      </c>
      <c r="E999" s="2" t="s">
        <v>1077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89</v>
      </c>
      <c r="L999" s="6" t="s">
        <v>90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3408</v>
      </c>
      <c r="R999" s="2">
        <v>9063329.5409999993</v>
      </c>
      <c r="S999" s="2">
        <v>0</v>
      </c>
      <c r="T999" s="2" t="s">
        <v>105</v>
      </c>
      <c r="U999" s="2" t="s">
        <v>106</v>
      </c>
      <c r="V999" s="2" t="s">
        <v>56</v>
      </c>
      <c r="W999" s="2" t="s">
        <v>107</v>
      </c>
      <c r="X999" s="2" t="s">
        <v>108</v>
      </c>
      <c r="Y999" s="2">
        <v>1.6861349831747201</v>
      </c>
      <c r="Z999" s="2">
        <v>1686.13498317472</v>
      </c>
      <c r="AA999" s="2">
        <v>4.6254861111111101</v>
      </c>
      <c r="AB999" s="2">
        <v>-74.066980555555503</v>
      </c>
      <c r="AC999" s="2">
        <v>2621</v>
      </c>
      <c r="AD999" s="2">
        <v>15</v>
      </c>
      <c r="AE999" s="2" t="s">
        <v>59</v>
      </c>
      <c r="AF999" s="2" t="s">
        <v>60</v>
      </c>
      <c r="AG999" s="2" t="s">
        <v>61</v>
      </c>
      <c r="AH999" s="2" t="s">
        <v>62</v>
      </c>
      <c r="AI999" s="2" t="s">
        <v>117</v>
      </c>
      <c r="AJ999" s="2">
        <v>2.7412834686535398E-2</v>
      </c>
      <c r="AK999" s="2">
        <v>0.75273406931437203</v>
      </c>
      <c r="AL999" s="2">
        <v>0.15284068796981101</v>
      </c>
      <c r="AM999" s="2">
        <v>0.33604796087546401</v>
      </c>
      <c r="AN999" s="2">
        <v>0.72366353519718496</v>
      </c>
      <c r="AO999" s="2">
        <v>5.1275955074568502E-2</v>
      </c>
      <c r="AP999" s="2">
        <v>5.1275955074568502E-2</v>
      </c>
      <c r="AQ999" s="2">
        <v>2</v>
      </c>
      <c r="AR999" s="2">
        <v>8</v>
      </c>
      <c r="AS999" s="2">
        <v>0</v>
      </c>
      <c r="AT999" s="2">
        <v>23</v>
      </c>
      <c r="AU999" s="2">
        <v>9</v>
      </c>
      <c r="AV999" s="2">
        <v>64</v>
      </c>
      <c r="AW999" s="2">
        <v>1</v>
      </c>
      <c r="AX999" s="2">
        <v>6</v>
      </c>
      <c r="AZ999" s="2">
        <v>6.8</v>
      </c>
      <c r="BA999" s="2">
        <v>19.899999999999999</v>
      </c>
      <c r="BB999" s="2">
        <v>564</v>
      </c>
      <c r="BC999" s="2">
        <v>68</v>
      </c>
      <c r="BD999" s="2">
        <v>1.5</v>
      </c>
      <c r="BE999" s="2">
        <v>135</v>
      </c>
      <c r="BF999" s="2">
        <v>0.8</v>
      </c>
      <c r="BG999" s="2">
        <v>162</v>
      </c>
      <c r="BH999" s="2">
        <v>9.1</v>
      </c>
      <c r="BI999" s="2">
        <v>9.1999999999999993</v>
      </c>
      <c r="BJ999" s="2">
        <v>18.3</v>
      </c>
      <c r="BK999" s="2">
        <v>0.34</v>
      </c>
      <c r="BL999" s="2">
        <v>7.3</v>
      </c>
      <c r="BM999" s="2">
        <v>0.9</v>
      </c>
      <c r="BN999" s="2">
        <v>7.5</v>
      </c>
      <c r="BO999" s="2">
        <v>2.9</v>
      </c>
      <c r="BP999" s="2">
        <f t="shared" si="30"/>
        <v>6.2554865740824424</v>
      </c>
      <c r="BQ999" s="2">
        <f t="shared" si="31"/>
        <v>19.110778440340731</v>
      </c>
    </row>
    <row r="1000" spans="1:69" x14ac:dyDescent="0.2">
      <c r="A1000" s="2" t="s">
        <v>4466</v>
      </c>
      <c r="B1000" s="2" t="s">
        <v>47</v>
      </c>
      <c r="C1000" s="2" t="s">
        <v>3273</v>
      </c>
      <c r="D1000" s="2" t="s">
        <v>49</v>
      </c>
      <c r="E1000" s="2" t="s">
        <v>3389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89</v>
      </c>
      <c r="L1000" s="6" t="s">
        <v>90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4467</v>
      </c>
      <c r="R1000" s="2">
        <v>6165812.9390000002</v>
      </c>
      <c r="S1000" s="2">
        <v>0</v>
      </c>
      <c r="T1000" s="2" t="s">
        <v>105</v>
      </c>
      <c r="U1000" s="2" t="s">
        <v>106</v>
      </c>
      <c r="V1000" s="2" t="s">
        <v>56</v>
      </c>
      <c r="W1000" s="2" t="s">
        <v>107</v>
      </c>
      <c r="X1000" s="2" t="s">
        <v>108</v>
      </c>
      <c r="Y1000" s="2">
        <v>2.5307487602498502</v>
      </c>
      <c r="Z1000" s="2">
        <v>2530.74876024985</v>
      </c>
      <c r="AA1000" s="2">
        <v>4.6254861111111101</v>
      </c>
      <c r="AB1000" s="2">
        <v>-74.066980555555503</v>
      </c>
      <c r="AC1000" s="2">
        <v>2621</v>
      </c>
      <c r="AD1000" s="2">
        <v>15</v>
      </c>
      <c r="AE1000" s="2" t="s">
        <v>59</v>
      </c>
      <c r="AF1000" s="2" t="s">
        <v>60</v>
      </c>
      <c r="AG1000" s="2" t="s">
        <v>61</v>
      </c>
      <c r="AH1000" s="2" t="s">
        <v>62</v>
      </c>
      <c r="AI1000" s="2" t="s">
        <v>287</v>
      </c>
      <c r="AJ1000" s="2">
        <v>0.31465946404360901</v>
      </c>
      <c r="AK1000" s="2">
        <v>1.8843992094008299</v>
      </c>
      <c r="AL1000" s="2">
        <v>0.27948478410285299</v>
      </c>
      <c r="AM1000" s="2">
        <v>0.13141909100610999</v>
      </c>
      <c r="AN1000" s="2">
        <v>0.75229089835852403</v>
      </c>
      <c r="AO1000" s="2">
        <v>0.42645259832767801</v>
      </c>
      <c r="AP1000" s="2">
        <v>0.42645259832767801</v>
      </c>
      <c r="AQ1000" s="2">
        <v>1</v>
      </c>
      <c r="AR1000" s="2">
        <v>9</v>
      </c>
      <c r="AS1000" s="2">
        <v>0</v>
      </c>
      <c r="AT1000" s="2">
        <v>0</v>
      </c>
      <c r="AU1000" s="2">
        <v>3</v>
      </c>
      <c r="AV1000" s="2">
        <v>35</v>
      </c>
      <c r="AW1000" s="2">
        <v>1</v>
      </c>
      <c r="AX1000" s="2">
        <v>1</v>
      </c>
      <c r="AZ1000" s="2">
        <v>6.8</v>
      </c>
      <c r="BA1000" s="2">
        <v>19.899999999999999</v>
      </c>
      <c r="BB1000" s="2">
        <v>564</v>
      </c>
      <c r="BC1000" s="2">
        <v>68</v>
      </c>
      <c r="BD1000" s="2">
        <v>1.5</v>
      </c>
      <c r="BE1000" s="2">
        <v>135</v>
      </c>
      <c r="BF1000" s="2">
        <v>0.8</v>
      </c>
      <c r="BG1000" s="2">
        <v>162</v>
      </c>
      <c r="BH1000" s="2">
        <v>9.1</v>
      </c>
      <c r="BI1000" s="2">
        <v>9.1999999999999993</v>
      </c>
      <c r="BJ1000" s="2">
        <v>18.3</v>
      </c>
      <c r="BK1000" s="2">
        <v>0.34</v>
      </c>
      <c r="BL1000" s="2">
        <v>7.3</v>
      </c>
      <c r="BM1000" s="2">
        <v>0.9</v>
      </c>
      <c r="BN1000" s="2">
        <v>7.5</v>
      </c>
      <c r="BO1000" s="2">
        <v>2.9</v>
      </c>
      <c r="BP1000" s="2">
        <f t="shared" si="30"/>
        <v>5.9993465115196809</v>
      </c>
      <c r="BQ1000" s="2">
        <f t="shared" si="31"/>
        <v>18.727288935607685</v>
      </c>
    </row>
    <row r="1001" spans="1:69" x14ac:dyDescent="0.2">
      <c r="A1001" s="2" t="s">
        <v>4282</v>
      </c>
      <c r="B1001" s="2" t="s">
        <v>47</v>
      </c>
      <c r="C1001" s="2" t="s">
        <v>3273</v>
      </c>
      <c r="D1001" s="2" t="s">
        <v>49</v>
      </c>
      <c r="E1001" s="2" t="s">
        <v>3511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89</v>
      </c>
      <c r="L1001" s="6" t="s">
        <v>90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4283</v>
      </c>
      <c r="R1001" s="2">
        <v>6165812.9390000002</v>
      </c>
      <c r="S1001" s="2">
        <v>0</v>
      </c>
      <c r="T1001" s="2" t="s">
        <v>105</v>
      </c>
      <c r="U1001" s="2" t="s">
        <v>106</v>
      </c>
      <c r="V1001" s="2" t="s">
        <v>56</v>
      </c>
      <c r="W1001" s="2" t="s">
        <v>107</v>
      </c>
      <c r="X1001" s="2" t="s">
        <v>108</v>
      </c>
      <c r="Y1001" s="2">
        <v>2.5305151324429902</v>
      </c>
      <c r="Z1001" s="2">
        <v>2530.5151324429899</v>
      </c>
      <c r="AA1001" s="2">
        <v>4.6254861111111101</v>
      </c>
      <c r="AB1001" s="2">
        <v>-74.066980555555503</v>
      </c>
      <c r="AC1001" s="2">
        <v>2621</v>
      </c>
      <c r="AD1001" s="2">
        <v>15</v>
      </c>
      <c r="AE1001" s="2" t="s">
        <v>59</v>
      </c>
      <c r="AF1001" s="2" t="s">
        <v>60</v>
      </c>
      <c r="AG1001" s="2" t="s">
        <v>61</v>
      </c>
      <c r="AH1001" s="2" t="s">
        <v>62</v>
      </c>
      <c r="AI1001" s="2" t="s">
        <v>287</v>
      </c>
      <c r="AJ1001" s="2">
        <v>0.31465791517587</v>
      </c>
      <c r="AK1001" s="2">
        <v>1.8840365815287401</v>
      </c>
      <c r="AL1001" s="2">
        <v>0.27948708758801999</v>
      </c>
      <c r="AM1001" s="2">
        <v>0.131671483442522</v>
      </c>
      <c r="AN1001" s="2">
        <v>0.752652230163952</v>
      </c>
      <c r="AO1001" s="2">
        <v>0.42618123478023801</v>
      </c>
      <c r="AP1001" s="2">
        <v>0.42618123478023801</v>
      </c>
      <c r="AQ1001" s="2">
        <v>1</v>
      </c>
      <c r="AR1001" s="2">
        <v>9</v>
      </c>
      <c r="AS1001" s="2">
        <v>0</v>
      </c>
      <c r="AT1001" s="2">
        <v>0</v>
      </c>
      <c r="AU1001" s="2">
        <v>3</v>
      </c>
      <c r="AV1001" s="2">
        <v>35</v>
      </c>
      <c r="AW1001" s="2">
        <v>1</v>
      </c>
      <c r="AX1001" s="2">
        <v>1</v>
      </c>
      <c r="AZ1001" s="2">
        <v>6.8</v>
      </c>
      <c r="BA1001" s="2">
        <v>19.899999999999999</v>
      </c>
      <c r="BB1001" s="2">
        <v>564</v>
      </c>
      <c r="BC1001" s="2">
        <v>68</v>
      </c>
      <c r="BD1001" s="2">
        <v>1.5</v>
      </c>
      <c r="BE1001" s="2">
        <v>135</v>
      </c>
      <c r="BF1001" s="2">
        <v>0.8</v>
      </c>
      <c r="BG1001" s="2">
        <v>162</v>
      </c>
      <c r="BH1001" s="2">
        <v>9.1</v>
      </c>
      <c r="BI1001" s="2">
        <v>9.1999999999999993</v>
      </c>
      <c r="BJ1001" s="2">
        <v>18.3</v>
      </c>
      <c r="BK1001" s="2">
        <v>0.34</v>
      </c>
      <c r="BL1001" s="2">
        <v>7.3</v>
      </c>
      <c r="BM1001" s="2">
        <v>0.9</v>
      </c>
      <c r="BN1001" s="2">
        <v>7.5</v>
      </c>
      <c r="BO1001" s="2">
        <v>2.9</v>
      </c>
      <c r="BP1001" s="2">
        <f t="shared" si="30"/>
        <v>5.9994158918221769</v>
      </c>
      <c r="BQ1001" s="2">
        <f t="shared" si="31"/>
        <v>18.727393941072688</v>
      </c>
    </row>
    <row r="1002" spans="1:69" x14ac:dyDescent="0.2">
      <c r="A1002" s="2" t="s">
        <v>789</v>
      </c>
      <c r="B1002" s="2" t="s">
        <v>47</v>
      </c>
      <c r="C1002" s="2" t="s">
        <v>48</v>
      </c>
      <c r="D1002" s="2" t="s">
        <v>49</v>
      </c>
      <c r="E1002" s="2" t="s">
        <v>790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89</v>
      </c>
      <c r="L1002" s="6" t="s">
        <v>103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791</v>
      </c>
      <c r="R1002" s="2">
        <v>6646410.9380000001</v>
      </c>
      <c r="S1002" s="2">
        <v>0</v>
      </c>
      <c r="T1002" s="2" t="s">
        <v>105</v>
      </c>
      <c r="U1002" s="2" t="s">
        <v>106</v>
      </c>
      <c r="V1002" s="2" t="s">
        <v>56</v>
      </c>
      <c r="W1002" s="2" t="s">
        <v>107</v>
      </c>
      <c r="X1002" s="2" t="s">
        <v>108</v>
      </c>
      <c r="Y1002" s="2">
        <v>2.5721566105465699</v>
      </c>
      <c r="Z1002" s="2">
        <v>2572.1566105465699</v>
      </c>
      <c r="AA1002" s="2">
        <v>4.6254861111111101</v>
      </c>
      <c r="AB1002" s="2">
        <v>-74.066980555555503</v>
      </c>
      <c r="AC1002" s="2">
        <v>2621</v>
      </c>
      <c r="AD1002" s="2">
        <v>15</v>
      </c>
      <c r="AE1002" s="2" t="s">
        <v>59</v>
      </c>
      <c r="AF1002" s="2" t="s">
        <v>60</v>
      </c>
      <c r="AG1002" s="2" t="s">
        <v>61</v>
      </c>
      <c r="AH1002" s="2" t="s">
        <v>62</v>
      </c>
      <c r="AI1002" s="2" t="s">
        <v>109</v>
      </c>
      <c r="AJ1002" s="2">
        <v>0.46272960762939602</v>
      </c>
      <c r="AK1002" s="2">
        <v>0.81458544461291804</v>
      </c>
      <c r="AL1002" s="2">
        <v>9.6477862254055594E-2</v>
      </c>
      <c r="AM1002" s="2">
        <v>0.101212227034029</v>
      </c>
      <c r="AN1002" s="2">
        <v>0.72614275451514099</v>
      </c>
      <c r="AO1002" s="2">
        <v>0.19280166782389399</v>
      </c>
      <c r="AP1002" s="2">
        <v>0.19280166782389399</v>
      </c>
      <c r="AQ1002" s="2">
        <v>1</v>
      </c>
      <c r="AR1002" s="2">
        <v>3</v>
      </c>
      <c r="AS1002" s="2">
        <v>0</v>
      </c>
      <c r="AT1002" s="2">
        <v>12</v>
      </c>
      <c r="AU1002" s="2">
        <v>14</v>
      </c>
      <c r="AV1002" s="2">
        <v>77</v>
      </c>
      <c r="AW1002" s="2">
        <v>1</v>
      </c>
      <c r="AX1002" s="2">
        <v>0</v>
      </c>
      <c r="AZ1002" s="2">
        <v>6.8</v>
      </c>
      <c r="BA1002" s="2">
        <v>19.899999999999999</v>
      </c>
      <c r="BB1002" s="2">
        <v>564</v>
      </c>
      <c r="BC1002" s="2">
        <v>68</v>
      </c>
      <c r="BD1002" s="2">
        <v>1.5</v>
      </c>
      <c r="BE1002" s="2">
        <v>135</v>
      </c>
      <c r="BF1002" s="2">
        <v>0.8</v>
      </c>
      <c r="BG1002" s="2">
        <v>162</v>
      </c>
      <c r="BH1002" s="2">
        <v>9.1</v>
      </c>
      <c r="BI1002" s="2">
        <v>9.1999999999999993</v>
      </c>
      <c r="BJ1002" s="2">
        <v>18.3</v>
      </c>
      <c r="BK1002" s="2">
        <v>0.34</v>
      </c>
      <c r="BL1002" s="2">
        <v>7.3</v>
      </c>
      <c r="BM1002" s="2">
        <v>0.9</v>
      </c>
      <c r="BN1002" s="2">
        <v>7.5</v>
      </c>
      <c r="BO1002" s="2">
        <v>2.9</v>
      </c>
      <c r="BP1002" s="2">
        <f t="shared" si="30"/>
        <v>5.9870623131208038</v>
      </c>
      <c r="BQ1002" s="2">
        <f t="shared" si="31"/>
        <v>18.708687217583474</v>
      </c>
    </row>
    <row r="1003" spans="1:69" x14ac:dyDescent="0.2">
      <c r="A1003" s="2" t="s">
        <v>4272</v>
      </c>
      <c r="B1003" s="2" t="s">
        <v>47</v>
      </c>
      <c r="C1003" s="2" t="s">
        <v>3273</v>
      </c>
      <c r="D1003" s="2" t="s">
        <v>49</v>
      </c>
      <c r="E1003" s="2" t="s">
        <v>208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89</v>
      </c>
      <c r="L1003" s="6" t="s">
        <v>112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4273</v>
      </c>
      <c r="R1003" s="2">
        <v>13846153.85</v>
      </c>
      <c r="S1003" s="2">
        <v>0</v>
      </c>
      <c r="T1003" s="2" t="s">
        <v>54</v>
      </c>
      <c r="U1003" s="2" t="s">
        <v>55</v>
      </c>
      <c r="V1003" s="2" t="s">
        <v>56</v>
      </c>
      <c r="W1003" s="2" t="s">
        <v>57</v>
      </c>
      <c r="X1003" s="2" t="s">
        <v>58</v>
      </c>
      <c r="Y1003" s="2">
        <v>4.0250514058645201</v>
      </c>
      <c r="Z1003" s="2">
        <v>4025.0514058645199</v>
      </c>
      <c r="AA1003" s="2">
        <v>4.6584666666666701</v>
      </c>
      <c r="AB1003" s="2">
        <v>-74.083966666666697</v>
      </c>
      <c r="AC1003" s="2">
        <v>2552</v>
      </c>
      <c r="AD1003" s="2">
        <v>0</v>
      </c>
      <c r="AE1003" s="2" t="s">
        <v>59</v>
      </c>
      <c r="AF1003" s="2" t="s">
        <v>60</v>
      </c>
      <c r="AG1003" s="2" t="s">
        <v>61</v>
      </c>
      <c r="AH1003" s="2" t="s">
        <v>62</v>
      </c>
      <c r="AI1003" s="2" t="s">
        <v>109</v>
      </c>
      <c r="AJ1003" s="2">
        <v>0.66662684765760705</v>
      </c>
      <c r="AK1003" s="2">
        <v>1.5190682739930199</v>
      </c>
      <c r="AL1003" s="2">
        <v>0.890375988684178</v>
      </c>
      <c r="AM1003" s="2">
        <v>3.1366301350245603E-2</v>
      </c>
      <c r="AN1003" s="2">
        <v>3.20102376872982</v>
      </c>
      <c r="AO1003" s="2">
        <v>0.67879355330723601</v>
      </c>
      <c r="AP1003" s="2">
        <v>0.67879355330723601</v>
      </c>
      <c r="AQ1003" s="2">
        <v>0</v>
      </c>
      <c r="AR1003" s="2">
        <v>3</v>
      </c>
      <c r="AS1003" s="2">
        <v>0</v>
      </c>
      <c r="AT1003" s="2">
        <v>0</v>
      </c>
      <c r="AU1003" s="2">
        <v>3</v>
      </c>
      <c r="AV1003" s="2">
        <v>223</v>
      </c>
      <c r="AW1003" s="2">
        <v>0</v>
      </c>
      <c r="AX1003" s="2">
        <v>0</v>
      </c>
      <c r="AZ1003" s="2">
        <v>6.8</v>
      </c>
      <c r="BA1003" s="2">
        <v>19.899999999999999</v>
      </c>
      <c r="BB1003" s="2">
        <v>564</v>
      </c>
      <c r="BC1003" s="2">
        <v>68</v>
      </c>
      <c r="BD1003" s="2">
        <v>1.5</v>
      </c>
      <c r="BE1003" s="2">
        <v>135</v>
      </c>
      <c r="BF1003" s="2">
        <v>0.8</v>
      </c>
      <c r="BG1003" s="2">
        <v>162</v>
      </c>
      <c r="BH1003" s="2">
        <v>9.1</v>
      </c>
      <c r="BI1003" s="2">
        <v>9.1999999999999993</v>
      </c>
      <c r="BJ1003" s="2">
        <v>18.3</v>
      </c>
      <c r="BK1003" s="2">
        <v>0.34</v>
      </c>
      <c r="BL1003" s="2">
        <v>7.3</v>
      </c>
      <c r="BM1003" s="2">
        <v>0.9</v>
      </c>
      <c r="BN1003" s="2">
        <v>7.5</v>
      </c>
      <c r="BO1003" s="2">
        <v>2.9</v>
      </c>
      <c r="BP1003" s="2">
        <f t="shared" si="30"/>
        <v>5.5716016812864257</v>
      </c>
      <c r="BQ1003" s="2">
        <f t="shared" si="31"/>
        <v>18.067567822174372</v>
      </c>
    </row>
    <row r="1004" spans="1:69" x14ac:dyDescent="0.2">
      <c r="A1004" s="2" t="s">
        <v>3656</v>
      </c>
      <c r="B1004" s="2" t="s">
        <v>47</v>
      </c>
      <c r="C1004" s="2" t="s">
        <v>3273</v>
      </c>
      <c r="D1004" s="2" t="s">
        <v>49</v>
      </c>
      <c r="E1004" s="2" t="s">
        <v>111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89</v>
      </c>
      <c r="L1004" s="6" t="s">
        <v>103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3657</v>
      </c>
      <c r="R1004" s="2">
        <v>10384615.380000001</v>
      </c>
      <c r="S1004" s="2">
        <v>0</v>
      </c>
      <c r="T1004" s="2" t="s">
        <v>54</v>
      </c>
      <c r="U1004" s="2" t="s">
        <v>55</v>
      </c>
      <c r="V1004" s="2" t="s">
        <v>56</v>
      </c>
      <c r="W1004" s="2" t="s">
        <v>57</v>
      </c>
      <c r="X1004" s="2" t="s">
        <v>58</v>
      </c>
      <c r="Y1004" s="2">
        <v>4.0096987294562698</v>
      </c>
      <c r="Z1004" s="2">
        <v>4009.69872945627</v>
      </c>
      <c r="AA1004" s="2">
        <v>4.6584666666666701</v>
      </c>
      <c r="AB1004" s="2">
        <v>-74.083966666666697</v>
      </c>
      <c r="AC1004" s="2">
        <v>2552</v>
      </c>
      <c r="AD1004" s="2">
        <v>0</v>
      </c>
      <c r="AE1004" s="2" t="s">
        <v>59</v>
      </c>
      <c r="AF1004" s="2" t="s">
        <v>60</v>
      </c>
      <c r="AG1004" s="2" t="s">
        <v>61</v>
      </c>
      <c r="AH1004" s="2" t="s">
        <v>62</v>
      </c>
      <c r="AI1004" s="2" t="s">
        <v>109</v>
      </c>
      <c r="AJ1004" s="2">
        <v>0.56927436030247502</v>
      </c>
      <c r="AK1004" s="2">
        <v>1.7944200816471301</v>
      </c>
      <c r="AL1004" s="2">
        <v>0.702865858828158</v>
      </c>
      <c r="AM1004" s="2">
        <v>0.129275423708753</v>
      </c>
      <c r="AN1004" s="2">
        <v>3.0722888995534099</v>
      </c>
      <c r="AO1004" s="2">
        <v>0.449557493682336</v>
      </c>
      <c r="AP1004" s="2">
        <v>0.449557493682336</v>
      </c>
      <c r="AQ1004" s="2">
        <v>0</v>
      </c>
      <c r="AR1004" s="2">
        <v>3</v>
      </c>
      <c r="AS1004" s="2">
        <v>0</v>
      </c>
      <c r="AT1004" s="2">
        <v>0</v>
      </c>
      <c r="AU1004" s="2">
        <v>3</v>
      </c>
      <c r="AV1004" s="2">
        <v>233</v>
      </c>
      <c r="AW1004" s="2">
        <v>0</v>
      </c>
      <c r="AX1004" s="2">
        <v>0</v>
      </c>
      <c r="AZ1004" s="2">
        <v>6.8</v>
      </c>
      <c r="BA1004" s="2">
        <v>19.899999999999999</v>
      </c>
      <c r="BB1004" s="2">
        <v>564</v>
      </c>
      <c r="BC1004" s="2">
        <v>68</v>
      </c>
      <c r="BD1004" s="2">
        <v>1.5</v>
      </c>
      <c r="BE1004" s="2">
        <v>135</v>
      </c>
      <c r="BF1004" s="2">
        <v>0.8</v>
      </c>
      <c r="BG1004" s="2">
        <v>162</v>
      </c>
      <c r="BH1004" s="2">
        <v>9.1</v>
      </c>
      <c r="BI1004" s="2">
        <v>9.1999999999999993</v>
      </c>
      <c r="BJ1004" s="2">
        <v>18.3</v>
      </c>
      <c r="BK1004" s="2">
        <v>0.34</v>
      </c>
      <c r="BL1004" s="2">
        <v>7.3</v>
      </c>
      <c r="BM1004" s="2">
        <v>0.9</v>
      </c>
      <c r="BN1004" s="2">
        <v>7.5</v>
      </c>
      <c r="BO1004" s="2">
        <v>2.9</v>
      </c>
      <c r="BP1004" s="2">
        <f t="shared" si="30"/>
        <v>5.5758374709781791</v>
      </c>
      <c r="BQ1004" s="2">
        <f t="shared" si="31"/>
        <v>18.074226301338939</v>
      </c>
    </row>
    <row r="1005" spans="1:69" x14ac:dyDescent="0.2">
      <c r="A1005" s="2" t="s">
        <v>3615</v>
      </c>
      <c r="B1005" s="2" t="s">
        <v>47</v>
      </c>
      <c r="C1005" s="2" t="s">
        <v>3273</v>
      </c>
      <c r="D1005" s="2" t="s">
        <v>49</v>
      </c>
      <c r="E1005" s="2" t="s">
        <v>111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89</v>
      </c>
      <c r="L1005" s="6" t="s">
        <v>103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3616</v>
      </c>
      <c r="R1005" s="2">
        <v>10192307.689999999</v>
      </c>
      <c r="S1005" s="2">
        <v>0</v>
      </c>
      <c r="T1005" s="2" t="s">
        <v>54</v>
      </c>
      <c r="U1005" s="2" t="s">
        <v>55</v>
      </c>
      <c r="V1005" s="2" t="s">
        <v>56</v>
      </c>
      <c r="W1005" s="2" t="s">
        <v>57</v>
      </c>
      <c r="X1005" s="2" t="s">
        <v>58</v>
      </c>
      <c r="Y1005" s="2">
        <v>4.0096987294562698</v>
      </c>
      <c r="Z1005" s="2">
        <v>4009.69872945627</v>
      </c>
      <c r="AA1005" s="2">
        <v>4.6584666666666701</v>
      </c>
      <c r="AB1005" s="2">
        <v>-74.083966666666697</v>
      </c>
      <c r="AC1005" s="2">
        <v>2552</v>
      </c>
      <c r="AD1005" s="2">
        <v>0</v>
      </c>
      <c r="AE1005" s="2" t="s">
        <v>59</v>
      </c>
      <c r="AF1005" s="2" t="s">
        <v>60</v>
      </c>
      <c r="AG1005" s="2" t="s">
        <v>61</v>
      </c>
      <c r="AH1005" s="2" t="s">
        <v>62</v>
      </c>
      <c r="AI1005" s="2" t="s">
        <v>109</v>
      </c>
      <c r="AJ1005" s="2">
        <v>0.56927436030247502</v>
      </c>
      <c r="AK1005" s="2">
        <v>1.7944200816471301</v>
      </c>
      <c r="AL1005" s="2">
        <v>0.702865858828158</v>
      </c>
      <c r="AM1005" s="2">
        <v>0.129275423708753</v>
      </c>
      <c r="AN1005" s="2">
        <v>3.0722888995534099</v>
      </c>
      <c r="AO1005" s="2">
        <v>0.449557493682336</v>
      </c>
      <c r="AP1005" s="2">
        <v>0.449557493682336</v>
      </c>
      <c r="AQ1005" s="2">
        <v>0</v>
      </c>
      <c r="AR1005" s="2">
        <v>3</v>
      </c>
      <c r="AS1005" s="2">
        <v>0</v>
      </c>
      <c r="AT1005" s="2">
        <v>0</v>
      </c>
      <c r="AU1005" s="2">
        <v>3</v>
      </c>
      <c r="AV1005" s="2">
        <v>233</v>
      </c>
      <c r="AW1005" s="2">
        <v>0</v>
      </c>
      <c r="AX1005" s="2">
        <v>0</v>
      </c>
      <c r="AZ1005" s="2">
        <v>6.8</v>
      </c>
      <c r="BA1005" s="2">
        <v>19.899999999999999</v>
      </c>
      <c r="BB1005" s="2">
        <v>564</v>
      </c>
      <c r="BC1005" s="2">
        <v>68</v>
      </c>
      <c r="BD1005" s="2">
        <v>1.5</v>
      </c>
      <c r="BE1005" s="2">
        <v>135</v>
      </c>
      <c r="BF1005" s="2">
        <v>0.8</v>
      </c>
      <c r="BG1005" s="2">
        <v>162</v>
      </c>
      <c r="BH1005" s="2">
        <v>9.1</v>
      </c>
      <c r="BI1005" s="2">
        <v>9.1999999999999993</v>
      </c>
      <c r="BJ1005" s="2">
        <v>18.3</v>
      </c>
      <c r="BK1005" s="2">
        <v>0.34</v>
      </c>
      <c r="BL1005" s="2">
        <v>7.3</v>
      </c>
      <c r="BM1005" s="2">
        <v>0.9</v>
      </c>
      <c r="BN1005" s="2">
        <v>7.5</v>
      </c>
      <c r="BO1005" s="2">
        <v>2.9</v>
      </c>
      <c r="BP1005" s="2">
        <f t="shared" si="30"/>
        <v>5.5758374709781791</v>
      </c>
      <c r="BQ1005" s="2">
        <f t="shared" si="31"/>
        <v>18.074226301338939</v>
      </c>
    </row>
    <row r="1006" spans="1:69" x14ac:dyDescent="0.2">
      <c r="A1006" s="2" t="s">
        <v>3623</v>
      </c>
      <c r="B1006" s="2" t="s">
        <v>47</v>
      </c>
      <c r="C1006" s="2" t="s">
        <v>3273</v>
      </c>
      <c r="D1006" s="2" t="s">
        <v>49</v>
      </c>
      <c r="E1006" s="2" t="s">
        <v>1077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89</v>
      </c>
      <c r="L1006" s="6" t="s">
        <v>90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3624</v>
      </c>
      <c r="R1006" s="2">
        <v>8769230.7689999994</v>
      </c>
      <c r="S1006" s="2">
        <v>0</v>
      </c>
      <c r="T1006" s="2" t="s">
        <v>105</v>
      </c>
      <c r="U1006" s="2" t="s">
        <v>106</v>
      </c>
      <c r="V1006" s="2" t="s">
        <v>56</v>
      </c>
      <c r="W1006" s="2" t="s">
        <v>107</v>
      </c>
      <c r="X1006" s="2" t="s">
        <v>108</v>
      </c>
      <c r="Y1006" s="2">
        <v>1.6877172640776299</v>
      </c>
      <c r="Z1006" s="2">
        <v>1687.71726407763</v>
      </c>
      <c r="AA1006" s="2">
        <v>4.6254861111111101</v>
      </c>
      <c r="AB1006" s="2">
        <v>-74.066980555555503</v>
      </c>
      <c r="AC1006" s="2">
        <v>2621</v>
      </c>
      <c r="AD1006" s="2">
        <v>15</v>
      </c>
      <c r="AE1006" s="2" t="s">
        <v>59</v>
      </c>
      <c r="AF1006" s="2" t="s">
        <v>60</v>
      </c>
      <c r="AG1006" s="2" t="s">
        <v>61</v>
      </c>
      <c r="AH1006" s="2" t="s">
        <v>62</v>
      </c>
      <c r="AI1006" s="2" t="s">
        <v>117</v>
      </c>
      <c r="AJ1006" s="2">
        <v>2.4744247384976801E-2</v>
      </c>
      <c r="AK1006" s="2">
        <v>0.75490875673799296</v>
      </c>
      <c r="AL1006" s="2">
        <v>0.15094825682780899</v>
      </c>
      <c r="AM1006" s="2">
        <v>0.33544475904767301</v>
      </c>
      <c r="AN1006" s="2">
        <v>0.72616053254737101</v>
      </c>
      <c r="AO1006" s="2">
        <v>4.8634005935610798E-2</v>
      </c>
      <c r="AP1006" s="2">
        <v>4.8634005935610798E-2</v>
      </c>
      <c r="AQ1006" s="2">
        <v>2</v>
      </c>
      <c r="AR1006" s="2">
        <v>8</v>
      </c>
      <c r="AS1006" s="2">
        <v>0</v>
      </c>
      <c r="AT1006" s="2">
        <v>22</v>
      </c>
      <c r="AU1006" s="2">
        <v>9</v>
      </c>
      <c r="AV1006" s="2">
        <v>64</v>
      </c>
      <c r="AW1006" s="2">
        <v>1</v>
      </c>
      <c r="AX1006" s="2">
        <v>6</v>
      </c>
      <c r="AZ1006" s="2">
        <v>6.8</v>
      </c>
      <c r="BA1006" s="2">
        <v>19.899999999999999</v>
      </c>
      <c r="BB1006" s="2">
        <v>564</v>
      </c>
      <c r="BC1006" s="2">
        <v>68</v>
      </c>
      <c r="BD1006" s="2">
        <v>1.5</v>
      </c>
      <c r="BE1006" s="2">
        <v>135</v>
      </c>
      <c r="BF1006" s="2">
        <v>0.8</v>
      </c>
      <c r="BG1006" s="2">
        <v>162</v>
      </c>
      <c r="BH1006" s="2">
        <v>9.1</v>
      </c>
      <c r="BI1006" s="2">
        <v>9.1999999999999993</v>
      </c>
      <c r="BJ1006" s="2">
        <v>18.3</v>
      </c>
      <c r="BK1006" s="2">
        <v>0.34</v>
      </c>
      <c r="BL1006" s="2">
        <v>7.3</v>
      </c>
      <c r="BM1006" s="2">
        <v>0.9</v>
      </c>
      <c r="BN1006" s="2">
        <v>7.5</v>
      </c>
      <c r="BO1006" s="2">
        <v>2.9</v>
      </c>
      <c r="BP1006" s="2">
        <f t="shared" si="30"/>
        <v>6.2549966453902552</v>
      </c>
      <c r="BQ1006" s="2">
        <f t="shared" si="31"/>
        <v>19.110052727245819</v>
      </c>
    </row>
    <row r="1007" spans="1:69" x14ac:dyDescent="0.2">
      <c r="A1007" s="2" t="s">
        <v>3664</v>
      </c>
      <c r="B1007" s="2" t="s">
        <v>47</v>
      </c>
      <c r="C1007" s="2" t="s">
        <v>3273</v>
      </c>
      <c r="D1007" s="2" t="s">
        <v>49</v>
      </c>
      <c r="E1007" s="2" t="s">
        <v>1077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89</v>
      </c>
      <c r="L1007" s="6" t="s">
        <v>141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3665</v>
      </c>
      <c r="R1007" s="2">
        <v>4819043.9330000002</v>
      </c>
      <c r="S1007" s="2">
        <v>0</v>
      </c>
      <c r="T1007" s="2" t="s">
        <v>105</v>
      </c>
      <c r="U1007" s="2" t="s">
        <v>106</v>
      </c>
      <c r="V1007" s="2" t="s">
        <v>56</v>
      </c>
      <c r="W1007" s="2" t="s">
        <v>107</v>
      </c>
      <c r="X1007" s="2" t="s">
        <v>108</v>
      </c>
      <c r="Y1007" s="2">
        <v>2.3105322454666299</v>
      </c>
      <c r="Z1007" s="2">
        <v>2310.5322454666298</v>
      </c>
      <c r="AA1007" s="2">
        <v>4.6254861111111101</v>
      </c>
      <c r="AB1007" s="2">
        <v>-74.066980555555503</v>
      </c>
      <c r="AC1007" s="2">
        <v>2621</v>
      </c>
      <c r="AD1007" s="2">
        <v>15</v>
      </c>
      <c r="AE1007" s="2" t="s">
        <v>59</v>
      </c>
      <c r="AF1007" s="2" t="s">
        <v>60</v>
      </c>
      <c r="AG1007" s="2" t="s">
        <v>61</v>
      </c>
      <c r="AH1007" s="2" t="s">
        <v>62</v>
      </c>
      <c r="AI1007" s="2" t="s">
        <v>117</v>
      </c>
      <c r="AJ1007" s="2">
        <v>0.38800242094740101</v>
      </c>
      <c r="AK1007" s="2">
        <v>0.70685478996705198</v>
      </c>
      <c r="AL1007" s="2">
        <v>9.2734722915972401E-2</v>
      </c>
      <c r="AM1007" s="2">
        <v>6.9330289867294198E-2</v>
      </c>
      <c r="AN1007" s="2">
        <v>1.23114125006788</v>
      </c>
      <c r="AO1007" s="2">
        <v>9.7237452896506302E-2</v>
      </c>
      <c r="AP1007" s="2">
        <v>9.7237452896506302E-2</v>
      </c>
      <c r="AQ1007" s="2">
        <v>4</v>
      </c>
      <c r="AR1007" s="2">
        <v>9</v>
      </c>
      <c r="AS1007" s="2">
        <v>0</v>
      </c>
      <c r="AT1007" s="2">
        <v>26</v>
      </c>
      <c r="AU1007" s="2">
        <v>12</v>
      </c>
      <c r="AV1007" s="2">
        <v>50</v>
      </c>
      <c r="AW1007" s="2">
        <v>0</v>
      </c>
      <c r="AX1007" s="2">
        <v>9</v>
      </c>
      <c r="AZ1007" s="2">
        <v>6.8</v>
      </c>
      <c r="BA1007" s="2">
        <v>19.899999999999999</v>
      </c>
      <c r="BB1007" s="2">
        <v>564</v>
      </c>
      <c r="BC1007" s="2">
        <v>68</v>
      </c>
      <c r="BD1007" s="2">
        <v>1.5</v>
      </c>
      <c r="BE1007" s="2">
        <v>135</v>
      </c>
      <c r="BF1007" s="2">
        <v>0.8</v>
      </c>
      <c r="BG1007" s="2">
        <v>162</v>
      </c>
      <c r="BH1007" s="2">
        <v>9.1</v>
      </c>
      <c r="BI1007" s="2">
        <v>9.1999999999999993</v>
      </c>
      <c r="BJ1007" s="2">
        <v>18.3</v>
      </c>
      <c r="BK1007" s="2">
        <v>0.34</v>
      </c>
      <c r="BL1007" s="2">
        <v>7.3</v>
      </c>
      <c r="BM1007" s="2">
        <v>0.9</v>
      </c>
      <c r="BN1007" s="2">
        <v>7.5</v>
      </c>
      <c r="BO1007" s="2">
        <v>2.9</v>
      </c>
      <c r="BP1007" s="2">
        <f t="shared" si="30"/>
        <v>6.0651014296971342</v>
      </c>
      <c r="BQ1007" s="2">
        <f t="shared" si="31"/>
        <v>18.826528353723901</v>
      </c>
    </row>
    <row r="1008" spans="1:69" x14ac:dyDescent="0.2">
      <c r="A1008" s="2" t="s">
        <v>3673</v>
      </c>
      <c r="B1008" s="2" t="s">
        <v>47</v>
      </c>
      <c r="C1008" s="2" t="s">
        <v>3273</v>
      </c>
      <c r="D1008" s="2" t="s">
        <v>49</v>
      </c>
      <c r="E1008" s="2" t="s">
        <v>1077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89</v>
      </c>
      <c r="L1008" s="6" t="s">
        <v>103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3674</v>
      </c>
      <c r="R1008" s="2">
        <v>6835906.4670000002</v>
      </c>
      <c r="S1008" s="2">
        <v>0</v>
      </c>
      <c r="T1008" s="2" t="s">
        <v>105</v>
      </c>
      <c r="U1008" s="2" t="s">
        <v>106</v>
      </c>
      <c r="V1008" s="2" t="s">
        <v>56</v>
      </c>
      <c r="W1008" s="2" t="s">
        <v>107</v>
      </c>
      <c r="X1008" s="2" t="s">
        <v>108</v>
      </c>
      <c r="Y1008" s="2">
        <v>1.94814258542791</v>
      </c>
      <c r="Z1008" s="2">
        <v>1948.14258542791</v>
      </c>
      <c r="AA1008" s="2">
        <v>4.6254861111111101</v>
      </c>
      <c r="AB1008" s="2">
        <v>-74.066980555555503</v>
      </c>
      <c r="AC1008" s="2">
        <v>2621</v>
      </c>
      <c r="AD1008" s="2">
        <v>15</v>
      </c>
      <c r="AE1008" s="2" t="s">
        <v>59</v>
      </c>
      <c r="AF1008" s="2" t="s">
        <v>60</v>
      </c>
      <c r="AG1008" s="2" t="s">
        <v>61</v>
      </c>
      <c r="AH1008" s="2" t="s">
        <v>62</v>
      </c>
      <c r="AI1008" s="2" t="s">
        <v>117</v>
      </c>
      <c r="AJ1008" s="2">
        <v>0.41905411955164201</v>
      </c>
      <c r="AK1008" s="2">
        <v>0.45177826857383202</v>
      </c>
      <c r="AL1008" s="2">
        <v>0.19446416438957201</v>
      </c>
      <c r="AM1008" s="2">
        <v>0.16225223524732299</v>
      </c>
      <c r="AN1008" s="2">
        <v>0.84454071999795999</v>
      </c>
      <c r="AO1008" s="2">
        <v>3.38144449294005E-2</v>
      </c>
      <c r="AP1008" s="2">
        <v>3.38144449294005E-2</v>
      </c>
      <c r="AQ1008" s="2">
        <v>2</v>
      </c>
      <c r="AR1008" s="2">
        <v>8</v>
      </c>
      <c r="AS1008" s="2">
        <v>3</v>
      </c>
      <c r="AT1008" s="2">
        <v>29</v>
      </c>
      <c r="AU1008" s="2">
        <v>12</v>
      </c>
      <c r="AV1008" s="2">
        <v>55</v>
      </c>
      <c r="AW1008" s="2">
        <v>1</v>
      </c>
      <c r="AX1008" s="2">
        <v>8</v>
      </c>
      <c r="AZ1008" s="2">
        <v>6.8</v>
      </c>
      <c r="BA1008" s="2">
        <v>19.899999999999999</v>
      </c>
      <c r="BB1008" s="2">
        <v>564</v>
      </c>
      <c r="BC1008" s="2">
        <v>68</v>
      </c>
      <c r="BD1008" s="2">
        <v>1.5</v>
      </c>
      <c r="BE1008" s="2">
        <v>135</v>
      </c>
      <c r="BF1008" s="2">
        <v>0.8</v>
      </c>
      <c r="BG1008" s="2">
        <v>162</v>
      </c>
      <c r="BH1008" s="2">
        <v>9.1</v>
      </c>
      <c r="BI1008" s="2">
        <v>9.1999999999999993</v>
      </c>
      <c r="BJ1008" s="2">
        <v>18.3</v>
      </c>
      <c r="BK1008" s="2">
        <v>0.34</v>
      </c>
      <c r="BL1008" s="2">
        <v>7.3</v>
      </c>
      <c r="BM1008" s="2">
        <v>0.9</v>
      </c>
      <c r="BN1008" s="2">
        <v>7.5</v>
      </c>
      <c r="BO1008" s="2">
        <v>2.9</v>
      </c>
      <c r="BP1008" s="2">
        <f t="shared" si="30"/>
        <v>6.1748806488350976</v>
      </c>
      <c r="BQ1008" s="2">
        <f t="shared" si="31"/>
        <v>18.990983419878013</v>
      </c>
    </row>
    <row r="1009" spans="1:69" x14ac:dyDescent="0.2">
      <c r="A1009" s="2" t="s">
        <v>4470</v>
      </c>
      <c r="B1009" s="2" t="s">
        <v>47</v>
      </c>
      <c r="C1009" s="2" t="s">
        <v>3273</v>
      </c>
      <c r="D1009" s="2" t="s">
        <v>49</v>
      </c>
      <c r="E1009" s="2" t="s">
        <v>3538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89</v>
      </c>
      <c r="L1009" s="6" t="s">
        <v>112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4471</v>
      </c>
      <c r="R1009" s="2">
        <v>10784313.73</v>
      </c>
      <c r="S1009" s="2">
        <v>0</v>
      </c>
      <c r="T1009" s="2" t="s">
        <v>105</v>
      </c>
      <c r="U1009" s="2" t="s">
        <v>106</v>
      </c>
      <c r="V1009" s="2" t="s">
        <v>56</v>
      </c>
      <c r="W1009" s="2" t="s">
        <v>107</v>
      </c>
      <c r="X1009" s="2" t="s">
        <v>108</v>
      </c>
      <c r="Y1009" s="2">
        <v>0.70623523696166501</v>
      </c>
      <c r="Z1009" s="2">
        <v>706.23523696166501</v>
      </c>
      <c r="AA1009" s="2">
        <v>4.6254861111111101</v>
      </c>
      <c r="AB1009" s="2">
        <v>-74.066980555555503</v>
      </c>
      <c r="AC1009" s="2">
        <v>2621</v>
      </c>
      <c r="AD1009" s="2">
        <v>15</v>
      </c>
      <c r="AE1009" s="2" t="s">
        <v>59</v>
      </c>
      <c r="AF1009" s="2" t="s">
        <v>60</v>
      </c>
      <c r="AG1009" s="2" t="s">
        <v>61</v>
      </c>
      <c r="AH1009" s="2" t="s">
        <v>62</v>
      </c>
      <c r="AI1009" s="2" t="s">
        <v>117</v>
      </c>
      <c r="AJ1009" s="2">
        <v>0.44574799538938198</v>
      </c>
      <c r="AK1009" s="2">
        <v>0.509613871712011</v>
      </c>
      <c r="AL1009" s="2">
        <v>0.19919220863237999</v>
      </c>
      <c r="AM1009" s="2">
        <v>0.137927940215649</v>
      </c>
      <c r="AN1009" s="2">
        <v>0.42872094976583702</v>
      </c>
      <c r="AO1009" s="2">
        <v>9.9322316071138297E-2</v>
      </c>
      <c r="AP1009" s="2">
        <v>9.9322316071138297E-2</v>
      </c>
      <c r="AQ1009" s="2">
        <v>1</v>
      </c>
      <c r="AR1009" s="2">
        <v>5</v>
      </c>
      <c r="AS1009" s="2">
        <v>0</v>
      </c>
      <c r="AT1009" s="2">
        <v>8</v>
      </c>
      <c r="AU1009" s="2">
        <v>13</v>
      </c>
      <c r="AV1009" s="2">
        <v>68</v>
      </c>
      <c r="AW1009" s="2">
        <v>2</v>
      </c>
      <c r="AX1009" s="2">
        <v>2</v>
      </c>
      <c r="AZ1009" s="2">
        <v>6.8</v>
      </c>
      <c r="BA1009" s="2">
        <v>19.899999999999999</v>
      </c>
      <c r="BB1009" s="2">
        <v>564</v>
      </c>
      <c r="BC1009" s="2">
        <v>68</v>
      </c>
      <c r="BD1009" s="2">
        <v>1.5</v>
      </c>
      <c r="BE1009" s="2">
        <v>135</v>
      </c>
      <c r="BF1009" s="2">
        <v>0.8</v>
      </c>
      <c r="BG1009" s="2">
        <v>162</v>
      </c>
      <c r="BH1009" s="2">
        <v>9.1</v>
      </c>
      <c r="BI1009" s="2">
        <v>9.1999999999999993</v>
      </c>
      <c r="BJ1009" s="2">
        <v>18.3</v>
      </c>
      <c r="BK1009" s="2">
        <v>0.34</v>
      </c>
      <c r="BL1009" s="2">
        <v>7.3</v>
      </c>
      <c r="BM1009" s="2">
        <v>0.9</v>
      </c>
      <c r="BN1009" s="2">
        <v>7.5</v>
      </c>
      <c r="BO1009" s="2">
        <v>2.9</v>
      </c>
      <c r="BP1009" s="2">
        <f t="shared" si="30"/>
        <v>6.5663883829865917</v>
      </c>
      <c r="BQ1009" s="2">
        <f t="shared" si="31"/>
        <v>19.565544508980999</v>
      </c>
    </row>
    <row r="1010" spans="1:69" x14ac:dyDescent="0.2">
      <c r="A1010" s="2" t="s">
        <v>1660</v>
      </c>
      <c r="B1010" s="2" t="s">
        <v>47</v>
      </c>
      <c r="C1010" s="2" t="s">
        <v>48</v>
      </c>
      <c r="D1010" s="2" t="s">
        <v>49</v>
      </c>
      <c r="E1010" s="2" t="s">
        <v>111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89</v>
      </c>
      <c r="L1010" s="6" t="s">
        <v>103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1661</v>
      </c>
      <c r="R1010" s="2">
        <v>10196078.43</v>
      </c>
      <c r="S1010" s="2">
        <v>0</v>
      </c>
      <c r="T1010" s="2" t="s">
        <v>54</v>
      </c>
      <c r="U1010" s="2" t="s">
        <v>55</v>
      </c>
      <c r="V1010" s="2" t="s">
        <v>56</v>
      </c>
      <c r="W1010" s="2" t="s">
        <v>57</v>
      </c>
      <c r="X1010" s="2" t="s">
        <v>58</v>
      </c>
      <c r="Y1010" s="2">
        <v>3.61412307553163</v>
      </c>
      <c r="Z1010" s="2">
        <v>3614.1230755316301</v>
      </c>
      <c r="AA1010" s="2">
        <v>4.6584666666666701</v>
      </c>
      <c r="AB1010" s="2">
        <v>-74.083966666666697</v>
      </c>
      <c r="AC1010" s="2">
        <v>2552</v>
      </c>
      <c r="AD1010" s="2">
        <v>0</v>
      </c>
      <c r="AE1010" s="2" t="s">
        <v>59</v>
      </c>
      <c r="AF1010" s="2" t="s">
        <v>60</v>
      </c>
      <c r="AG1010" s="2" t="s">
        <v>61</v>
      </c>
      <c r="AH1010" s="2" t="s">
        <v>62</v>
      </c>
      <c r="AI1010" s="2" t="s">
        <v>109</v>
      </c>
      <c r="AJ1010" s="2">
        <v>0.39600668473727402</v>
      </c>
      <c r="AK1010" s="2">
        <v>1.5506048490538</v>
      </c>
      <c r="AL1010" s="2">
        <v>0.80816478051143903</v>
      </c>
      <c r="AM1010" s="2">
        <v>0.119440344157365</v>
      </c>
      <c r="AN1010" s="2">
        <v>2.9003565945831302</v>
      </c>
      <c r="AO1010" s="2">
        <v>0.71653942176523799</v>
      </c>
      <c r="AP1010" s="2">
        <v>0.71653942176523799</v>
      </c>
      <c r="AQ1010" s="2">
        <v>1</v>
      </c>
      <c r="AR1010" s="2">
        <v>4</v>
      </c>
      <c r="AS1010" s="2">
        <v>0</v>
      </c>
      <c r="AT1010" s="2">
        <v>0</v>
      </c>
      <c r="AU1010" s="2">
        <v>5</v>
      </c>
      <c r="AV1010" s="2">
        <v>314</v>
      </c>
      <c r="AW1010" s="2">
        <v>0</v>
      </c>
      <c r="AX1010" s="2">
        <v>0</v>
      </c>
      <c r="AZ1010" s="2">
        <v>6.8</v>
      </c>
      <c r="BA1010" s="2">
        <v>19.899999999999999</v>
      </c>
      <c r="BB1010" s="2">
        <v>564</v>
      </c>
      <c r="BC1010" s="2">
        <v>68</v>
      </c>
      <c r="BD1010" s="2">
        <v>1.5</v>
      </c>
      <c r="BE1010" s="2">
        <v>135</v>
      </c>
      <c r="BF1010" s="2">
        <v>0.8</v>
      </c>
      <c r="BG1010" s="2">
        <v>162</v>
      </c>
      <c r="BH1010" s="2">
        <v>9.1</v>
      </c>
      <c r="BI1010" s="2">
        <v>9.1999999999999993</v>
      </c>
      <c r="BJ1010" s="2">
        <v>18.3</v>
      </c>
      <c r="BK1010" s="2">
        <v>0.34</v>
      </c>
      <c r="BL1010" s="2">
        <v>7.3</v>
      </c>
      <c r="BM1010" s="2">
        <v>0.9</v>
      </c>
      <c r="BN1010" s="2">
        <v>7.5</v>
      </c>
      <c r="BO1010" s="2">
        <v>2.9</v>
      </c>
      <c r="BP1010" s="2">
        <f t="shared" si="30"/>
        <v>5.6860938579529314</v>
      </c>
      <c r="BQ1010" s="2">
        <f t="shared" si="31"/>
        <v>18.246636796409945</v>
      </c>
    </row>
    <row r="1011" spans="1:69" x14ac:dyDescent="0.2">
      <c r="A1011" s="2" t="s">
        <v>1443</v>
      </c>
      <c r="B1011" s="2" t="s">
        <v>47</v>
      </c>
      <c r="C1011" s="2" t="s">
        <v>48</v>
      </c>
      <c r="D1011" s="2" t="s">
        <v>49</v>
      </c>
      <c r="E1011" s="2" t="s">
        <v>493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89</v>
      </c>
      <c r="L1011" s="6" t="s">
        <v>141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1444</v>
      </c>
      <c r="R1011" s="2">
        <v>8627450.9800000004</v>
      </c>
      <c r="S1011" s="2">
        <v>0</v>
      </c>
      <c r="T1011" s="2" t="s">
        <v>105</v>
      </c>
      <c r="U1011" s="2" t="s">
        <v>106</v>
      </c>
      <c r="V1011" s="2" t="s">
        <v>56</v>
      </c>
      <c r="W1011" s="2" t="s">
        <v>107</v>
      </c>
      <c r="X1011" s="2" t="s">
        <v>108</v>
      </c>
      <c r="Y1011" s="2">
        <v>1.3124855126778801</v>
      </c>
      <c r="Z1011" s="2">
        <v>1312.48551267788</v>
      </c>
      <c r="AA1011" s="2">
        <v>4.6254861111111101</v>
      </c>
      <c r="AB1011" s="2">
        <v>-74.066980555555503</v>
      </c>
      <c r="AC1011" s="2">
        <v>2621</v>
      </c>
      <c r="AD1011" s="2">
        <v>15</v>
      </c>
      <c r="AE1011" s="2" t="s">
        <v>59</v>
      </c>
      <c r="AF1011" s="2" t="s">
        <v>60</v>
      </c>
      <c r="AG1011" s="2" t="s">
        <v>61</v>
      </c>
      <c r="AH1011" s="2" t="s">
        <v>62</v>
      </c>
      <c r="AI1011" s="2" t="s">
        <v>109</v>
      </c>
      <c r="AJ1011" s="2">
        <v>0.48253725345044601</v>
      </c>
      <c r="AK1011" s="2">
        <v>0.42642828077251899</v>
      </c>
      <c r="AL1011" s="2">
        <v>0.25287758446047898</v>
      </c>
      <c r="AM1011" s="2">
        <v>8.9157215103474796E-2</v>
      </c>
      <c r="AN1011" s="2">
        <v>0.73761148752786099</v>
      </c>
      <c r="AO1011" s="2">
        <v>4.6533989976154197E-2</v>
      </c>
      <c r="AP1011" s="2">
        <v>4.6533989976154197E-2</v>
      </c>
      <c r="AQ1011" s="2">
        <v>2</v>
      </c>
      <c r="AR1011" s="2">
        <v>4</v>
      </c>
      <c r="AS1011" s="2">
        <v>7</v>
      </c>
      <c r="AT1011" s="2">
        <v>40</v>
      </c>
      <c r="AU1011" s="2">
        <v>11</v>
      </c>
      <c r="AV1011" s="2">
        <v>126</v>
      </c>
      <c r="AW1011" s="2">
        <v>1</v>
      </c>
      <c r="AX1011" s="2">
        <v>0</v>
      </c>
      <c r="AZ1011" s="2">
        <v>6.8</v>
      </c>
      <c r="BA1011" s="2">
        <v>19.899999999999999</v>
      </c>
      <c r="BB1011" s="2">
        <v>564</v>
      </c>
      <c r="BC1011" s="2">
        <v>68</v>
      </c>
      <c r="BD1011" s="2">
        <v>1.5</v>
      </c>
      <c r="BE1011" s="2">
        <v>135</v>
      </c>
      <c r="BF1011" s="2">
        <v>0.8</v>
      </c>
      <c r="BG1011" s="2">
        <v>162</v>
      </c>
      <c r="BH1011" s="2">
        <v>9.1</v>
      </c>
      <c r="BI1011" s="2">
        <v>9.1999999999999993</v>
      </c>
      <c r="BJ1011" s="2">
        <v>18.3</v>
      </c>
      <c r="BK1011" s="2">
        <v>0.34</v>
      </c>
      <c r="BL1011" s="2">
        <v>7.3</v>
      </c>
      <c r="BM1011" s="2">
        <v>0.9</v>
      </c>
      <c r="BN1011" s="2">
        <v>7.5</v>
      </c>
      <c r="BO1011" s="2">
        <v>2.9</v>
      </c>
      <c r="BP1011" s="2">
        <f t="shared" si="30"/>
        <v>6.3722624506044898</v>
      </c>
      <c r="BQ1011" s="2">
        <f t="shared" si="31"/>
        <v>19.282926738019558</v>
      </c>
    </row>
    <row r="1012" spans="1:69" x14ac:dyDescent="0.2">
      <c r="A1012" s="2" t="s">
        <v>1021</v>
      </c>
      <c r="B1012" s="2" t="s">
        <v>47</v>
      </c>
      <c r="C1012" s="2" t="s">
        <v>48</v>
      </c>
      <c r="D1012" s="2" t="s">
        <v>49</v>
      </c>
      <c r="E1012" s="2" t="s">
        <v>1022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89</v>
      </c>
      <c r="L1012" s="6" t="s">
        <v>112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1023</v>
      </c>
      <c r="R1012" s="2">
        <v>4078431.3730000001</v>
      </c>
      <c r="S1012" s="2">
        <v>0</v>
      </c>
      <c r="T1012" s="2" t="s">
        <v>344</v>
      </c>
      <c r="U1012" s="2" t="s">
        <v>345</v>
      </c>
      <c r="V1012" s="2" t="s">
        <v>56</v>
      </c>
      <c r="W1012" s="2" t="s">
        <v>344</v>
      </c>
      <c r="X1012" s="2" t="s">
        <v>346</v>
      </c>
      <c r="Y1012" s="2">
        <v>2.0193938781938199</v>
      </c>
      <c r="Z1012" s="2">
        <v>2019.39387819382</v>
      </c>
      <c r="AA1012" s="2">
        <v>4.6056111111111102</v>
      </c>
      <c r="AB1012" s="2">
        <v>-74.204055555555598</v>
      </c>
      <c r="AC1012" s="2">
        <v>2546</v>
      </c>
      <c r="AD1012" s="2">
        <v>0</v>
      </c>
      <c r="AE1012" s="2" t="s">
        <v>59</v>
      </c>
      <c r="AF1012" s="2" t="s">
        <v>86</v>
      </c>
      <c r="AG1012" s="2" t="s">
        <v>61</v>
      </c>
      <c r="AH1012" s="2" t="s">
        <v>62</v>
      </c>
      <c r="AI1012" s="2" t="s">
        <v>347</v>
      </c>
      <c r="AJ1012" s="2">
        <v>2.59036984882079</v>
      </c>
      <c r="AK1012" s="2">
        <v>2.20974583013105</v>
      </c>
      <c r="AL1012" s="2">
        <v>6.9887292040096503</v>
      </c>
      <c r="AM1012" s="2">
        <v>0.62604129332083103</v>
      </c>
      <c r="AN1012" s="2">
        <v>2.5129796320702602</v>
      </c>
      <c r="AO1012" s="2">
        <v>1.27251786144726E-2</v>
      </c>
      <c r="AP1012" s="2">
        <v>1.27251786144726E-2</v>
      </c>
      <c r="AQ1012" s="2">
        <v>0</v>
      </c>
      <c r="AR1012" s="2">
        <v>0</v>
      </c>
      <c r="AS1012" s="2">
        <v>0</v>
      </c>
      <c r="AT1012" s="2">
        <v>0</v>
      </c>
      <c r="AU1012" s="2">
        <v>0</v>
      </c>
      <c r="AV1012" s="2">
        <v>7</v>
      </c>
      <c r="AW1012" s="2">
        <v>0</v>
      </c>
      <c r="AX1012" s="2">
        <v>0</v>
      </c>
      <c r="AZ1012" s="2">
        <v>6.8</v>
      </c>
      <c r="BA1012" s="2">
        <v>19.899999999999999</v>
      </c>
      <c r="BB1012" s="2">
        <v>564</v>
      </c>
      <c r="BC1012" s="2">
        <v>68</v>
      </c>
      <c r="BD1012" s="2">
        <v>1.5</v>
      </c>
      <c r="BE1012" s="2">
        <v>135</v>
      </c>
      <c r="BF1012" s="2">
        <v>0.8</v>
      </c>
      <c r="BG1012" s="2">
        <v>162</v>
      </c>
      <c r="BH1012" s="2">
        <v>9.1</v>
      </c>
      <c r="BI1012" s="2">
        <v>9.1999999999999993</v>
      </c>
      <c r="BJ1012" s="2">
        <v>18.3</v>
      </c>
      <c r="BK1012" s="2">
        <v>0.34</v>
      </c>
      <c r="BL1012" s="2">
        <v>7.3</v>
      </c>
      <c r="BM1012" s="2">
        <v>0.9</v>
      </c>
      <c r="BN1012" s="2">
        <v>7.5</v>
      </c>
      <c r="BO1012" s="2">
        <v>2.9</v>
      </c>
      <c r="BP1012" s="2">
        <f t="shared" si="30"/>
        <v>6.1531405819849727</v>
      </c>
      <c r="BQ1012" s="2">
        <f t="shared" si="31"/>
        <v>18.95853599996282</v>
      </c>
    </row>
    <row r="1013" spans="1:69" x14ac:dyDescent="0.2">
      <c r="A1013" s="2" t="s">
        <v>995</v>
      </c>
      <c r="B1013" s="2" t="s">
        <v>47</v>
      </c>
      <c r="C1013" s="2" t="s">
        <v>48</v>
      </c>
      <c r="D1013" s="2" t="s">
        <v>49</v>
      </c>
      <c r="E1013" s="2" t="s">
        <v>996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89</v>
      </c>
      <c r="L1013" s="6" t="s">
        <v>90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997</v>
      </c>
      <c r="R1013" s="2">
        <v>3900000</v>
      </c>
      <c r="S1013" s="2">
        <v>0</v>
      </c>
      <c r="T1013" s="2" t="s">
        <v>344</v>
      </c>
      <c r="U1013" s="2" t="s">
        <v>345</v>
      </c>
      <c r="V1013" s="2" t="s">
        <v>56</v>
      </c>
      <c r="W1013" s="2" t="s">
        <v>344</v>
      </c>
      <c r="X1013" s="2" t="s">
        <v>346</v>
      </c>
      <c r="Y1013" s="2">
        <v>1.53194175594267</v>
      </c>
      <c r="Z1013" s="2">
        <v>1531.9417559426699</v>
      </c>
      <c r="AA1013" s="2">
        <v>4.6056111111111102</v>
      </c>
      <c r="AB1013" s="2">
        <v>-74.204055555555598</v>
      </c>
      <c r="AC1013" s="2">
        <v>2546</v>
      </c>
      <c r="AD1013" s="2">
        <v>0</v>
      </c>
      <c r="AE1013" s="2" t="s">
        <v>59</v>
      </c>
      <c r="AF1013" s="2" t="s">
        <v>86</v>
      </c>
      <c r="AG1013" s="2" t="s">
        <v>61</v>
      </c>
      <c r="AH1013" s="2" t="s">
        <v>62</v>
      </c>
      <c r="AI1013" s="2" t="s">
        <v>347</v>
      </c>
      <c r="AJ1013" s="2">
        <v>2.48037303074896</v>
      </c>
      <c r="AK1013" s="2">
        <v>2.49925514373155</v>
      </c>
      <c r="AL1013" s="2">
        <v>6.7344738296522602</v>
      </c>
      <c r="AM1013" s="2">
        <v>0.44793084311094999</v>
      </c>
      <c r="AN1013" s="2">
        <v>1.9675660654987901</v>
      </c>
      <c r="AO1013" s="2">
        <v>3.7276643966385799E-3</v>
      </c>
      <c r="AP1013" s="2">
        <v>3.7276643966385799E-3</v>
      </c>
      <c r="AQ1013" s="2">
        <v>0</v>
      </c>
      <c r="AR1013" s="2">
        <v>0</v>
      </c>
      <c r="AS1013" s="2">
        <v>0</v>
      </c>
      <c r="AT1013" s="2">
        <v>0</v>
      </c>
      <c r="AU1013" s="2">
        <v>0</v>
      </c>
      <c r="AV1013" s="2">
        <v>2</v>
      </c>
      <c r="AW1013" s="2">
        <v>0</v>
      </c>
      <c r="AX1013" s="2">
        <v>0</v>
      </c>
      <c r="AZ1013" s="2">
        <v>6.8</v>
      </c>
      <c r="BA1013" s="2">
        <v>19.899999999999999</v>
      </c>
      <c r="BB1013" s="2">
        <v>564</v>
      </c>
      <c r="BC1013" s="2">
        <v>68</v>
      </c>
      <c r="BD1013" s="2">
        <v>1.5</v>
      </c>
      <c r="BE1013" s="2">
        <v>135</v>
      </c>
      <c r="BF1013" s="2">
        <v>0.8</v>
      </c>
      <c r="BG1013" s="2">
        <v>162</v>
      </c>
      <c r="BH1013" s="2">
        <v>9.1</v>
      </c>
      <c r="BI1013" s="2">
        <v>9.1999999999999993</v>
      </c>
      <c r="BJ1013" s="2">
        <v>18.3</v>
      </c>
      <c r="BK1013" s="2">
        <v>0.34</v>
      </c>
      <c r="BL1013" s="2">
        <v>7.3</v>
      </c>
      <c r="BM1013" s="2">
        <v>0.9</v>
      </c>
      <c r="BN1013" s="2">
        <v>7.5</v>
      </c>
      <c r="BO1013" s="2">
        <v>2.9</v>
      </c>
      <c r="BP1013" s="2">
        <f t="shared" si="30"/>
        <v>6.3034146548041559</v>
      </c>
      <c r="BQ1013" s="2">
        <f t="shared" si="31"/>
        <v>19.18163152272972</v>
      </c>
    </row>
    <row r="1014" spans="1:69" x14ac:dyDescent="0.2">
      <c r="A1014" s="2" t="s">
        <v>3489</v>
      </c>
      <c r="B1014" s="2" t="s">
        <v>47</v>
      </c>
      <c r="C1014" s="2" t="s">
        <v>3273</v>
      </c>
      <c r="D1014" s="2" t="s">
        <v>49</v>
      </c>
      <c r="E1014" s="2" t="s">
        <v>968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89</v>
      </c>
      <c r="L1014" s="6" t="s">
        <v>141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3490</v>
      </c>
      <c r="R1014" s="2">
        <v>7233452.2390000001</v>
      </c>
      <c r="S1014" s="2">
        <v>0</v>
      </c>
      <c r="T1014" s="2" t="s">
        <v>54</v>
      </c>
      <c r="U1014" s="2" t="s">
        <v>55</v>
      </c>
      <c r="V1014" s="2" t="s">
        <v>56</v>
      </c>
      <c r="W1014" s="2" t="s">
        <v>57</v>
      </c>
      <c r="X1014" s="2" t="s">
        <v>58</v>
      </c>
      <c r="Y1014" s="2">
        <v>4.6462826734795604</v>
      </c>
      <c r="Z1014" s="2">
        <v>4646.2826734795599</v>
      </c>
      <c r="AA1014" s="2">
        <v>4.6584666666666701</v>
      </c>
      <c r="AB1014" s="2">
        <v>-74.083966666666697</v>
      </c>
      <c r="AC1014" s="2">
        <v>2552</v>
      </c>
      <c r="AD1014" s="2">
        <v>0</v>
      </c>
      <c r="AE1014" s="2" t="s">
        <v>59</v>
      </c>
      <c r="AF1014" s="2" t="s">
        <v>60</v>
      </c>
      <c r="AG1014" s="2" t="s">
        <v>61</v>
      </c>
      <c r="AH1014" s="2" t="s">
        <v>62</v>
      </c>
      <c r="AI1014" s="2" t="s">
        <v>109</v>
      </c>
      <c r="AJ1014" s="2">
        <v>1.75058662352066</v>
      </c>
      <c r="AK1014" s="2">
        <v>0.26537259974658101</v>
      </c>
      <c r="AL1014" s="2">
        <v>1.2610593546992399</v>
      </c>
      <c r="AM1014" s="2">
        <v>0.58235143322426297</v>
      </c>
      <c r="AN1014" s="2">
        <v>3.5941069432121902</v>
      </c>
      <c r="AO1014" s="2">
        <v>0.74030485752568198</v>
      </c>
      <c r="AP1014" s="2">
        <v>0.74030485752568198</v>
      </c>
      <c r="AQ1014" s="2">
        <v>0</v>
      </c>
      <c r="AR1014" s="2">
        <v>0</v>
      </c>
      <c r="AS1014" s="2">
        <v>11</v>
      </c>
      <c r="AT1014" s="2">
        <v>32</v>
      </c>
      <c r="AU1014" s="2">
        <v>0</v>
      </c>
      <c r="AV1014" s="2">
        <v>23</v>
      </c>
      <c r="AW1014" s="2">
        <v>0</v>
      </c>
      <c r="AX1014" s="2">
        <v>0</v>
      </c>
      <c r="AZ1014" s="2">
        <v>6.8</v>
      </c>
      <c r="BA1014" s="2">
        <v>19.899999999999999</v>
      </c>
      <c r="BB1014" s="2">
        <v>564</v>
      </c>
      <c r="BC1014" s="2">
        <v>68</v>
      </c>
      <c r="BD1014" s="2">
        <v>1.5</v>
      </c>
      <c r="BE1014" s="2">
        <v>135</v>
      </c>
      <c r="BF1014" s="2">
        <v>0.8</v>
      </c>
      <c r="BG1014" s="2">
        <v>162</v>
      </c>
      <c r="BH1014" s="2">
        <v>9.1</v>
      </c>
      <c r="BI1014" s="2">
        <v>9.1999999999999993</v>
      </c>
      <c r="BJ1014" s="2">
        <v>18.3</v>
      </c>
      <c r="BK1014" s="2">
        <v>0.34</v>
      </c>
      <c r="BL1014" s="2">
        <v>7.3</v>
      </c>
      <c r="BM1014" s="2">
        <v>0.9</v>
      </c>
      <c r="BN1014" s="2">
        <v>7.5</v>
      </c>
      <c r="BO1014" s="2">
        <v>2.9</v>
      </c>
      <c r="BP1014" s="2">
        <f t="shared" si="30"/>
        <v>5.4028771640989195</v>
      </c>
      <c r="BQ1014" s="2">
        <f t="shared" si="31"/>
        <v>17.800186727765787</v>
      </c>
    </row>
    <row r="1015" spans="1:69" x14ac:dyDescent="0.2">
      <c r="A1015" s="2" t="s">
        <v>3802</v>
      </c>
      <c r="B1015" s="2" t="s">
        <v>47</v>
      </c>
      <c r="C1015" s="2" t="s">
        <v>3273</v>
      </c>
      <c r="D1015" s="2" t="s">
        <v>49</v>
      </c>
      <c r="E1015" s="2" t="s">
        <v>393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89</v>
      </c>
      <c r="L1015" s="6" t="s">
        <v>90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3803</v>
      </c>
      <c r="R1015" s="2">
        <v>7914673.0460000001</v>
      </c>
      <c r="S1015" s="2">
        <v>0</v>
      </c>
      <c r="T1015" s="2" t="s">
        <v>54</v>
      </c>
      <c r="U1015" s="2" t="s">
        <v>55</v>
      </c>
      <c r="V1015" s="2" t="s">
        <v>56</v>
      </c>
      <c r="W1015" s="2" t="s">
        <v>57</v>
      </c>
      <c r="X1015" s="2" t="s">
        <v>58</v>
      </c>
      <c r="Y1015" s="2">
        <v>1.2189455895544501</v>
      </c>
      <c r="Z1015" s="2">
        <v>1218.94558955445</v>
      </c>
      <c r="AA1015" s="2">
        <v>4.6584666666666701</v>
      </c>
      <c r="AB1015" s="2">
        <v>-74.083966666666697</v>
      </c>
      <c r="AC1015" s="2">
        <v>2552</v>
      </c>
      <c r="AD1015" s="2">
        <v>0</v>
      </c>
      <c r="AE1015" s="2" t="s">
        <v>59</v>
      </c>
      <c r="AF1015" s="2" t="s">
        <v>60</v>
      </c>
      <c r="AG1015" s="2" t="s">
        <v>61</v>
      </c>
      <c r="AH1015" s="2" t="s">
        <v>62</v>
      </c>
      <c r="AI1015" s="2" t="s">
        <v>63</v>
      </c>
      <c r="AJ1015" s="2">
        <v>0.27233388188228302</v>
      </c>
      <c r="AK1015" s="2">
        <v>2.6220188378115701</v>
      </c>
      <c r="AL1015" s="2">
        <v>0.34199275419063102</v>
      </c>
      <c r="AM1015" s="2">
        <v>5.4166274894684403E-2</v>
      </c>
      <c r="AN1015" s="2">
        <v>2.5099014121264598</v>
      </c>
      <c r="AO1015" s="2">
        <v>0.17009234299023701</v>
      </c>
      <c r="AP1015" s="2">
        <v>0.17009234299023701</v>
      </c>
      <c r="AQ1015" s="2">
        <v>2</v>
      </c>
      <c r="AR1015" s="2">
        <v>2</v>
      </c>
      <c r="AS1015" s="2">
        <v>0</v>
      </c>
      <c r="AT1015" s="2">
        <v>0</v>
      </c>
      <c r="AU1015" s="2">
        <v>3</v>
      </c>
      <c r="AV1015" s="2">
        <v>35</v>
      </c>
      <c r="AW1015" s="2">
        <v>0</v>
      </c>
      <c r="AX1015" s="2">
        <v>0</v>
      </c>
      <c r="AZ1015" s="2">
        <v>6.8</v>
      </c>
      <c r="BA1015" s="2">
        <v>19.899999999999999</v>
      </c>
      <c r="BB1015" s="2">
        <v>564</v>
      </c>
      <c r="BC1015" s="2">
        <v>68</v>
      </c>
      <c r="BD1015" s="2">
        <v>1.5</v>
      </c>
      <c r="BE1015" s="2">
        <v>135</v>
      </c>
      <c r="BF1015" s="2">
        <v>0.8</v>
      </c>
      <c r="BG1015" s="2">
        <v>162</v>
      </c>
      <c r="BH1015" s="2">
        <v>9.1</v>
      </c>
      <c r="BI1015" s="2">
        <v>9.1999999999999993</v>
      </c>
      <c r="BJ1015" s="2">
        <v>18.3</v>
      </c>
      <c r="BK1015" s="2">
        <v>0.34</v>
      </c>
      <c r="BL1015" s="2">
        <v>7.3</v>
      </c>
      <c r="BM1015" s="2">
        <v>0.9</v>
      </c>
      <c r="BN1015" s="2">
        <v>7.5</v>
      </c>
      <c r="BO1015" s="2">
        <v>2.9</v>
      </c>
      <c r="BP1015" s="2">
        <f t="shared" si="30"/>
        <v>6.4018358801208484</v>
      </c>
      <c r="BQ1015" s="2">
        <f t="shared" si="31"/>
        <v>19.326264729438879</v>
      </c>
    </row>
    <row r="1016" spans="1:69" x14ac:dyDescent="0.2">
      <c r="A1016" s="2" t="s">
        <v>3853</v>
      </c>
      <c r="B1016" s="2" t="s">
        <v>47</v>
      </c>
      <c r="C1016" s="2" t="s">
        <v>3273</v>
      </c>
      <c r="D1016" s="2" t="s">
        <v>49</v>
      </c>
      <c r="E1016" s="2" t="s">
        <v>488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89</v>
      </c>
      <c r="L1016" s="6" t="s">
        <v>90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3854</v>
      </c>
      <c r="R1016" s="2">
        <v>9400000</v>
      </c>
      <c r="S1016" s="2">
        <v>0</v>
      </c>
      <c r="T1016" s="2" t="s">
        <v>105</v>
      </c>
      <c r="U1016" s="2" t="s">
        <v>106</v>
      </c>
      <c r="V1016" s="2" t="s">
        <v>56</v>
      </c>
      <c r="W1016" s="2" t="s">
        <v>107</v>
      </c>
      <c r="X1016" s="2" t="s">
        <v>108</v>
      </c>
      <c r="Y1016" s="2">
        <v>1.9158302298827501</v>
      </c>
      <c r="Z1016" s="2">
        <v>1915.83022988275</v>
      </c>
      <c r="AA1016" s="2">
        <v>4.6254861111111101</v>
      </c>
      <c r="AB1016" s="2">
        <v>-74.066980555555503</v>
      </c>
      <c r="AC1016" s="2">
        <v>2621</v>
      </c>
      <c r="AD1016" s="2">
        <v>15</v>
      </c>
      <c r="AE1016" s="2" t="s">
        <v>59</v>
      </c>
      <c r="AF1016" s="2" t="s">
        <v>60</v>
      </c>
      <c r="AG1016" s="2" t="s">
        <v>61</v>
      </c>
      <c r="AH1016" s="2" t="s">
        <v>62</v>
      </c>
      <c r="AI1016" s="2" t="s">
        <v>109</v>
      </c>
      <c r="AJ1016" s="2">
        <v>0.59952693323961603</v>
      </c>
      <c r="AK1016" s="2">
        <v>0.34595015838121301</v>
      </c>
      <c r="AL1016" s="2">
        <v>0.36379730236707097</v>
      </c>
      <c r="AM1016" s="2">
        <v>0.14841649671931301</v>
      </c>
      <c r="AN1016" s="2">
        <v>0.248722257637844</v>
      </c>
      <c r="AO1016" s="2">
        <v>2.5939727013007601E-2</v>
      </c>
      <c r="AP1016" s="2">
        <v>2.5939727013007601E-2</v>
      </c>
      <c r="AQ1016" s="2">
        <v>0</v>
      </c>
      <c r="AR1016" s="2">
        <v>4</v>
      </c>
      <c r="AS1016" s="2">
        <v>8</v>
      </c>
      <c r="AT1016" s="2">
        <v>40</v>
      </c>
      <c r="AU1016" s="2">
        <v>6</v>
      </c>
      <c r="AV1016" s="2">
        <v>119</v>
      </c>
      <c r="AW1016" s="2">
        <v>1</v>
      </c>
      <c r="AX1016" s="2">
        <v>0</v>
      </c>
      <c r="AZ1016" s="2">
        <v>6.8</v>
      </c>
      <c r="BA1016" s="2">
        <v>19.899999999999999</v>
      </c>
      <c r="BB1016" s="2">
        <v>564</v>
      </c>
      <c r="BC1016" s="2">
        <v>68</v>
      </c>
      <c r="BD1016" s="2">
        <v>1.5</v>
      </c>
      <c r="BE1016" s="2">
        <v>135</v>
      </c>
      <c r="BF1016" s="2">
        <v>0.8</v>
      </c>
      <c r="BG1016" s="2">
        <v>162</v>
      </c>
      <c r="BH1016" s="2">
        <v>9.1</v>
      </c>
      <c r="BI1016" s="2">
        <v>9.1999999999999993</v>
      </c>
      <c r="BJ1016" s="2">
        <v>18.3</v>
      </c>
      <c r="BK1016" s="2">
        <v>0.34</v>
      </c>
      <c r="BL1016" s="2">
        <v>7.3</v>
      </c>
      <c r="BM1016" s="2">
        <v>0.9</v>
      </c>
      <c r="BN1016" s="2">
        <v>7.5</v>
      </c>
      <c r="BO1016" s="2">
        <v>2.9</v>
      </c>
      <c r="BP1016" s="2">
        <f t="shared" si="30"/>
        <v>6.1847650360559614</v>
      </c>
      <c r="BQ1016" s="2">
        <f t="shared" si="31"/>
        <v>19.005716573696464</v>
      </c>
    </row>
    <row r="1017" spans="1:69" x14ac:dyDescent="0.2">
      <c r="A1017" s="2" t="s">
        <v>3761</v>
      </c>
      <c r="B1017" s="2" t="s">
        <v>47</v>
      </c>
      <c r="C1017" s="2" t="s">
        <v>3273</v>
      </c>
      <c r="D1017" s="2" t="s">
        <v>49</v>
      </c>
      <c r="E1017" s="2" t="s">
        <v>3762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89</v>
      </c>
      <c r="L1017" s="6" t="s">
        <v>90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3763</v>
      </c>
      <c r="R1017" s="2">
        <v>9000000</v>
      </c>
      <c r="S1017" s="2">
        <v>0</v>
      </c>
      <c r="T1017" s="2" t="s">
        <v>1822</v>
      </c>
      <c r="U1017" s="2" t="s">
        <v>1823</v>
      </c>
      <c r="V1017" s="2" t="s">
        <v>56</v>
      </c>
      <c r="W1017" s="2" t="s">
        <v>1824</v>
      </c>
      <c r="X1017" s="2" t="s">
        <v>1825</v>
      </c>
      <c r="Y1017" s="2">
        <v>1.2752667513573499</v>
      </c>
      <c r="Z1017" s="2">
        <v>1275.2667513573499</v>
      </c>
      <c r="AA1017" s="2">
        <v>4.576225</v>
      </c>
      <c r="AB1017" s="2">
        <v>-74.130955555555502</v>
      </c>
      <c r="AC1017" s="2">
        <v>2589</v>
      </c>
      <c r="AD1017" s="2">
        <v>0</v>
      </c>
      <c r="AE1017" s="2" t="s">
        <v>59</v>
      </c>
      <c r="AF1017" s="2" t="s">
        <v>86</v>
      </c>
      <c r="AG1017" s="2" t="s">
        <v>61</v>
      </c>
      <c r="AH1017" s="2" t="s">
        <v>62</v>
      </c>
      <c r="AI1017" s="2" t="s">
        <v>1826</v>
      </c>
      <c r="AJ1017" s="2">
        <v>0.44626367875342099</v>
      </c>
      <c r="AK1017" s="2">
        <v>4.5839320941976398</v>
      </c>
      <c r="AL1017" s="2">
        <v>1.9797599919269799</v>
      </c>
      <c r="AM1017" s="2">
        <v>9.1160024096287803E-2</v>
      </c>
      <c r="AN1017" s="2">
        <v>1.93906474080381</v>
      </c>
      <c r="AO1017" s="2">
        <v>8.4166916062687197E-3</v>
      </c>
      <c r="AP1017" s="2">
        <v>8.4166916062687197E-3</v>
      </c>
      <c r="AQ1017" s="2">
        <v>1</v>
      </c>
      <c r="AR1017" s="2">
        <v>4</v>
      </c>
      <c r="AS1017" s="2">
        <v>0</v>
      </c>
      <c r="AT1017" s="2">
        <v>0</v>
      </c>
      <c r="AU1017" s="2">
        <v>0</v>
      </c>
      <c r="AV1017" s="2">
        <v>11</v>
      </c>
      <c r="AW1017" s="2">
        <v>0</v>
      </c>
      <c r="AX1017" s="2">
        <v>0</v>
      </c>
      <c r="AZ1017" s="2">
        <v>6.8</v>
      </c>
      <c r="BA1017" s="2">
        <v>19.899999999999999</v>
      </c>
      <c r="BB1017" s="2">
        <v>564</v>
      </c>
      <c r="BC1017" s="2">
        <v>68</v>
      </c>
      <c r="BD1017" s="2">
        <v>1.5</v>
      </c>
      <c r="BE1017" s="2">
        <v>135</v>
      </c>
      <c r="BF1017" s="2">
        <v>0.8</v>
      </c>
      <c r="BG1017" s="2">
        <v>162</v>
      </c>
      <c r="BH1017" s="2">
        <v>9.1</v>
      </c>
      <c r="BI1017" s="2">
        <v>9.1999999999999993</v>
      </c>
      <c r="BJ1017" s="2">
        <v>18.3</v>
      </c>
      <c r="BK1017" s="2">
        <v>0.34</v>
      </c>
      <c r="BL1017" s="2">
        <v>7.3</v>
      </c>
      <c r="BM1017" s="2">
        <v>0.9</v>
      </c>
      <c r="BN1017" s="2">
        <v>7.5</v>
      </c>
      <c r="BO1017" s="2">
        <v>2.9</v>
      </c>
      <c r="BP1017" s="2">
        <f t="shared" si="30"/>
        <v>6.384013073439041</v>
      </c>
      <c r="BQ1017" s="2">
        <f t="shared" si="31"/>
        <v>19.30015891274391</v>
      </c>
    </row>
    <row r="1018" spans="1:69" x14ac:dyDescent="0.2">
      <c r="A1018" s="2" t="s">
        <v>3429</v>
      </c>
      <c r="B1018" s="2" t="s">
        <v>47</v>
      </c>
      <c r="C1018" s="2" t="s">
        <v>3273</v>
      </c>
      <c r="D1018" s="2" t="s">
        <v>49</v>
      </c>
      <c r="E1018" s="2" t="s">
        <v>811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89</v>
      </c>
      <c r="L1018" s="6" t="s">
        <v>103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3430</v>
      </c>
      <c r="R1018" s="2">
        <v>8400000</v>
      </c>
      <c r="S1018" s="2">
        <v>0</v>
      </c>
      <c r="T1018" s="2" t="s">
        <v>105</v>
      </c>
      <c r="U1018" s="2" t="s">
        <v>106</v>
      </c>
      <c r="V1018" s="2" t="s">
        <v>56</v>
      </c>
      <c r="W1018" s="2" t="s">
        <v>107</v>
      </c>
      <c r="X1018" s="2" t="s">
        <v>108</v>
      </c>
      <c r="Y1018" s="2">
        <v>2.73746074093676</v>
      </c>
      <c r="Z1018" s="2">
        <v>2737.46074093676</v>
      </c>
      <c r="AA1018" s="2">
        <v>4.6254861111111101</v>
      </c>
      <c r="AB1018" s="2">
        <v>-74.066980555555503</v>
      </c>
      <c r="AC1018" s="2">
        <v>2621</v>
      </c>
      <c r="AD1018" s="2">
        <v>15</v>
      </c>
      <c r="AE1018" s="2" t="s">
        <v>59</v>
      </c>
      <c r="AF1018" s="2" t="s">
        <v>60</v>
      </c>
      <c r="AG1018" s="2" t="s">
        <v>61</v>
      </c>
      <c r="AH1018" s="2" t="s">
        <v>62</v>
      </c>
      <c r="AI1018" s="2" t="s">
        <v>109</v>
      </c>
      <c r="AJ1018" s="2">
        <v>0.95519695577889496</v>
      </c>
      <c r="AK1018" s="2">
        <v>0.46241129326515501</v>
      </c>
      <c r="AL1018" s="2">
        <v>0.20349206496720099</v>
      </c>
      <c r="AM1018" s="2">
        <v>0.174180306689216</v>
      </c>
      <c r="AN1018" s="2">
        <v>0.70652235070084202</v>
      </c>
      <c r="AO1018" s="2">
        <v>3.5605555002363398E-2</v>
      </c>
      <c r="AP1018" s="2">
        <v>3.5605555002363398E-2</v>
      </c>
      <c r="AQ1018" s="2">
        <v>0</v>
      </c>
      <c r="AR1018" s="2">
        <v>1</v>
      </c>
      <c r="AS1018" s="2">
        <v>3</v>
      </c>
      <c r="AT1018" s="2">
        <v>43</v>
      </c>
      <c r="AU1018" s="2">
        <v>8</v>
      </c>
      <c r="AV1018" s="2">
        <v>55</v>
      </c>
      <c r="AW1018" s="2">
        <v>1</v>
      </c>
      <c r="AX1018" s="2">
        <v>0</v>
      </c>
      <c r="AZ1018" s="2">
        <v>6.8</v>
      </c>
      <c r="BA1018" s="2">
        <v>19.899999999999999</v>
      </c>
      <c r="BB1018" s="2">
        <v>564</v>
      </c>
      <c r="BC1018" s="2">
        <v>68</v>
      </c>
      <c r="BD1018" s="2">
        <v>1.5</v>
      </c>
      <c r="BE1018" s="2">
        <v>135</v>
      </c>
      <c r="BF1018" s="2">
        <v>0.8</v>
      </c>
      <c r="BG1018" s="2">
        <v>162</v>
      </c>
      <c r="BH1018" s="2">
        <v>9.1</v>
      </c>
      <c r="BI1018" s="2">
        <v>9.1999999999999993</v>
      </c>
      <c r="BJ1018" s="2">
        <v>18.3</v>
      </c>
      <c r="BK1018" s="2">
        <v>0.34</v>
      </c>
      <c r="BL1018" s="2">
        <v>7.3</v>
      </c>
      <c r="BM1018" s="2">
        <v>0.9</v>
      </c>
      <c r="BN1018" s="2">
        <v>7.5</v>
      </c>
      <c r="BO1018" s="2">
        <v>2.9</v>
      </c>
      <c r="BP1018" s="2">
        <f t="shared" si="30"/>
        <v>5.9382727336397307</v>
      </c>
      <c r="BQ1018" s="2">
        <f t="shared" si="31"/>
        <v>18.634611296900989</v>
      </c>
    </row>
    <row r="1019" spans="1:69" x14ac:dyDescent="0.2">
      <c r="A1019" s="2" t="s">
        <v>4278</v>
      </c>
      <c r="B1019" s="2" t="s">
        <v>47</v>
      </c>
      <c r="C1019" s="2" t="s">
        <v>3273</v>
      </c>
      <c r="D1019" s="2" t="s">
        <v>49</v>
      </c>
      <c r="E1019" s="2" t="s">
        <v>2013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89</v>
      </c>
      <c r="L1019" s="6" t="s">
        <v>112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4279</v>
      </c>
      <c r="R1019" s="2">
        <v>8300000</v>
      </c>
      <c r="S1019" s="2">
        <v>0</v>
      </c>
      <c r="T1019" s="2" t="s">
        <v>54</v>
      </c>
      <c r="U1019" s="2" t="s">
        <v>55</v>
      </c>
      <c r="V1019" s="2" t="s">
        <v>56</v>
      </c>
      <c r="W1019" s="2" t="s">
        <v>57</v>
      </c>
      <c r="X1019" s="2" t="s">
        <v>58</v>
      </c>
      <c r="Y1019" s="2">
        <v>4.2113464516015</v>
      </c>
      <c r="Z1019" s="2">
        <v>4211.3464516015001</v>
      </c>
      <c r="AA1019" s="2">
        <v>4.6584666666666701</v>
      </c>
      <c r="AB1019" s="2">
        <v>-74.083966666666697</v>
      </c>
      <c r="AC1019" s="2">
        <v>2552</v>
      </c>
      <c r="AD1019" s="2">
        <v>0</v>
      </c>
      <c r="AE1019" s="2" t="s">
        <v>59</v>
      </c>
      <c r="AF1019" s="2" t="s">
        <v>60</v>
      </c>
      <c r="AG1019" s="2" t="s">
        <v>61</v>
      </c>
      <c r="AH1019" s="2" t="s">
        <v>62</v>
      </c>
      <c r="AI1019" s="2" t="s">
        <v>100</v>
      </c>
      <c r="AJ1019" s="2">
        <v>0.116369878892988</v>
      </c>
      <c r="AK1019" s="2">
        <v>3.6713527563124702</v>
      </c>
      <c r="AL1019" s="2">
        <v>0.66589099616134695</v>
      </c>
      <c r="AM1019" s="2">
        <v>8.3316858019037404E-2</v>
      </c>
      <c r="AN1019" s="2">
        <v>2.6231101662006</v>
      </c>
      <c r="AO1019" s="2">
        <v>0.359032015968763</v>
      </c>
      <c r="AP1019" s="2">
        <v>0.359032015968763</v>
      </c>
      <c r="AQ1019" s="2">
        <v>1</v>
      </c>
      <c r="AR1019" s="2">
        <v>4</v>
      </c>
      <c r="AS1019" s="2">
        <v>0</v>
      </c>
      <c r="AT1019" s="2">
        <v>0</v>
      </c>
      <c r="AU1019" s="2">
        <v>1</v>
      </c>
      <c r="AV1019" s="2">
        <v>71</v>
      </c>
      <c r="AW1019" s="2">
        <v>0</v>
      </c>
      <c r="AX1019" s="2">
        <v>0</v>
      </c>
      <c r="AZ1019" s="2">
        <v>6.8</v>
      </c>
      <c r="BA1019" s="2">
        <v>19.899999999999999</v>
      </c>
      <c r="BB1019" s="2">
        <v>564</v>
      </c>
      <c r="BC1019" s="2">
        <v>68</v>
      </c>
      <c r="BD1019" s="2">
        <v>1.5</v>
      </c>
      <c r="BE1019" s="2">
        <v>135</v>
      </c>
      <c r="BF1019" s="2">
        <v>0.8</v>
      </c>
      <c r="BG1019" s="2">
        <v>162</v>
      </c>
      <c r="BH1019" s="2">
        <v>9.1</v>
      </c>
      <c r="BI1019" s="2">
        <v>9.1999999999999993</v>
      </c>
      <c r="BJ1019" s="2">
        <v>18.3</v>
      </c>
      <c r="BK1019" s="2">
        <v>0.34</v>
      </c>
      <c r="BL1019" s="2">
        <v>7.3</v>
      </c>
      <c r="BM1019" s="2">
        <v>0.9</v>
      </c>
      <c r="BN1019" s="2">
        <v>7.5</v>
      </c>
      <c r="BO1019" s="2">
        <v>2.9</v>
      </c>
      <c r="BP1019" s="2">
        <f t="shared" si="30"/>
        <v>5.5204587450752571</v>
      </c>
      <c r="BQ1019" s="2">
        <f t="shared" si="31"/>
        <v>17.986966582814325</v>
      </c>
    </row>
    <row r="1020" spans="1:69" x14ac:dyDescent="0.2">
      <c r="A1020" s="2" t="s">
        <v>3654</v>
      </c>
      <c r="B1020" s="2" t="s">
        <v>47</v>
      </c>
      <c r="C1020" s="2" t="s">
        <v>3273</v>
      </c>
      <c r="D1020" s="2" t="s">
        <v>49</v>
      </c>
      <c r="E1020" s="2" t="s">
        <v>2013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89</v>
      </c>
      <c r="L1020" s="6" t="s">
        <v>90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3655</v>
      </c>
      <c r="R1020" s="2">
        <v>7800000</v>
      </c>
      <c r="S1020" s="2">
        <v>0</v>
      </c>
      <c r="T1020" s="2" t="s">
        <v>54</v>
      </c>
      <c r="U1020" s="2" t="s">
        <v>55</v>
      </c>
      <c r="V1020" s="2" t="s">
        <v>56</v>
      </c>
      <c r="W1020" s="2" t="s">
        <v>57</v>
      </c>
      <c r="X1020" s="2" t="s">
        <v>58</v>
      </c>
      <c r="Y1020" s="2">
        <v>4.1153878121033101</v>
      </c>
      <c r="Z1020" s="2">
        <v>4115.3878121033104</v>
      </c>
      <c r="AA1020" s="2">
        <v>4.6584666666666701</v>
      </c>
      <c r="AB1020" s="2">
        <v>-74.083966666666697</v>
      </c>
      <c r="AC1020" s="2">
        <v>2552</v>
      </c>
      <c r="AD1020" s="2">
        <v>0</v>
      </c>
      <c r="AE1020" s="2" t="s">
        <v>59</v>
      </c>
      <c r="AF1020" s="2" t="s">
        <v>60</v>
      </c>
      <c r="AG1020" s="2" t="s">
        <v>61</v>
      </c>
      <c r="AH1020" s="2" t="s">
        <v>62</v>
      </c>
      <c r="AI1020" s="2" t="s">
        <v>100</v>
      </c>
      <c r="AJ1020" s="2">
        <v>0.213818445905813</v>
      </c>
      <c r="AK1020" s="2">
        <v>3.63314110650207</v>
      </c>
      <c r="AL1020" s="2">
        <v>0.75000972237503305</v>
      </c>
      <c r="AM1020" s="2">
        <v>0.13946301890226101</v>
      </c>
      <c r="AN1020" s="2">
        <v>2.5363527735147202</v>
      </c>
      <c r="AO1020" s="2">
        <v>0.42511336293000701</v>
      </c>
      <c r="AP1020" s="2">
        <v>0.42511336293000701</v>
      </c>
      <c r="AQ1020" s="2">
        <v>1</v>
      </c>
      <c r="AR1020" s="2">
        <v>4</v>
      </c>
      <c r="AS1020" s="2">
        <v>0</v>
      </c>
      <c r="AT1020" s="2">
        <v>0</v>
      </c>
      <c r="AU1020" s="2">
        <v>1</v>
      </c>
      <c r="AV1020" s="2">
        <v>71</v>
      </c>
      <c r="AW1020" s="2">
        <v>0</v>
      </c>
      <c r="AX1020" s="2">
        <v>0</v>
      </c>
      <c r="AZ1020" s="2">
        <v>6.8</v>
      </c>
      <c r="BA1020" s="2">
        <v>19.899999999999999</v>
      </c>
      <c r="BB1020" s="2">
        <v>564</v>
      </c>
      <c r="BC1020" s="2">
        <v>68</v>
      </c>
      <c r="BD1020" s="2">
        <v>1.5</v>
      </c>
      <c r="BE1020" s="2">
        <v>135</v>
      </c>
      <c r="BF1020" s="2">
        <v>0.8</v>
      </c>
      <c r="BG1020" s="2">
        <v>162</v>
      </c>
      <c r="BH1020" s="2">
        <v>9.1</v>
      </c>
      <c r="BI1020" s="2">
        <v>9.1999999999999993</v>
      </c>
      <c r="BJ1020" s="2">
        <v>18.3</v>
      </c>
      <c r="BK1020" s="2">
        <v>0.34</v>
      </c>
      <c r="BL1020" s="2">
        <v>7.3</v>
      </c>
      <c r="BM1020" s="2">
        <v>0.9</v>
      </c>
      <c r="BN1020" s="2">
        <v>7.5</v>
      </c>
      <c r="BO1020" s="2">
        <v>2.9</v>
      </c>
      <c r="BP1020" s="2">
        <f t="shared" si="30"/>
        <v>5.5467430379034424</v>
      </c>
      <c r="BQ1020" s="2">
        <f t="shared" si="31"/>
        <v>18.028438435682926</v>
      </c>
    </row>
    <row r="1021" spans="1:69" x14ac:dyDescent="0.2">
      <c r="A1021" s="2" t="s">
        <v>3662</v>
      </c>
      <c r="B1021" s="2" t="s">
        <v>47</v>
      </c>
      <c r="C1021" s="2" t="s">
        <v>3273</v>
      </c>
      <c r="D1021" s="2" t="s">
        <v>49</v>
      </c>
      <c r="E1021" s="2" t="s">
        <v>2013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89</v>
      </c>
      <c r="L1021" s="6" t="s">
        <v>90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3663</v>
      </c>
      <c r="R1021" s="2">
        <v>7800000</v>
      </c>
      <c r="S1021" s="2">
        <v>0</v>
      </c>
      <c r="T1021" s="2" t="s">
        <v>54</v>
      </c>
      <c r="U1021" s="2" t="s">
        <v>55</v>
      </c>
      <c r="V1021" s="2" t="s">
        <v>56</v>
      </c>
      <c r="W1021" s="2" t="s">
        <v>57</v>
      </c>
      <c r="X1021" s="2" t="s">
        <v>58</v>
      </c>
      <c r="Y1021" s="2">
        <v>3.9312770581906</v>
      </c>
      <c r="Z1021" s="2">
        <v>3931.2770581906002</v>
      </c>
      <c r="AA1021" s="2">
        <v>4.6584666666666701</v>
      </c>
      <c r="AB1021" s="2">
        <v>-74.083966666666697</v>
      </c>
      <c r="AC1021" s="2">
        <v>2552</v>
      </c>
      <c r="AD1021" s="2">
        <v>0</v>
      </c>
      <c r="AE1021" s="2" t="s">
        <v>59</v>
      </c>
      <c r="AF1021" s="2" t="s">
        <v>60</v>
      </c>
      <c r="AG1021" s="2" t="s">
        <v>61</v>
      </c>
      <c r="AH1021" s="2" t="s">
        <v>62</v>
      </c>
      <c r="AI1021" s="2" t="s">
        <v>100</v>
      </c>
      <c r="AJ1021" s="2">
        <v>0.39833891454319098</v>
      </c>
      <c r="AK1021" s="2">
        <v>3.5805345342320498</v>
      </c>
      <c r="AL1021" s="2">
        <v>0.87962656786768101</v>
      </c>
      <c r="AM1021" s="2">
        <v>3.54658295144228E-2</v>
      </c>
      <c r="AN1021" s="2">
        <v>2.3680116473398201</v>
      </c>
      <c r="AO1021" s="2">
        <v>0.43114124000127002</v>
      </c>
      <c r="AP1021" s="2">
        <v>0.43114124000127002</v>
      </c>
      <c r="AQ1021" s="2">
        <v>2</v>
      </c>
      <c r="AR1021" s="2">
        <v>3</v>
      </c>
      <c r="AS1021" s="2">
        <v>0</v>
      </c>
      <c r="AT1021" s="2">
        <v>0</v>
      </c>
      <c r="AU1021" s="2">
        <v>2</v>
      </c>
      <c r="AV1021" s="2">
        <v>70</v>
      </c>
      <c r="AW1021" s="2">
        <v>0</v>
      </c>
      <c r="AX1021" s="2">
        <v>0</v>
      </c>
      <c r="AZ1021" s="2">
        <v>6.8</v>
      </c>
      <c r="BA1021" s="2">
        <v>19.899999999999999</v>
      </c>
      <c r="BB1021" s="2">
        <v>564</v>
      </c>
      <c r="BC1021" s="2">
        <v>68</v>
      </c>
      <c r="BD1021" s="2">
        <v>1.5</v>
      </c>
      <c r="BE1021" s="2">
        <v>135</v>
      </c>
      <c r="BF1021" s="2">
        <v>0.8</v>
      </c>
      <c r="BG1021" s="2">
        <v>162</v>
      </c>
      <c r="BH1021" s="2">
        <v>9.1</v>
      </c>
      <c r="BI1021" s="2">
        <v>9.1999999999999993</v>
      </c>
      <c r="BJ1021" s="2">
        <v>18.3</v>
      </c>
      <c r="BK1021" s="2">
        <v>0.34</v>
      </c>
      <c r="BL1021" s="2">
        <v>7.3</v>
      </c>
      <c r="BM1021" s="2">
        <v>0.9</v>
      </c>
      <c r="BN1021" s="2">
        <v>7.5</v>
      </c>
      <c r="BO1021" s="2">
        <v>2.9</v>
      </c>
      <c r="BP1021" s="2">
        <f t="shared" si="30"/>
        <v>5.5975242277724346</v>
      </c>
      <c r="BQ1021" s="2">
        <f t="shared" si="31"/>
        <v>18.108276199087371</v>
      </c>
    </row>
    <row r="1022" spans="1:69" x14ac:dyDescent="0.2">
      <c r="A1022" s="2" t="s">
        <v>1449</v>
      </c>
      <c r="B1022" s="2" t="s">
        <v>47</v>
      </c>
      <c r="C1022" s="2" t="s">
        <v>48</v>
      </c>
      <c r="D1022" s="2" t="s">
        <v>49</v>
      </c>
      <c r="E1022" s="2" t="s">
        <v>1450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89</v>
      </c>
      <c r="L1022" s="6" t="s">
        <v>112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1451</v>
      </c>
      <c r="R1022" s="2">
        <v>3390000</v>
      </c>
      <c r="S1022" s="2">
        <v>0</v>
      </c>
      <c r="T1022" s="2" t="s">
        <v>344</v>
      </c>
      <c r="U1022" s="2" t="s">
        <v>345</v>
      </c>
      <c r="V1022" s="2" t="s">
        <v>56</v>
      </c>
      <c r="W1022" s="2" t="s">
        <v>344</v>
      </c>
      <c r="X1022" s="2" t="s">
        <v>346</v>
      </c>
      <c r="Y1022" s="2">
        <v>0.81436993453641005</v>
      </c>
      <c r="Z1022" s="2">
        <v>814.36993453641003</v>
      </c>
      <c r="AA1022" s="2">
        <v>4.6056111111111102</v>
      </c>
      <c r="AB1022" s="2">
        <v>-74.204055555555598</v>
      </c>
      <c r="AC1022" s="2">
        <v>2546</v>
      </c>
      <c r="AD1022" s="2">
        <v>0</v>
      </c>
      <c r="AE1022" s="2" t="s">
        <v>59</v>
      </c>
      <c r="AF1022" s="2" t="s">
        <v>86</v>
      </c>
      <c r="AG1022" s="2" t="s">
        <v>61</v>
      </c>
      <c r="AH1022" s="2" t="s">
        <v>62</v>
      </c>
      <c r="AI1022" s="2" t="s">
        <v>347</v>
      </c>
      <c r="AJ1022" s="2">
        <v>2.6027791749257099</v>
      </c>
      <c r="AK1022" s="2">
        <v>1.98128621292136</v>
      </c>
      <c r="AL1022" s="2">
        <v>7.5891292963121497</v>
      </c>
      <c r="AM1022" s="2">
        <v>0.52327119027577595</v>
      </c>
      <c r="AN1022" s="2">
        <v>2.3946121566702701</v>
      </c>
      <c r="AO1022" s="2">
        <v>0.106732815753382</v>
      </c>
      <c r="AP1022" s="2">
        <v>0.106732815753382</v>
      </c>
      <c r="AQ1022" s="2">
        <v>0</v>
      </c>
      <c r="AR1022" s="2">
        <v>0</v>
      </c>
      <c r="AS1022" s="2">
        <v>0</v>
      </c>
      <c r="AT1022" s="2">
        <v>0</v>
      </c>
      <c r="AU1022" s="2">
        <v>0</v>
      </c>
      <c r="AV1022" s="2">
        <v>2</v>
      </c>
      <c r="AW1022" s="2">
        <v>0</v>
      </c>
      <c r="AX1022" s="2">
        <v>0</v>
      </c>
      <c r="AZ1022" s="2">
        <v>6.8</v>
      </c>
      <c r="BA1022" s="2">
        <v>19.899999999999999</v>
      </c>
      <c r="BB1022" s="2">
        <v>564</v>
      </c>
      <c r="BC1022" s="2">
        <v>68</v>
      </c>
      <c r="BD1022" s="2">
        <v>1.5</v>
      </c>
      <c r="BE1022" s="2">
        <v>135</v>
      </c>
      <c r="BF1022" s="2">
        <v>0.8</v>
      </c>
      <c r="BG1022" s="2">
        <v>162</v>
      </c>
      <c r="BH1022" s="2">
        <v>9.1</v>
      </c>
      <c r="BI1022" s="2">
        <v>9.1999999999999993</v>
      </c>
      <c r="BJ1022" s="2">
        <v>18.3</v>
      </c>
      <c r="BK1022" s="2">
        <v>0.34</v>
      </c>
      <c r="BL1022" s="2">
        <v>7.3</v>
      </c>
      <c r="BM1022" s="2">
        <v>0.9</v>
      </c>
      <c r="BN1022" s="2">
        <v>7.5</v>
      </c>
      <c r="BO1022" s="2">
        <v>2.9</v>
      </c>
      <c r="BP1022" s="2">
        <f t="shared" si="30"/>
        <v>6.5313345884478142</v>
      </c>
      <c r="BQ1022" s="2">
        <f t="shared" si="31"/>
        <v>19.514833199548278</v>
      </c>
    </row>
    <row r="1023" spans="1:69" x14ac:dyDescent="0.2">
      <c r="A1023" s="2" t="s">
        <v>492</v>
      </c>
      <c r="B1023" s="2" t="s">
        <v>47</v>
      </c>
      <c r="C1023" s="2" t="s">
        <v>48</v>
      </c>
      <c r="D1023" s="2" t="s">
        <v>49</v>
      </c>
      <c r="E1023" s="2" t="s">
        <v>493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89</v>
      </c>
      <c r="L1023" s="6" t="s">
        <v>90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494</v>
      </c>
      <c r="R1023" s="2">
        <v>9696969.6970000006</v>
      </c>
      <c r="S1023" s="2">
        <v>0</v>
      </c>
      <c r="T1023" s="2" t="s">
        <v>105</v>
      </c>
      <c r="U1023" s="2" t="s">
        <v>106</v>
      </c>
      <c r="V1023" s="2" t="s">
        <v>56</v>
      </c>
      <c r="W1023" s="2" t="s">
        <v>107</v>
      </c>
      <c r="X1023" s="2" t="s">
        <v>108</v>
      </c>
      <c r="Y1023" s="2">
        <v>0.91279661834840398</v>
      </c>
      <c r="Z1023" s="2">
        <v>912.79661834840397</v>
      </c>
      <c r="AA1023" s="2">
        <v>4.6254861111111101</v>
      </c>
      <c r="AB1023" s="2">
        <v>-74.066980555555503</v>
      </c>
      <c r="AC1023" s="2">
        <v>2621</v>
      </c>
      <c r="AD1023" s="2">
        <v>15</v>
      </c>
      <c r="AE1023" s="2" t="s">
        <v>59</v>
      </c>
      <c r="AF1023" s="2" t="s">
        <v>60</v>
      </c>
      <c r="AG1023" s="2" t="s">
        <v>61</v>
      </c>
      <c r="AH1023" s="2" t="s">
        <v>62</v>
      </c>
      <c r="AI1023" s="2" t="s">
        <v>109</v>
      </c>
      <c r="AJ1023" s="2">
        <v>0.52137376365254495</v>
      </c>
      <c r="AK1023" s="2">
        <v>0.38381209955398699</v>
      </c>
      <c r="AL1023" s="2">
        <v>0.21452315181971901</v>
      </c>
      <c r="AM1023" s="2">
        <v>0.177599266202145</v>
      </c>
      <c r="AN1023" s="2">
        <v>0.69380693213769196</v>
      </c>
      <c r="AO1023" s="2">
        <v>1.4745086287343501E-2</v>
      </c>
      <c r="AP1023" s="2">
        <v>1.4745086287343501E-2</v>
      </c>
      <c r="AQ1023" s="2">
        <v>0</v>
      </c>
      <c r="AR1023" s="2">
        <v>4</v>
      </c>
      <c r="AS1023" s="2">
        <v>3</v>
      </c>
      <c r="AT1023" s="2">
        <v>40</v>
      </c>
      <c r="AU1023" s="2">
        <v>10</v>
      </c>
      <c r="AV1023" s="2">
        <v>123</v>
      </c>
      <c r="AW1023" s="2">
        <v>1</v>
      </c>
      <c r="AX1023" s="2">
        <v>0</v>
      </c>
      <c r="AZ1023" s="2">
        <v>6.8</v>
      </c>
      <c r="BA1023" s="2">
        <v>19.899999999999999</v>
      </c>
      <c r="BB1023" s="2">
        <v>564</v>
      </c>
      <c r="BC1023" s="2">
        <v>68</v>
      </c>
      <c r="BD1023" s="2">
        <v>1.5</v>
      </c>
      <c r="BE1023" s="2">
        <v>135</v>
      </c>
      <c r="BF1023" s="2">
        <v>0.8</v>
      </c>
      <c r="BG1023" s="2">
        <v>162</v>
      </c>
      <c r="BH1023" s="2">
        <v>9.1</v>
      </c>
      <c r="BI1023" s="2">
        <v>9.1999999999999993</v>
      </c>
      <c r="BJ1023" s="2">
        <v>18.3</v>
      </c>
      <c r="BK1023" s="2">
        <v>0.34</v>
      </c>
      <c r="BL1023" s="2">
        <v>7.3</v>
      </c>
      <c r="BM1023" s="2">
        <v>0.9</v>
      </c>
      <c r="BN1023" s="2">
        <v>7.5</v>
      </c>
      <c r="BO1023" s="2">
        <v>2.9</v>
      </c>
      <c r="BP1023" s="2">
        <f t="shared" si="30"/>
        <v>6.499590530267338</v>
      </c>
      <c r="BQ1023" s="2">
        <f t="shared" si="31"/>
        <v>19.468788877231606</v>
      </c>
    </row>
    <row r="1024" spans="1:69" x14ac:dyDescent="0.2">
      <c r="A1024" s="2" t="s">
        <v>3619</v>
      </c>
      <c r="B1024" s="2" t="s">
        <v>47</v>
      </c>
      <c r="C1024" s="2" t="s">
        <v>3273</v>
      </c>
      <c r="D1024" s="2" t="s">
        <v>49</v>
      </c>
      <c r="E1024" s="2" t="s">
        <v>109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89</v>
      </c>
      <c r="L1024" s="6" t="s">
        <v>103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3620</v>
      </c>
      <c r="R1024" s="2">
        <v>6701868.4000000004</v>
      </c>
      <c r="S1024" s="2">
        <v>0</v>
      </c>
      <c r="T1024" s="2" t="s">
        <v>54</v>
      </c>
      <c r="U1024" s="2" t="s">
        <v>55</v>
      </c>
      <c r="V1024" s="2" t="s">
        <v>56</v>
      </c>
      <c r="W1024" s="2" t="s">
        <v>57</v>
      </c>
      <c r="X1024" s="2" t="s">
        <v>58</v>
      </c>
      <c r="Y1024" s="2">
        <v>3.9320656164146</v>
      </c>
      <c r="Z1024" s="2">
        <v>3932.0656164145998</v>
      </c>
      <c r="AA1024" s="2">
        <v>4.6584666666666701</v>
      </c>
      <c r="AB1024" s="2">
        <v>-74.083966666666697</v>
      </c>
      <c r="AC1024" s="2">
        <v>2552</v>
      </c>
      <c r="AD1024" s="2">
        <v>0</v>
      </c>
      <c r="AE1024" s="2" t="s">
        <v>59</v>
      </c>
      <c r="AF1024" s="2" t="s">
        <v>60</v>
      </c>
      <c r="AG1024" s="2" t="s">
        <v>61</v>
      </c>
      <c r="AH1024" s="2" t="s">
        <v>62</v>
      </c>
      <c r="AI1024" s="2" t="s">
        <v>109</v>
      </c>
      <c r="AJ1024" s="2">
        <v>1.1046287965158099</v>
      </c>
      <c r="AK1024" s="2">
        <v>0.74562746672478897</v>
      </c>
      <c r="AL1024" s="2">
        <v>0.61572356531893102</v>
      </c>
      <c r="AM1024" s="2">
        <v>0.35597664226380299</v>
      </c>
      <c r="AN1024" s="2">
        <v>3.1771980375543198</v>
      </c>
      <c r="AO1024" s="2">
        <v>0.31263290836796498</v>
      </c>
      <c r="AP1024" s="2">
        <v>0.31263290836796498</v>
      </c>
      <c r="AQ1024" s="2">
        <v>0</v>
      </c>
      <c r="AR1024" s="2">
        <v>0</v>
      </c>
      <c r="AS1024" s="2">
        <v>0</v>
      </c>
      <c r="AT1024" s="2">
        <v>19</v>
      </c>
      <c r="AU1024" s="2">
        <v>5</v>
      </c>
      <c r="AV1024" s="2">
        <v>200</v>
      </c>
      <c r="AW1024" s="2">
        <v>0</v>
      </c>
      <c r="AX1024" s="2">
        <v>0</v>
      </c>
      <c r="AZ1024" s="2">
        <v>6.8</v>
      </c>
      <c r="BA1024" s="2">
        <v>19.899999999999999</v>
      </c>
      <c r="BB1024" s="2">
        <v>564</v>
      </c>
      <c r="BC1024" s="2">
        <v>68</v>
      </c>
      <c r="BD1024" s="2">
        <v>1.5</v>
      </c>
      <c r="BE1024" s="2">
        <v>135</v>
      </c>
      <c r="BF1024" s="2">
        <v>0.8</v>
      </c>
      <c r="BG1024" s="2">
        <v>162</v>
      </c>
      <c r="BH1024" s="2">
        <v>9.1</v>
      </c>
      <c r="BI1024" s="2">
        <v>9.1999999999999993</v>
      </c>
      <c r="BJ1024" s="2">
        <v>18.3</v>
      </c>
      <c r="BK1024" s="2">
        <v>0.34</v>
      </c>
      <c r="BL1024" s="2">
        <v>7.3</v>
      </c>
      <c r="BM1024" s="2">
        <v>0.9</v>
      </c>
      <c r="BN1024" s="2">
        <v>7.5</v>
      </c>
      <c r="BO1024" s="2">
        <v>2.9</v>
      </c>
      <c r="BP1024" s="2">
        <f t="shared" si="30"/>
        <v>5.5973057403353312</v>
      </c>
      <c r="BQ1024" s="2">
        <f t="shared" si="31"/>
        <v>18.107933496007416</v>
      </c>
    </row>
    <row r="1025" spans="1:69" x14ac:dyDescent="0.2">
      <c r="A1025" s="2" t="s">
        <v>1724</v>
      </c>
      <c r="B1025" s="2" t="s">
        <v>47</v>
      </c>
      <c r="C1025" s="2" t="s">
        <v>48</v>
      </c>
      <c r="D1025" s="2" t="s">
        <v>49</v>
      </c>
      <c r="E1025" s="2" t="s">
        <v>1077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89</v>
      </c>
      <c r="L1025" s="6" t="s">
        <v>112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1725</v>
      </c>
      <c r="R1025" s="2">
        <v>9364820.8469999991</v>
      </c>
      <c r="S1025" s="2">
        <v>0</v>
      </c>
      <c r="T1025" s="2" t="s">
        <v>105</v>
      </c>
      <c r="U1025" s="2" t="s">
        <v>106</v>
      </c>
      <c r="V1025" s="2" t="s">
        <v>56</v>
      </c>
      <c r="W1025" s="2" t="s">
        <v>107</v>
      </c>
      <c r="X1025" s="2" t="s">
        <v>108</v>
      </c>
      <c r="Y1025" s="2">
        <v>1.9352752506316699</v>
      </c>
      <c r="Z1025" s="2">
        <v>1935.2752506316699</v>
      </c>
      <c r="AA1025" s="2">
        <v>4.6254861111111101</v>
      </c>
      <c r="AB1025" s="2">
        <v>-74.066980555555503</v>
      </c>
      <c r="AC1025" s="2">
        <v>2621</v>
      </c>
      <c r="AD1025" s="2">
        <v>15</v>
      </c>
      <c r="AE1025" s="2" t="s">
        <v>59</v>
      </c>
      <c r="AF1025" s="2" t="s">
        <v>60</v>
      </c>
      <c r="AG1025" s="2" t="s">
        <v>61</v>
      </c>
      <c r="AH1025" s="2" t="s">
        <v>62</v>
      </c>
      <c r="AI1025" s="2" t="s">
        <v>117</v>
      </c>
      <c r="AJ1025" s="2">
        <v>0.39392145208075102</v>
      </c>
      <c r="AK1025" s="2">
        <v>0.47329336812274198</v>
      </c>
      <c r="AL1025" s="2">
        <v>0.20593114428944601</v>
      </c>
      <c r="AM1025" s="2">
        <v>0.15353377534080201</v>
      </c>
      <c r="AN1025" s="2">
        <v>0.83751566533570498</v>
      </c>
      <c r="AO1025" s="2">
        <v>5.9155208179488099E-2</v>
      </c>
      <c r="AP1025" s="2">
        <v>5.9155208179488099E-2</v>
      </c>
      <c r="AQ1025" s="2">
        <v>2</v>
      </c>
      <c r="AR1025" s="2">
        <v>9</v>
      </c>
      <c r="AS1025" s="2">
        <v>3</v>
      </c>
      <c r="AT1025" s="2">
        <v>29</v>
      </c>
      <c r="AU1025" s="2">
        <v>12</v>
      </c>
      <c r="AV1025" s="2">
        <v>56</v>
      </c>
      <c r="AW1025" s="2">
        <v>1</v>
      </c>
      <c r="AX1025" s="2">
        <v>8</v>
      </c>
      <c r="AZ1025" s="2">
        <v>6.8</v>
      </c>
      <c r="BA1025" s="2">
        <v>19.899999999999999</v>
      </c>
      <c r="BB1025" s="2">
        <v>564</v>
      </c>
      <c r="BC1025" s="2">
        <v>68</v>
      </c>
      <c r="BD1025" s="2">
        <v>1.5</v>
      </c>
      <c r="BE1025" s="2">
        <v>135</v>
      </c>
      <c r="BF1025" s="2">
        <v>0.8</v>
      </c>
      <c r="BG1025" s="2">
        <v>162</v>
      </c>
      <c r="BH1025" s="2">
        <v>9.1</v>
      </c>
      <c r="BI1025" s="2">
        <v>9.1999999999999993</v>
      </c>
      <c r="BJ1025" s="2">
        <v>18.3</v>
      </c>
      <c r="BK1025" s="2">
        <v>0.34</v>
      </c>
      <c r="BL1025" s="2">
        <v>7.3</v>
      </c>
      <c r="BM1025" s="2">
        <v>0.9</v>
      </c>
      <c r="BN1025" s="2">
        <v>7.5</v>
      </c>
      <c r="BO1025" s="2">
        <v>2.9</v>
      </c>
      <c r="BP1025" s="2">
        <f t="shared" si="30"/>
        <v>6.1788148873288504</v>
      </c>
      <c r="BQ1025" s="2">
        <f t="shared" si="31"/>
        <v>18.996849045733619</v>
      </c>
    </row>
    <row r="1026" spans="1:69" x14ac:dyDescent="0.2">
      <c r="A1026" s="2" t="s">
        <v>4014</v>
      </c>
      <c r="B1026" s="2" t="s">
        <v>47</v>
      </c>
      <c r="C1026" s="2" t="s">
        <v>3273</v>
      </c>
      <c r="D1026" s="2" t="s">
        <v>49</v>
      </c>
      <c r="E1026" s="2" t="s">
        <v>1270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89</v>
      </c>
      <c r="L1026" s="6" t="s">
        <v>90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4015</v>
      </c>
      <c r="R1026" s="2">
        <v>9897959.1840000004</v>
      </c>
      <c r="S1026" s="2">
        <v>0</v>
      </c>
      <c r="T1026" s="2" t="s">
        <v>105</v>
      </c>
      <c r="U1026" s="2" t="s">
        <v>106</v>
      </c>
      <c r="V1026" s="2" t="s">
        <v>56</v>
      </c>
      <c r="W1026" s="2" t="s">
        <v>107</v>
      </c>
      <c r="X1026" s="2" t="s">
        <v>108</v>
      </c>
      <c r="Y1026" s="2">
        <v>1.19373217966449</v>
      </c>
      <c r="Z1026" s="2">
        <v>1193.7321796644901</v>
      </c>
      <c r="AA1026" s="2">
        <v>4.6254861111111101</v>
      </c>
      <c r="AB1026" s="2">
        <v>-74.066980555555503</v>
      </c>
      <c r="AC1026" s="2">
        <v>2621</v>
      </c>
      <c r="AD1026" s="2">
        <v>15</v>
      </c>
      <c r="AE1026" s="2" t="s">
        <v>59</v>
      </c>
      <c r="AF1026" s="2" t="s">
        <v>60</v>
      </c>
      <c r="AG1026" s="2" t="s">
        <v>61</v>
      </c>
      <c r="AH1026" s="2" t="s">
        <v>62</v>
      </c>
      <c r="AI1026" s="2" t="s">
        <v>109</v>
      </c>
      <c r="AJ1026" s="2">
        <v>0.471007738434575</v>
      </c>
      <c r="AK1026" s="2">
        <v>0.40344952885992402</v>
      </c>
      <c r="AL1026" s="2">
        <v>0.30665976891394497</v>
      </c>
      <c r="AM1026" s="2">
        <v>8.5022607643256198E-2</v>
      </c>
      <c r="AN1026" s="2">
        <v>0.85425767181380197</v>
      </c>
      <c r="AO1026" s="2">
        <v>5.3773662486221903E-2</v>
      </c>
      <c r="AP1026" s="2">
        <v>5.3773662486221903E-2</v>
      </c>
      <c r="AQ1026" s="2">
        <v>2</v>
      </c>
      <c r="AR1026" s="2">
        <v>4</v>
      </c>
      <c r="AS1026" s="2">
        <v>3</v>
      </c>
      <c r="AT1026" s="2">
        <v>39</v>
      </c>
      <c r="AU1026" s="2">
        <v>10</v>
      </c>
      <c r="AV1026" s="2">
        <v>127</v>
      </c>
      <c r="AW1026" s="2">
        <v>2</v>
      </c>
      <c r="AX1026" s="2">
        <v>0</v>
      </c>
      <c r="AZ1026" s="2">
        <v>6.8</v>
      </c>
      <c r="BA1026" s="2">
        <v>19.899999999999999</v>
      </c>
      <c r="BB1026" s="2">
        <v>564</v>
      </c>
      <c r="BC1026" s="2">
        <v>68</v>
      </c>
      <c r="BD1026" s="2">
        <v>1.5</v>
      </c>
      <c r="BE1026" s="2">
        <v>135</v>
      </c>
      <c r="BF1026" s="2">
        <v>0.8</v>
      </c>
      <c r="BG1026" s="2">
        <v>162</v>
      </c>
      <c r="BH1026" s="2">
        <v>9.1</v>
      </c>
      <c r="BI1026" s="2">
        <v>9.1999999999999993</v>
      </c>
      <c r="BJ1026" s="2">
        <v>18.3</v>
      </c>
      <c r="BK1026" s="2">
        <v>0.34</v>
      </c>
      <c r="BL1026" s="2">
        <v>7.3</v>
      </c>
      <c r="BM1026" s="2">
        <v>0.9</v>
      </c>
      <c r="BN1026" s="2">
        <v>7.5</v>
      </c>
      <c r="BO1026" s="2">
        <v>2.9</v>
      </c>
      <c r="BP1026" s="2">
        <f t="shared" ref="BP1026:BP1089" si="32">+AZ1026*EXP(-0.0495*Y1026)</f>
        <v>6.4098307676965529</v>
      </c>
      <c r="BQ1026" s="2">
        <f t="shared" ref="BQ1026:BQ1089" si="33">+BA1026*EXP(-0.024*Y1026)</f>
        <v>19.337963013347803</v>
      </c>
    </row>
    <row r="1027" spans="1:69" x14ac:dyDescent="0.2">
      <c r="A1027" s="2" t="s">
        <v>3617</v>
      </c>
      <c r="B1027" s="2" t="s">
        <v>47</v>
      </c>
      <c r="C1027" s="2" t="s">
        <v>3273</v>
      </c>
      <c r="D1027" s="2" t="s">
        <v>49</v>
      </c>
      <c r="E1027" s="2" t="s">
        <v>202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89</v>
      </c>
      <c r="L1027" s="6" t="s">
        <v>141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3618</v>
      </c>
      <c r="R1027" s="2">
        <v>8571428.5710000005</v>
      </c>
      <c r="S1027" s="2">
        <v>0</v>
      </c>
      <c r="T1027" s="2" t="s">
        <v>54</v>
      </c>
      <c r="U1027" s="2" t="s">
        <v>55</v>
      </c>
      <c r="V1027" s="2" t="s">
        <v>56</v>
      </c>
      <c r="W1027" s="2" t="s">
        <v>57</v>
      </c>
      <c r="X1027" s="2" t="s">
        <v>58</v>
      </c>
      <c r="Y1027" s="2">
        <v>2.9902768163178099</v>
      </c>
      <c r="Z1027" s="2">
        <v>2990.2768163178098</v>
      </c>
      <c r="AA1027" s="2">
        <v>4.6584666666666701</v>
      </c>
      <c r="AB1027" s="2">
        <v>-74.083966666666697</v>
      </c>
      <c r="AC1027" s="2">
        <v>2552</v>
      </c>
      <c r="AD1027" s="2">
        <v>0</v>
      </c>
      <c r="AE1027" s="2" t="s">
        <v>59</v>
      </c>
      <c r="AF1027" s="2" t="s">
        <v>60</v>
      </c>
      <c r="AG1027" s="2" t="s">
        <v>61</v>
      </c>
      <c r="AH1027" s="2" t="s">
        <v>62</v>
      </c>
      <c r="AI1027" s="2" t="s">
        <v>109</v>
      </c>
      <c r="AJ1027" s="2">
        <v>0.56093735345511198</v>
      </c>
      <c r="AK1027" s="2">
        <v>1.04643216835492</v>
      </c>
      <c r="AL1027" s="2">
        <v>5.3333925969496099E-2</v>
      </c>
      <c r="AM1027" s="2">
        <v>3.2190203560364401E-2</v>
      </c>
      <c r="AN1027" s="2">
        <v>1.8034728078581901</v>
      </c>
      <c r="AO1027" s="2">
        <v>0.122360124716656</v>
      </c>
      <c r="AP1027" s="2">
        <v>0.122360124716656</v>
      </c>
      <c r="AQ1027" s="2">
        <v>0</v>
      </c>
      <c r="AR1027" s="2">
        <v>3</v>
      </c>
      <c r="AS1027" s="2">
        <v>0</v>
      </c>
      <c r="AT1027" s="2">
        <v>0</v>
      </c>
      <c r="AU1027" s="2">
        <v>26</v>
      </c>
      <c r="AV1027" s="2">
        <v>84</v>
      </c>
      <c r="AW1027" s="2">
        <v>0</v>
      </c>
      <c r="AX1027" s="2">
        <v>0</v>
      </c>
      <c r="AZ1027" s="2">
        <v>6.8</v>
      </c>
      <c r="BA1027" s="2">
        <v>19.899999999999999</v>
      </c>
      <c r="BB1027" s="2">
        <v>564</v>
      </c>
      <c r="BC1027" s="2">
        <v>68</v>
      </c>
      <c r="BD1027" s="2">
        <v>1.5</v>
      </c>
      <c r="BE1027" s="2">
        <v>135</v>
      </c>
      <c r="BF1027" s="2">
        <v>0.8</v>
      </c>
      <c r="BG1027" s="2">
        <v>162</v>
      </c>
      <c r="BH1027" s="2">
        <v>9.1</v>
      </c>
      <c r="BI1027" s="2">
        <v>9.1999999999999993</v>
      </c>
      <c r="BJ1027" s="2">
        <v>18.3</v>
      </c>
      <c r="BK1027" s="2">
        <v>0.34</v>
      </c>
      <c r="BL1027" s="2">
        <v>7.3</v>
      </c>
      <c r="BM1027" s="2">
        <v>0.9</v>
      </c>
      <c r="BN1027" s="2">
        <v>7.5</v>
      </c>
      <c r="BO1027" s="2">
        <v>2.9</v>
      </c>
      <c r="BP1027" s="2">
        <f t="shared" si="32"/>
        <v>5.864421901770756</v>
      </c>
      <c r="BQ1027" s="2">
        <f t="shared" si="33"/>
        <v>18.521886523290934</v>
      </c>
    </row>
    <row r="1028" spans="1:69" x14ac:dyDescent="0.2">
      <c r="A1028" s="2" t="s">
        <v>3646</v>
      </c>
      <c r="B1028" s="2" t="s">
        <v>47</v>
      </c>
      <c r="C1028" s="2" t="s">
        <v>3273</v>
      </c>
      <c r="D1028" s="2" t="s">
        <v>49</v>
      </c>
      <c r="E1028" s="2" t="s">
        <v>2039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89</v>
      </c>
      <c r="L1028" s="6" t="s">
        <v>141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3647</v>
      </c>
      <c r="R1028" s="2">
        <v>7142857.1430000002</v>
      </c>
      <c r="S1028" s="2">
        <v>0</v>
      </c>
      <c r="T1028" s="2" t="s">
        <v>105</v>
      </c>
      <c r="U1028" s="2" t="s">
        <v>106</v>
      </c>
      <c r="V1028" s="2" t="s">
        <v>56</v>
      </c>
      <c r="W1028" s="2" t="s">
        <v>107</v>
      </c>
      <c r="X1028" s="2" t="s">
        <v>108</v>
      </c>
      <c r="Y1028" s="2">
        <v>1.1779654836783999</v>
      </c>
      <c r="Z1028" s="2">
        <v>1177.9654836784</v>
      </c>
      <c r="AA1028" s="2">
        <v>4.6254861111111101</v>
      </c>
      <c r="AB1028" s="2">
        <v>-74.066980555555503</v>
      </c>
      <c r="AC1028" s="2">
        <v>2621</v>
      </c>
      <c r="AD1028" s="2">
        <v>15</v>
      </c>
      <c r="AE1028" s="2" t="s">
        <v>59</v>
      </c>
      <c r="AF1028" s="2" t="s">
        <v>60</v>
      </c>
      <c r="AG1028" s="2" t="s">
        <v>61</v>
      </c>
      <c r="AH1028" s="2" t="s">
        <v>62</v>
      </c>
      <c r="AI1028" s="2" t="s">
        <v>63</v>
      </c>
      <c r="AJ1028" s="2">
        <v>0.57600835333309197</v>
      </c>
      <c r="AK1028" s="2">
        <v>1.31156101739784</v>
      </c>
      <c r="AL1028" s="2">
        <v>0.28113659034938498</v>
      </c>
      <c r="AM1028" s="2">
        <v>0.114265510921691</v>
      </c>
      <c r="AN1028" s="2">
        <v>0.997901573337861</v>
      </c>
      <c r="AO1028" s="2">
        <v>1.49479805099177E-2</v>
      </c>
      <c r="AP1028" s="2">
        <v>1.49479805099177E-2</v>
      </c>
      <c r="AQ1028" s="2">
        <v>0</v>
      </c>
      <c r="AR1028" s="2">
        <v>5</v>
      </c>
      <c r="AS1028" s="2">
        <v>0</v>
      </c>
      <c r="AT1028" s="2">
        <v>0</v>
      </c>
      <c r="AU1028" s="2">
        <v>14</v>
      </c>
      <c r="AV1028" s="2">
        <v>199</v>
      </c>
      <c r="AW1028" s="2">
        <v>1</v>
      </c>
      <c r="AX1028" s="2">
        <v>0</v>
      </c>
      <c r="AZ1028" s="2">
        <v>6.8</v>
      </c>
      <c r="BA1028" s="2">
        <v>19.899999999999999</v>
      </c>
      <c r="BB1028" s="2">
        <v>564</v>
      </c>
      <c r="BC1028" s="2">
        <v>68</v>
      </c>
      <c r="BD1028" s="2">
        <v>1.5</v>
      </c>
      <c r="BE1028" s="2">
        <v>135</v>
      </c>
      <c r="BF1028" s="2">
        <v>0.8</v>
      </c>
      <c r="BG1028" s="2">
        <v>162</v>
      </c>
      <c r="BH1028" s="2">
        <v>9.1</v>
      </c>
      <c r="BI1028" s="2">
        <v>9.1999999999999993</v>
      </c>
      <c r="BJ1028" s="2">
        <v>18.3</v>
      </c>
      <c r="BK1028" s="2">
        <v>0.34</v>
      </c>
      <c r="BL1028" s="2">
        <v>7.3</v>
      </c>
      <c r="BM1028" s="2">
        <v>0.9</v>
      </c>
      <c r="BN1028" s="2">
        <v>7.5</v>
      </c>
      <c r="BO1028" s="2">
        <v>2.9</v>
      </c>
      <c r="BP1028" s="2">
        <f t="shared" si="32"/>
        <v>6.4148352820580881</v>
      </c>
      <c r="BQ1028" s="2">
        <f t="shared" si="33"/>
        <v>19.345281896807521</v>
      </c>
    </row>
    <row r="1029" spans="1:69" x14ac:dyDescent="0.2">
      <c r="A1029" s="2" t="s">
        <v>3388</v>
      </c>
      <c r="B1029" s="2" t="s">
        <v>47</v>
      </c>
      <c r="C1029" s="2" t="s">
        <v>3273</v>
      </c>
      <c r="D1029" s="2" t="s">
        <v>49</v>
      </c>
      <c r="E1029" s="2" t="s">
        <v>3389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89</v>
      </c>
      <c r="L1029" s="6" t="s">
        <v>90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3390</v>
      </c>
      <c r="R1029" s="2">
        <v>7113402.0619999999</v>
      </c>
      <c r="S1029" s="2">
        <v>0</v>
      </c>
      <c r="T1029" s="2" t="s">
        <v>105</v>
      </c>
      <c r="U1029" s="2" t="s">
        <v>106</v>
      </c>
      <c r="V1029" s="2" t="s">
        <v>56</v>
      </c>
      <c r="W1029" s="2" t="s">
        <v>107</v>
      </c>
      <c r="X1029" s="2" t="s">
        <v>108</v>
      </c>
      <c r="Y1029" s="2">
        <v>2.5005386882200602</v>
      </c>
      <c r="Z1029" s="2">
        <v>2500.5386882200601</v>
      </c>
      <c r="AA1029" s="2">
        <v>4.6254861111111101</v>
      </c>
      <c r="AB1029" s="2">
        <v>-74.066980555555503</v>
      </c>
      <c r="AC1029" s="2">
        <v>2621</v>
      </c>
      <c r="AD1029" s="2">
        <v>15</v>
      </c>
      <c r="AE1029" s="2" t="s">
        <v>59</v>
      </c>
      <c r="AF1029" s="2" t="s">
        <v>60</v>
      </c>
      <c r="AG1029" s="2" t="s">
        <v>61</v>
      </c>
      <c r="AH1029" s="2" t="s">
        <v>62</v>
      </c>
      <c r="AI1029" s="2" t="s">
        <v>287</v>
      </c>
      <c r="AJ1029" s="2">
        <v>0.303443781092255</v>
      </c>
      <c r="AK1029" s="2">
        <v>1.81282188171133</v>
      </c>
      <c r="AL1029" s="2">
        <v>0.27016496447404498</v>
      </c>
      <c r="AM1029" s="2">
        <v>0.101414739887438</v>
      </c>
      <c r="AN1029" s="2">
        <v>0.82527137543644502</v>
      </c>
      <c r="AO1029" s="2">
        <v>0.39074163854184402</v>
      </c>
      <c r="AP1029" s="2">
        <v>0.39074163854184402</v>
      </c>
      <c r="AQ1029" s="2">
        <v>2</v>
      </c>
      <c r="AR1029" s="2">
        <v>9</v>
      </c>
      <c r="AS1029" s="2">
        <v>0</v>
      </c>
      <c r="AT1029" s="2">
        <v>0</v>
      </c>
      <c r="AU1029" s="2">
        <v>3</v>
      </c>
      <c r="AV1029" s="2">
        <v>46</v>
      </c>
      <c r="AW1029" s="2">
        <v>1</v>
      </c>
      <c r="AX1029" s="2">
        <v>1</v>
      </c>
      <c r="AZ1029" s="2">
        <v>6.8</v>
      </c>
      <c r="BA1029" s="2">
        <v>19.899999999999999</v>
      </c>
      <c r="BB1029" s="2">
        <v>564</v>
      </c>
      <c r="BC1029" s="2">
        <v>68</v>
      </c>
      <c r="BD1029" s="2">
        <v>1.5</v>
      </c>
      <c r="BE1029" s="2">
        <v>135</v>
      </c>
      <c r="BF1029" s="2">
        <v>0.8</v>
      </c>
      <c r="BG1029" s="2">
        <v>162</v>
      </c>
      <c r="BH1029" s="2">
        <v>9.1</v>
      </c>
      <c r="BI1029" s="2">
        <v>9.1999999999999993</v>
      </c>
      <c r="BJ1029" s="2">
        <v>18.3</v>
      </c>
      <c r="BK1029" s="2">
        <v>0.34</v>
      </c>
      <c r="BL1029" s="2">
        <v>7.3</v>
      </c>
      <c r="BM1029" s="2">
        <v>0.9</v>
      </c>
      <c r="BN1029" s="2">
        <v>7.5</v>
      </c>
      <c r="BO1029" s="2">
        <v>2.9</v>
      </c>
      <c r="BP1029" s="2">
        <f t="shared" si="32"/>
        <v>6.0083246369516523</v>
      </c>
      <c r="BQ1029" s="2">
        <f t="shared" si="33"/>
        <v>18.740871925073751</v>
      </c>
    </row>
    <row r="1030" spans="1:69" x14ac:dyDescent="0.2">
      <c r="A1030" s="2" t="s">
        <v>4262</v>
      </c>
      <c r="B1030" s="2" t="s">
        <v>47</v>
      </c>
      <c r="C1030" s="2" t="s">
        <v>3273</v>
      </c>
      <c r="D1030" s="2" t="s">
        <v>49</v>
      </c>
      <c r="E1030" s="2" t="s">
        <v>3389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89</v>
      </c>
      <c r="L1030" s="6" t="s">
        <v>90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4263</v>
      </c>
      <c r="R1030" s="2">
        <v>6875000</v>
      </c>
      <c r="S1030" s="2">
        <v>0</v>
      </c>
      <c r="T1030" s="2" t="s">
        <v>105</v>
      </c>
      <c r="U1030" s="2" t="s">
        <v>106</v>
      </c>
      <c r="V1030" s="2" t="s">
        <v>56</v>
      </c>
      <c r="W1030" s="2" t="s">
        <v>107</v>
      </c>
      <c r="X1030" s="2" t="s">
        <v>108</v>
      </c>
      <c r="Y1030" s="2">
        <v>2.5720660439771601</v>
      </c>
      <c r="Z1030" s="2">
        <v>2572.06604397716</v>
      </c>
      <c r="AA1030" s="2">
        <v>4.6254861111111101</v>
      </c>
      <c r="AB1030" s="2">
        <v>-74.066980555555503</v>
      </c>
      <c r="AC1030" s="2">
        <v>2621</v>
      </c>
      <c r="AD1030" s="2">
        <v>15</v>
      </c>
      <c r="AE1030" s="2" t="s">
        <v>59</v>
      </c>
      <c r="AF1030" s="2" t="s">
        <v>60</v>
      </c>
      <c r="AG1030" s="2" t="s">
        <v>61</v>
      </c>
      <c r="AH1030" s="2" t="s">
        <v>62</v>
      </c>
      <c r="AI1030" s="2" t="s">
        <v>287</v>
      </c>
      <c r="AJ1030" s="2">
        <v>0.270801397551029</v>
      </c>
      <c r="AK1030" s="2">
        <v>1.8956737630452301</v>
      </c>
      <c r="AL1030" s="2">
        <v>0.23552271227852101</v>
      </c>
      <c r="AM1030" s="2">
        <v>9.4648564345650693E-2</v>
      </c>
      <c r="AN1030" s="2">
        <v>0.74624500984226505</v>
      </c>
      <c r="AO1030" s="2">
        <v>0.464821197787323</v>
      </c>
      <c r="AP1030" s="2">
        <v>0.464821197787323</v>
      </c>
      <c r="AQ1030" s="2">
        <v>1</v>
      </c>
      <c r="AR1030" s="2">
        <v>9</v>
      </c>
      <c r="AS1030" s="2">
        <v>0</v>
      </c>
      <c r="AT1030" s="2">
        <v>0</v>
      </c>
      <c r="AU1030" s="2">
        <v>3</v>
      </c>
      <c r="AV1030" s="2">
        <v>31</v>
      </c>
      <c r="AW1030" s="2">
        <v>1</v>
      </c>
      <c r="AX1030" s="2">
        <v>1</v>
      </c>
      <c r="AZ1030" s="2">
        <v>6.8</v>
      </c>
      <c r="BA1030" s="2">
        <v>19.899999999999999</v>
      </c>
      <c r="BB1030" s="2">
        <v>564</v>
      </c>
      <c r="BC1030" s="2">
        <v>68</v>
      </c>
      <c r="BD1030" s="2">
        <v>1.5</v>
      </c>
      <c r="BE1030" s="2">
        <v>135</v>
      </c>
      <c r="BF1030" s="2">
        <v>0.8</v>
      </c>
      <c r="BG1030" s="2">
        <v>162</v>
      </c>
      <c r="BH1030" s="2">
        <v>9.1</v>
      </c>
      <c r="BI1030" s="2">
        <v>9.1999999999999993</v>
      </c>
      <c r="BJ1030" s="2">
        <v>18.3</v>
      </c>
      <c r="BK1030" s="2">
        <v>0.34</v>
      </c>
      <c r="BL1030" s="2">
        <v>7.3</v>
      </c>
      <c r="BM1030" s="2">
        <v>0.9</v>
      </c>
      <c r="BN1030" s="2">
        <v>7.5</v>
      </c>
      <c r="BO1030" s="2">
        <v>2.9</v>
      </c>
      <c r="BP1030" s="2">
        <f t="shared" si="32"/>
        <v>5.9870891534518469</v>
      </c>
      <c r="BQ1030" s="2">
        <f t="shared" si="33"/>
        <v>18.708727882786537</v>
      </c>
    </row>
    <row r="1031" spans="1:69" x14ac:dyDescent="0.2">
      <c r="A1031" s="2" t="s">
        <v>1295</v>
      </c>
      <c r="B1031" s="2" t="s">
        <v>47</v>
      </c>
      <c r="C1031" s="2" t="s">
        <v>48</v>
      </c>
      <c r="D1031" s="2" t="s">
        <v>49</v>
      </c>
      <c r="E1031" s="2" t="s">
        <v>1296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89</v>
      </c>
      <c r="L1031" s="6" t="s">
        <v>90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1297</v>
      </c>
      <c r="R1031" s="2">
        <v>4000000</v>
      </c>
      <c r="S1031" s="2">
        <v>0</v>
      </c>
      <c r="T1031" s="2" t="s">
        <v>344</v>
      </c>
      <c r="U1031" s="2" t="s">
        <v>345</v>
      </c>
      <c r="V1031" s="2" t="s">
        <v>56</v>
      </c>
      <c r="W1031" s="2" t="s">
        <v>344</v>
      </c>
      <c r="X1031" s="2" t="s">
        <v>346</v>
      </c>
      <c r="Y1031" s="2">
        <v>1.4977704705343899</v>
      </c>
      <c r="Z1031" s="2">
        <v>1497.7704705343899</v>
      </c>
      <c r="AA1031" s="2">
        <v>4.6056111111111102</v>
      </c>
      <c r="AB1031" s="2">
        <v>-74.204055555555598</v>
      </c>
      <c r="AC1031" s="2">
        <v>2546</v>
      </c>
      <c r="AD1031" s="2">
        <v>0</v>
      </c>
      <c r="AE1031" s="2" t="s">
        <v>59</v>
      </c>
      <c r="AF1031" s="2" t="s">
        <v>86</v>
      </c>
      <c r="AG1031" s="2" t="s">
        <v>61</v>
      </c>
      <c r="AH1031" s="2" t="s">
        <v>62</v>
      </c>
      <c r="AI1031" s="2" t="s">
        <v>347</v>
      </c>
      <c r="AJ1031" s="2">
        <v>2.0841334040781301</v>
      </c>
      <c r="AK1031" s="2">
        <v>2.89686434317177</v>
      </c>
      <c r="AL1031" s="2">
        <v>6.3766097895668503</v>
      </c>
      <c r="AM1031" s="2">
        <v>0.14390640483782599</v>
      </c>
      <c r="AN1031" s="2">
        <v>1.55160433315781</v>
      </c>
      <c r="AO1031" s="2">
        <v>7.3759082340074901E-3</v>
      </c>
      <c r="AP1031" s="2">
        <v>7.3759082340074901E-3</v>
      </c>
      <c r="AQ1031" s="2">
        <v>0</v>
      </c>
      <c r="AR1031" s="2">
        <v>0</v>
      </c>
      <c r="AS1031" s="2">
        <v>0</v>
      </c>
      <c r="AT1031" s="2">
        <v>0</v>
      </c>
      <c r="AU1031" s="2">
        <v>0</v>
      </c>
      <c r="AV1031" s="2">
        <v>4</v>
      </c>
      <c r="AW1031" s="2">
        <v>0</v>
      </c>
      <c r="AX1031" s="2">
        <v>0</v>
      </c>
      <c r="AZ1031" s="2">
        <v>6.8</v>
      </c>
      <c r="BA1031" s="2">
        <v>19.899999999999999</v>
      </c>
      <c r="BB1031" s="2">
        <v>564</v>
      </c>
      <c r="BC1031" s="2">
        <v>68</v>
      </c>
      <c r="BD1031" s="2">
        <v>1.5</v>
      </c>
      <c r="BE1031" s="2">
        <v>135</v>
      </c>
      <c r="BF1031" s="2">
        <v>0.8</v>
      </c>
      <c r="BG1031" s="2">
        <v>162</v>
      </c>
      <c r="BH1031" s="2">
        <v>9.1</v>
      </c>
      <c r="BI1031" s="2">
        <v>9.1999999999999993</v>
      </c>
      <c r="BJ1031" s="2">
        <v>18.3</v>
      </c>
      <c r="BK1031" s="2">
        <v>0.34</v>
      </c>
      <c r="BL1031" s="2">
        <v>7.3</v>
      </c>
      <c r="BM1031" s="2">
        <v>0.9</v>
      </c>
      <c r="BN1031" s="2">
        <v>7.5</v>
      </c>
      <c r="BO1031" s="2">
        <v>2.9</v>
      </c>
      <c r="BP1031" s="2">
        <f t="shared" si="32"/>
        <v>6.3140857684103899</v>
      </c>
      <c r="BQ1031" s="2">
        <f t="shared" si="33"/>
        <v>19.197369039230303</v>
      </c>
    </row>
    <row r="1032" spans="1:69" x14ac:dyDescent="0.2">
      <c r="A1032" s="2" t="s">
        <v>3510</v>
      </c>
      <c r="B1032" s="2" t="s">
        <v>47</v>
      </c>
      <c r="C1032" s="2" t="s">
        <v>3273</v>
      </c>
      <c r="D1032" s="2" t="s">
        <v>49</v>
      </c>
      <c r="E1032" s="2" t="s">
        <v>3511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89</v>
      </c>
      <c r="L1032" s="6" t="s">
        <v>90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3512</v>
      </c>
      <c r="R1032" s="2">
        <v>5851619.6449999996</v>
      </c>
      <c r="S1032" s="2">
        <v>0</v>
      </c>
      <c r="T1032" s="2" t="s">
        <v>105</v>
      </c>
      <c r="U1032" s="2" t="s">
        <v>106</v>
      </c>
      <c r="V1032" s="2" t="s">
        <v>56</v>
      </c>
      <c r="W1032" s="2" t="s">
        <v>107</v>
      </c>
      <c r="X1032" s="2" t="s">
        <v>108</v>
      </c>
      <c r="Y1032" s="2">
        <v>2.5651739479179101</v>
      </c>
      <c r="Z1032" s="2">
        <v>2565.17394791791</v>
      </c>
      <c r="AA1032" s="2">
        <v>4.6254861111111101</v>
      </c>
      <c r="AB1032" s="2">
        <v>-74.066980555555503</v>
      </c>
      <c r="AC1032" s="2">
        <v>2621</v>
      </c>
      <c r="AD1032" s="2">
        <v>15</v>
      </c>
      <c r="AE1032" s="2" t="s">
        <v>59</v>
      </c>
      <c r="AF1032" s="2" t="s">
        <v>60</v>
      </c>
      <c r="AG1032" s="2" t="s">
        <v>61</v>
      </c>
      <c r="AH1032" s="2" t="s">
        <v>62</v>
      </c>
      <c r="AI1032" s="2" t="s">
        <v>287</v>
      </c>
      <c r="AJ1032" s="2">
        <v>0.26845111705455299</v>
      </c>
      <c r="AK1032" s="2">
        <v>1.8823712887200901</v>
      </c>
      <c r="AL1032" s="2">
        <v>0.23330469889104399</v>
      </c>
      <c r="AM1032" s="2">
        <v>0.105222136198013</v>
      </c>
      <c r="AN1032" s="2">
        <v>0.75973413827688696</v>
      </c>
      <c r="AO1032" s="2">
        <v>0.45691658155752701</v>
      </c>
      <c r="AP1032" s="2">
        <v>0.45691658155752701</v>
      </c>
      <c r="AQ1032" s="2">
        <v>1</v>
      </c>
      <c r="AR1032" s="2">
        <v>9</v>
      </c>
      <c r="AS1032" s="2">
        <v>0</v>
      </c>
      <c r="AT1032" s="2">
        <v>0</v>
      </c>
      <c r="AU1032" s="2">
        <v>3</v>
      </c>
      <c r="AV1032" s="2">
        <v>31</v>
      </c>
      <c r="AW1032" s="2">
        <v>1</v>
      </c>
      <c r="AX1032" s="2">
        <v>1</v>
      </c>
      <c r="AZ1032" s="2">
        <v>6.8</v>
      </c>
      <c r="BA1032" s="2">
        <v>19.899999999999999</v>
      </c>
      <c r="BB1032" s="2">
        <v>564</v>
      </c>
      <c r="BC1032" s="2">
        <v>68</v>
      </c>
      <c r="BD1032" s="2">
        <v>1.5</v>
      </c>
      <c r="BE1032" s="2">
        <v>135</v>
      </c>
      <c r="BF1032" s="2">
        <v>0.8</v>
      </c>
      <c r="BG1032" s="2">
        <v>162</v>
      </c>
      <c r="BH1032" s="2">
        <v>9.1</v>
      </c>
      <c r="BI1032" s="2">
        <v>9.1999999999999993</v>
      </c>
      <c r="BJ1032" s="2">
        <v>18.3</v>
      </c>
      <c r="BK1032" s="2">
        <v>0.34</v>
      </c>
      <c r="BL1032" s="2">
        <v>7.3</v>
      </c>
      <c r="BM1032" s="2">
        <v>0.9</v>
      </c>
      <c r="BN1032" s="2">
        <v>7.5</v>
      </c>
      <c r="BO1032" s="2">
        <v>2.9</v>
      </c>
      <c r="BP1032" s="2">
        <f t="shared" si="32"/>
        <v>5.9891320497892817</v>
      </c>
      <c r="BQ1032" s="2">
        <f t="shared" si="33"/>
        <v>18.71182275513452</v>
      </c>
    </row>
    <row r="1033" spans="1:69" x14ac:dyDescent="0.2">
      <c r="A1033" s="2" t="s">
        <v>3519</v>
      </c>
      <c r="B1033" s="2" t="s">
        <v>47</v>
      </c>
      <c r="C1033" s="2" t="s">
        <v>3273</v>
      </c>
      <c r="D1033" s="2" t="s">
        <v>49</v>
      </c>
      <c r="E1033" s="2" t="s">
        <v>1509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89</v>
      </c>
      <c r="L1033" s="6" t="s">
        <v>112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3520</v>
      </c>
      <c r="R1033" s="2">
        <v>11518324.609999999</v>
      </c>
      <c r="S1033" s="2">
        <v>0</v>
      </c>
      <c r="T1033" s="2" t="s">
        <v>105</v>
      </c>
      <c r="U1033" s="2" t="s">
        <v>106</v>
      </c>
      <c r="V1033" s="2" t="s">
        <v>56</v>
      </c>
      <c r="W1033" s="2" t="s">
        <v>107</v>
      </c>
      <c r="X1033" s="2" t="s">
        <v>108</v>
      </c>
      <c r="Y1033" s="2">
        <v>0.68084579294919501</v>
      </c>
      <c r="Z1033" s="2">
        <v>680.84579294919502</v>
      </c>
      <c r="AA1033" s="2">
        <v>4.6254861111111101</v>
      </c>
      <c r="AB1033" s="2">
        <v>-74.066980555555503</v>
      </c>
      <c r="AC1033" s="2">
        <v>2621</v>
      </c>
      <c r="AD1033" s="2">
        <v>15</v>
      </c>
      <c r="AE1033" s="2" t="s">
        <v>59</v>
      </c>
      <c r="AF1033" s="2" t="s">
        <v>60</v>
      </c>
      <c r="AG1033" s="2" t="s">
        <v>61</v>
      </c>
      <c r="AH1033" s="2" t="s">
        <v>62</v>
      </c>
      <c r="AI1033" s="2" t="s">
        <v>117</v>
      </c>
      <c r="AJ1033" s="2">
        <v>0.387722113857146</v>
      </c>
      <c r="AK1033" s="2">
        <v>0.56569115516051005</v>
      </c>
      <c r="AL1033" s="2">
        <v>0.19612876898387599</v>
      </c>
      <c r="AM1033" s="2">
        <v>9.6187038307827294E-2</v>
      </c>
      <c r="AN1033" s="2">
        <v>0.45713637495506199</v>
      </c>
      <c r="AO1033" s="2">
        <v>0.15929277614763701</v>
      </c>
      <c r="AP1033" s="2">
        <v>0.15929277614763701</v>
      </c>
      <c r="AQ1033" s="2">
        <v>1</v>
      </c>
      <c r="AR1033" s="2">
        <v>5</v>
      </c>
      <c r="AS1033" s="2">
        <v>0</v>
      </c>
      <c r="AT1033" s="2">
        <v>8</v>
      </c>
      <c r="AU1033" s="2">
        <v>14</v>
      </c>
      <c r="AV1033" s="2">
        <v>70</v>
      </c>
      <c r="AW1033" s="2">
        <v>2</v>
      </c>
      <c r="AX1033" s="2">
        <v>2</v>
      </c>
      <c r="AZ1033" s="2">
        <v>6.8</v>
      </c>
      <c r="BA1033" s="2">
        <v>19.899999999999999</v>
      </c>
      <c r="BB1033" s="2">
        <v>564</v>
      </c>
      <c r="BC1033" s="2">
        <v>68</v>
      </c>
      <c r="BD1033" s="2">
        <v>1.5</v>
      </c>
      <c r="BE1033" s="2">
        <v>135</v>
      </c>
      <c r="BF1033" s="2">
        <v>0.8</v>
      </c>
      <c r="BG1033" s="2">
        <v>162</v>
      </c>
      <c r="BH1033" s="2">
        <v>9.1</v>
      </c>
      <c r="BI1033" s="2">
        <v>9.1999999999999993</v>
      </c>
      <c r="BJ1033" s="2">
        <v>18.3</v>
      </c>
      <c r="BK1033" s="2">
        <v>0.34</v>
      </c>
      <c r="BL1033" s="2">
        <v>7.3</v>
      </c>
      <c r="BM1033" s="2">
        <v>0.9</v>
      </c>
      <c r="BN1033" s="2">
        <v>7.5</v>
      </c>
      <c r="BO1033" s="2">
        <v>2.9</v>
      </c>
      <c r="BP1033" s="2">
        <f t="shared" si="32"/>
        <v>6.5746460599665006</v>
      </c>
      <c r="BQ1033" s="2">
        <f t="shared" si="33"/>
        <v>19.577470341220213</v>
      </c>
    </row>
    <row r="1034" spans="1:69" x14ac:dyDescent="0.2">
      <c r="A1034" s="2" t="s">
        <v>4301</v>
      </c>
      <c r="B1034" s="2" t="s">
        <v>47</v>
      </c>
      <c r="C1034" s="2" t="s">
        <v>3273</v>
      </c>
      <c r="D1034" s="2" t="s">
        <v>49</v>
      </c>
      <c r="E1034" s="2" t="s">
        <v>488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89</v>
      </c>
      <c r="L1034" s="6" t="s">
        <v>103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4302</v>
      </c>
      <c r="R1034" s="2">
        <v>8803563.852</v>
      </c>
      <c r="S1034" s="2">
        <v>0</v>
      </c>
      <c r="T1034" s="2" t="s">
        <v>105</v>
      </c>
      <c r="U1034" s="2" t="s">
        <v>106</v>
      </c>
      <c r="V1034" s="2" t="s">
        <v>56</v>
      </c>
      <c r="W1034" s="2" t="s">
        <v>107</v>
      </c>
      <c r="X1034" s="2" t="s">
        <v>108</v>
      </c>
      <c r="Y1034" s="2">
        <v>1.94031280682993</v>
      </c>
      <c r="Z1034" s="2">
        <v>1940.31280682993</v>
      </c>
      <c r="AA1034" s="2">
        <v>4.6254861111111101</v>
      </c>
      <c r="AB1034" s="2">
        <v>-74.066980555555503</v>
      </c>
      <c r="AC1034" s="2">
        <v>2621</v>
      </c>
      <c r="AD1034" s="2">
        <v>15</v>
      </c>
      <c r="AE1034" s="2" t="s">
        <v>59</v>
      </c>
      <c r="AF1034" s="2" t="s">
        <v>60</v>
      </c>
      <c r="AG1034" s="2" t="s">
        <v>61</v>
      </c>
      <c r="AH1034" s="2" t="s">
        <v>62</v>
      </c>
      <c r="AI1034" s="2" t="s">
        <v>109</v>
      </c>
      <c r="AJ1034" s="2">
        <v>0.58494084803608104</v>
      </c>
      <c r="AK1034" s="2">
        <v>0.36063248013048299</v>
      </c>
      <c r="AL1034" s="2">
        <v>0.33677224256031701</v>
      </c>
      <c r="AM1034" s="2">
        <v>0.14939567588150099</v>
      </c>
      <c r="AN1034" s="2">
        <v>0.25629088718386001</v>
      </c>
      <c r="AO1034" s="2">
        <v>4.2012514393997301E-2</v>
      </c>
      <c r="AP1034" s="2">
        <v>4.2012514393997301E-2</v>
      </c>
      <c r="AQ1034" s="2">
        <v>0</v>
      </c>
      <c r="AR1034" s="2">
        <v>4</v>
      </c>
      <c r="AS1034" s="2">
        <v>8</v>
      </c>
      <c r="AT1034" s="2">
        <v>38</v>
      </c>
      <c r="AU1034" s="2">
        <v>7</v>
      </c>
      <c r="AV1034" s="2">
        <v>120</v>
      </c>
      <c r="AW1034" s="2">
        <v>1</v>
      </c>
      <c r="AX1034" s="2">
        <v>0</v>
      </c>
      <c r="AZ1034" s="2">
        <v>6.8</v>
      </c>
      <c r="BA1034" s="2">
        <v>19.899999999999999</v>
      </c>
      <c r="BB1034" s="2">
        <v>564</v>
      </c>
      <c r="BC1034" s="2">
        <v>68</v>
      </c>
      <c r="BD1034" s="2">
        <v>1.5</v>
      </c>
      <c r="BE1034" s="2">
        <v>135</v>
      </c>
      <c r="BF1034" s="2">
        <v>0.8</v>
      </c>
      <c r="BG1034" s="2">
        <v>162</v>
      </c>
      <c r="BH1034" s="2">
        <v>9.1</v>
      </c>
      <c r="BI1034" s="2">
        <v>9.1999999999999993</v>
      </c>
      <c r="BJ1034" s="2">
        <v>18.3</v>
      </c>
      <c r="BK1034" s="2">
        <v>0.34</v>
      </c>
      <c r="BL1034" s="2">
        <v>7.3</v>
      </c>
      <c r="BM1034" s="2">
        <v>0.9</v>
      </c>
      <c r="BN1034" s="2">
        <v>7.5</v>
      </c>
      <c r="BO1034" s="2">
        <v>2.9</v>
      </c>
      <c r="BP1034" s="2">
        <f t="shared" si="32"/>
        <v>6.1772743361139506</v>
      </c>
      <c r="BQ1034" s="2">
        <f t="shared" si="33"/>
        <v>18.994552439896001</v>
      </c>
    </row>
    <row r="1035" spans="1:69" x14ac:dyDescent="0.2">
      <c r="A1035" s="2" t="s">
        <v>642</v>
      </c>
      <c r="B1035" s="2" t="s">
        <v>47</v>
      </c>
      <c r="C1035" s="2" t="s">
        <v>48</v>
      </c>
      <c r="D1035" s="2" t="s">
        <v>49</v>
      </c>
      <c r="E1035" s="2" t="s">
        <v>643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89</v>
      </c>
      <c r="L1035" s="6" t="s">
        <v>103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644</v>
      </c>
      <c r="R1035" s="2">
        <v>5744680.8509999998</v>
      </c>
      <c r="S1035" s="2">
        <v>0</v>
      </c>
      <c r="T1035" s="2" t="s">
        <v>398</v>
      </c>
      <c r="U1035" s="2" t="s">
        <v>399</v>
      </c>
      <c r="V1035" s="2" t="s">
        <v>56</v>
      </c>
      <c r="W1035" s="2" t="s">
        <v>57</v>
      </c>
      <c r="X1035" s="2" t="s">
        <v>400</v>
      </c>
      <c r="Y1035" s="2">
        <v>1.3184428781750099</v>
      </c>
      <c r="Z1035" s="2">
        <v>1318.44287817501</v>
      </c>
      <c r="AA1035" s="2">
        <v>4.7358055555555598</v>
      </c>
      <c r="AB1035" s="2">
        <v>-74.125888888888895</v>
      </c>
      <c r="AC1035" s="2">
        <v>2574</v>
      </c>
      <c r="AD1035" s="2">
        <v>0</v>
      </c>
      <c r="AE1035" s="2" t="s">
        <v>133</v>
      </c>
      <c r="AF1035" s="2" t="s">
        <v>86</v>
      </c>
      <c r="AG1035" s="2" t="s">
        <v>61</v>
      </c>
      <c r="AH1035" s="2" t="s">
        <v>62</v>
      </c>
      <c r="AI1035" s="2" t="s">
        <v>391</v>
      </c>
      <c r="AJ1035" s="2">
        <v>2.2121727041061701</v>
      </c>
      <c r="AK1035" s="2">
        <v>0.97362461521752497</v>
      </c>
      <c r="AL1035" s="2">
        <v>4.1406495495915596</v>
      </c>
      <c r="AM1035" s="2">
        <v>0.63187469445570499</v>
      </c>
      <c r="AN1035" s="2">
        <v>3.6818201645685602</v>
      </c>
      <c r="AO1035" s="2">
        <v>0.35722571421358101</v>
      </c>
      <c r="AP1035" s="2">
        <v>0.35722571421358101</v>
      </c>
      <c r="AQ1035" s="2">
        <v>0</v>
      </c>
      <c r="AR1035" s="2">
        <v>0</v>
      </c>
      <c r="AS1035" s="2">
        <v>0</v>
      </c>
      <c r="AT1035" s="2">
        <v>1</v>
      </c>
      <c r="AU1035" s="2">
        <v>0</v>
      </c>
      <c r="AV1035" s="2">
        <v>7</v>
      </c>
      <c r="AW1035" s="2">
        <v>0</v>
      </c>
      <c r="AX1035" s="2">
        <v>0</v>
      </c>
      <c r="AZ1035" s="2">
        <v>6.8</v>
      </c>
      <c r="BA1035" s="2">
        <v>19.899999999999999</v>
      </c>
      <c r="BB1035" s="2">
        <v>564</v>
      </c>
      <c r="BC1035" s="2">
        <v>68</v>
      </c>
      <c r="BD1035" s="2">
        <v>1.5</v>
      </c>
      <c r="BE1035" s="2">
        <v>135</v>
      </c>
      <c r="BF1035" s="2">
        <v>0.8</v>
      </c>
      <c r="BG1035" s="2">
        <v>162</v>
      </c>
      <c r="BH1035" s="2">
        <v>9.1</v>
      </c>
      <c r="BI1035" s="2">
        <v>9.1999999999999993</v>
      </c>
      <c r="BJ1035" s="2">
        <v>18.3</v>
      </c>
      <c r="BK1035" s="2">
        <v>0.34</v>
      </c>
      <c r="BL1035" s="2">
        <v>7.3</v>
      </c>
      <c r="BM1035" s="2">
        <v>0.9</v>
      </c>
      <c r="BN1035" s="2">
        <v>7.5</v>
      </c>
      <c r="BO1035" s="2">
        <v>2.9</v>
      </c>
      <c r="BP1035" s="2">
        <f t="shared" si="32"/>
        <v>6.3703836137679559</v>
      </c>
      <c r="BQ1035" s="2">
        <f t="shared" si="33"/>
        <v>19.280169924486017</v>
      </c>
    </row>
    <row r="1036" spans="1:69" x14ac:dyDescent="0.2">
      <c r="A1036" s="2" t="s">
        <v>4323</v>
      </c>
      <c r="B1036" s="2" t="s">
        <v>47</v>
      </c>
      <c r="C1036" s="2" t="s">
        <v>3273</v>
      </c>
      <c r="D1036" s="2" t="s">
        <v>49</v>
      </c>
      <c r="E1036" s="2" t="s">
        <v>4169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89</v>
      </c>
      <c r="L1036" s="6" t="s">
        <v>141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4324</v>
      </c>
      <c r="R1036" s="2">
        <v>6361702.1279999996</v>
      </c>
      <c r="S1036" s="2">
        <v>0</v>
      </c>
      <c r="T1036" s="2" t="s">
        <v>105</v>
      </c>
      <c r="U1036" s="2" t="s">
        <v>106</v>
      </c>
      <c r="V1036" s="2" t="s">
        <v>56</v>
      </c>
      <c r="W1036" s="2" t="s">
        <v>107</v>
      </c>
      <c r="X1036" s="2" t="s">
        <v>108</v>
      </c>
      <c r="Y1036" s="2">
        <v>0.19157474675594299</v>
      </c>
      <c r="Z1036" s="2">
        <v>191.57474675594301</v>
      </c>
      <c r="AA1036" s="2">
        <v>4.6254861111111101</v>
      </c>
      <c r="AB1036" s="2">
        <v>-74.066980555555503</v>
      </c>
      <c r="AC1036" s="2">
        <v>2621</v>
      </c>
      <c r="AD1036" s="2">
        <v>15</v>
      </c>
      <c r="AE1036" s="2" t="s">
        <v>59</v>
      </c>
      <c r="AF1036" s="2" t="s">
        <v>60</v>
      </c>
      <c r="AG1036" s="2" t="s">
        <v>61</v>
      </c>
      <c r="AH1036" s="2" t="s">
        <v>62</v>
      </c>
      <c r="AI1036" s="2" t="s">
        <v>117</v>
      </c>
      <c r="AJ1036" s="2">
        <v>5.8187812628036802E-2</v>
      </c>
      <c r="AK1036" s="2">
        <v>0.80299657141838898</v>
      </c>
      <c r="AL1036" s="2">
        <v>0.29676001376966299</v>
      </c>
      <c r="AM1036" s="2">
        <v>0.10357082135128701</v>
      </c>
      <c r="AN1036" s="2">
        <v>0.195885303489685</v>
      </c>
      <c r="AO1036" s="2">
        <v>7.6311510416440603E-2</v>
      </c>
      <c r="AP1036" s="2">
        <v>7.6311510416440603E-2</v>
      </c>
      <c r="AQ1036" s="2">
        <v>2</v>
      </c>
      <c r="AR1036" s="2">
        <v>4</v>
      </c>
      <c r="AS1036" s="2">
        <v>0</v>
      </c>
      <c r="AT1036" s="2">
        <v>13</v>
      </c>
      <c r="AU1036" s="2">
        <v>20</v>
      </c>
      <c r="AV1036" s="2">
        <v>108</v>
      </c>
      <c r="AW1036" s="2">
        <v>1</v>
      </c>
      <c r="AX1036" s="2">
        <v>1</v>
      </c>
      <c r="AZ1036" s="2">
        <v>6.8</v>
      </c>
      <c r="BA1036" s="2">
        <v>19.899999999999999</v>
      </c>
      <c r="BB1036" s="2">
        <v>564</v>
      </c>
      <c r="BC1036" s="2">
        <v>68</v>
      </c>
      <c r="BD1036" s="2">
        <v>1.5</v>
      </c>
      <c r="BE1036" s="2">
        <v>135</v>
      </c>
      <c r="BF1036" s="2">
        <v>0.8</v>
      </c>
      <c r="BG1036" s="2">
        <v>162</v>
      </c>
      <c r="BH1036" s="2">
        <v>9.1</v>
      </c>
      <c r="BI1036" s="2">
        <v>9.1999999999999993</v>
      </c>
      <c r="BJ1036" s="2">
        <v>18.3</v>
      </c>
      <c r="BK1036" s="2">
        <v>0.34</v>
      </c>
      <c r="BL1036" s="2">
        <v>7.3</v>
      </c>
      <c r="BM1036" s="2">
        <v>0.9</v>
      </c>
      <c r="BN1036" s="2">
        <v>7.5</v>
      </c>
      <c r="BO1036" s="2">
        <v>2.9</v>
      </c>
      <c r="BP1036" s="2">
        <f t="shared" si="32"/>
        <v>6.7358207256157021</v>
      </c>
      <c r="BQ1036" s="2">
        <f t="shared" si="33"/>
        <v>19.808713919056803</v>
      </c>
    </row>
    <row r="1037" spans="1:69" x14ac:dyDescent="0.2">
      <c r="A1037" s="2" t="s">
        <v>4325</v>
      </c>
      <c r="B1037" s="2" t="s">
        <v>47</v>
      </c>
      <c r="C1037" s="2" t="s">
        <v>3273</v>
      </c>
      <c r="D1037" s="2" t="s">
        <v>49</v>
      </c>
      <c r="E1037" s="2" t="s">
        <v>4169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89</v>
      </c>
      <c r="L1037" s="6" t="s">
        <v>141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4326</v>
      </c>
      <c r="R1037" s="2">
        <v>6361702.1279999996</v>
      </c>
      <c r="S1037" s="2">
        <v>0</v>
      </c>
      <c r="T1037" s="2" t="s">
        <v>105</v>
      </c>
      <c r="U1037" s="2" t="s">
        <v>106</v>
      </c>
      <c r="V1037" s="2" t="s">
        <v>56</v>
      </c>
      <c r="W1037" s="2" t="s">
        <v>107</v>
      </c>
      <c r="X1037" s="2" t="s">
        <v>108</v>
      </c>
      <c r="Y1037" s="2">
        <v>0.19157474675594299</v>
      </c>
      <c r="Z1037" s="2">
        <v>191.57474675594301</v>
      </c>
      <c r="AA1037" s="2">
        <v>4.6254861111111101</v>
      </c>
      <c r="AB1037" s="2">
        <v>-74.066980555555503</v>
      </c>
      <c r="AC1037" s="2">
        <v>2621</v>
      </c>
      <c r="AD1037" s="2">
        <v>15</v>
      </c>
      <c r="AE1037" s="2" t="s">
        <v>59</v>
      </c>
      <c r="AF1037" s="2" t="s">
        <v>60</v>
      </c>
      <c r="AG1037" s="2" t="s">
        <v>61</v>
      </c>
      <c r="AH1037" s="2" t="s">
        <v>62</v>
      </c>
      <c r="AI1037" s="2" t="s">
        <v>117</v>
      </c>
      <c r="AJ1037" s="2">
        <v>5.8187812628036802E-2</v>
      </c>
      <c r="AK1037" s="2">
        <v>0.80299657141838898</v>
      </c>
      <c r="AL1037" s="2">
        <v>0.29676001376966299</v>
      </c>
      <c r="AM1037" s="2">
        <v>0.10357082135128701</v>
      </c>
      <c r="AN1037" s="2">
        <v>0.195885303489685</v>
      </c>
      <c r="AO1037" s="2">
        <v>7.6311510416440603E-2</v>
      </c>
      <c r="AP1037" s="2">
        <v>7.6311510416440603E-2</v>
      </c>
      <c r="AQ1037" s="2">
        <v>2</v>
      </c>
      <c r="AR1037" s="2">
        <v>4</v>
      </c>
      <c r="AS1037" s="2">
        <v>0</v>
      </c>
      <c r="AT1037" s="2">
        <v>13</v>
      </c>
      <c r="AU1037" s="2">
        <v>20</v>
      </c>
      <c r="AV1037" s="2">
        <v>108</v>
      </c>
      <c r="AW1037" s="2">
        <v>1</v>
      </c>
      <c r="AX1037" s="2">
        <v>1</v>
      </c>
      <c r="AZ1037" s="2">
        <v>6.8</v>
      </c>
      <c r="BA1037" s="2">
        <v>19.899999999999999</v>
      </c>
      <c r="BB1037" s="2">
        <v>564</v>
      </c>
      <c r="BC1037" s="2">
        <v>68</v>
      </c>
      <c r="BD1037" s="2">
        <v>1.5</v>
      </c>
      <c r="BE1037" s="2">
        <v>135</v>
      </c>
      <c r="BF1037" s="2">
        <v>0.8</v>
      </c>
      <c r="BG1037" s="2">
        <v>162</v>
      </c>
      <c r="BH1037" s="2">
        <v>9.1</v>
      </c>
      <c r="BI1037" s="2">
        <v>9.1999999999999993</v>
      </c>
      <c r="BJ1037" s="2">
        <v>18.3</v>
      </c>
      <c r="BK1037" s="2">
        <v>0.34</v>
      </c>
      <c r="BL1037" s="2">
        <v>7.3</v>
      </c>
      <c r="BM1037" s="2">
        <v>0.9</v>
      </c>
      <c r="BN1037" s="2">
        <v>7.5</v>
      </c>
      <c r="BO1037" s="2">
        <v>2.9</v>
      </c>
      <c r="BP1037" s="2">
        <f t="shared" si="32"/>
        <v>6.7358207256157021</v>
      </c>
      <c r="BQ1037" s="2">
        <f t="shared" si="33"/>
        <v>19.808713919056803</v>
      </c>
    </row>
    <row r="1038" spans="1:69" x14ac:dyDescent="0.2">
      <c r="A1038" s="2" t="s">
        <v>4460</v>
      </c>
      <c r="B1038" s="2" t="s">
        <v>47</v>
      </c>
      <c r="C1038" s="2" t="s">
        <v>3273</v>
      </c>
      <c r="D1038" s="2" t="s">
        <v>49</v>
      </c>
      <c r="E1038" s="2" t="s">
        <v>811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89</v>
      </c>
      <c r="L1038" s="6" t="s">
        <v>141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4461</v>
      </c>
      <c r="R1038" s="2">
        <v>8742004.2640000004</v>
      </c>
      <c r="S1038" s="2">
        <v>0</v>
      </c>
      <c r="T1038" s="2" t="s">
        <v>105</v>
      </c>
      <c r="U1038" s="2" t="s">
        <v>106</v>
      </c>
      <c r="V1038" s="2" t="s">
        <v>56</v>
      </c>
      <c r="W1038" s="2" t="s">
        <v>107</v>
      </c>
      <c r="X1038" s="2" t="s">
        <v>108</v>
      </c>
      <c r="Y1038" s="2">
        <v>3.0947062662215599</v>
      </c>
      <c r="Z1038" s="2">
        <v>3094.7062662215599</v>
      </c>
      <c r="AA1038" s="2">
        <v>4.6254861111111101</v>
      </c>
      <c r="AB1038" s="2">
        <v>-74.066980555555503</v>
      </c>
      <c r="AC1038" s="2">
        <v>2621</v>
      </c>
      <c r="AD1038" s="2">
        <v>15</v>
      </c>
      <c r="AE1038" s="2" t="s">
        <v>59</v>
      </c>
      <c r="AF1038" s="2" t="s">
        <v>60</v>
      </c>
      <c r="AG1038" s="2" t="s">
        <v>61</v>
      </c>
      <c r="AH1038" s="2" t="s">
        <v>62</v>
      </c>
      <c r="AI1038" s="2" t="s">
        <v>109</v>
      </c>
      <c r="AJ1038" s="2">
        <v>0.79337959096508903</v>
      </c>
      <c r="AK1038" s="2">
        <v>0.68617910727565901</v>
      </c>
      <c r="AL1038" s="2">
        <v>0.152131303366419</v>
      </c>
      <c r="AM1038" s="2">
        <v>0.20959448640318001</v>
      </c>
      <c r="AN1038" s="2">
        <v>1.09206091029344</v>
      </c>
      <c r="AO1038" s="2">
        <v>0.134343395776132</v>
      </c>
      <c r="AP1038" s="2">
        <v>0.134343395776132</v>
      </c>
      <c r="AQ1038" s="2">
        <v>0</v>
      </c>
      <c r="AR1038" s="2">
        <v>3</v>
      </c>
      <c r="AS1038" s="2">
        <v>0</v>
      </c>
      <c r="AT1038" s="2">
        <v>30</v>
      </c>
      <c r="AU1038" s="2">
        <v>16</v>
      </c>
      <c r="AV1038" s="2">
        <v>59</v>
      </c>
      <c r="AW1038" s="2">
        <v>0</v>
      </c>
      <c r="AX1038" s="2">
        <v>0</v>
      </c>
      <c r="AZ1038" s="2">
        <v>6.8</v>
      </c>
      <c r="BA1038" s="2">
        <v>19.899999999999999</v>
      </c>
      <c r="BB1038" s="2">
        <v>564</v>
      </c>
      <c r="BC1038" s="2">
        <v>68</v>
      </c>
      <c r="BD1038" s="2">
        <v>1.5</v>
      </c>
      <c r="BE1038" s="2">
        <v>135</v>
      </c>
      <c r="BF1038" s="2">
        <v>0.8</v>
      </c>
      <c r="BG1038" s="2">
        <v>162</v>
      </c>
      <c r="BH1038" s="2">
        <v>9.1</v>
      </c>
      <c r="BI1038" s="2">
        <v>9.1999999999999993</v>
      </c>
      <c r="BJ1038" s="2">
        <v>18.3</v>
      </c>
      <c r="BK1038" s="2">
        <v>0.34</v>
      </c>
      <c r="BL1038" s="2">
        <v>7.3</v>
      </c>
      <c r="BM1038" s="2">
        <v>0.9</v>
      </c>
      <c r="BN1038" s="2">
        <v>7.5</v>
      </c>
      <c r="BO1038" s="2">
        <v>2.9</v>
      </c>
      <c r="BP1038" s="2">
        <f t="shared" si="32"/>
        <v>5.8341854107248761</v>
      </c>
      <c r="BQ1038" s="2">
        <f t="shared" si="33"/>
        <v>18.475523117920186</v>
      </c>
    </row>
    <row r="1039" spans="1:69" x14ac:dyDescent="0.2">
      <c r="A1039" s="2" t="s">
        <v>3699</v>
      </c>
      <c r="B1039" s="2" t="s">
        <v>47</v>
      </c>
      <c r="C1039" s="2" t="s">
        <v>3273</v>
      </c>
      <c r="D1039" s="2" t="s">
        <v>49</v>
      </c>
      <c r="E1039" s="2" t="s">
        <v>3538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89</v>
      </c>
      <c r="L1039" s="6" t="s">
        <v>112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3700</v>
      </c>
      <c r="R1039" s="2">
        <v>9755040.1040000003</v>
      </c>
      <c r="S1039" s="2">
        <v>0</v>
      </c>
      <c r="T1039" s="2" t="s">
        <v>105</v>
      </c>
      <c r="U1039" s="2" t="s">
        <v>106</v>
      </c>
      <c r="V1039" s="2" t="s">
        <v>56</v>
      </c>
      <c r="W1039" s="2" t="s">
        <v>107</v>
      </c>
      <c r="X1039" s="2" t="s">
        <v>108</v>
      </c>
      <c r="Y1039" s="2">
        <v>0.72447913323997204</v>
      </c>
      <c r="Z1039" s="2">
        <v>724.47913323997204</v>
      </c>
      <c r="AA1039" s="2">
        <v>4.6254861111111101</v>
      </c>
      <c r="AB1039" s="2">
        <v>-74.066980555555503</v>
      </c>
      <c r="AC1039" s="2">
        <v>2621</v>
      </c>
      <c r="AD1039" s="2">
        <v>15</v>
      </c>
      <c r="AE1039" s="2" t="s">
        <v>59</v>
      </c>
      <c r="AF1039" s="2" t="s">
        <v>60</v>
      </c>
      <c r="AG1039" s="2" t="s">
        <v>61</v>
      </c>
      <c r="AH1039" s="2" t="s">
        <v>62</v>
      </c>
      <c r="AI1039" s="2" t="s">
        <v>117</v>
      </c>
      <c r="AJ1039" s="2">
        <v>0.47812808681992502</v>
      </c>
      <c r="AK1039" s="2">
        <v>0.47837912737640598</v>
      </c>
      <c r="AL1039" s="2">
        <v>0.21115689988833</v>
      </c>
      <c r="AM1039" s="2">
        <v>0.13423901979319</v>
      </c>
      <c r="AN1039" s="2">
        <v>0.41321274274605002</v>
      </c>
      <c r="AO1039" s="2">
        <v>6.7037484757036303E-2</v>
      </c>
      <c r="AP1039" s="2">
        <v>6.7037484757036303E-2</v>
      </c>
      <c r="AQ1039" s="2">
        <v>1</v>
      </c>
      <c r="AR1039" s="2">
        <v>5</v>
      </c>
      <c r="AS1039" s="2">
        <v>1</v>
      </c>
      <c r="AT1039" s="2">
        <v>8</v>
      </c>
      <c r="AU1039" s="2">
        <v>12</v>
      </c>
      <c r="AV1039" s="2">
        <v>65</v>
      </c>
      <c r="AW1039" s="2">
        <v>2</v>
      </c>
      <c r="AX1039" s="2">
        <v>2</v>
      </c>
      <c r="AZ1039" s="2">
        <v>6.8</v>
      </c>
      <c r="BA1039" s="2">
        <v>19.899999999999999</v>
      </c>
      <c r="BB1039" s="2">
        <v>564</v>
      </c>
      <c r="BC1039" s="2">
        <v>68</v>
      </c>
      <c r="BD1039" s="2">
        <v>1.5</v>
      </c>
      <c r="BE1039" s="2">
        <v>135</v>
      </c>
      <c r="BF1039" s="2">
        <v>0.8</v>
      </c>
      <c r="BG1039" s="2">
        <v>162</v>
      </c>
      <c r="BH1039" s="2">
        <v>9.1</v>
      </c>
      <c r="BI1039" s="2">
        <v>9.1999999999999993</v>
      </c>
      <c r="BJ1039" s="2">
        <v>18.3</v>
      </c>
      <c r="BK1039" s="2">
        <v>0.34</v>
      </c>
      <c r="BL1039" s="2">
        <v>7.3</v>
      </c>
      <c r="BM1039" s="2">
        <v>0.9</v>
      </c>
      <c r="BN1039" s="2">
        <v>7.5</v>
      </c>
      <c r="BO1039" s="2">
        <v>2.9</v>
      </c>
      <c r="BP1039" s="2">
        <f t="shared" si="32"/>
        <v>6.5604611325840976</v>
      </c>
      <c r="BQ1039" s="2">
        <f t="shared" si="33"/>
        <v>19.556979541866681</v>
      </c>
    </row>
    <row r="1040" spans="1:69" x14ac:dyDescent="0.2">
      <c r="A1040" s="2" t="s">
        <v>4152</v>
      </c>
      <c r="B1040" s="2" t="s">
        <v>47</v>
      </c>
      <c r="C1040" s="2" t="s">
        <v>3273</v>
      </c>
      <c r="D1040" s="2" t="s">
        <v>49</v>
      </c>
      <c r="E1040" s="2" t="s">
        <v>2500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89</v>
      </c>
      <c r="L1040" s="6" t="s">
        <v>90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4153</v>
      </c>
      <c r="R1040" s="2">
        <v>13043478.26</v>
      </c>
      <c r="S1040" s="2">
        <v>0</v>
      </c>
      <c r="T1040" s="2" t="s">
        <v>54</v>
      </c>
      <c r="U1040" s="2" t="s">
        <v>55</v>
      </c>
      <c r="V1040" s="2" t="s">
        <v>56</v>
      </c>
      <c r="W1040" s="2" t="s">
        <v>57</v>
      </c>
      <c r="X1040" s="2" t="s">
        <v>58</v>
      </c>
      <c r="Y1040" s="2">
        <v>2.9776560609952201</v>
      </c>
      <c r="Z1040" s="2">
        <v>2977.6560609952198</v>
      </c>
      <c r="AA1040" s="2">
        <v>4.6584666666666701</v>
      </c>
      <c r="AB1040" s="2">
        <v>-74.083966666666697</v>
      </c>
      <c r="AC1040" s="2">
        <v>2552</v>
      </c>
      <c r="AD1040" s="2">
        <v>0</v>
      </c>
      <c r="AE1040" s="2" t="s">
        <v>59</v>
      </c>
      <c r="AF1040" s="2" t="s">
        <v>60</v>
      </c>
      <c r="AG1040" s="2" t="s">
        <v>61</v>
      </c>
      <c r="AH1040" s="2" t="s">
        <v>62</v>
      </c>
      <c r="AI1040" s="2" t="s">
        <v>321</v>
      </c>
      <c r="AJ1040" s="2">
        <v>0.239014279953047</v>
      </c>
      <c r="AK1040" s="2">
        <v>2.0527149426710598</v>
      </c>
      <c r="AL1040" s="2">
        <v>0.65273479482115704</v>
      </c>
      <c r="AM1040" s="2">
        <v>2.0912577562711102E-2</v>
      </c>
      <c r="AN1040" s="2">
        <v>2.2484480430675999</v>
      </c>
      <c r="AO1040" s="2">
        <v>0.476946403089897</v>
      </c>
      <c r="AP1040" s="2">
        <v>0.476946403089897</v>
      </c>
      <c r="AQ1040" s="2">
        <v>4</v>
      </c>
      <c r="AR1040" s="2">
        <v>8</v>
      </c>
      <c r="AS1040" s="2">
        <v>0</v>
      </c>
      <c r="AT1040" s="2">
        <v>0</v>
      </c>
      <c r="AU1040" s="2">
        <v>5</v>
      </c>
      <c r="AV1040" s="2">
        <v>278</v>
      </c>
      <c r="AW1040" s="2">
        <v>0</v>
      </c>
      <c r="AX1040" s="2">
        <v>0</v>
      </c>
      <c r="AZ1040" s="2">
        <v>6.8</v>
      </c>
      <c r="BA1040" s="2">
        <v>19.899999999999999</v>
      </c>
      <c r="BB1040" s="2">
        <v>564</v>
      </c>
      <c r="BC1040" s="2">
        <v>68</v>
      </c>
      <c r="BD1040" s="2">
        <v>1.5</v>
      </c>
      <c r="BE1040" s="2">
        <v>135</v>
      </c>
      <c r="BF1040" s="2">
        <v>0.8</v>
      </c>
      <c r="BG1040" s="2">
        <v>162</v>
      </c>
      <c r="BH1040" s="2">
        <v>9.1</v>
      </c>
      <c r="BI1040" s="2">
        <v>9.1999999999999993</v>
      </c>
      <c r="BJ1040" s="2">
        <v>18.3</v>
      </c>
      <c r="BK1040" s="2">
        <v>0.34</v>
      </c>
      <c r="BL1040" s="2">
        <v>7.3</v>
      </c>
      <c r="BM1040" s="2">
        <v>0.9</v>
      </c>
      <c r="BN1040" s="2">
        <v>7.5</v>
      </c>
      <c r="BO1040" s="2">
        <v>2.9</v>
      </c>
      <c r="BP1040" s="2">
        <f t="shared" si="32"/>
        <v>5.8680867113846018</v>
      </c>
      <c r="BQ1040" s="2">
        <f t="shared" si="33"/>
        <v>18.527497617793205</v>
      </c>
    </row>
    <row r="1041" spans="1:69" x14ac:dyDescent="0.2">
      <c r="A1041" s="2" t="s">
        <v>931</v>
      </c>
      <c r="B1041" s="2" t="s">
        <v>47</v>
      </c>
      <c r="C1041" s="2" t="s">
        <v>48</v>
      </c>
      <c r="D1041" s="2" t="s">
        <v>49</v>
      </c>
      <c r="E1041" s="2" t="s">
        <v>202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89</v>
      </c>
      <c r="L1041" s="6" t="s">
        <v>141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932</v>
      </c>
      <c r="R1041" s="2">
        <v>9130434.7829999998</v>
      </c>
      <c r="S1041" s="2">
        <v>0</v>
      </c>
      <c r="T1041" s="2" t="s">
        <v>54</v>
      </c>
      <c r="U1041" s="2" t="s">
        <v>55</v>
      </c>
      <c r="V1041" s="2" t="s">
        <v>56</v>
      </c>
      <c r="W1041" s="2" t="s">
        <v>57</v>
      </c>
      <c r="X1041" s="2" t="s">
        <v>58</v>
      </c>
      <c r="Y1041" s="2">
        <v>2.9840623918480902</v>
      </c>
      <c r="Z1041" s="2">
        <v>2984.0623918480901</v>
      </c>
      <c r="AA1041" s="2">
        <v>4.6584666666666701</v>
      </c>
      <c r="AB1041" s="2">
        <v>-74.083966666666697</v>
      </c>
      <c r="AC1041" s="2">
        <v>2552</v>
      </c>
      <c r="AD1041" s="2">
        <v>0</v>
      </c>
      <c r="AE1041" s="2" t="s">
        <v>59</v>
      </c>
      <c r="AF1041" s="2" t="s">
        <v>60</v>
      </c>
      <c r="AG1041" s="2" t="s">
        <v>61</v>
      </c>
      <c r="AH1041" s="2" t="s">
        <v>62</v>
      </c>
      <c r="AI1041" s="2" t="s">
        <v>109</v>
      </c>
      <c r="AJ1041" s="2">
        <v>0.55523927618976499</v>
      </c>
      <c r="AK1041" s="2">
        <v>1.0487134608789299</v>
      </c>
      <c r="AL1041" s="2">
        <v>4.7432913185767603E-2</v>
      </c>
      <c r="AM1041" s="2">
        <v>2.6577717190305501E-2</v>
      </c>
      <c r="AN1041" s="2">
        <v>1.79417521117219</v>
      </c>
      <c r="AO1041" s="2">
        <v>0.122737953608425</v>
      </c>
      <c r="AP1041" s="2">
        <v>0.122737953608425</v>
      </c>
      <c r="AQ1041" s="2">
        <v>0</v>
      </c>
      <c r="AR1041" s="2">
        <v>3</v>
      </c>
      <c r="AS1041" s="2">
        <v>0</v>
      </c>
      <c r="AT1041" s="2">
        <v>0</v>
      </c>
      <c r="AU1041" s="2">
        <v>26</v>
      </c>
      <c r="AV1041" s="2">
        <v>84</v>
      </c>
      <c r="AW1041" s="2">
        <v>0</v>
      </c>
      <c r="AX1041" s="2">
        <v>0</v>
      </c>
      <c r="AZ1041" s="2">
        <v>6.8</v>
      </c>
      <c r="BA1041" s="2">
        <v>19.899999999999999</v>
      </c>
      <c r="BB1041" s="2">
        <v>564</v>
      </c>
      <c r="BC1041" s="2">
        <v>68</v>
      </c>
      <c r="BD1041" s="2">
        <v>1.5</v>
      </c>
      <c r="BE1041" s="2">
        <v>135</v>
      </c>
      <c r="BF1041" s="2">
        <v>0.8</v>
      </c>
      <c r="BG1041" s="2">
        <v>162</v>
      </c>
      <c r="BH1041" s="2">
        <v>9.1</v>
      </c>
      <c r="BI1041" s="2">
        <v>9.1999999999999993</v>
      </c>
      <c r="BJ1041" s="2">
        <v>18.3</v>
      </c>
      <c r="BK1041" s="2">
        <v>0.34</v>
      </c>
      <c r="BL1041" s="2">
        <v>7.3</v>
      </c>
      <c r="BM1041" s="2">
        <v>0.9</v>
      </c>
      <c r="BN1041" s="2">
        <v>7.5</v>
      </c>
      <c r="BO1041" s="2">
        <v>2.9</v>
      </c>
      <c r="BP1041" s="2">
        <f t="shared" si="32"/>
        <v>5.8662261576085895</v>
      </c>
      <c r="BQ1041" s="2">
        <f t="shared" si="33"/>
        <v>18.524649198063077</v>
      </c>
    </row>
    <row r="1042" spans="1:69" x14ac:dyDescent="0.2">
      <c r="A1042" s="2" t="s">
        <v>3910</v>
      </c>
      <c r="B1042" s="2" t="s">
        <v>47</v>
      </c>
      <c r="C1042" s="2" t="s">
        <v>3273</v>
      </c>
      <c r="D1042" s="2" t="s">
        <v>49</v>
      </c>
      <c r="E1042" s="2" t="s">
        <v>102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89</v>
      </c>
      <c r="L1042" s="6" t="s">
        <v>90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3911</v>
      </c>
      <c r="R1042" s="2">
        <v>6086956.5219999999</v>
      </c>
      <c r="S1042" s="2">
        <v>0</v>
      </c>
      <c r="T1042" s="2" t="s">
        <v>105</v>
      </c>
      <c r="U1042" s="2" t="s">
        <v>106</v>
      </c>
      <c r="V1042" s="2" t="s">
        <v>56</v>
      </c>
      <c r="W1042" s="2" t="s">
        <v>107</v>
      </c>
      <c r="X1042" s="2" t="s">
        <v>108</v>
      </c>
      <c r="Y1042" s="2">
        <v>2.4174586085507102</v>
      </c>
      <c r="Z1042" s="2">
        <v>2417.4586085507099</v>
      </c>
      <c r="AA1042" s="2">
        <v>4.6254861111111101</v>
      </c>
      <c r="AB1042" s="2">
        <v>-74.066980555555503</v>
      </c>
      <c r="AC1042" s="2">
        <v>2621</v>
      </c>
      <c r="AD1042" s="2">
        <v>15</v>
      </c>
      <c r="AE1042" s="2" t="s">
        <v>59</v>
      </c>
      <c r="AF1042" s="2" t="s">
        <v>60</v>
      </c>
      <c r="AG1042" s="2" t="s">
        <v>61</v>
      </c>
      <c r="AH1042" s="2" t="s">
        <v>62</v>
      </c>
      <c r="AI1042" s="2" t="s">
        <v>109</v>
      </c>
      <c r="AJ1042" s="2">
        <v>0.437920056889814</v>
      </c>
      <c r="AK1042" s="2">
        <v>0.74383414961175498</v>
      </c>
      <c r="AL1042" s="2">
        <v>0.21218198204961899</v>
      </c>
      <c r="AM1042" s="2">
        <v>6.0693094385208902E-2</v>
      </c>
      <c r="AN1042" s="2">
        <v>0.634222153682787</v>
      </c>
      <c r="AO1042" s="2">
        <v>0.33417874393026997</v>
      </c>
      <c r="AP1042" s="2">
        <v>0.33417874393026997</v>
      </c>
      <c r="AQ1042" s="2">
        <v>1</v>
      </c>
      <c r="AR1042" s="2">
        <v>3</v>
      </c>
      <c r="AS1042" s="2">
        <v>0</v>
      </c>
      <c r="AT1042" s="2">
        <v>11</v>
      </c>
      <c r="AU1042" s="2">
        <v>13</v>
      </c>
      <c r="AV1042" s="2">
        <v>74</v>
      </c>
      <c r="AW1042" s="2">
        <v>1</v>
      </c>
      <c r="AX1042" s="2">
        <v>0</v>
      </c>
      <c r="AZ1042" s="2">
        <v>6.8</v>
      </c>
      <c r="BA1042" s="2">
        <v>19.899999999999999</v>
      </c>
      <c r="BB1042" s="2">
        <v>564</v>
      </c>
      <c r="BC1042" s="2">
        <v>68</v>
      </c>
      <c r="BD1042" s="2">
        <v>1.5</v>
      </c>
      <c r="BE1042" s="2">
        <v>135</v>
      </c>
      <c r="BF1042" s="2">
        <v>0.8</v>
      </c>
      <c r="BG1042" s="2">
        <v>162</v>
      </c>
      <c r="BH1042" s="2">
        <v>9.1</v>
      </c>
      <c r="BI1042" s="2">
        <v>9.1999999999999993</v>
      </c>
      <c r="BJ1042" s="2">
        <v>18.3</v>
      </c>
      <c r="BK1042" s="2">
        <v>0.34</v>
      </c>
      <c r="BL1042" s="2">
        <v>7.3</v>
      </c>
      <c r="BM1042" s="2">
        <v>0.9</v>
      </c>
      <c r="BN1042" s="2">
        <v>7.5</v>
      </c>
      <c r="BO1042" s="2">
        <v>2.9</v>
      </c>
      <c r="BP1042" s="2">
        <f t="shared" si="32"/>
        <v>6.0330845325760798</v>
      </c>
      <c r="BQ1042" s="2">
        <f t="shared" si="33"/>
        <v>18.77827703930209</v>
      </c>
    </row>
    <row r="1043" spans="1:69" x14ac:dyDescent="0.2">
      <c r="A1043" s="2" t="s">
        <v>1224</v>
      </c>
      <c r="B1043" s="2" t="s">
        <v>47</v>
      </c>
      <c r="C1043" s="2" t="s">
        <v>48</v>
      </c>
      <c r="D1043" s="2" t="s">
        <v>49</v>
      </c>
      <c r="E1043" s="2" t="s">
        <v>1225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51</v>
      </c>
      <c r="L1043" s="6" t="s">
        <v>52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1226</v>
      </c>
      <c r="R1043" s="2">
        <v>15446623.09</v>
      </c>
      <c r="S1043" s="2">
        <v>0</v>
      </c>
      <c r="T1043" s="2" t="s">
        <v>54</v>
      </c>
      <c r="U1043" s="2" t="s">
        <v>55</v>
      </c>
      <c r="V1043" s="2" t="s">
        <v>56</v>
      </c>
      <c r="W1043" s="2" t="s">
        <v>57</v>
      </c>
      <c r="X1043" s="2" t="s">
        <v>58</v>
      </c>
      <c r="Y1043" s="2">
        <v>3.2434729711424199</v>
      </c>
      <c r="Z1043" s="2">
        <v>3243.4729711424202</v>
      </c>
      <c r="AA1043" s="2">
        <v>4.6584666666666701</v>
      </c>
      <c r="AB1043" s="2">
        <v>-74.083966666666697</v>
      </c>
      <c r="AC1043" s="2">
        <v>2552</v>
      </c>
      <c r="AD1043" s="2">
        <v>0</v>
      </c>
      <c r="AE1043" s="2" t="s">
        <v>59</v>
      </c>
      <c r="AF1043" s="2" t="s">
        <v>60</v>
      </c>
      <c r="AG1043" s="2" t="s">
        <v>61</v>
      </c>
      <c r="AH1043" s="2" t="s">
        <v>62</v>
      </c>
      <c r="AI1043" s="2" t="s">
        <v>109</v>
      </c>
      <c r="AJ1043" s="2">
        <v>0.159125330979347</v>
      </c>
      <c r="AK1043" s="2">
        <v>1.6714273734279199</v>
      </c>
      <c r="AL1043" s="2">
        <v>0.485889339747969</v>
      </c>
      <c r="AM1043" s="2">
        <v>5.4385552229093997E-2</v>
      </c>
      <c r="AN1043" s="2">
        <v>2.6282578442396698</v>
      </c>
      <c r="AO1043" s="2">
        <v>0.79239885688924305</v>
      </c>
      <c r="AP1043" s="2">
        <v>0.79239885688924305</v>
      </c>
      <c r="AQ1043" s="2">
        <v>2</v>
      </c>
      <c r="AR1043" s="2">
        <v>5</v>
      </c>
      <c r="AS1043" s="2">
        <v>0</v>
      </c>
      <c r="AT1043" s="2">
        <v>0</v>
      </c>
      <c r="AU1043" s="2">
        <v>7</v>
      </c>
      <c r="AV1043" s="2">
        <v>286</v>
      </c>
      <c r="AW1043" s="2">
        <v>0</v>
      </c>
      <c r="AX1043" s="2">
        <v>0</v>
      </c>
      <c r="AZ1043" s="2">
        <v>6.8</v>
      </c>
      <c r="BA1043" s="2">
        <v>19.899999999999999</v>
      </c>
      <c r="BB1043" s="2">
        <v>564</v>
      </c>
      <c r="BC1043" s="2">
        <v>68</v>
      </c>
      <c r="BD1043" s="2">
        <v>1.5</v>
      </c>
      <c r="BE1043" s="2">
        <v>135</v>
      </c>
      <c r="BF1043" s="2">
        <v>0.8</v>
      </c>
      <c r="BG1043" s="2">
        <v>162</v>
      </c>
      <c r="BH1043" s="2">
        <v>9.1</v>
      </c>
      <c r="BI1043" s="2">
        <v>9.1999999999999993</v>
      </c>
      <c r="BJ1043" s="2">
        <v>18.3</v>
      </c>
      <c r="BK1043" s="2">
        <v>0.34</v>
      </c>
      <c r="BL1043" s="2">
        <v>7.3</v>
      </c>
      <c r="BM1043" s="2">
        <v>0.9</v>
      </c>
      <c r="BN1043" s="2">
        <v>7.5</v>
      </c>
      <c r="BO1043" s="2">
        <v>2.9</v>
      </c>
      <c r="BP1043" s="2">
        <f t="shared" si="32"/>
        <v>5.7913805499241633</v>
      </c>
      <c r="BQ1043" s="2">
        <f t="shared" si="33"/>
        <v>18.409675713983884</v>
      </c>
    </row>
    <row r="1044" spans="1:69" x14ac:dyDescent="0.2">
      <c r="A1044" s="2" t="s">
        <v>3441</v>
      </c>
      <c r="B1044" s="2" t="s">
        <v>47</v>
      </c>
      <c r="C1044" s="2" t="s">
        <v>3273</v>
      </c>
      <c r="D1044" s="2" t="s">
        <v>49</v>
      </c>
      <c r="E1044" s="2" t="s">
        <v>3409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89</v>
      </c>
      <c r="L1044" s="6" t="s">
        <v>103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3442</v>
      </c>
      <c r="R1044" s="2">
        <v>9332454.9849999994</v>
      </c>
      <c r="S1044" s="2">
        <v>0</v>
      </c>
      <c r="T1044" s="2" t="s">
        <v>54</v>
      </c>
      <c r="U1044" s="2" t="s">
        <v>55</v>
      </c>
      <c r="V1044" s="2" t="s">
        <v>56</v>
      </c>
      <c r="W1044" s="2" t="s">
        <v>57</v>
      </c>
      <c r="X1044" s="2" t="s">
        <v>58</v>
      </c>
      <c r="Y1044" s="2">
        <v>1.99553780529134</v>
      </c>
      <c r="Z1044" s="2">
        <v>1995.53780529134</v>
      </c>
      <c r="AA1044" s="2">
        <v>4.6584666666666701</v>
      </c>
      <c r="AB1044" s="2">
        <v>-74.083966666666697</v>
      </c>
      <c r="AC1044" s="2">
        <v>2552</v>
      </c>
      <c r="AD1044" s="2">
        <v>0</v>
      </c>
      <c r="AE1044" s="2" t="s">
        <v>59</v>
      </c>
      <c r="AF1044" s="2" t="s">
        <v>60</v>
      </c>
      <c r="AG1044" s="2" t="s">
        <v>61</v>
      </c>
      <c r="AH1044" s="2" t="s">
        <v>62</v>
      </c>
      <c r="AI1044" s="2" t="s">
        <v>321</v>
      </c>
      <c r="AJ1044" s="2">
        <v>0.45125980307941799</v>
      </c>
      <c r="AK1044" s="2">
        <v>2.02488779633194</v>
      </c>
      <c r="AL1044" s="2">
        <v>0.23129697511929201</v>
      </c>
      <c r="AM1044" s="2">
        <v>0.16661409579082301</v>
      </c>
      <c r="AN1044" s="2">
        <v>2.1280012005515099</v>
      </c>
      <c r="AO1044" s="2">
        <v>9.6280736427100402E-2</v>
      </c>
      <c r="AP1044" s="2">
        <v>9.6280736427100402E-2</v>
      </c>
      <c r="AQ1044" s="2">
        <v>1</v>
      </c>
      <c r="AR1044" s="2">
        <v>3</v>
      </c>
      <c r="AS1044" s="2">
        <v>0</v>
      </c>
      <c r="AT1044" s="2">
        <v>0</v>
      </c>
      <c r="AU1044" s="2">
        <v>19</v>
      </c>
      <c r="AV1044" s="2">
        <v>84</v>
      </c>
      <c r="AW1044" s="2">
        <v>0</v>
      </c>
      <c r="AX1044" s="2">
        <v>0</v>
      </c>
      <c r="AZ1044" s="2">
        <v>6.8</v>
      </c>
      <c r="BA1044" s="2">
        <v>19.899999999999999</v>
      </c>
      <c r="BB1044" s="2">
        <v>564</v>
      </c>
      <c r="BC1044" s="2">
        <v>68</v>
      </c>
      <c r="BD1044" s="2">
        <v>1.5</v>
      </c>
      <c r="BE1044" s="2">
        <v>135</v>
      </c>
      <c r="BF1044" s="2">
        <v>0.8</v>
      </c>
      <c r="BG1044" s="2">
        <v>162</v>
      </c>
      <c r="BH1044" s="2">
        <v>9.1</v>
      </c>
      <c r="BI1044" s="2">
        <v>9.1999999999999993</v>
      </c>
      <c r="BJ1044" s="2">
        <v>18.3</v>
      </c>
      <c r="BK1044" s="2">
        <v>0.34</v>
      </c>
      <c r="BL1044" s="2">
        <v>7.3</v>
      </c>
      <c r="BM1044" s="2">
        <v>0.9</v>
      </c>
      <c r="BN1044" s="2">
        <v>7.5</v>
      </c>
      <c r="BO1044" s="2">
        <v>2.9</v>
      </c>
      <c r="BP1044" s="2">
        <f t="shared" si="32"/>
        <v>6.1604109674805621</v>
      </c>
      <c r="BQ1044" s="2">
        <f t="shared" si="33"/>
        <v>18.969393737148401</v>
      </c>
    </row>
    <row r="1045" spans="1:69" x14ac:dyDescent="0.2">
      <c r="A1045" s="2" t="s">
        <v>4567</v>
      </c>
      <c r="B1045" s="2" t="s">
        <v>47</v>
      </c>
      <c r="C1045" s="2" t="s">
        <v>3273</v>
      </c>
      <c r="D1045" s="2" t="s">
        <v>49</v>
      </c>
      <c r="E1045" s="2" t="s">
        <v>102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89</v>
      </c>
      <c r="L1045" s="6" t="s">
        <v>103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4568</v>
      </c>
      <c r="R1045" s="2">
        <v>7533333.3329999996</v>
      </c>
      <c r="S1045" s="2">
        <v>0</v>
      </c>
      <c r="T1045" s="2" t="s">
        <v>105</v>
      </c>
      <c r="U1045" s="2" t="s">
        <v>106</v>
      </c>
      <c r="V1045" s="2" t="s">
        <v>56</v>
      </c>
      <c r="W1045" s="2" t="s">
        <v>107</v>
      </c>
      <c r="X1045" s="2" t="s">
        <v>108</v>
      </c>
      <c r="Y1045" s="2">
        <v>1.2604828401868</v>
      </c>
      <c r="Z1045" s="2">
        <v>1260.4828401868001</v>
      </c>
      <c r="AA1045" s="2">
        <v>4.6254861111111101</v>
      </c>
      <c r="AB1045" s="2">
        <v>-74.066980555555503</v>
      </c>
      <c r="AC1045" s="2">
        <v>2621</v>
      </c>
      <c r="AD1045" s="2">
        <v>15</v>
      </c>
      <c r="AE1045" s="2" t="s">
        <v>59</v>
      </c>
      <c r="AF1045" s="2" t="s">
        <v>60</v>
      </c>
      <c r="AG1045" s="2" t="s">
        <v>61</v>
      </c>
      <c r="AH1045" s="2" t="s">
        <v>62</v>
      </c>
      <c r="AI1045" s="2" t="s">
        <v>109</v>
      </c>
      <c r="AJ1045" s="2">
        <v>0.28835913569572402</v>
      </c>
      <c r="AK1045" s="2">
        <v>0.58881191963713697</v>
      </c>
      <c r="AL1045" s="2">
        <v>0.16447072598139001</v>
      </c>
      <c r="AM1045" s="2">
        <v>1.35980422366832E-2</v>
      </c>
      <c r="AN1045" s="2">
        <v>0.87308498533666301</v>
      </c>
      <c r="AO1045" s="2">
        <v>4.7155142308306801E-2</v>
      </c>
      <c r="AP1045" s="2">
        <v>4.7155142308306801E-2</v>
      </c>
      <c r="AQ1045" s="2">
        <v>2</v>
      </c>
      <c r="AR1045" s="2">
        <v>4</v>
      </c>
      <c r="AS1045" s="2">
        <v>0</v>
      </c>
      <c r="AT1045" s="2">
        <v>28</v>
      </c>
      <c r="AU1045" s="2">
        <v>11</v>
      </c>
      <c r="AV1045" s="2">
        <v>141</v>
      </c>
      <c r="AW1045" s="2">
        <v>1</v>
      </c>
      <c r="AX1045" s="2">
        <v>0</v>
      </c>
      <c r="AZ1045" s="2">
        <v>6.8</v>
      </c>
      <c r="BA1045" s="2">
        <v>19.899999999999999</v>
      </c>
      <c r="BB1045" s="2">
        <v>564</v>
      </c>
      <c r="BC1045" s="2">
        <v>68</v>
      </c>
      <c r="BD1045" s="2">
        <v>1.5</v>
      </c>
      <c r="BE1045" s="2">
        <v>135</v>
      </c>
      <c r="BF1045" s="2">
        <v>0.8</v>
      </c>
      <c r="BG1045" s="2">
        <v>162</v>
      </c>
      <c r="BH1045" s="2">
        <v>9.1</v>
      </c>
      <c r="BI1045" s="2">
        <v>9.1999999999999993</v>
      </c>
      <c r="BJ1045" s="2">
        <v>18.3</v>
      </c>
      <c r="BK1045" s="2">
        <v>0.34</v>
      </c>
      <c r="BL1045" s="2">
        <v>7.3</v>
      </c>
      <c r="BM1045" s="2">
        <v>0.9</v>
      </c>
      <c r="BN1045" s="2">
        <v>7.5</v>
      </c>
      <c r="BO1045" s="2">
        <v>2.9</v>
      </c>
      <c r="BP1045" s="2">
        <f t="shared" si="32"/>
        <v>6.3886866270605323</v>
      </c>
      <c r="BQ1045" s="2">
        <f t="shared" si="33"/>
        <v>19.307008091802558</v>
      </c>
    </row>
    <row r="1046" spans="1:69" x14ac:dyDescent="0.2">
      <c r="A1046" s="2" t="s">
        <v>4107</v>
      </c>
      <c r="B1046" s="2" t="s">
        <v>47</v>
      </c>
      <c r="C1046" s="2" t="s">
        <v>3273</v>
      </c>
      <c r="D1046" s="2" t="s">
        <v>49</v>
      </c>
      <c r="E1046" s="2" t="s">
        <v>393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89</v>
      </c>
      <c r="L1046" s="6" t="s">
        <v>141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4108</v>
      </c>
      <c r="R1046" s="2">
        <v>7088888.8890000004</v>
      </c>
      <c r="S1046" s="2">
        <v>0</v>
      </c>
      <c r="T1046" s="2" t="s">
        <v>54</v>
      </c>
      <c r="U1046" s="2" t="s">
        <v>55</v>
      </c>
      <c r="V1046" s="2" t="s">
        <v>56</v>
      </c>
      <c r="W1046" s="2" t="s">
        <v>57</v>
      </c>
      <c r="X1046" s="2" t="s">
        <v>58</v>
      </c>
      <c r="Y1046" s="2">
        <v>1.5716086015641</v>
      </c>
      <c r="Z1046" s="2">
        <v>1571.6086015640999</v>
      </c>
      <c r="AA1046" s="2">
        <v>4.6584666666666701</v>
      </c>
      <c r="AB1046" s="2">
        <v>-74.083966666666697</v>
      </c>
      <c r="AC1046" s="2">
        <v>2552</v>
      </c>
      <c r="AD1046" s="2">
        <v>0</v>
      </c>
      <c r="AE1046" s="2" t="s">
        <v>59</v>
      </c>
      <c r="AF1046" s="2" t="s">
        <v>60</v>
      </c>
      <c r="AG1046" s="2" t="s">
        <v>61</v>
      </c>
      <c r="AH1046" s="2" t="s">
        <v>62</v>
      </c>
      <c r="AI1046" s="2" t="s">
        <v>63</v>
      </c>
      <c r="AJ1046" s="2">
        <v>7.5808646147287495E-2</v>
      </c>
      <c r="AK1046" s="2">
        <v>2.4578499567225198</v>
      </c>
      <c r="AL1046" s="2">
        <v>0.64896728691087302</v>
      </c>
      <c r="AM1046" s="2">
        <v>0.24743088202581601</v>
      </c>
      <c r="AN1046" s="2">
        <v>2.3549145004985901</v>
      </c>
      <c r="AO1046" s="2">
        <v>0.50173275159237296</v>
      </c>
      <c r="AP1046" s="2">
        <v>0.50173275159237296</v>
      </c>
      <c r="AQ1046" s="2">
        <v>1</v>
      </c>
      <c r="AR1046" s="2">
        <v>3</v>
      </c>
      <c r="AS1046" s="2">
        <v>0</v>
      </c>
      <c r="AT1046" s="2">
        <v>0</v>
      </c>
      <c r="AU1046" s="2">
        <v>4</v>
      </c>
      <c r="AV1046" s="2">
        <v>56</v>
      </c>
      <c r="AW1046" s="2">
        <v>0</v>
      </c>
      <c r="AX1046" s="2">
        <v>0</v>
      </c>
      <c r="AZ1046" s="2">
        <v>6.8</v>
      </c>
      <c r="BA1046" s="2">
        <v>19.899999999999999</v>
      </c>
      <c r="BB1046" s="2">
        <v>564</v>
      </c>
      <c r="BC1046" s="2">
        <v>68</v>
      </c>
      <c r="BD1046" s="2">
        <v>1.5</v>
      </c>
      <c r="BE1046" s="2">
        <v>135</v>
      </c>
      <c r="BF1046" s="2">
        <v>0.8</v>
      </c>
      <c r="BG1046" s="2">
        <v>162</v>
      </c>
      <c r="BH1046" s="2">
        <v>9.1</v>
      </c>
      <c r="BI1046" s="2">
        <v>9.1999999999999993</v>
      </c>
      <c r="BJ1046" s="2">
        <v>18.3</v>
      </c>
      <c r="BK1046" s="2">
        <v>0.34</v>
      </c>
      <c r="BL1046" s="2">
        <v>7.3</v>
      </c>
      <c r="BM1046" s="2">
        <v>0.9</v>
      </c>
      <c r="BN1046" s="2">
        <v>7.5</v>
      </c>
      <c r="BO1046" s="2">
        <v>2.9</v>
      </c>
      <c r="BP1046" s="2">
        <f t="shared" si="32"/>
        <v>6.2910499873317409</v>
      </c>
      <c r="BQ1046" s="2">
        <f t="shared" si="33"/>
        <v>19.163379216652029</v>
      </c>
    </row>
    <row r="1047" spans="1:69" x14ac:dyDescent="0.2">
      <c r="A1047" s="2" t="s">
        <v>4384</v>
      </c>
      <c r="B1047" s="2" t="s">
        <v>47</v>
      </c>
      <c r="C1047" s="2" t="s">
        <v>3273</v>
      </c>
      <c r="D1047" s="2" t="s">
        <v>49</v>
      </c>
      <c r="E1047" s="2" t="s">
        <v>109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89</v>
      </c>
      <c r="L1047" s="6" t="s">
        <v>103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4385</v>
      </c>
      <c r="R1047" s="2">
        <v>6422222.2220000001</v>
      </c>
      <c r="S1047" s="2">
        <v>0</v>
      </c>
      <c r="T1047" s="2" t="s">
        <v>105</v>
      </c>
      <c r="U1047" s="2" t="s">
        <v>106</v>
      </c>
      <c r="V1047" s="2" t="s">
        <v>56</v>
      </c>
      <c r="W1047" s="2" t="s">
        <v>107</v>
      </c>
      <c r="X1047" s="2" t="s">
        <v>108</v>
      </c>
      <c r="Y1047" s="2">
        <v>1.37631674561115</v>
      </c>
      <c r="Z1047" s="2">
        <v>1376.3167456111501</v>
      </c>
      <c r="AA1047" s="2">
        <v>4.6254861111111101</v>
      </c>
      <c r="AB1047" s="2">
        <v>-74.066980555555503</v>
      </c>
      <c r="AC1047" s="2">
        <v>2621</v>
      </c>
      <c r="AD1047" s="2">
        <v>15</v>
      </c>
      <c r="AE1047" s="2" t="s">
        <v>59</v>
      </c>
      <c r="AF1047" s="2" t="s">
        <v>60</v>
      </c>
      <c r="AG1047" s="2" t="s">
        <v>61</v>
      </c>
      <c r="AH1047" s="2" t="s">
        <v>62</v>
      </c>
      <c r="AI1047" s="2" t="s">
        <v>109</v>
      </c>
      <c r="AJ1047" s="2">
        <v>0.29111751790700502</v>
      </c>
      <c r="AK1047" s="2">
        <v>0.62680805149575203</v>
      </c>
      <c r="AL1047" s="2">
        <v>5.2598830033336999E-2</v>
      </c>
      <c r="AM1047" s="2">
        <v>4.1674529926554002E-2</v>
      </c>
      <c r="AN1047" s="2">
        <v>0.78335145623130698</v>
      </c>
      <c r="AO1047" s="2">
        <v>0.124506451826239</v>
      </c>
      <c r="AP1047" s="2">
        <v>0.124506451826239</v>
      </c>
      <c r="AQ1047" s="2">
        <v>2</v>
      </c>
      <c r="AR1047" s="2">
        <v>4</v>
      </c>
      <c r="AS1047" s="2">
        <v>0</v>
      </c>
      <c r="AT1047" s="2">
        <v>23</v>
      </c>
      <c r="AU1047" s="2">
        <v>10</v>
      </c>
      <c r="AV1047" s="2">
        <v>145</v>
      </c>
      <c r="AW1047" s="2">
        <v>1</v>
      </c>
      <c r="AX1047" s="2">
        <v>0</v>
      </c>
      <c r="AZ1047" s="2">
        <v>6.8</v>
      </c>
      <c r="BA1047" s="2">
        <v>19.899999999999999</v>
      </c>
      <c r="BB1047" s="2">
        <v>564</v>
      </c>
      <c r="BC1047" s="2">
        <v>68</v>
      </c>
      <c r="BD1047" s="2">
        <v>1.5</v>
      </c>
      <c r="BE1047" s="2">
        <v>135</v>
      </c>
      <c r="BF1047" s="2">
        <v>0.8</v>
      </c>
      <c r="BG1047" s="2">
        <v>162</v>
      </c>
      <c r="BH1047" s="2">
        <v>9.1</v>
      </c>
      <c r="BI1047" s="2">
        <v>9.1999999999999993</v>
      </c>
      <c r="BJ1047" s="2">
        <v>18.3</v>
      </c>
      <c r="BK1047" s="2">
        <v>0.34</v>
      </c>
      <c r="BL1047" s="2">
        <v>7.3</v>
      </c>
      <c r="BM1047" s="2">
        <v>0.9</v>
      </c>
      <c r="BN1047" s="2">
        <v>7.5</v>
      </c>
      <c r="BO1047" s="2">
        <v>2.9</v>
      </c>
      <c r="BP1047" s="2">
        <f t="shared" si="32"/>
        <v>6.35216013167922</v>
      </c>
      <c r="BQ1047" s="2">
        <f t="shared" si="33"/>
        <v>19.253408882008159</v>
      </c>
    </row>
    <row r="1048" spans="1:69" x14ac:dyDescent="0.2">
      <c r="A1048" s="2" t="s">
        <v>3513</v>
      </c>
      <c r="B1048" s="2" t="s">
        <v>47</v>
      </c>
      <c r="C1048" s="2" t="s">
        <v>3273</v>
      </c>
      <c r="D1048" s="2" t="s">
        <v>49</v>
      </c>
      <c r="E1048" s="2" t="s">
        <v>289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89</v>
      </c>
      <c r="L1048" s="6" t="s">
        <v>103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3514</v>
      </c>
      <c r="R1048" s="2">
        <v>9090909.091</v>
      </c>
      <c r="S1048" s="2">
        <v>0</v>
      </c>
      <c r="T1048" s="2" t="s">
        <v>105</v>
      </c>
      <c r="U1048" s="2" t="s">
        <v>106</v>
      </c>
      <c r="V1048" s="2" t="s">
        <v>56</v>
      </c>
      <c r="W1048" s="2" t="s">
        <v>107</v>
      </c>
      <c r="X1048" s="2" t="s">
        <v>108</v>
      </c>
      <c r="Y1048" s="2">
        <v>3.6711524565502298</v>
      </c>
      <c r="Z1048" s="2">
        <v>3671.15245655023</v>
      </c>
      <c r="AA1048" s="2">
        <v>4.6254861111111101</v>
      </c>
      <c r="AB1048" s="2">
        <v>-74.066980555555503</v>
      </c>
      <c r="AC1048" s="2">
        <v>2621</v>
      </c>
      <c r="AD1048" s="2">
        <v>15</v>
      </c>
      <c r="AE1048" s="2" t="s">
        <v>59</v>
      </c>
      <c r="AF1048" s="2" t="s">
        <v>60</v>
      </c>
      <c r="AG1048" s="2" t="s">
        <v>61</v>
      </c>
      <c r="AH1048" s="2" t="s">
        <v>62</v>
      </c>
      <c r="AI1048" s="2" t="s">
        <v>109</v>
      </c>
      <c r="AJ1048" s="2">
        <v>1.55348067196228</v>
      </c>
      <c r="AK1048" s="2">
        <v>4.23301622441076E-2</v>
      </c>
      <c r="AL1048" s="2">
        <v>0.97473580924507297</v>
      </c>
      <c r="AM1048" s="2">
        <v>0.57707382652987205</v>
      </c>
      <c r="AN1048" s="2">
        <v>1.6478759178923199</v>
      </c>
      <c r="AO1048" s="2">
        <v>0.15755340123493</v>
      </c>
      <c r="AP1048" s="2">
        <v>0.15755340123493</v>
      </c>
      <c r="AQ1048" s="2">
        <v>0</v>
      </c>
      <c r="AR1048" s="2">
        <v>0</v>
      </c>
      <c r="AS1048" s="2">
        <v>23</v>
      </c>
      <c r="AT1048" s="2">
        <v>43</v>
      </c>
      <c r="AU1048" s="2">
        <v>1</v>
      </c>
      <c r="AV1048" s="2">
        <v>10</v>
      </c>
      <c r="AW1048" s="2">
        <v>0</v>
      </c>
      <c r="AX1048" s="2">
        <v>0</v>
      </c>
      <c r="AZ1048" s="2">
        <v>6.8</v>
      </c>
      <c r="BA1048" s="2">
        <v>19.899999999999999</v>
      </c>
      <c r="BB1048" s="2">
        <v>564</v>
      </c>
      <c r="BC1048" s="2">
        <v>68</v>
      </c>
      <c r="BD1048" s="2">
        <v>1.5</v>
      </c>
      <c r="BE1048" s="2">
        <v>135</v>
      </c>
      <c r="BF1048" s="2">
        <v>0.8</v>
      </c>
      <c r="BG1048" s="2">
        <v>162</v>
      </c>
      <c r="BH1048" s="2">
        <v>9.1</v>
      </c>
      <c r="BI1048" s="2">
        <v>9.1999999999999993</v>
      </c>
      <c r="BJ1048" s="2">
        <v>18.3</v>
      </c>
      <c r="BK1048" s="2">
        <v>0.34</v>
      </c>
      <c r="BL1048" s="2">
        <v>7.3</v>
      </c>
      <c r="BM1048" s="2">
        <v>0.9</v>
      </c>
      <c r="BN1048" s="2">
        <v>7.5</v>
      </c>
      <c r="BO1048" s="2">
        <v>2.9</v>
      </c>
      <c r="BP1048" s="2">
        <f t="shared" si="32"/>
        <v>5.6700649096422762</v>
      </c>
      <c r="BQ1048" s="2">
        <f t="shared" si="33"/>
        <v>18.221679614165854</v>
      </c>
    </row>
    <row r="1049" spans="1:69" x14ac:dyDescent="0.2">
      <c r="A1049" s="2" t="s">
        <v>3865</v>
      </c>
      <c r="B1049" s="2" t="s">
        <v>47</v>
      </c>
      <c r="C1049" s="2" t="s">
        <v>3273</v>
      </c>
      <c r="D1049" s="2" t="s">
        <v>49</v>
      </c>
      <c r="E1049" s="2" t="s">
        <v>109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89</v>
      </c>
      <c r="L1049" s="6" t="s">
        <v>112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3866</v>
      </c>
      <c r="R1049" s="2">
        <v>7588636.3640000001</v>
      </c>
      <c r="S1049" s="2">
        <v>0</v>
      </c>
      <c r="T1049" s="2" t="s">
        <v>54</v>
      </c>
      <c r="U1049" s="2" t="s">
        <v>55</v>
      </c>
      <c r="V1049" s="2" t="s">
        <v>56</v>
      </c>
      <c r="W1049" s="2" t="s">
        <v>57</v>
      </c>
      <c r="X1049" s="2" t="s">
        <v>58</v>
      </c>
      <c r="Y1049" s="2">
        <v>2.2991216732710802</v>
      </c>
      <c r="Z1049" s="2">
        <v>2299.12167327108</v>
      </c>
      <c r="AA1049" s="2">
        <v>4.6584666666666701</v>
      </c>
      <c r="AB1049" s="2">
        <v>-74.083966666666697</v>
      </c>
      <c r="AC1049" s="2">
        <v>2552</v>
      </c>
      <c r="AD1049" s="2">
        <v>0</v>
      </c>
      <c r="AE1049" s="2" t="s">
        <v>59</v>
      </c>
      <c r="AF1049" s="2" t="s">
        <v>60</v>
      </c>
      <c r="AG1049" s="2" t="s">
        <v>61</v>
      </c>
      <c r="AH1049" s="2" t="s">
        <v>62</v>
      </c>
      <c r="AI1049" s="2" t="s">
        <v>63</v>
      </c>
      <c r="AJ1049" s="2">
        <v>0.30891856334752998</v>
      </c>
      <c r="AK1049" s="2">
        <v>1.2237247894007901</v>
      </c>
      <c r="AL1049" s="2">
        <v>0.21312441226628301</v>
      </c>
      <c r="AM1049" s="2">
        <v>4.6491493254825898E-2</v>
      </c>
      <c r="AN1049" s="2">
        <v>1.10296402857692</v>
      </c>
      <c r="AO1049" s="2">
        <v>0.13785756462702101</v>
      </c>
      <c r="AP1049" s="2">
        <v>0.13785756462702101</v>
      </c>
      <c r="AQ1049" s="2">
        <v>2</v>
      </c>
      <c r="AR1049" s="2">
        <v>2</v>
      </c>
      <c r="AS1049" s="2">
        <v>0</v>
      </c>
      <c r="AT1049" s="2">
        <v>0</v>
      </c>
      <c r="AU1049" s="2">
        <v>14</v>
      </c>
      <c r="AV1049" s="2">
        <v>119</v>
      </c>
      <c r="AW1049" s="2">
        <v>0</v>
      </c>
      <c r="AX1049" s="2">
        <v>0</v>
      </c>
      <c r="AZ1049" s="2">
        <v>6.8</v>
      </c>
      <c r="BA1049" s="2">
        <v>19.899999999999999</v>
      </c>
      <c r="BB1049" s="2">
        <v>564</v>
      </c>
      <c r="BC1049" s="2">
        <v>68</v>
      </c>
      <c r="BD1049" s="2">
        <v>1.5</v>
      </c>
      <c r="BE1049" s="2">
        <v>135</v>
      </c>
      <c r="BF1049" s="2">
        <v>0.8</v>
      </c>
      <c r="BG1049" s="2">
        <v>162</v>
      </c>
      <c r="BH1049" s="2">
        <v>9.1</v>
      </c>
      <c r="BI1049" s="2">
        <v>9.1999999999999993</v>
      </c>
      <c r="BJ1049" s="2">
        <v>18.3</v>
      </c>
      <c r="BK1049" s="2">
        <v>0.34</v>
      </c>
      <c r="BL1049" s="2">
        <v>7.3</v>
      </c>
      <c r="BM1049" s="2">
        <v>0.9</v>
      </c>
      <c r="BN1049" s="2">
        <v>7.5</v>
      </c>
      <c r="BO1049" s="2">
        <v>2.9</v>
      </c>
      <c r="BP1049" s="2">
        <f t="shared" si="32"/>
        <v>6.0685281080879498</v>
      </c>
      <c r="BQ1049" s="2">
        <f t="shared" si="33"/>
        <v>18.831684774807577</v>
      </c>
    </row>
    <row r="1050" spans="1:69" x14ac:dyDescent="0.2">
      <c r="A1050" s="2" t="s">
        <v>341</v>
      </c>
      <c r="B1050" s="2" t="s">
        <v>47</v>
      </c>
      <c r="C1050" s="2" t="s">
        <v>48</v>
      </c>
      <c r="D1050" s="2" t="s">
        <v>49</v>
      </c>
      <c r="E1050" s="2" t="s">
        <v>342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89</v>
      </c>
      <c r="L1050" s="6" t="s">
        <v>112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343</v>
      </c>
      <c r="R1050" s="2">
        <v>3818181.818</v>
      </c>
      <c r="S1050" s="2">
        <v>0</v>
      </c>
      <c r="T1050" s="2" t="s">
        <v>344</v>
      </c>
      <c r="U1050" s="2" t="s">
        <v>345</v>
      </c>
      <c r="V1050" s="2" t="s">
        <v>56</v>
      </c>
      <c r="W1050" s="2" t="s">
        <v>344</v>
      </c>
      <c r="X1050" s="2" t="s">
        <v>346</v>
      </c>
      <c r="Y1050" s="2">
        <v>1.9327873033496601</v>
      </c>
      <c r="Z1050" s="2">
        <v>1932.7873033496601</v>
      </c>
      <c r="AA1050" s="2">
        <v>4.6056111111111102</v>
      </c>
      <c r="AB1050" s="2">
        <v>-74.204055555555598</v>
      </c>
      <c r="AC1050" s="2">
        <v>2546</v>
      </c>
      <c r="AD1050" s="2">
        <v>0</v>
      </c>
      <c r="AE1050" s="2" t="s">
        <v>59</v>
      </c>
      <c r="AF1050" s="2" t="s">
        <v>86</v>
      </c>
      <c r="AG1050" s="2" t="s">
        <v>61</v>
      </c>
      <c r="AH1050" s="2" t="s">
        <v>62</v>
      </c>
      <c r="AI1050" s="2" t="s">
        <v>347</v>
      </c>
      <c r="AJ1050" s="2">
        <v>3.7994985959129299</v>
      </c>
      <c r="AK1050" s="2">
        <v>0.76221876557587798</v>
      </c>
      <c r="AL1050" s="2">
        <v>8.7495304921503596</v>
      </c>
      <c r="AM1050" s="2">
        <v>0.76845623182921596</v>
      </c>
      <c r="AN1050" s="2">
        <v>3.6572314213747599</v>
      </c>
      <c r="AO1050" s="2">
        <v>0.155581923553687</v>
      </c>
      <c r="AP1050" s="2">
        <v>0.155581923553687</v>
      </c>
      <c r="AQ1050" s="2">
        <v>0</v>
      </c>
      <c r="AR1050" s="2">
        <v>0</v>
      </c>
      <c r="AS1050" s="2">
        <v>0</v>
      </c>
      <c r="AT1050" s="2">
        <v>2</v>
      </c>
      <c r="AU1050" s="2">
        <v>0</v>
      </c>
      <c r="AV1050" s="2">
        <v>1</v>
      </c>
      <c r="AW1050" s="2">
        <v>0</v>
      </c>
      <c r="AX1050" s="2">
        <v>0</v>
      </c>
      <c r="AZ1050" s="2">
        <v>6.8</v>
      </c>
      <c r="BA1050" s="2">
        <v>19.899999999999999</v>
      </c>
      <c r="BB1050" s="2">
        <v>564</v>
      </c>
      <c r="BC1050" s="2">
        <v>68</v>
      </c>
      <c r="BD1050" s="2">
        <v>1.5</v>
      </c>
      <c r="BE1050" s="2">
        <v>135</v>
      </c>
      <c r="BF1050" s="2">
        <v>0.8</v>
      </c>
      <c r="BG1050" s="2">
        <v>162</v>
      </c>
      <c r="BH1050" s="2">
        <v>9.1</v>
      </c>
      <c r="BI1050" s="2">
        <v>9.1999999999999993</v>
      </c>
      <c r="BJ1050" s="2">
        <v>18.3</v>
      </c>
      <c r="BK1050" s="2">
        <v>0.34</v>
      </c>
      <c r="BL1050" s="2">
        <v>7.3</v>
      </c>
      <c r="BM1050" s="2">
        <v>0.9</v>
      </c>
      <c r="BN1050" s="2">
        <v>7.5</v>
      </c>
      <c r="BO1050" s="2">
        <v>2.9</v>
      </c>
      <c r="BP1050" s="2">
        <f t="shared" si="32"/>
        <v>6.179575876189463</v>
      </c>
      <c r="BQ1050" s="2">
        <f t="shared" si="33"/>
        <v>18.997983395414508</v>
      </c>
    </row>
    <row r="1051" spans="1:69" x14ac:dyDescent="0.2">
      <c r="A1051" s="2" t="s">
        <v>1383</v>
      </c>
      <c r="B1051" s="2" t="s">
        <v>47</v>
      </c>
      <c r="C1051" s="2" t="s">
        <v>48</v>
      </c>
      <c r="D1051" s="2" t="s">
        <v>49</v>
      </c>
      <c r="E1051" s="2" t="s">
        <v>1384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89</v>
      </c>
      <c r="L1051" s="6" t="s">
        <v>90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1385</v>
      </c>
      <c r="R1051" s="2">
        <v>8000000</v>
      </c>
      <c r="S1051" s="2">
        <v>0</v>
      </c>
      <c r="T1051" s="2" t="s">
        <v>54</v>
      </c>
      <c r="U1051" s="2" t="s">
        <v>55</v>
      </c>
      <c r="V1051" s="2" t="s">
        <v>56</v>
      </c>
      <c r="W1051" s="2" t="s">
        <v>57</v>
      </c>
      <c r="X1051" s="2" t="s">
        <v>58</v>
      </c>
      <c r="Y1051" s="2">
        <v>1.73747420615689</v>
      </c>
      <c r="Z1051" s="2">
        <v>1737.47420615689</v>
      </c>
      <c r="AA1051" s="2">
        <v>4.6584666666666701</v>
      </c>
      <c r="AB1051" s="2">
        <v>-74.083966666666697</v>
      </c>
      <c r="AC1051" s="2">
        <v>2552</v>
      </c>
      <c r="AD1051" s="2">
        <v>0</v>
      </c>
      <c r="AE1051" s="2" t="s">
        <v>59</v>
      </c>
      <c r="AF1051" s="2" t="s">
        <v>60</v>
      </c>
      <c r="AG1051" s="2" t="s">
        <v>61</v>
      </c>
      <c r="AH1051" s="2" t="s">
        <v>62</v>
      </c>
      <c r="AI1051" s="2" t="s">
        <v>321</v>
      </c>
      <c r="AJ1051" s="2">
        <v>1.1965062697631501</v>
      </c>
      <c r="AK1051" s="2">
        <v>4.4994182740196198</v>
      </c>
      <c r="AL1051" s="2">
        <v>1.7844111272607099</v>
      </c>
      <c r="AM1051" s="2">
        <v>0.168503057433147</v>
      </c>
      <c r="AN1051" s="2">
        <v>0.34291230157204</v>
      </c>
      <c r="AO1051" s="2">
        <v>6.8547091360337806E-2</v>
      </c>
      <c r="AP1051" s="2">
        <v>6.8547091360337806E-2</v>
      </c>
      <c r="AQ1051" s="2">
        <v>0</v>
      </c>
      <c r="AR1051" s="2">
        <v>0</v>
      </c>
      <c r="AS1051" s="2">
        <v>0</v>
      </c>
      <c r="AT1051" s="2">
        <v>0</v>
      </c>
      <c r="AU1051" s="2">
        <v>0</v>
      </c>
      <c r="AV1051" s="2">
        <v>15</v>
      </c>
      <c r="AW1051" s="2">
        <v>1</v>
      </c>
      <c r="AX1051" s="2">
        <v>0</v>
      </c>
      <c r="AZ1051" s="2">
        <v>6.8</v>
      </c>
      <c r="BA1051" s="2">
        <v>19.899999999999999</v>
      </c>
      <c r="BB1051" s="2">
        <v>564</v>
      </c>
      <c r="BC1051" s="2">
        <v>68</v>
      </c>
      <c r="BD1051" s="2">
        <v>1.5</v>
      </c>
      <c r="BE1051" s="2">
        <v>135</v>
      </c>
      <c r="BF1051" s="2">
        <v>0.8</v>
      </c>
      <c r="BG1051" s="2">
        <v>162</v>
      </c>
      <c r="BH1051" s="2">
        <v>9.1</v>
      </c>
      <c r="BI1051" s="2">
        <v>9.1999999999999993</v>
      </c>
      <c r="BJ1051" s="2">
        <v>18.3</v>
      </c>
      <c r="BK1051" s="2">
        <v>0.34</v>
      </c>
      <c r="BL1051" s="2">
        <v>7.3</v>
      </c>
      <c r="BM1051" s="2">
        <v>0.9</v>
      </c>
      <c r="BN1051" s="2">
        <v>7.5</v>
      </c>
      <c r="BO1051" s="2">
        <v>2.9</v>
      </c>
      <c r="BP1051" s="2">
        <f t="shared" si="32"/>
        <v>6.239609741362961</v>
      </c>
      <c r="BQ1051" s="2">
        <f t="shared" si="33"/>
        <v>19.087245760734703</v>
      </c>
    </row>
    <row r="1052" spans="1:69" x14ac:dyDescent="0.2">
      <c r="A1052" s="2" t="s">
        <v>487</v>
      </c>
      <c r="B1052" s="2" t="s">
        <v>47</v>
      </c>
      <c r="C1052" s="2" t="s">
        <v>48</v>
      </c>
      <c r="D1052" s="2" t="s">
        <v>49</v>
      </c>
      <c r="E1052" s="2" t="s">
        <v>488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89</v>
      </c>
      <c r="L1052" s="6" t="s">
        <v>90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489</v>
      </c>
      <c r="R1052" s="2">
        <v>12790697.67</v>
      </c>
      <c r="S1052" s="2">
        <v>0</v>
      </c>
      <c r="T1052" s="2" t="s">
        <v>105</v>
      </c>
      <c r="U1052" s="2" t="s">
        <v>106</v>
      </c>
      <c r="V1052" s="2" t="s">
        <v>56</v>
      </c>
      <c r="W1052" s="2" t="s">
        <v>107</v>
      </c>
      <c r="X1052" s="2" t="s">
        <v>108</v>
      </c>
      <c r="Y1052" s="2">
        <v>1.9167950409676</v>
      </c>
      <c r="Z1052" s="2">
        <v>1916.7950409676</v>
      </c>
      <c r="AA1052" s="2">
        <v>4.6254861111111101</v>
      </c>
      <c r="AB1052" s="2">
        <v>-74.066980555555503</v>
      </c>
      <c r="AC1052" s="2">
        <v>2621</v>
      </c>
      <c r="AD1052" s="2">
        <v>15</v>
      </c>
      <c r="AE1052" s="2" t="s">
        <v>59</v>
      </c>
      <c r="AF1052" s="2" t="s">
        <v>60</v>
      </c>
      <c r="AG1052" s="2" t="s">
        <v>61</v>
      </c>
      <c r="AH1052" s="2" t="s">
        <v>62</v>
      </c>
      <c r="AI1052" s="2" t="s">
        <v>109</v>
      </c>
      <c r="AJ1052" s="2">
        <v>0.45044764976760798</v>
      </c>
      <c r="AK1052" s="2">
        <v>0.49471087228528499</v>
      </c>
      <c r="AL1052" s="2">
        <v>0.36951497651516402</v>
      </c>
      <c r="AM1052" s="2">
        <v>3.2247631673655297E-2</v>
      </c>
      <c r="AN1052" s="2">
        <v>0.390892132607842</v>
      </c>
      <c r="AO1052" s="2">
        <v>0.17511533834905901</v>
      </c>
      <c r="AP1052" s="2">
        <v>0.17511533834905901</v>
      </c>
      <c r="AQ1052" s="2">
        <v>1</v>
      </c>
      <c r="AR1052" s="2">
        <v>4</v>
      </c>
      <c r="AS1052" s="2">
        <v>1</v>
      </c>
      <c r="AT1052" s="2">
        <v>26</v>
      </c>
      <c r="AU1052" s="2">
        <v>6</v>
      </c>
      <c r="AV1052" s="2">
        <v>127</v>
      </c>
      <c r="AW1052" s="2">
        <v>1</v>
      </c>
      <c r="AX1052" s="2">
        <v>0</v>
      </c>
      <c r="AZ1052" s="2">
        <v>6.8</v>
      </c>
      <c r="BA1052" s="2">
        <v>19.899999999999999</v>
      </c>
      <c r="BB1052" s="2">
        <v>564</v>
      </c>
      <c r="BC1052" s="2">
        <v>68</v>
      </c>
      <c r="BD1052" s="2">
        <v>1.5</v>
      </c>
      <c r="BE1052" s="2">
        <v>135</v>
      </c>
      <c r="BF1052" s="2">
        <v>0.8</v>
      </c>
      <c r="BG1052" s="2">
        <v>162</v>
      </c>
      <c r="BH1052" s="2">
        <v>9.1</v>
      </c>
      <c r="BI1052" s="2">
        <v>9.1999999999999993</v>
      </c>
      <c r="BJ1052" s="2">
        <v>18.3</v>
      </c>
      <c r="BK1052" s="2">
        <v>0.34</v>
      </c>
      <c r="BL1052" s="2">
        <v>7.3</v>
      </c>
      <c r="BM1052" s="2">
        <v>0.9</v>
      </c>
      <c r="BN1052" s="2">
        <v>7.5</v>
      </c>
      <c r="BO1052" s="2">
        <v>2.9</v>
      </c>
      <c r="BP1052" s="2">
        <f t="shared" si="32"/>
        <v>6.1844696701808148</v>
      </c>
      <c r="BQ1052" s="2">
        <f t="shared" si="33"/>
        <v>19.005276492567006</v>
      </c>
    </row>
    <row r="1053" spans="1:69" x14ac:dyDescent="0.2">
      <c r="A1053" s="2" t="s">
        <v>4252</v>
      </c>
      <c r="B1053" s="2" t="s">
        <v>47</v>
      </c>
      <c r="C1053" s="2" t="s">
        <v>3273</v>
      </c>
      <c r="D1053" s="2" t="s">
        <v>49</v>
      </c>
      <c r="E1053" s="2" t="s">
        <v>102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89</v>
      </c>
      <c r="L1053" s="6" t="s">
        <v>90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4253</v>
      </c>
      <c r="R1053" s="2">
        <v>7093023.2560000001</v>
      </c>
      <c r="S1053" s="2">
        <v>0</v>
      </c>
      <c r="T1053" s="2" t="s">
        <v>105</v>
      </c>
      <c r="U1053" s="2" t="s">
        <v>106</v>
      </c>
      <c r="V1053" s="2" t="s">
        <v>56</v>
      </c>
      <c r="W1053" s="2" t="s">
        <v>107</v>
      </c>
      <c r="X1053" s="2" t="s">
        <v>108</v>
      </c>
      <c r="Y1053" s="2">
        <v>2.3802490431498802</v>
      </c>
      <c r="Z1053" s="2">
        <v>2380.24904314988</v>
      </c>
      <c r="AA1053" s="2">
        <v>4.6254861111111101</v>
      </c>
      <c r="AB1053" s="2">
        <v>-74.066980555555503</v>
      </c>
      <c r="AC1053" s="2">
        <v>2621</v>
      </c>
      <c r="AD1053" s="2">
        <v>15</v>
      </c>
      <c r="AE1053" s="2" t="s">
        <v>59</v>
      </c>
      <c r="AF1053" s="2" t="s">
        <v>60</v>
      </c>
      <c r="AG1053" s="2" t="s">
        <v>61</v>
      </c>
      <c r="AH1053" s="2" t="s">
        <v>62</v>
      </c>
      <c r="AI1053" s="2" t="s">
        <v>109</v>
      </c>
      <c r="AJ1053" s="2">
        <v>0.25943480186514301</v>
      </c>
      <c r="AK1053" s="2">
        <v>0.89996145807379002</v>
      </c>
      <c r="AL1053" s="2">
        <v>0.103428573226717</v>
      </c>
      <c r="AM1053" s="2">
        <v>0.102542704155223</v>
      </c>
      <c r="AN1053" s="2">
        <v>0.78099456733688599</v>
      </c>
      <c r="AO1053" s="2">
        <v>0.41975628281150801</v>
      </c>
      <c r="AP1053" s="2">
        <v>0.41975628281150801</v>
      </c>
      <c r="AQ1053" s="2">
        <v>2</v>
      </c>
      <c r="AR1053" s="2">
        <v>3</v>
      </c>
      <c r="AS1053" s="2">
        <v>0</v>
      </c>
      <c r="AT1053" s="2">
        <v>7</v>
      </c>
      <c r="AU1053" s="2">
        <v>14</v>
      </c>
      <c r="AV1053" s="2">
        <v>92</v>
      </c>
      <c r="AW1053" s="2">
        <v>1</v>
      </c>
      <c r="AX1053" s="2">
        <v>0</v>
      </c>
      <c r="AZ1053" s="2">
        <v>6.8</v>
      </c>
      <c r="BA1053" s="2">
        <v>19.899999999999999</v>
      </c>
      <c r="BB1053" s="2">
        <v>564</v>
      </c>
      <c r="BC1053" s="2">
        <v>68</v>
      </c>
      <c r="BD1053" s="2">
        <v>1.5</v>
      </c>
      <c r="BE1053" s="2">
        <v>135</v>
      </c>
      <c r="BF1053" s="2">
        <v>0.8</v>
      </c>
      <c r="BG1053" s="2">
        <v>162</v>
      </c>
      <c r="BH1053" s="2">
        <v>9.1</v>
      </c>
      <c r="BI1053" s="2">
        <v>9.1999999999999993</v>
      </c>
      <c r="BJ1053" s="2">
        <v>18.3</v>
      </c>
      <c r="BK1053" s="2">
        <v>0.34</v>
      </c>
      <c r="BL1053" s="2">
        <v>7.3</v>
      </c>
      <c r="BM1053" s="2">
        <v>0.9</v>
      </c>
      <c r="BN1053" s="2">
        <v>7.5</v>
      </c>
      <c r="BO1053" s="2">
        <v>2.9</v>
      </c>
      <c r="BP1053" s="2">
        <f t="shared" si="32"/>
        <v>6.0442069509228551</v>
      </c>
      <c r="BQ1053" s="2">
        <f t="shared" si="33"/>
        <v>18.795054086049142</v>
      </c>
    </row>
    <row r="1054" spans="1:69" x14ac:dyDescent="0.2">
      <c r="A1054" s="2" t="s">
        <v>1229</v>
      </c>
      <c r="B1054" s="2" t="s">
        <v>47</v>
      </c>
      <c r="C1054" s="2" t="s">
        <v>48</v>
      </c>
      <c r="D1054" s="2" t="s">
        <v>49</v>
      </c>
      <c r="E1054" s="2" t="s">
        <v>773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51</v>
      </c>
      <c r="L1054" s="6" t="s">
        <v>52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1230</v>
      </c>
      <c r="R1054" s="2">
        <v>4877349.6239999998</v>
      </c>
      <c r="S1054" s="2">
        <v>0</v>
      </c>
      <c r="T1054" s="2" t="s">
        <v>344</v>
      </c>
      <c r="U1054" s="2" t="s">
        <v>345</v>
      </c>
      <c r="V1054" s="2" t="s">
        <v>56</v>
      </c>
      <c r="W1054" s="2" t="s">
        <v>344</v>
      </c>
      <c r="X1054" s="2" t="s">
        <v>346</v>
      </c>
      <c r="Y1054" s="2">
        <v>2.66517638249241</v>
      </c>
      <c r="Z1054" s="2">
        <v>2665.1763824924101</v>
      </c>
      <c r="AA1054" s="2">
        <v>4.6056111111111102</v>
      </c>
      <c r="AB1054" s="2">
        <v>-74.204055555555598</v>
      </c>
      <c r="AC1054" s="2">
        <v>2546</v>
      </c>
      <c r="AD1054" s="2">
        <v>0</v>
      </c>
      <c r="AE1054" s="2" t="s">
        <v>59</v>
      </c>
      <c r="AF1054" s="2" t="s">
        <v>86</v>
      </c>
      <c r="AG1054" s="2" t="s">
        <v>61</v>
      </c>
      <c r="AH1054" s="2" t="s">
        <v>62</v>
      </c>
      <c r="AI1054" s="2" t="s">
        <v>347</v>
      </c>
      <c r="AJ1054" s="2">
        <v>3.8226939468907002</v>
      </c>
      <c r="AK1054" s="2">
        <v>0.61824213273968698</v>
      </c>
      <c r="AL1054" s="2">
        <v>8.6269294568452999</v>
      </c>
      <c r="AM1054" s="2">
        <v>1.37747217494598</v>
      </c>
      <c r="AN1054" s="2">
        <v>3.9580191433274998</v>
      </c>
      <c r="AO1054" s="2">
        <v>0.19504072431396</v>
      </c>
      <c r="AP1054" s="2">
        <v>0.19504072431396</v>
      </c>
      <c r="AQ1054" s="2">
        <v>0</v>
      </c>
      <c r="AR1054" s="2">
        <v>0</v>
      </c>
      <c r="AS1054" s="2">
        <v>0</v>
      </c>
      <c r="AT1054" s="2">
        <v>5</v>
      </c>
      <c r="AU1054" s="2">
        <v>0</v>
      </c>
      <c r="AV1054" s="2">
        <v>0</v>
      </c>
      <c r="AW1054" s="2">
        <v>0</v>
      </c>
      <c r="AX1054" s="2">
        <v>0</v>
      </c>
      <c r="AZ1054" s="2">
        <v>6.8</v>
      </c>
      <c r="BA1054" s="2">
        <v>19.899999999999999</v>
      </c>
      <c r="BB1054" s="2">
        <v>564</v>
      </c>
      <c r="BC1054" s="2">
        <v>68</v>
      </c>
      <c r="BD1054" s="2">
        <v>1.5</v>
      </c>
      <c r="BE1054" s="2">
        <v>135</v>
      </c>
      <c r="BF1054" s="2">
        <v>0.8</v>
      </c>
      <c r="BG1054" s="2">
        <v>162</v>
      </c>
      <c r="BH1054" s="2">
        <v>9.1</v>
      </c>
      <c r="BI1054" s="2">
        <v>9.1999999999999993</v>
      </c>
      <c r="BJ1054" s="2">
        <v>18.3</v>
      </c>
      <c r="BK1054" s="2">
        <v>0.34</v>
      </c>
      <c r="BL1054" s="2">
        <v>7.3</v>
      </c>
      <c r="BM1054" s="2">
        <v>0.9</v>
      </c>
      <c r="BN1054" s="2">
        <v>7.5</v>
      </c>
      <c r="BO1054" s="2">
        <v>2.9</v>
      </c>
      <c r="BP1054" s="2">
        <f t="shared" si="32"/>
        <v>5.9595583813838466</v>
      </c>
      <c r="BQ1054" s="2">
        <f t="shared" si="33"/>
        <v>18.666967136778581</v>
      </c>
    </row>
    <row r="1055" spans="1:69" x14ac:dyDescent="0.2">
      <c r="A1055" s="2" t="s">
        <v>4247</v>
      </c>
      <c r="B1055" s="2" t="s">
        <v>47</v>
      </c>
      <c r="C1055" s="2" t="s">
        <v>3273</v>
      </c>
      <c r="D1055" s="2" t="s">
        <v>49</v>
      </c>
      <c r="E1055" s="2" t="s">
        <v>3552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89</v>
      </c>
      <c r="L1055" s="6" t="s">
        <v>103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4248</v>
      </c>
      <c r="R1055" s="2">
        <v>17857142.859999999</v>
      </c>
      <c r="S1055" s="2">
        <v>0</v>
      </c>
      <c r="T1055" s="2" t="s">
        <v>105</v>
      </c>
      <c r="U1055" s="2" t="s">
        <v>106</v>
      </c>
      <c r="V1055" s="2" t="s">
        <v>56</v>
      </c>
      <c r="W1055" s="2" t="s">
        <v>107</v>
      </c>
      <c r="X1055" s="2" t="s">
        <v>108</v>
      </c>
      <c r="Y1055" s="2">
        <v>2.3359291836004901</v>
      </c>
      <c r="Z1055" s="2">
        <v>2335.92918360049</v>
      </c>
      <c r="AA1055" s="2">
        <v>4.6254861111111101</v>
      </c>
      <c r="AB1055" s="2">
        <v>-74.066980555555503</v>
      </c>
      <c r="AC1055" s="2">
        <v>2621</v>
      </c>
      <c r="AD1055" s="2">
        <v>15</v>
      </c>
      <c r="AE1055" s="2" t="s">
        <v>59</v>
      </c>
      <c r="AF1055" s="2" t="s">
        <v>60</v>
      </c>
      <c r="AG1055" s="2" t="s">
        <v>61</v>
      </c>
      <c r="AH1055" s="2" t="s">
        <v>62</v>
      </c>
      <c r="AI1055" s="2" t="s">
        <v>117</v>
      </c>
      <c r="AJ1055" s="2">
        <v>0.32381267865105501</v>
      </c>
      <c r="AK1055" s="2">
        <v>0.65590329569938399</v>
      </c>
      <c r="AL1055" s="2">
        <v>0.15538928797864099</v>
      </c>
      <c r="AM1055" s="2">
        <v>3.90630491153032E-2</v>
      </c>
      <c r="AN1055" s="2">
        <v>1.2425603673236501</v>
      </c>
      <c r="AO1055" s="2">
        <v>3.2282449441314698E-2</v>
      </c>
      <c r="AP1055" s="2">
        <v>3.2282449441314698E-2</v>
      </c>
      <c r="AQ1055" s="2">
        <v>4</v>
      </c>
      <c r="AR1055" s="2">
        <v>9</v>
      </c>
      <c r="AS1055" s="2">
        <v>0</v>
      </c>
      <c r="AT1055" s="2">
        <v>30</v>
      </c>
      <c r="AU1055" s="2">
        <v>12</v>
      </c>
      <c r="AV1055" s="2">
        <v>50</v>
      </c>
      <c r="AW1055" s="2">
        <v>0</v>
      </c>
      <c r="AX1055" s="2">
        <v>9</v>
      </c>
      <c r="AZ1055" s="2">
        <v>6.8</v>
      </c>
      <c r="BA1055" s="2">
        <v>19.899999999999999</v>
      </c>
      <c r="BB1055" s="2">
        <v>564</v>
      </c>
      <c r="BC1055" s="2">
        <v>68</v>
      </c>
      <c r="BD1055" s="2">
        <v>1.5</v>
      </c>
      <c r="BE1055" s="2">
        <v>135</v>
      </c>
      <c r="BF1055" s="2">
        <v>0.8</v>
      </c>
      <c r="BG1055" s="2">
        <v>162</v>
      </c>
      <c r="BH1055" s="2">
        <v>9.1</v>
      </c>
      <c r="BI1055" s="2">
        <v>9.1999999999999993</v>
      </c>
      <c r="BJ1055" s="2">
        <v>18.3</v>
      </c>
      <c r="BK1055" s="2">
        <v>0.34</v>
      </c>
      <c r="BL1055" s="2">
        <v>7.3</v>
      </c>
      <c r="BM1055" s="2">
        <v>0.9</v>
      </c>
      <c r="BN1055" s="2">
        <v>7.5</v>
      </c>
      <c r="BO1055" s="2">
        <v>2.9</v>
      </c>
      <c r="BP1055" s="2">
        <f t="shared" si="32"/>
        <v>6.0574814876134502</v>
      </c>
      <c r="BQ1055" s="2">
        <f t="shared" si="33"/>
        <v>18.815056582032582</v>
      </c>
    </row>
    <row r="1056" spans="1:69" x14ac:dyDescent="0.2">
      <c r="A1056" s="2" t="s">
        <v>3361</v>
      </c>
      <c r="B1056" s="2" t="s">
        <v>47</v>
      </c>
      <c r="C1056" s="2" t="s">
        <v>3273</v>
      </c>
      <c r="D1056" s="2" t="s">
        <v>49</v>
      </c>
      <c r="E1056" s="2" t="s">
        <v>109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89</v>
      </c>
      <c r="L1056" s="6" t="s">
        <v>90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3362</v>
      </c>
      <c r="R1056" s="2">
        <v>11666666.67</v>
      </c>
      <c r="S1056" s="2">
        <v>0</v>
      </c>
      <c r="T1056" s="2" t="s">
        <v>105</v>
      </c>
      <c r="U1056" s="2" t="s">
        <v>106</v>
      </c>
      <c r="V1056" s="2" t="s">
        <v>56</v>
      </c>
      <c r="W1056" s="2" t="s">
        <v>107</v>
      </c>
      <c r="X1056" s="2" t="s">
        <v>108</v>
      </c>
      <c r="Y1056" s="2">
        <v>1.7492022948836701</v>
      </c>
      <c r="Z1056" s="2">
        <v>1749.20229488367</v>
      </c>
      <c r="AA1056" s="2">
        <v>4.6254861111111101</v>
      </c>
      <c r="AB1056" s="2">
        <v>-74.066980555555503</v>
      </c>
      <c r="AC1056" s="2">
        <v>2621</v>
      </c>
      <c r="AD1056" s="2">
        <v>15</v>
      </c>
      <c r="AE1056" s="2" t="s">
        <v>59</v>
      </c>
      <c r="AF1056" s="2" t="s">
        <v>60</v>
      </c>
      <c r="AG1056" s="2" t="s">
        <v>61</v>
      </c>
      <c r="AH1056" s="2" t="s">
        <v>62</v>
      </c>
      <c r="AI1056" s="2" t="s">
        <v>109</v>
      </c>
      <c r="AJ1056" s="2">
        <v>0.48270691169881402</v>
      </c>
      <c r="AK1056" s="2">
        <v>0.508878262512238</v>
      </c>
      <c r="AL1056" s="2">
        <v>0.35216089836259301</v>
      </c>
      <c r="AM1056" s="2">
        <v>3.2047930546035101E-2</v>
      </c>
      <c r="AN1056" s="2">
        <v>0.44709893872328799</v>
      </c>
      <c r="AO1056" s="2">
        <v>0.119315765712392</v>
      </c>
      <c r="AP1056" s="2">
        <v>0.119315765712392</v>
      </c>
      <c r="AQ1056" s="2">
        <v>1</v>
      </c>
      <c r="AR1056" s="2">
        <v>4</v>
      </c>
      <c r="AS1056" s="2">
        <v>0</v>
      </c>
      <c r="AT1056" s="2">
        <v>25</v>
      </c>
      <c r="AU1056" s="2">
        <v>9</v>
      </c>
      <c r="AV1056" s="2">
        <v>127</v>
      </c>
      <c r="AW1056" s="2">
        <v>1</v>
      </c>
      <c r="AX1056" s="2">
        <v>0</v>
      </c>
      <c r="AZ1056" s="2">
        <v>6.8</v>
      </c>
      <c r="BA1056" s="2">
        <v>19.899999999999999</v>
      </c>
      <c r="BB1056" s="2">
        <v>564</v>
      </c>
      <c r="BC1056" s="2">
        <v>68</v>
      </c>
      <c r="BD1056" s="2">
        <v>1.5</v>
      </c>
      <c r="BE1056" s="2">
        <v>135</v>
      </c>
      <c r="BF1056" s="2">
        <v>0.8</v>
      </c>
      <c r="BG1056" s="2">
        <v>162</v>
      </c>
      <c r="BH1056" s="2">
        <v>9.1</v>
      </c>
      <c r="BI1056" s="2">
        <v>9.1999999999999993</v>
      </c>
      <c r="BJ1056" s="2">
        <v>18.3</v>
      </c>
      <c r="BK1056" s="2">
        <v>0.34</v>
      </c>
      <c r="BL1056" s="2">
        <v>7.3</v>
      </c>
      <c r="BM1056" s="2">
        <v>0.9</v>
      </c>
      <c r="BN1056" s="2">
        <v>7.5</v>
      </c>
      <c r="BO1056" s="2">
        <v>2.9</v>
      </c>
      <c r="BP1056" s="2">
        <f t="shared" si="32"/>
        <v>6.235988447133427</v>
      </c>
      <c r="BQ1056" s="2">
        <f t="shared" si="33"/>
        <v>19.081873950898959</v>
      </c>
    </row>
    <row r="1057" spans="1:69" x14ac:dyDescent="0.2">
      <c r="A1057" s="2" t="s">
        <v>1345</v>
      </c>
      <c r="B1057" s="2" t="s">
        <v>47</v>
      </c>
      <c r="C1057" s="2" t="s">
        <v>48</v>
      </c>
      <c r="D1057" s="2" t="s">
        <v>49</v>
      </c>
      <c r="E1057" s="2" t="s">
        <v>102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89</v>
      </c>
      <c r="L1057" s="6" t="s">
        <v>90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1346</v>
      </c>
      <c r="R1057" s="2">
        <v>8333333.3329999996</v>
      </c>
      <c r="S1057" s="2">
        <v>0</v>
      </c>
      <c r="T1057" s="2" t="s">
        <v>105</v>
      </c>
      <c r="U1057" s="2" t="s">
        <v>106</v>
      </c>
      <c r="V1057" s="2" t="s">
        <v>56</v>
      </c>
      <c r="W1057" s="2" t="s">
        <v>107</v>
      </c>
      <c r="X1057" s="2" t="s">
        <v>108</v>
      </c>
      <c r="Y1057" s="2">
        <v>2.1846188689332999</v>
      </c>
      <c r="Z1057" s="2">
        <v>2184.6188689332998</v>
      </c>
      <c r="AA1057" s="2">
        <v>4.6254861111111101</v>
      </c>
      <c r="AB1057" s="2">
        <v>-74.066980555555503</v>
      </c>
      <c r="AC1057" s="2">
        <v>2621</v>
      </c>
      <c r="AD1057" s="2">
        <v>15</v>
      </c>
      <c r="AE1057" s="2" t="s">
        <v>59</v>
      </c>
      <c r="AF1057" s="2" t="s">
        <v>60</v>
      </c>
      <c r="AG1057" s="2" t="s">
        <v>61</v>
      </c>
      <c r="AH1057" s="2" t="s">
        <v>62</v>
      </c>
      <c r="AI1057" s="2" t="s">
        <v>109</v>
      </c>
      <c r="AJ1057" s="2">
        <v>0.23496025404689799</v>
      </c>
      <c r="AK1057" s="2">
        <v>0.97328976667952904</v>
      </c>
      <c r="AL1057" s="2">
        <v>0.13723478699805999</v>
      </c>
      <c r="AM1057" s="2">
        <v>9.2802295683302602E-2</v>
      </c>
      <c r="AN1057" s="2">
        <v>0.853871268006132</v>
      </c>
      <c r="AO1057" s="2">
        <v>0.35604118362902198</v>
      </c>
      <c r="AP1057" s="2">
        <v>0.35604118362902198</v>
      </c>
      <c r="AQ1057" s="2">
        <v>2</v>
      </c>
      <c r="AR1057" s="2">
        <v>4</v>
      </c>
      <c r="AS1057" s="2">
        <v>0</v>
      </c>
      <c r="AT1057" s="2">
        <v>1</v>
      </c>
      <c r="AU1057" s="2">
        <v>13</v>
      </c>
      <c r="AV1057" s="2">
        <v>151</v>
      </c>
      <c r="AW1057" s="2">
        <v>1</v>
      </c>
      <c r="AX1057" s="2">
        <v>0</v>
      </c>
      <c r="AZ1057" s="2">
        <v>6.8</v>
      </c>
      <c r="BA1057" s="2">
        <v>19.899999999999999</v>
      </c>
      <c r="BB1057" s="2">
        <v>564</v>
      </c>
      <c r="BC1057" s="2">
        <v>68</v>
      </c>
      <c r="BD1057" s="2">
        <v>1.5</v>
      </c>
      <c r="BE1057" s="2">
        <v>135</v>
      </c>
      <c r="BF1057" s="2">
        <v>0.8</v>
      </c>
      <c r="BG1057" s="2">
        <v>162</v>
      </c>
      <c r="BH1057" s="2">
        <v>9.1</v>
      </c>
      <c r="BI1057" s="2">
        <v>9.1999999999999993</v>
      </c>
      <c r="BJ1057" s="2">
        <v>18.3</v>
      </c>
      <c r="BK1057" s="2">
        <v>0.34</v>
      </c>
      <c r="BL1057" s="2">
        <v>7.3</v>
      </c>
      <c r="BM1057" s="2">
        <v>0.9</v>
      </c>
      <c r="BN1057" s="2">
        <v>7.5</v>
      </c>
      <c r="BO1057" s="2">
        <v>2.9</v>
      </c>
      <c r="BP1057" s="2">
        <f t="shared" si="32"/>
        <v>6.1030215107175092</v>
      </c>
      <c r="BQ1057" s="2">
        <f t="shared" si="33"/>
        <v>18.883506684453533</v>
      </c>
    </row>
    <row r="1058" spans="1:69" x14ac:dyDescent="0.2">
      <c r="A1058" s="2" t="s">
        <v>4401</v>
      </c>
      <c r="B1058" s="2" t="s">
        <v>47</v>
      </c>
      <c r="C1058" s="2" t="s">
        <v>3273</v>
      </c>
      <c r="D1058" s="2" t="s">
        <v>49</v>
      </c>
      <c r="E1058" s="2" t="s">
        <v>927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89</v>
      </c>
      <c r="L1058" s="6" t="s">
        <v>103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4402</v>
      </c>
      <c r="R1058" s="2">
        <v>7976190.4759999998</v>
      </c>
      <c r="S1058" s="2">
        <v>0</v>
      </c>
      <c r="T1058" s="2" t="s">
        <v>105</v>
      </c>
      <c r="U1058" s="2" t="s">
        <v>106</v>
      </c>
      <c r="V1058" s="2" t="s">
        <v>56</v>
      </c>
      <c r="W1058" s="2" t="s">
        <v>107</v>
      </c>
      <c r="X1058" s="2" t="s">
        <v>108</v>
      </c>
      <c r="Y1058" s="2">
        <v>1.12269017626018</v>
      </c>
      <c r="Z1058" s="2">
        <v>1122.6901762601799</v>
      </c>
      <c r="AA1058" s="2">
        <v>4.6254861111111101</v>
      </c>
      <c r="AB1058" s="2">
        <v>-74.066980555555503</v>
      </c>
      <c r="AC1058" s="2">
        <v>2621</v>
      </c>
      <c r="AD1058" s="2">
        <v>15</v>
      </c>
      <c r="AE1058" s="2" t="s">
        <v>59</v>
      </c>
      <c r="AF1058" s="2" t="s">
        <v>60</v>
      </c>
      <c r="AG1058" s="2" t="s">
        <v>61</v>
      </c>
      <c r="AH1058" s="2" t="s">
        <v>62</v>
      </c>
      <c r="AI1058" s="2" t="s">
        <v>109</v>
      </c>
      <c r="AJ1058" s="2">
        <v>0.40713465991992498</v>
      </c>
      <c r="AK1058" s="2">
        <v>0.48085312584196199</v>
      </c>
      <c r="AL1058" s="2">
        <v>0.296964566805967</v>
      </c>
      <c r="AM1058" s="2">
        <v>2.6880519556596399E-2</v>
      </c>
      <c r="AN1058" s="2">
        <v>0.89187529022192102</v>
      </c>
      <c r="AO1058" s="2">
        <v>9.7763461365571097E-2</v>
      </c>
      <c r="AP1058" s="2">
        <v>9.7763461365571097E-2</v>
      </c>
      <c r="AQ1058" s="2">
        <v>2</v>
      </c>
      <c r="AR1058" s="2">
        <v>4</v>
      </c>
      <c r="AS1058" s="2">
        <v>2</v>
      </c>
      <c r="AT1058" s="2">
        <v>35</v>
      </c>
      <c r="AU1058" s="2">
        <v>11</v>
      </c>
      <c r="AV1058" s="2">
        <v>134</v>
      </c>
      <c r="AW1058" s="2">
        <v>2</v>
      </c>
      <c r="AX1058" s="2">
        <v>0</v>
      </c>
      <c r="AZ1058" s="2">
        <v>6.8</v>
      </c>
      <c r="BA1058" s="2">
        <v>19.899999999999999</v>
      </c>
      <c r="BB1058" s="2">
        <v>564</v>
      </c>
      <c r="BC1058" s="2">
        <v>68</v>
      </c>
      <c r="BD1058" s="2">
        <v>1.5</v>
      </c>
      <c r="BE1058" s="2">
        <v>135</v>
      </c>
      <c r="BF1058" s="2">
        <v>0.8</v>
      </c>
      <c r="BG1058" s="2">
        <v>162</v>
      </c>
      <c r="BH1058" s="2">
        <v>9.1</v>
      </c>
      <c r="BI1058" s="2">
        <v>9.1999999999999993</v>
      </c>
      <c r="BJ1058" s="2">
        <v>18.3</v>
      </c>
      <c r="BK1058" s="2">
        <v>0.34</v>
      </c>
      <c r="BL1058" s="2">
        <v>7.3</v>
      </c>
      <c r="BM1058" s="2">
        <v>0.9</v>
      </c>
      <c r="BN1058" s="2">
        <v>7.5</v>
      </c>
      <c r="BO1058" s="2">
        <v>2.9</v>
      </c>
      <c r="BP1058" s="2">
        <f t="shared" si="32"/>
        <v>6.4324111245845836</v>
      </c>
      <c r="BQ1058" s="2">
        <f t="shared" si="33"/>
        <v>19.370962520788407</v>
      </c>
    </row>
    <row r="1059" spans="1:69" x14ac:dyDescent="0.2">
      <c r="A1059" s="2" t="s">
        <v>4237</v>
      </c>
      <c r="B1059" s="2" t="s">
        <v>47</v>
      </c>
      <c r="C1059" s="2" t="s">
        <v>3273</v>
      </c>
      <c r="D1059" s="2" t="s">
        <v>49</v>
      </c>
      <c r="E1059" s="2" t="s">
        <v>927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89</v>
      </c>
      <c r="L1059" s="6" t="s">
        <v>103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4238</v>
      </c>
      <c r="R1059" s="2">
        <v>7976190.4759999998</v>
      </c>
      <c r="S1059" s="2">
        <v>0</v>
      </c>
      <c r="T1059" s="2" t="s">
        <v>105</v>
      </c>
      <c r="U1059" s="2" t="s">
        <v>106</v>
      </c>
      <c r="V1059" s="2" t="s">
        <v>56</v>
      </c>
      <c r="W1059" s="2" t="s">
        <v>107</v>
      </c>
      <c r="X1059" s="2" t="s">
        <v>108</v>
      </c>
      <c r="Y1059" s="2">
        <v>1.0386511479487901</v>
      </c>
      <c r="Z1059" s="2">
        <v>1038.6511479487899</v>
      </c>
      <c r="AA1059" s="2">
        <v>4.6254861111111101</v>
      </c>
      <c r="AB1059" s="2">
        <v>-74.066980555555503</v>
      </c>
      <c r="AC1059" s="2">
        <v>2621</v>
      </c>
      <c r="AD1059" s="2">
        <v>15</v>
      </c>
      <c r="AE1059" s="2" t="s">
        <v>59</v>
      </c>
      <c r="AF1059" s="2" t="s">
        <v>60</v>
      </c>
      <c r="AG1059" s="2" t="s">
        <v>61</v>
      </c>
      <c r="AH1059" s="2" t="s">
        <v>62</v>
      </c>
      <c r="AI1059" s="2" t="s">
        <v>109</v>
      </c>
      <c r="AJ1059" s="2">
        <v>0.47253299951960498</v>
      </c>
      <c r="AK1059" s="2">
        <v>0.45333474099072602</v>
      </c>
      <c r="AL1059" s="2">
        <v>0.22579630534835099</v>
      </c>
      <c r="AM1059" s="2">
        <v>0.109626375984582</v>
      </c>
      <c r="AN1059" s="2">
        <v>0.80975309188560596</v>
      </c>
      <c r="AO1059" s="2">
        <v>7.3416315919901803E-2</v>
      </c>
      <c r="AP1059" s="2">
        <v>7.3416315919901803E-2</v>
      </c>
      <c r="AQ1059" s="2">
        <v>2</v>
      </c>
      <c r="AR1059" s="2">
        <v>5</v>
      </c>
      <c r="AS1059" s="2">
        <v>2</v>
      </c>
      <c r="AT1059" s="2">
        <v>35</v>
      </c>
      <c r="AU1059" s="2">
        <v>11</v>
      </c>
      <c r="AV1059" s="2">
        <v>132</v>
      </c>
      <c r="AW1059" s="2">
        <v>1</v>
      </c>
      <c r="AX1059" s="2">
        <v>0</v>
      </c>
      <c r="AZ1059" s="2">
        <v>6.8</v>
      </c>
      <c r="BA1059" s="2">
        <v>19.899999999999999</v>
      </c>
      <c r="BB1059" s="2">
        <v>564</v>
      </c>
      <c r="BC1059" s="2">
        <v>68</v>
      </c>
      <c r="BD1059" s="2">
        <v>1.5</v>
      </c>
      <c r="BE1059" s="2">
        <v>135</v>
      </c>
      <c r="BF1059" s="2">
        <v>0.8</v>
      </c>
      <c r="BG1059" s="2">
        <v>162</v>
      </c>
      <c r="BH1059" s="2">
        <v>9.1</v>
      </c>
      <c r="BI1059" s="2">
        <v>9.1999999999999993</v>
      </c>
      <c r="BJ1059" s="2">
        <v>18.3</v>
      </c>
      <c r="BK1059" s="2">
        <v>0.34</v>
      </c>
      <c r="BL1059" s="2">
        <v>7.3</v>
      </c>
      <c r="BM1059" s="2">
        <v>0.9</v>
      </c>
      <c r="BN1059" s="2">
        <v>7.5</v>
      </c>
      <c r="BO1059" s="2">
        <v>2.9</v>
      </c>
      <c r="BP1059" s="2">
        <f t="shared" si="32"/>
        <v>6.4592252506256465</v>
      </c>
      <c r="BQ1059" s="2">
        <f t="shared" si="33"/>
        <v>19.410071952979234</v>
      </c>
    </row>
    <row r="1060" spans="1:69" x14ac:dyDescent="0.2">
      <c r="A1060" s="2" t="s">
        <v>3592</v>
      </c>
      <c r="B1060" s="2" t="s">
        <v>47</v>
      </c>
      <c r="C1060" s="2" t="s">
        <v>3273</v>
      </c>
      <c r="D1060" s="2" t="s">
        <v>49</v>
      </c>
      <c r="E1060" s="2" t="s">
        <v>3001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89</v>
      </c>
      <c r="L1060" s="6" t="s">
        <v>90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3593</v>
      </c>
      <c r="R1060" s="2">
        <v>5714285.7139999997</v>
      </c>
      <c r="S1060" s="2">
        <v>0</v>
      </c>
      <c r="T1060" s="2" t="s">
        <v>105</v>
      </c>
      <c r="U1060" s="2" t="s">
        <v>106</v>
      </c>
      <c r="V1060" s="2" t="s">
        <v>56</v>
      </c>
      <c r="W1060" s="2" t="s">
        <v>107</v>
      </c>
      <c r="X1060" s="2" t="s">
        <v>108</v>
      </c>
      <c r="Y1060" s="2">
        <v>2.1402561574389298</v>
      </c>
      <c r="Z1060" s="2">
        <v>2140.2561574389301</v>
      </c>
      <c r="AA1060" s="2">
        <v>4.6254861111111101</v>
      </c>
      <c r="AB1060" s="2">
        <v>-74.066980555555503</v>
      </c>
      <c r="AC1060" s="2">
        <v>2621</v>
      </c>
      <c r="AD1060" s="2">
        <v>15</v>
      </c>
      <c r="AE1060" s="2" t="s">
        <v>59</v>
      </c>
      <c r="AF1060" s="2" t="s">
        <v>60</v>
      </c>
      <c r="AG1060" s="2" t="s">
        <v>61</v>
      </c>
      <c r="AH1060" s="2" t="s">
        <v>62</v>
      </c>
      <c r="AI1060" s="2" t="s">
        <v>117</v>
      </c>
      <c r="AJ1060" s="2">
        <v>0.29008746862006501</v>
      </c>
      <c r="AK1060" s="2">
        <v>0.77934653195057702</v>
      </c>
      <c r="AL1060" s="2">
        <v>0.133869760857704</v>
      </c>
      <c r="AM1060" s="2">
        <v>0.14893351680112499</v>
      </c>
      <c r="AN1060" s="2">
        <v>1.1095532551276599</v>
      </c>
      <c r="AO1060" s="2">
        <v>0.10054457565418499</v>
      </c>
      <c r="AP1060" s="2">
        <v>0.10054457565418499</v>
      </c>
      <c r="AQ1060" s="2">
        <v>2</v>
      </c>
      <c r="AR1060" s="2">
        <v>10</v>
      </c>
      <c r="AS1060" s="2">
        <v>0</v>
      </c>
      <c r="AT1060" s="2">
        <v>22</v>
      </c>
      <c r="AU1060" s="2">
        <v>14</v>
      </c>
      <c r="AV1060" s="2">
        <v>58</v>
      </c>
      <c r="AW1060" s="2">
        <v>0</v>
      </c>
      <c r="AX1060" s="2">
        <v>8</v>
      </c>
      <c r="AZ1060" s="2">
        <v>6.8</v>
      </c>
      <c r="BA1060" s="2">
        <v>19.899999999999999</v>
      </c>
      <c r="BB1060" s="2">
        <v>564</v>
      </c>
      <c r="BC1060" s="2">
        <v>68</v>
      </c>
      <c r="BD1060" s="2">
        <v>1.5</v>
      </c>
      <c r="BE1060" s="2">
        <v>135</v>
      </c>
      <c r="BF1060" s="2">
        <v>0.8</v>
      </c>
      <c r="BG1060" s="2">
        <v>162</v>
      </c>
      <c r="BH1060" s="2">
        <v>9.1</v>
      </c>
      <c r="BI1060" s="2">
        <v>9.1999999999999993</v>
      </c>
      <c r="BJ1060" s="2">
        <v>18.3</v>
      </c>
      <c r="BK1060" s="2">
        <v>0.34</v>
      </c>
      <c r="BL1060" s="2">
        <v>7.3</v>
      </c>
      <c r="BM1060" s="2">
        <v>0.9</v>
      </c>
      <c r="BN1060" s="2">
        <v>7.5</v>
      </c>
      <c r="BO1060" s="2">
        <v>2.9</v>
      </c>
      <c r="BP1060" s="2">
        <f t="shared" si="32"/>
        <v>6.1164381923702731</v>
      </c>
      <c r="BQ1060" s="2">
        <f t="shared" si="33"/>
        <v>18.903622756812478</v>
      </c>
    </row>
    <row r="1061" spans="1:69" x14ac:dyDescent="0.2">
      <c r="A1061" s="2" t="s">
        <v>1910</v>
      </c>
      <c r="B1061" s="2" t="s">
        <v>47</v>
      </c>
      <c r="C1061" s="2" t="s">
        <v>48</v>
      </c>
      <c r="D1061" s="2" t="s">
        <v>49</v>
      </c>
      <c r="E1061" s="2" t="s">
        <v>52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89</v>
      </c>
      <c r="L1061" s="6" t="s">
        <v>141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1911</v>
      </c>
      <c r="R1061" s="2">
        <v>4761904.7620000001</v>
      </c>
      <c r="S1061" s="2">
        <v>0</v>
      </c>
      <c r="T1061" s="2" t="s">
        <v>344</v>
      </c>
      <c r="U1061" s="2" t="s">
        <v>345</v>
      </c>
      <c r="V1061" s="2" t="s">
        <v>56</v>
      </c>
      <c r="W1061" s="2" t="s">
        <v>344</v>
      </c>
      <c r="X1061" s="2" t="s">
        <v>346</v>
      </c>
      <c r="Y1061" s="2">
        <v>2.55912346652587</v>
      </c>
      <c r="Z1061" s="2">
        <v>2559.1234665258698</v>
      </c>
      <c r="AA1061" s="2">
        <v>4.6056111111111102</v>
      </c>
      <c r="AB1061" s="2">
        <v>-74.204055555555598</v>
      </c>
      <c r="AC1061" s="2">
        <v>2546</v>
      </c>
      <c r="AD1061" s="2">
        <v>0</v>
      </c>
      <c r="AE1061" s="2" t="s">
        <v>59</v>
      </c>
      <c r="AF1061" s="2" t="s">
        <v>86</v>
      </c>
      <c r="AG1061" s="2" t="s">
        <v>61</v>
      </c>
      <c r="AH1061" s="2" t="s">
        <v>62</v>
      </c>
      <c r="AI1061" s="2" t="s">
        <v>347</v>
      </c>
      <c r="AJ1061" s="2">
        <v>2.2931319619074699</v>
      </c>
      <c r="AK1061" s="2">
        <v>2.04519684017029</v>
      </c>
      <c r="AL1061" s="2">
        <v>7.0925867965592104</v>
      </c>
      <c r="AM1061" s="2">
        <v>0.220169561630363</v>
      </c>
      <c r="AN1061" s="2">
        <v>2.9542191196155398</v>
      </c>
      <c r="AO1061" s="2">
        <v>8.2582543850790294E-2</v>
      </c>
      <c r="AP1061" s="2">
        <v>8.2582543850790294E-2</v>
      </c>
      <c r="AQ1061" s="2">
        <v>0</v>
      </c>
      <c r="AR1061" s="2">
        <v>0</v>
      </c>
      <c r="AS1061" s="2">
        <v>0</v>
      </c>
      <c r="AT1061" s="2">
        <v>0</v>
      </c>
      <c r="AU1061" s="2">
        <v>0</v>
      </c>
      <c r="AV1061" s="2">
        <v>9</v>
      </c>
      <c r="AW1061" s="2">
        <v>0</v>
      </c>
      <c r="AX1061" s="2">
        <v>0</v>
      </c>
      <c r="AZ1061" s="2">
        <v>6.8</v>
      </c>
      <c r="BA1061" s="2">
        <v>19.899999999999999</v>
      </c>
      <c r="BB1061" s="2">
        <v>564</v>
      </c>
      <c r="BC1061" s="2">
        <v>68</v>
      </c>
      <c r="BD1061" s="2">
        <v>1.5</v>
      </c>
      <c r="BE1061" s="2">
        <v>135</v>
      </c>
      <c r="BF1061" s="2">
        <v>0.8</v>
      </c>
      <c r="BG1061" s="2">
        <v>162</v>
      </c>
      <c r="BH1061" s="2">
        <v>9.1</v>
      </c>
      <c r="BI1061" s="2">
        <v>9.1999999999999993</v>
      </c>
      <c r="BJ1061" s="2">
        <v>18.3</v>
      </c>
      <c r="BK1061" s="2">
        <v>0.34</v>
      </c>
      <c r="BL1061" s="2">
        <v>7.3</v>
      </c>
      <c r="BM1061" s="2">
        <v>0.9</v>
      </c>
      <c r="BN1061" s="2">
        <v>7.5</v>
      </c>
      <c r="BO1061" s="2">
        <v>2.9</v>
      </c>
      <c r="BP1061" s="2">
        <f t="shared" si="32"/>
        <v>5.9909260564623956</v>
      </c>
      <c r="BQ1061" s="2">
        <f t="shared" si="33"/>
        <v>18.714540125275899</v>
      </c>
    </row>
    <row r="1062" spans="1:69" x14ac:dyDescent="0.2">
      <c r="A1062" s="2" t="s">
        <v>1898</v>
      </c>
      <c r="B1062" s="2" t="s">
        <v>47</v>
      </c>
      <c r="C1062" s="2" t="s">
        <v>48</v>
      </c>
      <c r="D1062" s="2" t="s">
        <v>49</v>
      </c>
      <c r="E1062" s="2" t="s">
        <v>1899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89</v>
      </c>
      <c r="L1062" s="6" t="s">
        <v>103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1900</v>
      </c>
      <c r="R1062" s="2">
        <v>7971014.4929999998</v>
      </c>
      <c r="S1062" s="2">
        <v>0</v>
      </c>
      <c r="T1062" s="2" t="s">
        <v>54</v>
      </c>
      <c r="U1062" s="2" t="s">
        <v>55</v>
      </c>
      <c r="V1062" s="2" t="s">
        <v>56</v>
      </c>
      <c r="W1062" s="2" t="s">
        <v>57</v>
      </c>
      <c r="X1062" s="2" t="s">
        <v>58</v>
      </c>
      <c r="Y1062" s="2">
        <v>1.2758625702108299</v>
      </c>
      <c r="Z1062" s="2">
        <v>1275.86257021083</v>
      </c>
      <c r="AA1062" s="2">
        <v>4.6584666666666701</v>
      </c>
      <c r="AB1062" s="2">
        <v>-74.083966666666697</v>
      </c>
      <c r="AC1062" s="2">
        <v>2552</v>
      </c>
      <c r="AD1062" s="2">
        <v>0</v>
      </c>
      <c r="AE1062" s="2" t="s">
        <v>59</v>
      </c>
      <c r="AF1062" s="2" t="s">
        <v>60</v>
      </c>
      <c r="AG1062" s="2" t="s">
        <v>61</v>
      </c>
      <c r="AH1062" s="2" t="s">
        <v>62</v>
      </c>
      <c r="AI1062" s="2" t="s">
        <v>63</v>
      </c>
      <c r="AJ1062" s="2">
        <v>0.30085962747752598</v>
      </c>
      <c r="AK1062" s="2">
        <v>2.2751623013096798</v>
      </c>
      <c r="AL1062" s="2">
        <v>0.44778075480871099</v>
      </c>
      <c r="AM1062" s="2">
        <v>0.233590218752527</v>
      </c>
      <c r="AN1062" s="2">
        <v>2.1556185757656801</v>
      </c>
      <c r="AO1062" s="2">
        <v>0.141845845097303</v>
      </c>
      <c r="AP1062" s="2">
        <v>0.141845845097303</v>
      </c>
      <c r="AQ1062" s="2">
        <v>1</v>
      </c>
      <c r="AR1062" s="2">
        <v>3</v>
      </c>
      <c r="AS1062" s="2">
        <v>0</v>
      </c>
      <c r="AT1062" s="2">
        <v>0</v>
      </c>
      <c r="AU1062" s="2">
        <v>4</v>
      </c>
      <c r="AV1062" s="2">
        <v>49</v>
      </c>
      <c r="AW1062" s="2">
        <v>0</v>
      </c>
      <c r="AX1062" s="2">
        <v>0</v>
      </c>
      <c r="AZ1062" s="2">
        <v>6.8</v>
      </c>
      <c r="BA1062" s="2">
        <v>19.899999999999999</v>
      </c>
      <c r="BB1062" s="2">
        <v>564</v>
      </c>
      <c r="BC1062" s="2">
        <v>68</v>
      </c>
      <c r="BD1062" s="2">
        <v>1.5</v>
      </c>
      <c r="BE1062" s="2">
        <v>135</v>
      </c>
      <c r="BF1062" s="2">
        <v>0.8</v>
      </c>
      <c r="BG1062" s="2">
        <v>162</v>
      </c>
      <c r="BH1062" s="2">
        <v>9.1</v>
      </c>
      <c r="BI1062" s="2">
        <v>9.1999999999999993</v>
      </c>
      <c r="BJ1062" s="2">
        <v>18.3</v>
      </c>
      <c r="BK1062" s="2">
        <v>0.34</v>
      </c>
      <c r="BL1062" s="2">
        <v>7.3</v>
      </c>
      <c r="BM1062" s="2">
        <v>0.9</v>
      </c>
      <c r="BN1062" s="2">
        <v>7.5</v>
      </c>
      <c r="BO1062" s="2">
        <v>2.9</v>
      </c>
      <c r="BP1062" s="2">
        <f t="shared" si="32"/>
        <v>6.3838247923057203</v>
      </c>
      <c r="BQ1062" s="2">
        <f t="shared" si="33"/>
        <v>19.299882929151824</v>
      </c>
    </row>
    <row r="1063" spans="1:69" x14ac:dyDescent="0.2">
      <c r="A1063" s="2" t="s">
        <v>770</v>
      </c>
      <c r="B1063" s="2" t="s">
        <v>47</v>
      </c>
      <c r="C1063" s="2" t="s">
        <v>48</v>
      </c>
      <c r="D1063" s="2" t="s">
        <v>49</v>
      </c>
      <c r="E1063" s="2" t="s">
        <v>618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51</v>
      </c>
      <c r="L1063" s="6" t="s">
        <v>52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771</v>
      </c>
      <c r="R1063" s="2">
        <v>10525552.59</v>
      </c>
      <c r="S1063" s="2">
        <v>0</v>
      </c>
      <c r="T1063" s="2" t="s">
        <v>54</v>
      </c>
      <c r="U1063" s="2" t="s">
        <v>55</v>
      </c>
      <c r="V1063" s="2" t="s">
        <v>56</v>
      </c>
      <c r="W1063" s="2" t="s">
        <v>57</v>
      </c>
      <c r="X1063" s="2" t="s">
        <v>58</v>
      </c>
      <c r="Y1063" s="2">
        <v>0.57725282118917798</v>
      </c>
      <c r="Z1063" s="2">
        <v>577.25282118917801</v>
      </c>
      <c r="AA1063" s="2">
        <v>4.6584666666666701</v>
      </c>
      <c r="AB1063" s="2">
        <v>-74.083966666666697</v>
      </c>
      <c r="AC1063" s="2">
        <v>2552</v>
      </c>
      <c r="AD1063" s="2">
        <v>0</v>
      </c>
      <c r="AE1063" s="2" t="s">
        <v>59</v>
      </c>
      <c r="AF1063" s="2" t="s">
        <v>60</v>
      </c>
      <c r="AG1063" s="2" t="s">
        <v>61</v>
      </c>
      <c r="AH1063" s="2" t="s">
        <v>62</v>
      </c>
      <c r="AI1063" s="2" t="s">
        <v>321</v>
      </c>
      <c r="AJ1063" s="2">
        <v>0.45664851021150199</v>
      </c>
      <c r="AK1063" s="2">
        <v>3.2906681362303898</v>
      </c>
      <c r="AL1063" s="2">
        <v>1.2641850056572299</v>
      </c>
      <c r="AM1063" s="2">
        <v>0.10222706298203101</v>
      </c>
      <c r="AN1063" s="2">
        <v>1.4375849002076899</v>
      </c>
      <c r="AO1063" s="2">
        <v>0.20029136224211999</v>
      </c>
      <c r="AP1063" s="2">
        <v>0.20029136224211999</v>
      </c>
      <c r="AQ1063" s="2">
        <v>1</v>
      </c>
      <c r="AR1063" s="2">
        <v>2</v>
      </c>
      <c r="AS1063" s="2">
        <v>0</v>
      </c>
      <c r="AT1063" s="2">
        <v>0</v>
      </c>
      <c r="AU1063" s="2">
        <v>0</v>
      </c>
      <c r="AV1063" s="2">
        <v>22</v>
      </c>
      <c r="AW1063" s="2">
        <v>0</v>
      </c>
      <c r="AX1063" s="2">
        <v>0</v>
      </c>
      <c r="AZ1063" s="2">
        <v>6.8</v>
      </c>
      <c r="BA1063" s="2">
        <v>19.899999999999999</v>
      </c>
      <c r="BB1063" s="2">
        <v>564</v>
      </c>
      <c r="BC1063" s="2">
        <v>68</v>
      </c>
      <c r="BD1063" s="2">
        <v>1.5</v>
      </c>
      <c r="BE1063" s="2">
        <v>135</v>
      </c>
      <c r="BF1063" s="2">
        <v>0.8</v>
      </c>
      <c r="BG1063" s="2">
        <v>162</v>
      </c>
      <c r="BH1063" s="2">
        <v>9.1</v>
      </c>
      <c r="BI1063" s="2">
        <v>9.1999999999999993</v>
      </c>
      <c r="BJ1063" s="2">
        <v>18.3</v>
      </c>
      <c r="BK1063" s="2">
        <v>0.34</v>
      </c>
      <c r="BL1063" s="2">
        <v>7.3</v>
      </c>
      <c r="BM1063" s="2">
        <v>0.9</v>
      </c>
      <c r="BN1063" s="2">
        <v>7.5</v>
      </c>
      <c r="BO1063" s="2">
        <v>2.9</v>
      </c>
      <c r="BP1063" s="2">
        <f t="shared" si="32"/>
        <v>6.6084464602478965</v>
      </c>
      <c r="BQ1063" s="2">
        <f t="shared" si="33"/>
        <v>19.626205018930062</v>
      </c>
    </row>
    <row r="1064" spans="1:69" x14ac:dyDescent="0.2">
      <c r="A1064" s="2" t="s">
        <v>3380</v>
      </c>
      <c r="B1064" s="2" t="s">
        <v>47</v>
      </c>
      <c r="C1064" s="2" t="s">
        <v>3273</v>
      </c>
      <c r="D1064" s="2" t="s">
        <v>49</v>
      </c>
      <c r="E1064" s="2" t="s">
        <v>3381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89</v>
      </c>
      <c r="L1064" s="6" t="s">
        <v>90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3382</v>
      </c>
      <c r="R1064" s="2">
        <v>10463414.630000001</v>
      </c>
      <c r="S1064" s="2">
        <v>0</v>
      </c>
      <c r="T1064" s="2" t="s">
        <v>105</v>
      </c>
      <c r="U1064" s="2" t="s">
        <v>106</v>
      </c>
      <c r="V1064" s="2" t="s">
        <v>56</v>
      </c>
      <c r="W1064" s="2" t="s">
        <v>107</v>
      </c>
      <c r="X1064" s="2" t="s">
        <v>108</v>
      </c>
      <c r="Y1064" s="2">
        <v>1.7059384781687901</v>
      </c>
      <c r="Z1064" s="2">
        <v>1705.93847816879</v>
      </c>
      <c r="AA1064" s="2">
        <v>4.6254861111111101</v>
      </c>
      <c r="AB1064" s="2">
        <v>-74.066980555555503</v>
      </c>
      <c r="AC1064" s="2">
        <v>2621</v>
      </c>
      <c r="AD1064" s="2">
        <v>15</v>
      </c>
      <c r="AE1064" s="2" t="s">
        <v>59</v>
      </c>
      <c r="AF1064" s="2" t="s">
        <v>60</v>
      </c>
      <c r="AG1064" s="2" t="s">
        <v>61</v>
      </c>
      <c r="AH1064" s="2" t="s">
        <v>62</v>
      </c>
      <c r="AI1064" s="2" t="s">
        <v>117</v>
      </c>
      <c r="AJ1064" s="2">
        <v>0.14843302339515699</v>
      </c>
      <c r="AK1064" s="2">
        <v>0.62843195013284703</v>
      </c>
      <c r="AL1064" s="2">
        <v>0.27804032141680801</v>
      </c>
      <c r="AM1064" s="2">
        <v>0.29532081014431</v>
      </c>
      <c r="AN1064" s="2">
        <v>0.67942896629234595</v>
      </c>
      <c r="AO1064" s="2">
        <v>5.7573231529302903E-2</v>
      </c>
      <c r="AP1064" s="2">
        <v>5.7573231529302903E-2</v>
      </c>
      <c r="AQ1064" s="2">
        <v>1</v>
      </c>
      <c r="AR1064" s="2">
        <v>8</v>
      </c>
      <c r="AS1064" s="2">
        <v>0</v>
      </c>
      <c r="AT1064" s="2">
        <v>23</v>
      </c>
      <c r="AU1064" s="2">
        <v>9</v>
      </c>
      <c r="AV1064" s="2">
        <v>63</v>
      </c>
      <c r="AW1064" s="2">
        <v>1</v>
      </c>
      <c r="AX1064" s="2">
        <v>6</v>
      </c>
      <c r="AZ1064" s="2">
        <v>6.8</v>
      </c>
      <c r="BA1064" s="2">
        <v>19.899999999999999</v>
      </c>
      <c r="BB1064" s="2">
        <v>564</v>
      </c>
      <c r="BC1064" s="2">
        <v>68</v>
      </c>
      <c r="BD1064" s="2">
        <v>1.5</v>
      </c>
      <c r="BE1064" s="2">
        <v>135</v>
      </c>
      <c r="BF1064" s="2">
        <v>0.8</v>
      </c>
      <c r="BG1064" s="2">
        <v>162</v>
      </c>
      <c r="BH1064" s="2">
        <v>9.1</v>
      </c>
      <c r="BI1064" s="2">
        <v>9.1999999999999993</v>
      </c>
      <c r="BJ1064" s="2">
        <v>18.3</v>
      </c>
      <c r="BK1064" s="2">
        <v>0.34</v>
      </c>
      <c r="BL1064" s="2">
        <v>7.3</v>
      </c>
      <c r="BM1064" s="2">
        <v>0.9</v>
      </c>
      <c r="BN1064" s="2">
        <v>7.5</v>
      </c>
      <c r="BO1064" s="2">
        <v>2.9</v>
      </c>
      <c r="BP1064" s="2">
        <f t="shared" si="32"/>
        <v>6.2493574940548484</v>
      </c>
      <c r="BQ1064" s="2">
        <f t="shared" si="33"/>
        <v>19.101697553586995</v>
      </c>
    </row>
    <row r="1065" spans="1:69" x14ac:dyDescent="0.2">
      <c r="A1065" s="2" t="s">
        <v>4072</v>
      </c>
      <c r="B1065" s="2" t="s">
        <v>47</v>
      </c>
      <c r="C1065" s="2" t="s">
        <v>3273</v>
      </c>
      <c r="D1065" s="2" t="s">
        <v>49</v>
      </c>
      <c r="E1065" s="2" t="s">
        <v>3246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89</v>
      </c>
      <c r="L1065" s="6" t="s">
        <v>112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4073</v>
      </c>
      <c r="R1065" s="2">
        <v>9740577.5820000004</v>
      </c>
      <c r="S1065" s="2">
        <v>0</v>
      </c>
      <c r="T1065" s="2" t="s">
        <v>54</v>
      </c>
      <c r="U1065" s="2" t="s">
        <v>55</v>
      </c>
      <c r="V1065" s="2" t="s">
        <v>56</v>
      </c>
      <c r="W1065" s="2" t="s">
        <v>57</v>
      </c>
      <c r="X1065" s="2" t="s">
        <v>58</v>
      </c>
      <c r="Y1065" s="2">
        <v>2.20051041560711</v>
      </c>
      <c r="Z1065" s="2">
        <v>2200.5104156071102</v>
      </c>
      <c r="AA1065" s="2">
        <v>4.6584666666666701</v>
      </c>
      <c r="AB1065" s="2">
        <v>-74.083966666666697</v>
      </c>
      <c r="AC1065" s="2">
        <v>2552</v>
      </c>
      <c r="AD1065" s="2">
        <v>0</v>
      </c>
      <c r="AE1065" s="2" t="s">
        <v>59</v>
      </c>
      <c r="AF1065" s="2" t="s">
        <v>60</v>
      </c>
      <c r="AG1065" s="2" t="s">
        <v>61</v>
      </c>
      <c r="AH1065" s="2" t="s">
        <v>62</v>
      </c>
      <c r="AI1065" s="2" t="s">
        <v>321</v>
      </c>
      <c r="AJ1065" s="2">
        <v>0.42517891079458803</v>
      </c>
      <c r="AK1065" s="2">
        <v>2.0509856690664701</v>
      </c>
      <c r="AL1065" s="2">
        <v>0.28851635739166098</v>
      </c>
      <c r="AM1065" s="2">
        <v>0.134243914463716</v>
      </c>
      <c r="AN1065" s="2">
        <v>2.1617625928390298</v>
      </c>
      <c r="AO1065" s="2">
        <v>0.23286731491364299</v>
      </c>
      <c r="AP1065" s="2">
        <v>0.23286731491364299</v>
      </c>
      <c r="AQ1065" s="2">
        <v>1</v>
      </c>
      <c r="AR1065" s="2">
        <v>5</v>
      </c>
      <c r="AS1065" s="2">
        <v>0</v>
      </c>
      <c r="AT1065" s="2">
        <v>0</v>
      </c>
      <c r="AU1065" s="2">
        <v>18</v>
      </c>
      <c r="AV1065" s="2">
        <v>141</v>
      </c>
      <c r="AW1065" s="2">
        <v>0</v>
      </c>
      <c r="AX1065" s="2">
        <v>0</v>
      </c>
      <c r="AZ1065" s="2">
        <v>6.8</v>
      </c>
      <c r="BA1065" s="2">
        <v>19.899999999999999</v>
      </c>
      <c r="BB1065" s="2">
        <v>564</v>
      </c>
      <c r="BC1065" s="2">
        <v>68</v>
      </c>
      <c r="BD1065" s="2">
        <v>1.5</v>
      </c>
      <c r="BE1065" s="2">
        <v>135</v>
      </c>
      <c r="BF1065" s="2">
        <v>0.8</v>
      </c>
      <c r="BG1065" s="2">
        <v>162</v>
      </c>
      <c r="BH1065" s="2">
        <v>9.1</v>
      </c>
      <c r="BI1065" s="2">
        <v>9.1999999999999993</v>
      </c>
      <c r="BJ1065" s="2">
        <v>18.3</v>
      </c>
      <c r="BK1065" s="2">
        <v>0.34</v>
      </c>
      <c r="BL1065" s="2">
        <v>7.3</v>
      </c>
      <c r="BM1065" s="2">
        <v>0.9</v>
      </c>
      <c r="BN1065" s="2">
        <v>7.5</v>
      </c>
      <c r="BO1065" s="2">
        <v>2.9</v>
      </c>
      <c r="BP1065" s="2">
        <f t="shared" si="32"/>
        <v>6.098222569130578</v>
      </c>
      <c r="BQ1065" s="2">
        <f t="shared" si="33"/>
        <v>18.876305942643725</v>
      </c>
    </row>
    <row r="1066" spans="1:69" x14ac:dyDescent="0.2">
      <c r="A1066" s="2" t="s">
        <v>4239</v>
      </c>
      <c r="B1066" s="2" t="s">
        <v>47</v>
      </c>
      <c r="C1066" s="2" t="s">
        <v>3273</v>
      </c>
      <c r="D1066" s="2" t="s">
        <v>49</v>
      </c>
      <c r="E1066" s="2" t="s">
        <v>927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89</v>
      </c>
      <c r="L1066" s="6" t="s">
        <v>141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4240</v>
      </c>
      <c r="R1066" s="2">
        <v>6312127.2369999997</v>
      </c>
      <c r="S1066" s="2">
        <v>0</v>
      </c>
      <c r="T1066" s="2" t="s">
        <v>105</v>
      </c>
      <c r="U1066" s="2" t="s">
        <v>106</v>
      </c>
      <c r="V1066" s="2" t="s">
        <v>56</v>
      </c>
      <c r="W1066" s="2" t="s">
        <v>107</v>
      </c>
      <c r="X1066" s="2" t="s">
        <v>108</v>
      </c>
      <c r="Y1066" s="2">
        <v>1.0882256447657499</v>
      </c>
      <c r="Z1066" s="2">
        <v>1088.2256447657501</v>
      </c>
      <c r="AA1066" s="2">
        <v>4.6254861111111101</v>
      </c>
      <c r="AB1066" s="2">
        <v>-74.066980555555503</v>
      </c>
      <c r="AC1066" s="2">
        <v>2621</v>
      </c>
      <c r="AD1066" s="2">
        <v>15</v>
      </c>
      <c r="AE1066" s="2" t="s">
        <v>59</v>
      </c>
      <c r="AF1066" s="2" t="s">
        <v>60</v>
      </c>
      <c r="AG1066" s="2" t="s">
        <v>61</v>
      </c>
      <c r="AH1066" s="2" t="s">
        <v>62</v>
      </c>
      <c r="AI1066" s="2" t="s">
        <v>109</v>
      </c>
      <c r="AJ1066" s="2">
        <v>0.344124353094858</v>
      </c>
      <c r="AK1066" s="2">
        <v>0.57506704318573099</v>
      </c>
      <c r="AL1066" s="2">
        <v>0.25404568378831699</v>
      </c>
      <c r="AM1066" s="2">
        <v>6.1337853584023397E-2</v>
      </c>
      <c r="AN1066" s="2">
        <v>0.85514778977001005</v>
      </c>
      <c r="AO1066" s="2">
        <v>0.11796524628818</v>
      </c>
      <c r="AP1066" s="2">
        <v>0.11796524628818</v>
      </c>
      <c r="AQ1066" s="2">
        <v>2</v>
      </c>
      <c r="AR1066" s="2">
        <v>5</v>
      </c>
      <c r="AS1066" s="2">
        <v>0</v>
      </c>
      <c r="AT1066" s="2">
        <v>22</v>
      </c>
      <c r="AU1066" s="2">
        <v>11</v>
      </c>
      <c r="AV1066" s="2">
        <v>150</v>
      </c>
      <c r="AW1066" s="2">
        <v>1</v>
      </c>
      <c r="AX1066" s="2">
        <v>0</v>
      </c>
      <c r="AZ1066" s="2">
        <v>6.8</v>
      </c>
      <c r="BA1066" s="2">
        <v>19.899999999999999</v>
      </c>
      <c r="BB1066" s="2">
        <v>564</v>
      </c>
      <c r="BC1066" s="2">
        <v>68</v>
      </c>
      <c r="BD1066" s="2">
        <v>1.5</v>
      </c>
      <c r="BE1066" s="2">
        <v>135</v>
      </c>
      <c r="BF1066" s="2">
        <v>0.8</v>
      </c>
      <c r="BG1066" s="2">
        <v>162</v>
      </c>
      <c r="BH1066" s="2">
        <v>9.1</v>
      </c>
      <c r="BI1066" s="2">
        <v>9.1999999999999993</v>
      </c>
      <c r="BJ1066" s="2">
        <v>18.3</v>
      </c>
      <c r="BK1066" s="2">
        <v>0.34</v>
      </c>
      <c r="BL1066" s="2">
        <v>7.3</v>
      </c>
      <c r="BM1066" s="2">
        <v>0.9</v>
      </c>
      <c r="BN1066" s="2">
        <v>7.5</v>
      </c>
      <c r="BO1066" s="2">
        <v>2.9</v>
      </c>
      <c r="BP1066" s="2">
        <f t="shared" si="32"/>
        <v>6.4433941471793643</v>
      </c>
      <c r="BQ1066" s="2">
        <f t="shared" si="33"/>
        <v>19.386991816729605</v>
      </c>
    </row>
    <row r="1067" spans="1:69" x14ac:dyDescent="0.2">
      <c r="A1067" s="2" t="s">
        <v>4403</v>
      </c>
      <c r="B1067" s="2" t="s">
        <v>47</v>
      </c>
      <c r="C1067" s="2" t="s">
        <v>3273</v>
      </c>
      <c r="D1067" s="2" t="s">
        <v>49</v>
      </c>
      <c r="E1067" s="2" t="s">
        <v>2500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89</v>
      </c>
      <c r="L1067" s="6" t="s">
        <v>90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4404</v>
      </c>
      <c r="R1067" s="2">
        <v>10750000</v>
      </c>
      <c r="S1067" s="2">
        <v>0</v>
      </c>
      <c r="T1067" s="2" t="s">
        <v>54</v>
      </c>
      <c r="U1067" s="2" t="s">
        <v>55</v>
      </c>
      <c r="V1067" s="2" t="s">
        <v>56</v>
      </c>
      <c r="W1067" s="2" t="s">
        <v>57</v>
      </c>
      <c r="X1067" s="2" t="s">
        <v>58</v>
      </c>
      <c r="Y1067" s="2">
        <v>3.40000499535885</v>
      </c>
      <c r="Z1067" s="2">
        <v>3400.00499535885</v>
      </c>
      <c r="AA1067" s="2">
        <v>4.6584666666666701</v>
      </c>
      <c r="AB1067" s="2">
        <v>-74.083966666666697</v>
      </c>
      <c r="AC1067" s="2">
        <v>2552</v>
      </c>
      <c r="AD1067" s="2">
        <v>0</v>
      </c>
      <c r="AE1067" s="2" t="s">
        <v>59</v>
      </c>
      <c r="AF1067" s="2" t="s">
        <v>60</v>
      </c>
      <c r="AG1067" s="2" t="s">
        <v>61</v>
      </c>
      <c r="AH1067" s="2" t="s">
        <v>62</v>
      </c>
      <c r="AI1067" s="2" t="s">
        <v>321</v>
      </c>
      <c r="AJ1067" s="2">
        <v>0.10367805759798999</v>
      </c>
      <c r="AK1067" s="2">
        <v>2.0311225628915399</v>
      </c>
      <c r="AL1067" s="2">
        <v>0.34943716268133901</v>
      </c>
      <c r="AM1067" s="2">
        <v>4.6327946962965501E-2</v>
      </c>
      <c r="AN1067" s="2">
        <v>2.5048625739033699</v>
      </c>
      <c r="AO1067" s="2">
        <v>0.39563988233499298</v>
      </c>
      <c r="AP1067" s="2">
        <v>0.39563988233499298</v>
      </c>
      <c r="AQ1067" s="2">
        <v>2</v>
      </c>
      <c r="AR1067" s="2">
        <v>9</v>
      </c>
      <c r="AS1067" s="2">
        <v>0</v>
      </c>
      <c r="AT1067" s="2">
        <v>0</v>
      </c>
      <c r="AU1067" s="2">
        <v>2</v>
      </c>
      <c r="AV1067" s="2">
        <v>320</v>
      </c>
      <c r="AW1067" s="2">
        <v>0</v>
      </c>
      <c r="AX1067" s="2">
        <v>0</v>
      </c>
      <c r="AZ1067" s="2">
        <v>6.8</v>
      </c>
      <c r="BA1067" s="2">
        <v>19.899999999999999</v>
      </c>
      <c r="BB1067" s="2">
        <v>564</v>
      </c>
      <c r="BC1067" s="2">
        <v>68</v>
      </c>
      <c r="BD1067" s="2">
        <v>1.5</v>
      </c>
      <c r="BE1067" s="2">
        <v>135</v>
      </c>
      <c r="BF1067" s="2">
        <v>0.8</v>
      </c>
      <c r="BG1067" s="2">
        <v>162</v>
      </c>
      <c r="BH1067" s="2">
        <v>9.1</v>
      </c>
      <c r="BI1067" s="2">
        <v>9.1999999999999993</v>
      </c>
      <c r="BJ1067" s="2">
        <v>18.3</v>
      </c>
      <c r="BK1067" s="2">
        <v>0.34</v>
      </c>
      <c r="BL1067" s="2">
        <v>7.3</v>
      </c>
      <c r="BM1067" s="2">
        <v>0.9</v>
      </c>
      <c r="BN1067" s="2">
        <v>7.5</v>
      </c>
      <c r="BO1067" s="2">
        <v>2.9</v>
      </c>
      <c r="BP1067" s="2">
        <f t="shared" si="32"/>
        <v>5.7466803917019824</v>
      </c>
      <c r="BQ1067" s="2">
        <f t="shared" si="33"/>
        <v>18.340644570874534</v>
      </c>
    </row>
    <row r="1068" spans="1:69" x14ac:dyDescent="0.2">
      <c r="A1068" s="2" t="s">
        <v>4130</v>
      </c>
      <c r="B1068" s="2" t="s">
        <v>47</v>
      </c>
      <c r="C1068" s="2" t="s">
        <v>3273</v>
      </c>
      <c r="D1068" s="2" t="s">
        <v>49</v>
      </c>
      <c r="E1068" s="2" t="s">
        <v>1605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89</v>
      </c>
      <c r="L1068" s="6" t="s">
        <v>90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4131</v>
      </c>
      <c r="R1068" s="2">
        <v>9500000</v>
      </c>
      <c r="S1068" s="2">
        <v>0</v>
      </c>
      <c r="T1068" s="2" t="s">
        <v>54</v>
      </c>
      <c r="U1068" s="2" t="s">
        <v>55</v>
      </c>
      <c r="V1068" s="2" t="s">
        <v>56</v>
      </c>
      <c r="W1068" s="2" t="s">
        <v>57</v>
      </c>
      <c r="X1068" s="2" t="s">
        <v>58</v>
      </c>
      <c r="Y1068" s="2">
        <v>2.1656053667068398</v>
      </c>
      <c r="Z1068" s="2">
        <v>2165.60536670684</v>
      </c>
      <c r="AA1068" s="2">
        <v>4.6584666666666701</v>
      </c>
      <c r="AB1068" s="2">
        <v>-74.083966666666697</v>
      </c>
      <c r="AC1068" s="2">
        <v>2552</v>
      </c>
      <c r="AD1068" s="2">
        <v>0</v>
      </c>
      <c r="AE1068" s="2" t="s">
        <v>59</v>
      </c>
      <c r="AF1068" s="2" t="s">
        <v>60</v>
      </c>
      <c r="AG1068" s="2" t="s">
        <v>61</v>
      </c>
      <c r="AH1068" s="2" t="s">
        <v>62</v>
      </c>
      <c r="AI1068" s="2" t="s">
        <v>321</v>
      </c>
      <c r="AJ1068" s="2">
        <v>0.28656320747302699</v>
      </c>
      <c r="AK1068" s="2">
        <v>1.6049300017594901</v>
      </c>
      <c r="AL1068" s="2">
        <v>0.15338437605572999</v>
      </c>
      <c r="AM1068" s="2">
        <v>6.2938871164205004E-2</v>
      </c>
      <c r="AN1068" s="2">
        <v>1.5019133276301699</v>
      </c>
      <c r="AO1068" s="2">
        <v>0.14322556854037899</v>
      </c>
      <c r="AP1068" s="2">
        <v>0.14322556854037899</v>
      </c>
      <c r="AQ1068" s="2">
        <v>1</v>
      </c>
      <c r="AR1068" s="2">
        <v>3</v>
      </c>
      <c r="AS1068" s="2">
        <v>0</v>
      </c>
      <c r="AT1068" s="2">
        <v>0</v>
      </c>
      <c r="AU1068" s="2">
        <v>24</v>
      </c>
      <c r="AV1068" s="2">
        <v>85</v>
      </c>
      <c r="AW1068" s="2">
        <v>0</v>
      </c>
      <c r="AX1068" s="2">
        <v>0</v>
      </c>
      <c r="AZ1068" s="2">
        <v>6.8</v>
      </c>
      <c r="BA1068" s="2">
        <v>19.899999999999999</v>
      </c>
      <c r="BB1068" s="2">
        <v>564</v>
      </c>
      <c r="BC1068" s="2">
        <v>68</v>
      </c>
      <c r="BD1068" s="2">
        <v>1.5</v>
      </c>
      <c r="BE1068" s="2">
        <v>135</v>
      </c>
      <c r="BF1068" s="2">
        <v>0.8</v>
      </c>
      <c r="BG1068" s="2">
        <v>162</v>
      </c>
      <c r="BH1068" s="2">
        <v>9.1</v>
      </c>
      <c r="BI1068" s="2">
        <v>9.1999999999999993</v>
      </c>
      <c r="BJ1068" s="2">
        <v>18.3</v>
      </c>
      <c r="BK1068" s="2">
        <v>0.34</v>
      </c>
      <c r="BL1068" s="2">
        <v>7.3</v>
      </c>
      <c r="BM1068" s="2">
        <v>0.9</v>
      </c>
      <c r="BN1068" s="2">
        <v>7.5</v>
      </c>
      <c r="BO1068" s="2">
        <v>2.9</v>
      </c>
      <c r="BP1068" s="2">
        <f t="shared" si="32"/>
        <v>6.1087681853350402</v>
      </c>
      <c r="BQ1068" s="2">
        <f t="shared" si="33"/>
        <v>18.892125649137739</v>
      </c>
    </row>
    <row r="1069" spans="1:69" x14ac:dyDescent="0.2">
      <c r="A1069" s="2" t="s">
        <v>4334</v>
      </c>
      <c r="B1069" s="2" t="s">
        <v>47</v>
      </c>
      <c r="C1069" s="2" t="s">
        <v>3273</v>
      </c>
      <c r="D1069" s="2" t="s">
        <v>49</v>
      </c>
      <c r="E1069" s="2" t="s">
        <v>115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89</v>
      </c>
      <c r="L1069" s="6" t="s">
        <v>112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4335</v>
      </c>
      <c r="R1069" s="2">
        <v>9250000</v>
      </c>
      <c r="S1069" s="2">
        <v>0</v>
      </c>
      <c r="T1069" s="2" t="s">
        <v>105</v>
      </c>
      <c r="U1069" s="2" t="s">
        <v>106</v>
      </c>
      <c r="V1069" s="2" t="s">
        <v>56</v>
      </c>
      <c r="W1069" s="2" t="s">
        <v>107</v>
      </c>
      <c r="X1069" s="2" t="s">
        <v>108</v>
      </c>
      <c r="Y1069" s="2">
        <v>1.0719973963234299</v>
      </c>
      <c r="Z1069" s="2">
        <v>1071.9973963234299</v>
      </c>
      <c r="AA1069" s="2">
        <v>4.6254861111111101</v>
      </c>
      <c r="AB1069" s="2">
        <v>-74.066980555555503</v>
      </c>
      <c r="AC1069" s="2">
        <v>2621</v>
      </c>
      <c r="AD1069" s="2">
        <v>15</v>
      </c>
      <c r="AE1069" s="2" t="s">
        <v>59</v>
      </c>
      <c r="AF1069" s="2" t="s">
        <v>60</v>
      </c>
      <c r="AG1069" s="2" t="s">
        <v>61</v>
      </c>
      <c r="AH1069" s="2" t="s">
        <v>62</v>
      </c>
      <c r="AI1069" s="2" t="s">
        <v>117</v>
      </c>
      <c r="AJ1069" s="2">
        <v>0.15566678375343301</v>
      </c>
      <c r="AK1069" s="2">
        <v>0.79171783730697698</v>
      </c>
      <c r="AL1069" s="2">
        <v>0.21620866221139101</v>
      </c>
      <c r="AM1069" s="2">
        <v>3.8112851878542499E-2</v>
      </c>
      <c r="AN1069" s="2">
        <v>0.50889627349337896</v>
      </c>
      <c r="AO1069" s="2">
        <v>0.24693910484902501</v>
      </c>
      <c r="AP1069" s="2">
        <v>0.24693910484902501</v>
      </c>
      <c r="AQ1069" s="2">
        <v>2</v>
      </c>
      <c r="AR1069" s="2">
        <v>7</v>
      </c>
      <c r="AS1069" s="2">
        <v>0</v>
      </c>
      <c r="AT1069" s="2">
        <v>1</v>
      </c>
      <c r="AU1069" s="2">
        <v>12</v>
      </c>
      <c r="AV1069" s="2">
        <v>62</v>
      </c>
      <c r="AW1069" s="2">
        <v>1</v>
      </c>
      <c r="AX1069" s="2">
        <v>4</v>
      </c>
      <c r="AZ1069" s="2">
        <v>6.8</v>
      </c>
      <c r="BA1069" s="2">
        <v>19.899999999999999</v>
      </c>
      <c r="BB1069" s="2">
        <v>564</v>
      </c>
      <c r="BC1069" s="2">
        <v>68</v>
      </c>
      <c r="BD1069" s="2">
        <v>1.5</v>
      </c>
      <c r="BE1069" s="2">
        <v>135</v>
      </c>
      <c r="BF1069" s="2">
        <v>0.8</v>
      </c>
      <c r="BG1069" s="2">
        <v>162</v>
      </c>
      <c r="BH1069" s="2">
        <v>9.1</v>
      </c>
      <c r="BI1069" s="2">
        <v>9.1999999999999993</v>
      </c>
      <c r="BJ1069" s="2">
        <v>18.3</v>
      </c>
      <c r="BK1069" s="2">
        <v>0.34</v>
      </c>
      <c r="BL1069" s="2">
        <v>7.3</v>
      </c>
      <c r="BM1069" s="2">
        <v>0.9</v>
      </c>
      <c r="BN1069" s="2">
        <v>7.5</v>
      </c>
      <c r="BO1069" s="2">
        <v>2.9</v>
      </c>
      <c r="BP1069" s="2">
        <f t="shared" si="32"/>
        <v>6.4485721942101977</v>
      </c>
      <c r="BQ1069" s="2">
        <f t="shared" si="33"/>
        <v>19.394544093430834</v>
      </c>
    </row>
    <row r="1070" spans="1:69" x14ac:dyDescent="0.2">
      <c r="A1070" s="2" t="s">
        <v>4379</v>
      </c>
      <c r="B1070" s="2" t="s">
        <v>47</v>
      </c>
      <c r="C1070" s="2" t="s">
        <v>3273</v>
      </c>
      <c r="D1070" s="2" t="s">
        <v>49</v>
      </c>
      <c r="E1070" s="2" t="s">
        <v>52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89</v>
      </c>
      <c r="L1070" s="6" t="s">
        <v>90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4380</v>
      </c>
      <c r="R1070" s="2">
        <v>8872500</v>
      </c>
      <c r="S1070" s="2">
        <v>0</v>
      </c>
      <c r="T1070" s="2" t="s">
        <v>54</v>
      </c>
      <c r="U1070" s="2" t="s">
        <v>55</v>
      </c>
      <c r="V1070" s="2" t="s">
        <v>56</v>
      </c>
      <c r="W1070" s="2" t="s">
        <v>57</v>
      </c>
      <c r="X1070" s="2" t="s">
        <v>58</v>
      </c>
      <c r="Y1070" s="2">
        <v>2.03815967763438</v>
      </c>
      <c r="Z1070" s="2">
        <v>2038.1596776343799</v>
      </c>
      <c r="AA1070" s="2">
        <v>4.6584666666666701</v>
      </c>
      <c r="AB1070" s="2">
        <v>-74.083966666666697</v>
      </c>
      <c r="AC1070" s="2">
        <v>2552</v>
      </c>
      <c r="AD1070" s="2">
        <v>0</v>
      </c>
      <c r="AE1070" s="2" t="s">
        <v>59</v>
      </c>
      <c r="AF1070" s="2" t="s">
        <v>60</v>
      </c>
      <c r="AG1070" s="2" t="s">
        <v>61</v>
      </c>
      <c r="AH1070" s="2" t="s">
        <v>62</v>
      </c>
      <c r="AI1070" s="2" t="s">
        <v>63</v>
      </c>
      <c r="AJ1070" s="2">
        <v>0.65878484924675496</v>
      </c>
      <c r="AK1070" s="2">
        <v>1.73871759791223</v>
      </c>
      <c r="AL1070" s="2">
        <v>0.14785292373776299</v>
      </c>
      <c r="AM1070" s="2">
        <v>5.7192771985503398E-2</v>
      </c>
      <c r="AN1070" s="2">
        <v>1.6366732923910701</v>
      </c>
      <c r="AO1070" s="2">
        <v>0.38866264883801599</v>
      </c>
      <c r="AP1070" s="2">
        <v>0.38866264883801599</v>
      </c>
      <c r="AQ1070" s="2">
        <v>0</v>
      </c>
      <c r="AR1070" s="2">
        <v>5</v>
      </c>
      <c r="AS1070" s="2">
        <v>0</v>
      </c>
      <c r="AT1070" s="2">
        <v>0</v>
      </c>
      <c r="AU1070" s="2">
        <v>7</v>
      </c>
      <c r="AV1070" s="2">
        <v>116</v>
      </c>
      <c r="AW1070" s="2">
        <v>0</v>
      </c>
      <c r="AX1070" s="2">
        <v>0</v>
      </c>
      <c r="AZ1070" s="2">
        <v>6.8</v>
      </c>
      <c r="BA1070" s="2">
        <v>19.899999999999999</v>
      </c>
      <c r="BB1070" s="2">
        <v>564</v>
      </c>
      <c r="BC1070" s="2">
        <v>68</v>
      </c>
      <c r="BD1070" s="2">
        <v>1.5</v>
      </c>
      <c r="BE1070" s="2">
        <v>135</v>
      </c>
      <c r="BF1070" s="2">
        <v>0.8</v>
      </c>
      <c r="BG1070" s="2">
        <v>162</v>
      </c>
      <c r="BH1070" s="2">
        <v>9.1</v>
      </c>
      <c r="BI1070" s="2">
        <v>9.1999999999999993</v>
      </c>
      <c r="BJ1070" s="2">
        <v>18.3</v>
      </c>
      <c r="BK1070" s="2">
        <v>0.34</v>
      </c>
      <c r="BL1070" s="2">
        <v>7.3</v>
      </c>
      <c r="BM1070" s="2">
        <v>0.9</v>
      </c>
      <c r="BN1070" s="2">
        <v>7.5</v>
      </c>
      <c r="BO1070" s="2">
        <v>2.9</v>
      </c>
      <c r="BP1070" s="2">
        <f t="shared" si="32"/>
        <v>6.1474275400347995</v>
      </c>
      <c r="BQ1070" s="2">
        <f t="shared" si="33"/>
        <v>18.949999392440006</v>
      </c>
    </row>
    <row r="1071" spans="1:69" x14ac:dyDescent="0.2">
      <c r="A1071" s="2" t="s">
        <v>915</v>
      </c>
      <c r="B1071" s="2" t="s">
        <v>47</v>
      </c>
      <c r="C1071" s="2" t="s">
        <v>48</v>
      </c>
      <c r="D1071" s="2" t="s">
        <v>49</v>
      </c>
      <c r="E1071" s="2" t="s">
        <v>618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51</v>
      </c>
      <c r="L1071" s="6" t="s">
        <v>52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916</v>
      </c>
      <c r="R1071" s="2">
        <v>10370000</v>
      </c>
      <c r="S1071" s="2">
        <v>0</v>
      </c>
      <c r="T1071" s="2" t="s">
        <v>54</v>
      </c>
      <c r="U1071" s="2" t="s">
        <v>55</v>
      </c>
      <c r="V1071" s="2" t="s">
        <v>56</v>
      </c>
      <c r="W1071" s="2" t="s">
        <v>57</v>
      </c>
      <c r="X1071" s="2" t="s">
        <v>58</v>
      </c>
      <c r="Y1071" s="2">
        <v>0.57725282118917798</v>
      </c>
      <c r="Z1071" s="2">
        <v>577.25282118917801</v>
      </c>
      <c r="AA1071" s="2">
        <v>4.6584666666666701</v>
      </c>
      <c r="AB1071" s="2">
        <v>-74.083966666666697</v>
      </c>
      <c r="AC1071" s="2">
        <v>2552</v>
      </c>
      <c r="AD1071" s="2">
        <v>0</v>
      </c>
      <c r="AE1071" s="2" t="s">
        <v>59</v>
      </c>
      <c r="AF1071" s="2" t="s">
        <v>60</v>
      </c>
      <c r="AG1071" s="2" t="s">
        <v>61</v>
      </c>
      <c r="AH1071" s="2" t="s">
        <v>62</v>
      </c>
      <c r="AI1071" s="2" t="s">
        <v>321</v>
      </c>
      <c r="AJ1071" s="2">
        <v>0.45664851021150199</v>
      </c>
      <c r="AK1071" s="2">
        <v>3.2906681362303898</v>
      </c>
      <c r="AL1071" s="2">
        <v>1.2641850056572299</v>
      </c>
      <c r="AM1071" s="2">
        <v>0.10222706298203101</v>
      </c>
      <c r="AN1071" s="2">
        <v>1.4375849002076899</v>
      </c>
      <c r="AO1071" s="2">
        <v>0.20029136224211999</v>
      </c>
      <c r="AP1071" s="2">
        <v>0.20029136224211999</v>
      </c>
      <c r="AQ1071" s="2">
        <v>1</v>
      </c>
      <c r="AR1071" s="2">
        <v>2</v>
      </c>
      <c r="AS1071" s="2">
        <v>0</v>
      </c>
      <c r="AT1071" s="2">
        <v>0</v>
      </c>
      <c r="AU1071" s="2">
        <v>0</v>
      </c>
      <c r="AV1071" s="2">
        <v>22</v>
      </c>
      <c r="AW1071" s="2">
        <v>0</v>
      </c>
      <c r="AX1071" s="2">
        <v>0</v>
      </c>
      <c r="AZ1071" s="2">
        <v>6.8</v>
      </c>
      <c r="BA1071" s="2">
        <v>19.899999999999999</v>
      </c>
      <c r="BB1071" s="2">
        <v>564</v>
      </c>
      <c r="BC1071" s="2">
        <v>68</v>
      </c>
      <c r="BD1071" s="2">
        <v>1.5</v>
      </c>
      <c r="BE1071" s="2">
        <v>135</v>
      </c>
      <c r="BF1071" s="2">
        <v>0.8</v>
      </c>
      <c r="BG1071" s="2">
        <v>162</v>
      </c>
      <c r="BH1071" s="2">
        <v>9.1</v>
      </c>
      <c r="BI1071" s="2">
        <v>9.1999999999999993</v>
      </c>
      <c r="BJ1071" s="2">
        <v>18.3</v>
      </c>
      <c r="BK1071" s="2">
        <v>0.34</v>
      </c>
      <c r="BL1071" s="2">
        <v>7.3</v>
      </c>
      <c r="BM1071" s="2">
        <v>0.9</v>
      </c>
      <c r="BN1071" s="2">
        <v>7.5</v>
      </c>
      <c r="BO1071" s="2">
        <v>2.9</v>
      </c>
      <c r="BP1071" s="2">
        <f t="shared" si="32"/>
        <v>6.6084464602478965</v>
      </c>
      <c r="BQ1071" s="2">
        <f t="shared" si="33"/>
        <v>19.626205018930062</v>
      </c>
    </row>
    <row r="1072" spans="1:69" x14ac:dyDescent="0.2">
      <c r="A1072" s="2" t="s">
        <v>4426</v>
      </c>
      <c r="B1072" s="2" t="s">
        <v>47</v>
      </c>
      <c r="C1072" s="2" t="s">
        <v>3273</v>
      </c>
      <c r="D1072" s="2" t="s">
        <v>49</v>
      </c>
      <c r="E1072" s="2" t="s">
        <v>3465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89</v>
      </c>
      <c r="L1072" s="6" t="s">
        <v>112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4427</v>
      </c>
      <c r="R1072" s="2">
        <v>9487179.4869999997</v>
      </c>
      <c r="S1072" s="2">
        <v>0</v>
      </c>
      <c r="T1072" s="2" t="s">
        <v>105</v>
      </c>
      <c r="U1072" s="2" t="s">
        <v>106</v>
      </c>
      <c r="V1072" s="2" t="s">
        <v>56</v>
      </c>
      <c r="W1072" s="2" t="s">
        <v>107</v>
      </c>
      <c r="X1072" s="2" t="s">
        <v>108</v>
      </c>
      <c r="Y1072" s="2">
        <v>2.2242004173982601</v>
      </c>
      <c r="Z1072" s="2">
        <v>2224.20041739826</v>
      </c>
      <c r="AA1072" s="2">
        <v>4.6254861111111101</v>
      </c>
      <c r="AB1072" s="2">
        <v>-74.066980555555503</v>
      </c>
      <c r="AC1072" s="2">
        <v>2621</v>
      </c>
      <c r="AD1072" s="2">
        <v>15</v>
      </c>
      <c r="AE1072" s="2" t="s">
        <v>59</v>
      </c>
      <c r="AF1072" s="2" t="s">
        <v>60</v>
      </c>
      <c r="AG1072" s="2" t="s">
        <v>61</v>
      </c>
      <c r="AH1072" s="2" t="s">
        <v>62</v>
      </c>
      <c r="AI1072" s="2" t="s">
        <v>63</v>
      </c>
      <c r="AJ1072" s="2">
        <v>0.35655386462662603</v>
      </c>
      <c r="AK1072" s="2">
        <v>2.8410565972228699</v>
      </c>
      <c r="AL1072" s="2">
        <v>0.683772321304979</v>
      </c>
      <c r="AM1072" s="2">
        <v>0.33545040689062</v>
      </c>
      <c r="AN1072" s="2">
        <v>2.2224696413016001</v>
      </c>
      <c r="AO1072" s="2">
        <v>0.14741304787135801</v>
      </c>
      <c r="AP1072" s="2">
        <v>0.14741304787135801</v>
      </c>
      <c r="AQ1072" s="2">
        <v>1</v>
      </c>
      <c r="AR1072" s="2">
        <v>5</v>
      </c>
      <c r="AS1072" s="2">
        <v>0</v>
      </c>
      <c r="AT1072" s="2">
        <v>0</v>
      </c>
      <c r="AU1072" s="2">
        <v>2</v>
      </c>
      <c r="AV1072" s="2">
        <v>28</v>
      </c>
      <c r="AW1072" s="2">
        <v>0</v>
      </c>
      <c r="AX1072" s="2">
        <v>0</v>
      </c>
      <c r="AZ1072" s="2">
        <v>6.8</v>
      </c>
      <c r="BA1072" s="2">
        <v>19.899999999999999</v>
      </c>
      <c r="BB1072" s="2">
        <v>564</v>
      </c>
      <c r="BC1072" s="2">
        <v>68</v>
      </c>
      <c r="BD1072" s="2">
        <v>1.5</v>
      </c>
      <c r="BE1072" s="2">
        <v>135</v>
      </c>
      <c r="BF1072" s="2">
        <v>0.8</v>
      </c>
      <c r="BG1072" s="2">
        <v>162</v>
      </c>
      <c r="BH1072" s="2">
        <v>9.1</v>
      </c>
      <c r="BI1072" s="2">
        <v>9.1999999999999993</v>
      </c>
      <c r="BJ1072" s="2">
        <v>18.3</v>
      </c>
      <c r="BK1072" s="2">
        <v>0.34</v>
      </c>
      <c r="BL1072" s="2">
        <v>7.3</v>
      </c>
      <c r="BM1072" s="2">
        <v>0.9</v>
      </c>
      <c r="BN1072" s="2">
        <v>7.5</v>
      </c>
      <c r="BO1072" s="2">
        <v>2.9</v>
      </c>
      <c r="BP1072" s="2">
        <f t="shared" si="32"/>
        <v>6.0910756486584132</v>
      </c>
      <c r="BQ1072" s="2">
        <f t="shared" si="33"/>
        <v>18.865576679729649</v>
      </c>
    </row>
    <row r="1073" spans="1:69" x14ac:dyDescent="0.2">
      <c r="A1073" s="2" t="s">
        <v>4571</v>
      </c>
      <c r="B1073" s="2" t="s">
        <v>47</v>
      </c>
      <c r="C1073" s="2" t="s">
        <v>3273</v>
      </c>
      <c r="D1073" s="2" t="s">
        <v>49</v>
      </c>
      <c r="E1073" s="2" t="s">
        <v>1077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89</v>
      </c>
      <c r="L1073" s="6" t="s">
        <v>90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4572</v>
      </c>
      <c r="R1073" s="2">
        <v>11206896.550000001</v>
      </c>
      <c r="S1073" s="2">
        <v>0</v>
      </c>
      <c r="T1073" s="2" t="s">
        <v>105</v>
      </c>
      <c r="U1073" s="2" t="s">
        <v>106</v>
      </c>
      <c r="V1073" s="2" t="s">
        <v>56</v>
      </c>
      <c r="W1073" s="2" t="s">
        <v>107</v>
      </c>
      <c r="X1073" s="2" t="s">
        <v>108</v>
      </c>
      <c r="Y1073" s="2">
        <v>1.7303039948863199</v>
      </c>
      <c r="Z1073" s="2">
        <v>1730.30399488632</v>
      </c>
      <c r="AA1073" s="2">
        <v>4.6254861111111101</v>
      </c>
      <c r="AB1073" s="2">
        <v>-74.066980555555503</v>
      </c>
      <c r="AC1073" s="2">
        <v>2621</v>
      </c>
      <c r="AD1073" s="2">
        <v>15</v>
      </c>
      <c r="AE1073" s="2" t="s">
        <v>59</v>
      </c>
      <c r="AF1073" s="2" t="s">
        <v>60</v>
      </c>
      <c r="AG1073" s="2" t="s">
        <v>61</v>
      </c>
      <c r="AH1073" s="2" t="s">
        <v>62</v>
      </c>
      <c r="AI1073" s="2" t="s">
        <v>117</v>
      </c>
      <c r="AJ1073" s="2">
        <v>0.14900289134692199</v>
      </c>
      <c r="AK1073" s="2">
        <v>0.63102433007343794</v>
      </c>
      <c r="AL1073" s="2">
        <v>0.28083040726213199</v>
      </c>
      <c r="AM1073" s="2">
        <v>0.270972018246874</v>
      </c>
      <c r="AN1073" s="2">
        <v>0.70264826900877198</v>
      </c>
      <c r="AO1073" s="2">
        <v>6.16071544114761E-2</v>
      </c>
      <c r="AP1073" s="2">
        <v>6.16071544114761E-2</v>
      </c>
      <c r="AQ1073" s="2">
        <v>1</v>
      </c>
      <c r="AR1073" s="2">
        <v>8</v>
      </c>
      <c r="AS1073" s="2">
        <v>0</v>
      </c>
      <c r="AT1073" s="2">
        <v>24</v>
      </c>
      <c r="AU1073" s="2">
        <v>9</v>
      </c>
      <c r="AV1073" s="2">
        <v>63</v>
      </c>
      <c r="AW1073" s="2">
        <v>1</v>
      </c>
      <c r="AX1073" s="2">
        <v>6</v>
      </c>
      <c r="AZ1073" s="2">
        <v>6.8</v>
      </c>
      <c r="BA1073" s="2">
        <v>19.899999999999999</v>
      </c>
      <c r="BB1073" s="2">
        <v>564</v>
      </c>
      <c r="BC1073" s="2">
        <v>68</v>
      </c>
      <c r="BD1073" s="2">
        <v>1.5</v>
      </c>
      <c r="BE1073" s="2">
        <v>135</v>
      </c>
      <c r="BF1073" s="2">
        <v>0.8</v>
      </c>
      <c r="BG1073" s="2">
        <v>162</v>
      </c>
      <c r="BH1073" s="2">
        <v>9.1</v>
      </c>
      <c r="BI1073" s="2">
        <v>9.1999999999999993</v>
      </c>
      <c r="BJ1073" s="2">
        <v>18.3</v>
      </c>
      <c r="BK1073" s="2">
        <v>0.34</v>
      </c>
      <c r="BL1073" s="2">
        <v>7.3</v>
      </c>
      <c r="BM1073" s="2">
        <v>0.9</v>
      </c>
      <c r="BN1073" s="2">
        <v>7.5</v>
      </c>
      <c r="BO1073" s="2">
        <v>2.9</v>
      </c>
      <c r="BP1073" s="2">
        <f t="shared" si="32"/>
        <v>6.2418247307623007</v>
      </c>
      <c r="BQ1073" s="2">
        <f t="shared" si="33"/>
        <v>19.09053067340108</v>
      </c>
    </row>
    <row r="1074" spans="1:69" x14ac:dyDescent="0.2">
      <c r="A1074" s="2" t="s">
        <v>3969</v>
      </c>
      <c r="B1074" s="2" t="s">
        <v>47</v>
      </c>
      <c r="C1074" s="2" t="s">
        <v>3273</v>
      </c>
      <c r="D1074" s="2" t="s">
        <v>49</v>
      </c>
      <c r="E1074" s="2" t="s">
        <v>147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89</v>
      </c>
      <c r="L1074" s="6" t="s">
        <v>90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3970</v>
      </c>
      <c r="R1074" s="2">
        <v>12631578.949999999</v>
      </c>
      <c r="S1074" s="2">
        <v>0</v>
      </c>
      <c r="T1074" s="2" t="s">
        <v>105</v>
      </c>
      <c r="U1074" s="2" t="s">
        <v>106</v>
      </c>
      <c r="V1074" s="2" t="s">
        <v>56</v>
      </c>
      <c r="W1074" s="2" t="s">
        <v>107</v>
      </c>
      <c r="X1074" s="2" t="s">
        <v>108</v>
      </c>
      <c r="Y1074" s="2">
        <v>2.09094572601972</v>
      </c>
      <c r="Z1074" s="2">
        <v>2090.94572601972</v>
      </c>
      <c r="AA1074" s="2">
        <v>4.6254861111111101</v>
      </c>
      <c r="AB1074" s="2">
        <v>-74.066980555555503</v>
      </c>
      <c r="AC1074" s="2">
        <v>2621</v>
      </c>
      <c r="AD1074" s="2">
        <v>15</v>
      </c>
      <c r="AE1074" s="2" t="s">
        <v>59</v>
      </c>
      <c r="AF1074" s="2" t="s">
        <v>60</v>
      </c>
      <c r="AG1074" s="2" t="s">
        <v>61</v>
      </c>
      <c r="AH1074" s="2" t="s">
        <v>62</v>
      </c>
      <c r="AI1074" s="2" t="s">
        <v>63</v>
      </c>
      <c r="AJ1074" s="2">
        <v>0.24772595230937999</v>
      </c>
      <c r="AK1074" s="2">
        <v>2.7087078232637301</v>
      </c>
      <c r="AL1074" s="2">
        <v>0.57718402679240199</v>
      </c>
      <c r="AM1074" s="2">
        <v>0.30658984240912501</v>
      </c>
      <c r="AN1074" s="2">
        <v>2.0891786263124299</v>
      </c>
      <c r="AO1074" s="2">
        <v>9.2688519412828393E-2</v>
      </c>
      <c r="AP1074" s="2">
        <v>9.2688519412828393E-2</v>
      </c>
      <c r="AQ1074" s="2">
        <v>1</v>
      </c>
      <c r="AR1074" s="2">
        <v>5</v>
      </c>
      <c r="AS1074" s="2">
        <v>0</v>
      </c>
      <c r="AT1074" s="2">
        <v>0</v>
      </c>
      <c r="AU1074" s="2">
        <v>2</v>
      </c>
      <c r="AV1074" s="2">
        <v>27</v>
      </c>
      <c r="AW1074" s="2">
        <v>0</v>
      </c>
      <c r="AX1074" s="2">
        <v>0</v>
      </c>
      <c r="AZ1074" s="2">
        <v>6.8</v>
      </c>
      <c r="BA1074" s="2">
        <v>19.899999999999999</v>
      </c>
      <c r="BB1074" s="2">
        <v>564</v>
      </c>
      <c r="BC1074" s="2">
        <v>68</v>
      </c>
      <c r="BD1074" s="2">
        <v>1.5</v>
      </c>
      <c r="BE1074" s="2">
        <v>135</v>
      </c>
      <c r="BF1074" s="2">
        <v>0.8</v>
      </c>
      <c r="BG1074" s="2">
        <v>162</v>
      </c>
      <c r="BH1074" s="2">
        <v>9.1</v>
      </c>
      <c r="BI1074" s="2">
        <v>9.1999999999999993</v>
      </c>
      <c r="BJ1074" s="2">
        <v>18.3</v>
      </c>
      <c r="BK1074" s="2">
        <v>0.34</v>
      </c>
      <c r="BL1074" s="2">
        <v>7.3</v>
      </c>
      <c r="BM1074" s="2">
        <v>0.9</v>
      </c>
      <c r="BN1074" s="2">
        <v>7.5</v>
      </c>
      <c r="BO1074" s="2">
        <v>2.9</v>
      </c>
      <c r="BP1074" s="2">
        <f t="shared" si="32"/>
        <v>6.131385835746614</v>
      </c>
      <c r="BQ1074" s="2">
        <f t="shared" si="33"/>
        <v>18.926007498859928</v>
      </c>
    </row>
    <row r="1075" spans="1:69" x14ac:dyDescent="0.2">
      <c r="A1075" s="2" t="s">
        <v>4243</v>
      </c>
      <c r="B1075" s="2" t="s">
        <v>47</v>
      </c>
      <c r="C1075" s="2" t="s">
        <v>3273</v>
      </c>
      <c r="D1075" s="2" t="s">
        <v>49</v>
      </c>
      <c r="E1075" s="2" t="s">
        <v>3538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89</v>
      </c>
      <c r="L1075" s="6" t="s">
        <v>90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4244</v>
      </c>
      <c r="R1075" s="2">
        <v>12105263.16</v>
      </c>
      <c r="S1075" s="2">
        <v>0</v>
      </c>
      <c r="T1075" s="2" t="s">
        <v>105</v>
      </c>
      <c r="U1075" s="2" t="s">
        <v>106</v>
      </c>
      <c r="V1075" s="2" t="s">
        <v>56</v>
      </c>
      <c r="W1075" s="2" t="s">
        <v>107</v>
      </c>
      <c r="X1075" s="2" t="s">
        <v>108</v>
      </c>
      <c r="Y1075" s="2">
        <v>1.3767554048533599</v>
      </c>
      <c r="Z1075" s="2">
        <v>1376.75540485336</v>
      </c>
      <c r="AA1075" s="2">
        <v>4.6254861111111101</v>
      </c>
      <c r="AB1075" s="2">
        <v>-74.066980555555503</v>
      </c>
      <c r="AC1075" s="2">
        <v>2621</v>
      </c>
      <c r="AD1075" s="2">
        <v>15</v>
      </c>
      <c r="AE1075" s="2" t="s">
        <v>59</v>
      </c>
      <c r="AF1075" s="2" t="s">
        <v>60</v>
      </c>
      <c r="AG1075" s="2" t="s">
        <v>61</v>
      </c>
      <c r="AH1075" s="2" t="s">
        <v>62</v>
      </c>
      <c r="AI1075" s="2" t="s">
        <v>117</v>
      </c>
      <c r="AJ1075" s="2">
        <v>0.20859495229956401</v>
      </c>
      <c r="AK1075" s="2">
        <v>0.63537759075358202</v>
      </c>
      <c r="AL1075" s="2">
        <v>0.19026566687762</v>
      </c>
      <c r="AM1075" s="2">
        <v>9.3815307045673396E-2</v>
      </c>
      <c r="AN1075" s="2">
        <v>0.414600482625401</v>
      </c>
      <c r="AO1075" s="2">
        <v>1.06945947541207E-2</v>
      </c>
      <c r="AP1075" s="2">
        <v>1.06945947541207E-2</v>
      </c>
      <c r="AQ1075" s="2">
        <v>3</v>
      </c>
      <c r="AR1075" s="2">
        <v>7</v>
      </c>
      <c r="AS1075" s="2">
        <v>0</v>
      </c>
      <c r="AT1075" s="2">
        <v>18</v>
      </c>
      <c r="AU1075" s="2">
        <v>9</v>
      </c>
      <c r="AV1075" s="2">
        <v>66</v>
      </c>
      <c r="AW1075" s="2">
        <v>1</v>
      </c>
      <c r="AX1075" s="2">
        <v>4</v>
      </c>
      <c r="AZ1075" s="2">
        <v>6.8</v>
      </c>
      <c r="BA1075" s="2">
        <v>19.899999999999999</v>
      </c>
      <c r="BB1075" s="2">
        <v>564</v>
      </c>
      <c r="BC1075" s="2">
        <v>68</v>
      </c>
      <c r="BD1075" s="2">
        <v>1.5</v>
      </c>
      <c r="BE1075" s="2">
        <v>135</v>
      </c>
      <c r="BF1075" s="2">
        <v>0.8</v>
      </c>
      <c r="BG1075" s="2">
        <v>162</v>
      </c>
      <c r="BH1075" s="2">
        <v>9.1</v>
      </c>
      <c r="BI1075" s="2">
        <v>9.1999999999999993</v>
      </c>
      <c r="BJ1075" s="2">
        <v>18.3</v>
      </c>
      <c r="BK1075" s="2">
        <v>0.34</v>
      </c>
      <c r="BL1075" s="2">
        <v>7.3</v>
      </c>
      <c r="BM1075" s="2">
        <v>0.9</v>
      </c>
      <c r="BN1075" s="2">
        <v>7.5</v>
      </c>
      <c r="BO1075" s="2">
        <v>2.9</v>
      </c>
      <c r="BP1075" s="2">
        <f t="shared" si="32"/>
        <v>6.3520222047060599</v>
      </c>
      <c r="BQ1075" s="2">
        <f t="shared" si="33"/>
        <v>19.253206186617128</v>
      </c>
    </row>
    <row r="1076" spans="1:69" x14ac:dyDescent="0.2">
      <c r="A1076" s="2" t="s">
        <v>4500</v>
      </c>
      <c r="B1076" s="2" t="s">
        <v>47</v>
      </c>
      <c r="C1076" s="2" t="s">
        <v>3273</v>
      </c>
      <c r="D1076" s="2" t="s">
        <v>49</v>
      </c>
      <c r="E1076" s="2" t="s">
        <v>3389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89</v>
      </c>
      <c r="L1076" s="6" t="s">
        <v>112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4501</v>
      </c>
      <c r="R1076" s="2">
        <v>11184210.529999999</v>
      </c>
      <c r="S1076" s="2">
        <v>0</v>
      </c>
      <c r="T1076" s="2" t="s">
        <v>105</v>
      </c>
      <c r="U1076" s="2" t="s">
        <v>106</v>
      </c>
      <c r="V1076" s="2" t="s">
        <v>56</v>
      </c>
      <c r="W1076" s="2" t="s">
        <v>107</v>
      </c>
      <c r="X1076" s="2" t="s">
        <v>108</v>
      </c>
      <c r="Y1076" s="2">
        <v>2.2216458011568601</v>
      </c>
      <c r="Z1076" s="2">
        <v>2221.6458011568602</v>
      </c>
      <c r="AA1076" s="2">
        <v>4.6254861111111101</v>
      </c>
      <c r="AB1076" s="2">
        <v>-74.066980555555503</v>
      </c>
      <c r="AC1076" s="2">
        <v>2621</v>
      </c>
      <c r="AD1076" s="2">
        <v>15</v>
      </c>
      <c r="AE1076" s="2" t="s">
        <v>59</v>
      </c>
      <c r="AF1076" s="2" t="s">
        <v>60</v>
      </c>
      <c r="AG1076" s="2" t="s">
        <v>61</v>
      </c>
      <c r="AH1076" s="2" t="s">
        <v>62</v>
      </c>
      <c r="AI1076" s="2" t="s">
        <v>117</v>
      </c>
      <c r="AJ1076" s="2">
        <v>0.29753867462803602</v>
      </c>
      <c r="AK1076" s="2">
        <v>0.584230580017846</v>
      </c>
      <c r="AL1076" s="2">
        <v>8.6259365162140195E-2</v>
      </c>
      <c r="AM1076" s="2">
        <v>8.4572768070052595E-2</v>
      </c>
      <c r="AN1076" s="2">
        <v>1.1220487400144099</v>
      </c>
      <c r="AO1076" s="2">
        <v>1.17672720416822E-2</v>
      </c>
      <c r="AP1076" s="2">
        <v>1.17672720416822E-2</v>
      </c>
      <c r="AQ1076" s="2">
        <v>2</v>
      </c>
      <c r="AR1076" s="2">
        <v>8</v>
      </c>
      <c r="AS1076" s="2">
        <v>0</v>
      </c>
      <c r="AT1076" s="2">
        <v>28</v>
      </c>
      <c r="AU1076" s="2">
        <v>12</v>
      </c>
      <c r="AV1076" s="2">
        <v>53</v>
      </c>
      <c r="AW1076" s="2">
        <v>0</v>
      </c>
      <c r="AX1076" s="2">
        <v>9</v>
      </c>
      <c r="AZ1076" s="2">
        <v>6.8</v>
      </c>
      <c r="BA1076" s="2">
        <v>19.899999999999999</v>
      </c>
      <c r="BB1076" s="2">
        <v>564</v>
      </c>
      <c r="BC1076" s="2">
        <v>68</v>
      </c>
      <c r="BD1076" s="2">
        <v>1.5</v>
      </c>
      <c r="BE1076" s="2">
        <v>135</v>
      </c>
      <c r="BF1076" s="2">
        <v>0.8</v>
      </c>
      <c r="BG1076" s="2">
        <v>162</v>
      </c>
      <c r="BH1076" s="2">
        <v>9.1</v>
      </c>
      <c r="BI1076" s="2">
        <v>9.1999999999999993</v>
      </c>
      <c r="BJ1076" s="2">
        <v>18.3</v>
      </c>
      <c r="BK1076" s="2">
        <v>0.34</v>
      </c>
      <c r="BL1076" s="2">
        <v>7.3</v>
      </c>
      <c r="BM1076" s="2">
        <v>0.9</v>
      </c>
      <c r="BN1076" s="2">
        <v>7.5</v>
      </c>
      <c r="BO1076" s="2">
        <v>2.9</v>
      </c>
      <c r="BP1076" s="2">
        <f t="shared" si="32"/>
        <v>6.0918459352186973</v>
      </c>
      <c r="BQ1076" s="2">
        <f t="shared" si="33"/>
        <v>18.866733378594493</v>
      </c>
    </row>
    <row r="1077" spans="1:69" x14ac:dyDescent="0.2">
      <c r="A1077" s="2" t="s">
        <v>4451</v>
      </c>
      <c r="B1077" s="2" t="s">
        <v>47</v>
      </c>
      <c r="C1077" s="2" t="s">
        <v>3273</v>
      </c>
      <c r="D1077" s="2" t="s">
        <v>49</v>
      </c>
      <c r="E1077" s="2" t="s">
        <v>4023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89</v>
      </c>
      <c r="L1077" s="6" t="s">
        <v>90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4452</v>
      </c>
      <c r="R1077" s="2">
        <v>9450000</v>
      </c>
      <c r="S1077" s="2">
        <v>0</v>
      </c>
      <c r="T1077" s="2" t="s">
        <v>105</v>
      </c>
      <c r="U1077" s="2" t="s">
        <v>106</v>
      </c>
      <c r="V1077" s="2" t="s">
        <v>56</v>
      </c>
      <c r="W1077" s="2" t="s">
        <v>107</v>
      </c>
      <c r="X1077" s="2" t="s">
        <v>108</v>
      </c>
      <c r="Y1077" s="2">
        <v>1.74763018314782</v>
      </c>
      <c r="Z1077" s="2">
        <v>1747.6301831478199</v>
      </c>
      <c r="AA1077" s="2">
        <v>4.6254861111111101</v>
      </c>
      <c r="AB1077" s="2">
        <v>-74.066980555555503</v>
      </c>
      <c r="AC1077" s="2">
        <v>2621</v>
      </c>
      <c r="AD1077" s="2">
        <v>15</v>
      </c>
      <c r="AE1077" s="2" t="s">
        <v>59</v>
      </c>
      <c r="AF1077" s="2" t="s">
        <v>60</v>
      </c>
      <c r="AG1077" s="2" t="s">
        <v>61</v>
      </c>
      <c r="AH1077" s="2" t="s">
        <v>62</v>
      </c>
      <c r="AI1077" s="2" t="s">
        <v>117</v>
      </c>
      <c r="AJ1077" s="2">
        <v>0.12886504512609101</v>
      </c>
      <c r="AK1077" s="2">
        <v>0.65821764849167297</v>
      </c>
      <c r="AL1077" s="2">
        <v>0.26096521403899497</v>
      </c>
      <c r="AM1077" s="2">
        <v>0.25406418001092301</v>
      </c>
      <c r="AN1077" s="2">
        <v>0.73012596382792005</v>
      </c>
      <c r="AO1077" s="2">
        <v>4.0797947347179002E-2</v>
      </c>
      <c r="AP1077" s="2">
        <v>4.0797947347179002E-2</v>
      </c>
      <c r="AQ1077" s="2">
        <v>1</v>
      </c>
      <c r="AR1077" s="2">
        <v>8</v>
      </c>
      <c r="AS1077" s="2">
        <v>0</v>
      </c>
      <c r="AT1077" s="2">
        <v>23</v>
      </c>
      <c r="AU1077" s="2">
        <v>10</v>
      </c>
      <c r="AV1077" s="2">
        <v>63</v>
      </c>
      <c r="AW1077" s="2">
        <v>1</v>
      </c>
      <c r="AX1077" s="2">
        <v>6</v>
      </c>
      <c r="AZ1077" s="2">
        <v>6.8</v>
      </c>
      <c r="BA1077" s="2">
        <v>19.899999999999999</v>
      </c>
      <c r="BB1077" s="2">
        <v>564</v>
      </c>
      <c r="BC1077" s="2">
        <v>68</v>
      </c>
      <c r="BD1077" s="2">
        <v>1.5</v>
      </c>
      <c r="BE1077" s="2">
        <v>135</v>
      </c>
      <c r="BF1077" s="2">
        <v>0.8</v>
      </c>
      <c r="BG1077" s="2">
        <v>162</v>
      </c>
      <c r="BH1077" s="2">
        <v>9.1</v>
      </c>
      <c r="BI1077" s="2">
        <v>9.1999999999999993</v>
      </c>
      <c r="BJ1077" s="2">
        <v>18.3</v>
      </c>
      <c r="BK1077" s="2">
        <v>0.34</v>
      </c>
      <c r="BL1077" s="2">
        <v>7.3</v>
      </c>
      <c r="BM1077" s="2">
        <v>0.9</v>
      </c>
      <c r="BN1077" s="2">
        <v>7.5</v>
      </c>
      <c r="BO1077" s="2">
        <v>2.9</v>
      </c>
      <c r="BP1077" s="2">
        <f t="shared" si="32"/>
        <v>6.236473747711921</v>
      </c>
      <c r="BQ1077" s="2">
        <f t="shared" si="33"/>
        <v>19.08259393659317</v>
      </c>
    </row>
    <row r="1078" spans="1:69" x14ac:dyDescent="0.2">
      <c r="A1078" s="2" t="s">
        <v>3691</v>
      </c>
      <c r="B1078" s="2" t="s">
        <v>47</v>
      </c>
      <c r="C1078" s="2" t="s">
        <v>3273</v>
      </c>
      <c r="D1078" s="2" t="s">
        <v>49</v>
      </c>
      <c r="E1078" s="2" t="s">
        <v>927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89</v>
      </c>
      <c r="L1078" s="6" t="s">
        <v>141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3692</v>
      </c>
      <c r="R1078" s="2">
        <v>8421052.6319999993</v>
      </c>
      <c r="S1078" s="2">
        <v>0</v>
      </c>
      <c r="T1078" s="2" t="s">
        <v>105</v>
      </c>
      <c r="U1078" s="2" t="s">
        <v>106</v>
      </c>
      <c r="V1078" s="2" t="s">
        <v>56</v>
      </c>
      <c r="W1078" s="2" t="s">
        <v>107</v>
      </c>
      <c r="X1078" s="2" t="s">
        <v>108</v>
      </c>
      <c r="Y1078" s="2">
        <v>0.78251516346098504</v>
      </c>
      <c r="Z1078" s="2">
        <v>782.51516346098504</v>
      </c>
      <c r="AA1078" s="2">
        <v>4.6254861111111101</v>
      </c>
      <c r="AB1078" s="2">
        <v>-74.066980555555503</v>
      </c>
      <c r="AC1078" s="2">
        <v>2621</v>
      </c>
      <c r="AD1078" s="2">
        <v>15</v>
      </c>
      <c r="AE1078" s="2" t="s">
        <v>59</v>
      </c>
      <c r="AF1078" s="2" t="s">
        <v>60</v>
      </c>
      <c r="AG1078" s="2" t="s">
        <v>61</v>
      </c>
      <c r="AH1078" s="2" t="s">
        <v>62</v>
      </c>
      <c r="AI1078" s="2" t="s">
        <v>109</v>
      </c>
      <c r="AJ1078" s="2">
        <v>0.17534095406804501</v>
      </c>
      <c r="AK1078" s="2">
        <v>0.74864173603895701</v>
      </c>
      <c r="AL1078" s="2">
        <v>0.122209191209077</v>
      </c>
      <c r="AM1078" s="2">
        <v>5.9594341865919699E-2</v>
      </c>
      <c r="AN1078" s="2">
        <v>0.55360411852842495</v>
      </c>
      <c r="AO1078" s="2">
        <v>0.38063780035907302</v>
      </c>
      <c r="AP1078" s="2">
        <v>0.38063780035907302</v>
      </c>
      <c r="AQ1078" s="2">
        <v>1</v>
      </c>
      <c r="AR1078" s="2">
        <v>5</v>
      </c>
      <c r="AS1078" s="2">
        <v>0</v>
      </c>
      <c r="AT1078" s="2">
        <v>18</v>
      </c>
      <c r="AU1078" s="2">
        <v>16</v>
      </c>
      <c r="AV1078" s="2">
        <v>165</v>
      </c>
      <c r="AW1078" s="2">
        <v>1</v>
      </c>
      <c r="AX1078" s="2">
        <v>0</v>
      </c>
      <c r="AZ1078" s="2">
        <v>6.8</v>
      </c>
      <c r="BA1078" s="2">
        <v>19.899999999999999</v>
      </c>
      <c r="BB1078" s="2">
        <v>564</v>
      </c>
      <c r="BC1078" s="2">
        <v>68</v>
      </c>
      <c r="BD1078" s="2">
        <v>1.5</v>
      </c>
      <c r="BE1078" s="2">
        <v>135</v>
      </c>
      <c r="BF1078" s="2">
        <v>0.8</v>
      </c>
      <c r="BG1078" s="2">
        <v>162</v>
      </c>
      <c r="BH1078" s="2">
        <v>9.1</v>
      </c>
      <c r="BI1078" s="2">
        <v>9.1999999999999993</v>
      </c>
      <c r="BJ1078" s="2">
        <v>18.3</v>
      </c>
      <c r="BK1078" s="2">
        <v>0.34</v>
      </c>
      <c r="BL1078" s="2">
        <v>7.3</v>
      </c>
      <c r="BM1078" s="2">
        <v>0.9</v>
      </c>
      <c r="BN1078" s="2">
        <v>7.5</v>
      </c>
      <c r="BO1078" s="2">
        <v>2.9</v>
      </c>
      <c r="BP1078" s="2">
        <f t="shared" si="32"/>
        <v>6.5416413935775548</v>
      </c>
      <c r="BQ1078" s="2">
        <f t="shared" si="33"/>
        <v>19.52975827709999</v>
      </c>
    </row>
    <row r="1079" spans="1:69" x14ac:dyDescent="0.2">
      <c r="A1079" s="2" t="s">
        <v>4064</v>
      </c>
      <c r="B1079" s="2" t="s">
        <v>47</v>
      </c>
      <c r="C1079" s="2" t="s">
        <v>3273</v>
      </c>
      <c r="D1079" s="2" t="s">
        <v>49</v>
      </c>
      <c r="E1079" s="2" t="s">
        <v>1077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89</v>
      </c>
      <c r="L1079" s="6" t="s">
        <v>112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4065</v>
      </c>
      <c r="R1079" s="2">
        <v>8157894.7369999997</v>
      </c>
      <c r="S1079" s="2">
        <v>0</v>
      </c>
      <c r="T1079" s="2" t="s">
        <v>105</v>
      </c>
      <c r="U1079" s="2" t="s">
        <v>106</v>
      </c>
      <c r="V1079" s="2" t="s">
        <v>56</v>
      </c>
      <c r="W1079" s="2" t="s">
        <v>107</v>
      </c>
      <c r="X1079" s="2" t="s">
        <v>108</v>
      </c>
      <c r="Y1079" s="2">
        <v>2.3347232151940598</v>
      </c>
      <c r="Z1079" s="2">
        <v>2334.7232151940598</v>
      </c>
      <c r="AA1079" s="2">
        <v>4.6254861111111101</v>
      </c>
      <c r="AB1079" s="2">
        <v>-74.066980555555503</v>
      </c>
      <c r="AC1079" s="2">
        <v>2621</v>
      </c>
      <c r="AD1079" s="2">
        <v>15</v>
      </c>
      <c r="AE1079" s="2" t="s">
        <v>59</v>
      </c>
      <c r="AF1079" s="2" t="s">
        <v>60</v>
      </c>
      <c r="AG1079" s="2" t="s">
        <v>61</v>
      </c>
      <c r="AH1079" s="2" t="s">
        <v>62</v>
      </c>
      <c r="AI1079" s="2" t="s">
        <v>117</v>
      </c>
      <c r="AJ1079" s="2">
        <v>0.339821859143074</v>
      </c>
      <c r="AK1079" s="2">
        <v>0.67391659958025696</v>
      </c>
      <c r="AL1079" s="2">
        <v>0.139706472297351</v>
      </c>
      <c r="AM1079" s="2">
        <v>4.56365769746504E-2</v>
      </c>
      <c r="AN1079" s="2">
        <v>1.24537825285211</v>
      </c>
      <c r="AO1079" s="2">
        <v>5.1557714837924901E-2</v>
      </c>
      <c r="AP1079" s="2">
        <v>5.1557714837924901E-2</v>
      </c>
      <c r="AQ1079" s="2">
        <v>4</v>
      </c>
      <c r="AR1079" s="2">
        <v>9</v>
      </c>
      <c r="AS1079" s="2">
        <v>0</v>
      </c>
      <c r="AT1079" s="2">
        <v>30</v>
      </c>
      <c r="AU1079" s="2">
        <v>12</v>
      </c>
      <c r="AV1079" s="2">
        <v>50</v>
      </c>
      <c r="AW1079" s="2">
        <v>0</v>
      </c>
      <c r="AX1079" s="2">
        <v>9</v>
      </c>
      <c r="AZ1079" s="2">
        <v>6.8</v>
      </c>
      <c r="BA1079" s="2">
        <v>19.899999999999999</v>
      </c>
      <c r="BB1079" s="2">
        <v>564</v>
      </c>
      <c r="BC1079" s="2">
        <v>68</v>
      </c>
      <c r="BD1079" s="2">
        <v>1.5</v>
      </c>
      <c r="BE1079" s="2">
        <v>135</v>
      </c>
      <c r="BF1079" s="2">
        <v>0.8</v>
      </c>
      <c r="BG1079" s="2">
        <v>162</v>
      </c>
      <c r="BH1079" s="2">
        <v>9.1</v>
      </c>
      <c r="BI1079" s="2">
        <v>9.1999999999999993</v>
      </c>
      <c r="BJ1079" s="2">
        <v>18.3</v>
      </c>
      <c r="BK1079" s="2">
        <v>0.34</v>
      </c>
      <c r="BL1079" s="2">
        <v>7.3</v>
      </c>
      <c r="BM1079" s="2">
        <v>0.9</v>
      </c>
      <c r="BN1079" s="2">
        <v>7.5</v>
      </c>
      <c r="BO1079" s="2">
        <v>2.9</v>
      </c>
      <c r="BP1079" s="2">
        <f t="shared" si="32"/>
        <v>6.0578431024059007</v>
      </c>
      <c r="BQ1079" s="2">
        <f t="shared" si="33"/>
        <v>18.815601158644725</v>
      </c>
    </row>
    <row r="1080" spans="1:69" x14ac:dyDescent="0.2">
      <c r="A1080" s="2" t="s">
        <v>3918</v>
      </c>
      <c r="B1080" s="2" t="s">
        <v>47</v>
      </c>
      <c r="C1080" s="2" t="s">
        <v>3273</v>
      </c>
      <c r="D1080" s="2" t="s">
        <v>49</v>
      </c>
      <c r="E1080" s="2" t="s">
        <v>1899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89</v>
      </c>
      <c r="L1080" s="6" t="s">
        <v>112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3919</v>
      </c>
      <c r="R1080" s="2">
        <v>7763157.8949999996</v>
      </c>
      <c r="S1080" s="2">
        <v>0</v>
      </c>
      <c r="T1080" s="2" t="s">
        <v>105</v>
      </c>
      <c r="U1080" s="2" t="s">
        <v>106</v>
      </c>
      <c r="V1080" s="2" t="s">
        <v>56</v>
      </c>
      <c r="W1080" s="2" t="s">
        <v>107</v>
      </c>
      <c r="X1080" s="2" t="s">
        <v>108</v>
      </c>
      <c r="Y1080" s="2">
        <v>1.7158616122494601</v>
      </c>
      <c r="Z1080" s="2">
        <v>1715.86161224946</v>
      </c>
      <c r="AA1080" s="2">
        <v>4.6254861111111101</v>
      </c>
      <c r="AB1080" s="2">
        <v>-74.066980555555503</v>
      </c>
      <c r="AC1080" s="2">
        <v>2621</v>
      </c>
      <c r="AD1080" s="2">
        <v>15</v>
      </c>
      <c r="AE1080" s="2" t="s">
        <v>59</v>
      </c>
      <c r="AF1080" s="2" t="s">
        <v>60</v>
      </c>
      <c r="AG1080" s="2" t="s">
        <v>61</v>
      </c>
      <c r="AH1080" s="2" t="s">
        <v>62</v>
      </c>
      <c r="AI1080" s="2" t="s">
        <v>63</v>
      </c>
      <c r="AJ1080" s="2">
        <v>0.65105055142442503</v>
      </c>
      <c r="AK1080" s="2">
        <v>1.66458165545411</v>
      </c>
      <c r="AL1080" s="2">
        <v>0.16515435981068</v>
      </c>
      <c r="AM1080" s="2">
        <v>0.14915704403019001</v>
      </c>
      <c r="AN1080" s="2">
        <v>1.5291116645393401</v>
      </c>
      <c r="AO1080" s="2">
        <v>0.24516907503219401</v>
      </c>
      <c r="AP1080" s="2">
        <v>0.24516907503219401</v>
      </c>
      <c r="AQ1080" s="2">
        <v>0</v>
      </c>
      <c r="AR1080" s="2">
        <v>5</v>
      </c>
      <c r="AS1080" s="2">
        <v>0</v>
      </c>
      <c r="AT1080" s="2">
        <v>0</v>
      </c>
      <c r="AU1080" s="2">
        <v>7</v>
      </c>
      <c r="AV1080" s="2">
        <v>133</v>
      </c>
      <c r="AW1080" s="2">
        <v>0</v>
      </c>
      <c r="AX1080" s="2">
        <v>0</v>
      </c>
      <c r="AZ1080" s="2">
        <v>6.8</v>
      </c>
      <c r="BA1080" s="2">
        <v>19.899999999999999</v>
      </c>
      <c r="BB1080" s="2">
        <v>564</v>
      </c>
      <c r="BC1080" s="2">
        <v>68</v>
      </c>
      <c r="BD1080" s="2">
        <v>1.5</v>
      </c>
      <c r="BE1080" s="2">
        <v>135</v>
      </c>
      <c r="BF1080" s="2">
        <v>0.8</v>
      </c>
      <c r="BG1080" s="2">
        <v>162</v>
      </c>
      <c r="BH1080" s="2">
        <v>9.1</v>
      </c>
      <c r="BI1080" s="2">
        <v>9.1999999999999993</v>
      </c>
      <c r="BJ1080" s="2">
        <v>18.3</v>
      </c>
      <c r="BK1080" s="2">
        <v>0.34</v>
      </c>
      <c r="BL1080" s="2">
        <v>7.3</v>
      </c>
      <c r="BM1080" s="2">
        <v>0.9</v>
      </c>
      <c r="BN1080" s="2">
        <v>7.5</v>
      </c>
      <c r="BO1080" s="2">
        <v>2.9</v>
      </c>
      <c r="BP1080" s="2">
        <f t="shared" si="32"/>
        <v>6.2462885938205757</v>
      </c>
      <c r="BQ1080" s="2">
        <f t="shared" si="33"/>
        <v>19.097148926304328</v>
      </c>
    </row>
    <row r="1081" spans="1:69" x14ac:dyDescent="0.2">
      <c r="A1081" s="2" t="s">
        <v>101</v>
      </c>
      <c r="B1081" s="2" t="s">
        <v>47</v>
      </c>
      <c r="C1081" s="2" t="s">
        <v>48</v>
      </c>
      <c r="D1081" s="2" t="s">
        <v>49</v>
      </c>
      <c r="E1081" s="2" t="s">
        <v>102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89</v>
      </c>
      <c r="L1081" s="6" t="s">
        <v>103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104</v>
      </c>
      <c r="R1081" s="2">
        <v>7631578.9469999997</v>
      </c>
      <c r="S1081" s="2">
        <v>0</v>
      </c>
      <c r="T1081" s="2" t="s">
        <v>105</v>
      </c>
      <c r="U1081" s="2" t="s">
        <v>106</v>
      </c>
      <c r="V1081" s="2" t="s">
        <v>56</v>
      </c>
      <c r="W1081" s="2" t="s">
        <v>107</v>
      </c>
      <c r="X1081" s="2" t="s">
        <v>108</v>
      </c>
      <c r="Y1081" s="2">
        <v>2.0634388852737602</v>
      </c>
      <c r="Z1081" s="2">
        <v>2063.4388852737602</v>
      </c>
      <c r="AA1081" s="2">
        <v>4.6254861111111101</v>
      </c>
      <c r="AB1081" s="2">
        <v>-74.066980555555503</v>
      </c>
      <c r="AC1081" s="2">
        <v>2621</v>
      </c>
      <c r="AD1081" s="2">
        <v>15</v>
      </c>
      <c r="AE1081" s="2" t="s">
        <v>59</v>
      </c>
      <c r="AF1081" s="2" t="s">
        <v>60</v>
      </c>
      <c r="AG1081" s="2" t="s">
        <v>61</v>
      </c>
      <c r="AH1081" s="2" t="s">
        <v>62</v>
      </c>
      <c r="AI1081" s="2" t="s">
        <v>109</v>
      </c>
      <c r="AJ1081" s="2">
        <v>0.32701456601360301</v>
      </c>
      <c r="AK1081" s="2">
        <v>0.66749948373429002</v>
      </c>
      <c r="AL1081" s="2">
        <v>0.34368656240882101</v>
      </c>
      <c r="AM1081" s="2">
        <v>0.15088593657268601</v>
      </c>
      <c r="AN1081" s="2">
        <v>0.54933095850806801</v>
      </c>
      <c r="AO1081" s="2">
        <v>0.34003231823013802</v>
      </c>
      <c r="AP1081" s="2">
        <v>0.34003231823013802</v>
      </c>
      <c r="AQ1081" s="2">
        <v>1</v>
      </c>
      <c r="AR1081" s="2">
        <v>4</v>
      </c>
      <c r="AS1081" s="2">
        <v>0</v>
      </c>
      <c r="AT1081" s="2">
        <v>14</v>
      </c>
      <c r="AU1081" s="2">
        <v>12</v>
      </c>
      <c r="AV1081" s="2">
        <v>142</v>
      </c>
      <c r="AW1081" s="2">
        <v>1</v>
      </c>
      <c r="AX1081" s="2">
        <v>0</v>
      </c>
      <c r="AZ1081" s="2">
        <v>6.8</v>
      </c>
      <c r="BA1081" s="2">
        <v>19.899999999999999</v>
      </c>
      <c r="BB1081" s="2">
        <v>564</v>
      </c>
      <c r="BC1081" s="2">
        <v>68</v>
      </c>
      <c r="BD1081" s="2">
        <v>1.5</v>
      </c>
      <c r="BE1081" s="2">
        <v>135</v>
      </c>
      <c r="BF1081" s="2">
        <v>0.8</v>
      </c>
      <c r="BG1081" s="2">
        <v>162</v>
      </c>
      <c r="BH1081" s="2">
        <v>9.1</v>
      </c>
      <c r="BI1081" s="2">
        <v>9.1999999999999993</v>
      </c>
      <c r="BJ1081" s="2">
        <v>18.3</v>
      </c>
      <c r="BK1081" s="2">
        <v>0.34</v>
      </c>
      <c r="BL1081" s="2">
        <v>7.3</v>
      </c>
      <c r="BM1081" s="2">
        <v>0.9</v>
      </c>
      <c r="BN1081" s="2">
        <v>7.5</v>
      </c>
      <c r="BO1081" s="2">
        <v>2.9</v>
      </c>
      <c r="BP1081" s="2">
        <f t="shared" si="32"/>
        <v>6.1397399470473113</v>
      </c>
      <c r="BQ1081" s="2">
        <f t="shared" si="33"/>
        <v>18.938505896084546</v>
      </c>
    </row>
    <row r="1082" spans="1:69" x14ac:dyDescent="0.2">
      <c r="A1082" s="2" t="s">
        <v>4492</v>
      </c>
      <c r="B1082" s="2" t="s">
        <v>47</v>
      </c>
      <c r="C1082" s="2" t="s">
        <v>3273</v>
      </c>
      <c r="D1082" s="2" t="s">
        <v>49</v>
      </c>
      <c r="E1082" s="2" t="s">
        <v>3001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89</v>
      </c>
      <c r="L1082" s="6" t="s">
        <v>90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4493</v>
      </c>
      <c r="R1082" s="2">
        <v>6447368.4210000001</v>
      </c>
      <c r="S1082" s="2">
        <v>0</v>
      </c>
      <c r="T1082" s="2" t="s">
        <v>54</v>
      </c>
      <c r="U1082" s="2" t="s">
        <v>55</v>
      </c>
      <c r="V1082" s="2" t="s">
        <v>56</v>
      </c>
      <c r="W1082" s="2" t="s">
        <v>57</v>
      </c>
      <c r="X1082" s="2" t="s">
        <v>58</v>
      </c>
      <c r="Y1082" s="2">
        <v>3.4718121696725301</v>
      </c>
      <c r="Z1082" s="2">
        <v>3471.8121696725302</v>
      </c>
      <c r="AA1082" s="2">
        <v>4.6584666666666701</v>
      </c>
      <c r="AB1082" s="2">
        <v>-74.083966666666697</v>
      </c>
      <c r="AC1082" s="2">
        <v>2552</v>
      </c>
      <c r="AD1082" s="2">
        <v>0</v>
      </c>
      <c r="AE1082" s="2" t="s">
        <v>59</v>
      </c>
      <c r="AF1082" s="2" t="s">
        <v>60</v>
      </c>
      <c r="AG1082" s="2" t="s">
        <v>61</v>
      </c>
      <c r="AH1082" s="2" t="s">
        <v>62</v>
      </c>
      <c r="AI1082" s="2" t="s">
        <v>391</v>
      </c>
      <c r="AJ1082" s="2">
        <v>0.64117938652268502</v>
      </c>
      <c r="AK1082" s="2">
        <v>5.6299208137604602</v>
      </c>
      <c r="AL1082" s="2">
        <v>1.3505194844522099</v>
      </c>
      <c r="AM1082" s="2">
        <v>0.29579557566659898</v>
      </c>
      <c r="AN1082" s="2">
        <v>1.3856825763877501</v>
      </c>
      <c r="AO1082" s="2">
        <v>1.25731291211019E-2</v>
      </c>
      <c r="AP1082" s="2">
        <v>1.25731291211019E-2</v>
      </c>
      <c r="AQ1082" s="2">
        <v>0</v>
      </c>
      <c r="AR1082" s="2">
        <v>3</v>
      </c>
      <c r="AS1082" s="2">
        <v>0</v>
      </c>
      <c r="AT1082" s="2">
        <v>0</v>
      </c>
      <c r="AU1082" s="2">
        <v>0</v>
      </c>
      <c r="AV1082" s="2">
        <v>36</v>
      </c>
      <c r="AW1082" s="2">
        <v>0</v>
      </c>
      <c r="AX1082" s="2">
        <v>0</v>
      </c>
      <c r="AZ1082" s="2">
        <v>6.8</v>
      </c>
      <c r="BA1082" s="2">
        <v>19.899999999999999</v>
      </c>
      <c r="BB1082" s="2">
        <v>564</v>
      </c>
      <c r="BC1082" s="2">
        <v>68</v>
      </c>
      <c r="BD1082" s="2">
        <v>1.5</v>
      </c>
      <c r="BE1082" s="2">
        <v>135</v>
      </c>
      <c r="BF1082" s="2">
        <v>0.8</v>
      </c>
      <c r="BG1082" s="2">
        <v>162</v>
      </c>
      <c r="BH1082" s="2">
        <v>9.1</v>
      </c>
      <c r="BI1082" s="2">
        <v>9.1999999999999993</v>
      </c>
      <c r="BJ1082" s="2">
        <v>18.3</v>
      </c>
      <c r="BK1082" s="2">
        <v>0.34</v>
      </c>
      <c r="BL1082" s="2">
        <v>7.3</v>
      </c>
      <c r="BM1082" s="2">
        <v>0.9</v>
      </c>
      <c r="BN1082" s="2">
        <v>7.5</v>
      </c>
      <c r="BO1082" s="2">
        <v>2.9</v>
      </c>
      <c r="BP1082" s="2">
        <f t="shared" si="32"/>
        <v>5.7262903333530106</v>
      </c>
      <c r="BQ1082" s="2">
        <f t="shared" si="33"/>
        <v>18.309064034518272</v>
      </c>
    </row>
    <row r="1083" spans="1:69" x14ac:dyDescent="0.2">
      <c r="A1083" s="2" t="s">
        <v>4120</v>
      </c>
      <c r="B1083" s="2" t="s">
        <v>47</v>
      </c>
      <c r="C1083" s="2" t="s">
        <v>3273</v>
      </c>
      <c r="D1083" s="2" t="s">
        <v>49</v>
      </c>
      <c r="E1083" s="2" t="s">
        <v>3001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89</v>
      </c>
      <c r="L1083" s="6" t="s">
        <v>90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4121</v>
      </c>
      <c r="R1083" s="2">
        <v>6315789.4740000004</v>
      </c>
      <c r="S1083" s="2">
        <v>0</v>
      </c>
      <c r="T1083" s="2" t="s">
        <v>105</v>
      </c>
      <c r="U1083" s="2" t="s">
        <v>106</v>
      </c>
      <c r="V1083" s="2" t="s">
        <v>56</v>
      </c>
      <c r="W1083" s="2" t="s">
        <v>107</v>
      </c>
      <c r="X1083" s="2" t="s">
        <v>108</v>
      </c>
      <c r="Y1083" s="2">
        <v>2.1402561574389298</v>
      </c>
      <c r="Z1083" s="2">
        <v>2140.2561574389301</v>
      </c>
      <c r="AA1083" s="2">
        <v>4.6254861111111101</v>
      </c>
      <c r="AB1083" s="2">
        <v>-74.066980555555503</v>
      </c>
      <c r="AC1083" s="2">
        <v>2621</v>
      </c>
      <c r="AD1083" s="2">
        <v>15</v>
      </c>
      <c r="AE1083" s="2" t="s">
        <v>59</v>
      </c>
      <c r="AF1083" s="2" t="s">
        <v>60</v>
      </c>
      <c r="AG1083" s="2" t="s">
        <v>61</v>
      </c>
      <c r="AH1083" s="2" t="s">
        <v>62</v>
      </c>
      <c r="AI1083" s="2" t="s">
        <v>117</v>
      </c>
      <c r="AJ1083" s="2">
        <v>0.29008746862006501</v>
      </c>
      <c r="AK1083" s="2">
        <v>0.77934653195057702</v>
      </c>
      <c r="AL1083" s="2">
        <v>0.133869760857704</v>
      </c>
      <c r="AM1083" s="2">
        <v>0.14893351680112499</v>
      </c>
      <c r="AN1083" s="2">
        <v>1.1095532551276599</v>
      </c>
      <c r="AO1083" s="2">
        <v>0.10054457565418499</v>
      </c>
      <c r="AP1083" s="2">
        <v>0.10054457565418499</v>
      </c>
      <c r="AQ1083" s="2">
        <v>2</v>
      </c>
      <c r="AR1083" s="2">
        <v>10</v>
      </c>
      <c r="AS1083" s="2">
        <v>0</v>
      </c>
      <c r="AT1083" s="2">
        <v>22</v>
      </c>
      <c r="AU1083" s="2">
        <v>14</v>
      </c>
      <c r="AV1083" s="2">
        <v>58</v>
      </c>
      <c r="AW1083" s="2">
        <v>0</v>
      </c>
      <c r="AX1083" s="2">
        <v>8</v>
      </c>
      <c r="AZ1083" s="2">
        <v>6.8</v>
      </c>
      <c r="BA1083" s="2">
        <v>19.899999999999999</v>
      </c>
      <c r="BB1083" s="2">
        <v>564</v>
      </c>
      <c r="BC1083" s="2">
        <v>68</v>
      </c>
      <c r="BD1083" s="2">
        <v>1.5</v>
      </c>
      <c r="BE1083" s="2">
        <v>135</v>
      </c>
      <c r="BF1083" s="2">
        <v>0.8</v>
      </c>
      <c r="BG1083" s="2">
        <v>162</v>
      </c>
      <c r="BH1083" s="2">
        <v>9.1</v>
      </c>
      <c r="BI1083" s="2">
        <v>9.1999999999999993</v>
      </c>
      <c r="BJ1083" s="2">
        <v>18.3</v>
      </c>
      <c r="BK1083" s="2">
        <v>0.34</v>
      </c>
      <c r="BL1083" s="2">
        <v>7.3</v>
      </c>
      <c r="BM1083" s="2">
        <v>0.9</v>
      </c>
      <c r="BN1083" s="2">
        <v>7.5</v>
      </c>
      <c r="BO1083" s="2">
        <v>2.9</v>
      </c>
      <c r="BP1083" s="2">
        <f t="shared" si="32"/>
        <v>6.1164381923702731</v>
      </c>
      <c r="BQ1083" s="2">
        <f t="shared" si="33"/>
        <v>18.903622756812478</v>
      </c>
    </row>
    <row r="1084" spans="1:69" x14ac:dyDescent="0.2">
      <c r="A1084" s="2" t="s">
        <v>3703</v>
      </c>
      <c r="B1084" s="2" t="s">
        <v>47</v>
      </c>
      <c r="C1084" s="2" t="s">
        <v>3273</v>
      </c>
      <c r="D1084" s="2" t="s">
        <v>49</v>
      </c>
      <c r="E1084" s="2" t="s">
        <v>1625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89</v>
      </c>
      <c r="L1084" s="6" t="s">
        <v>90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3704</v>
      </c>
      <c r="R1084" s="2">
        <v>10397473.02</v>
      </c>
      <c r="S1084" s="2">
        <v>0</v>
      </c>
      <c r="T1084" s="2" t="s">
        <v>105</v>
      </c>
      <c r="U1084" s="2" t="s">
        <v>106</v>
      </c>
      <c r="V1084" s="2" t="s">
        <v>56</v>
      </c>
      <c r="W1084" s="2" t="s">
        <v>107</v>
      </c>
      <c r="X1084" s="2" t="s">
        <v>108</v>
      </c>
      <c r="Y1084" s="2">
        <v>1.72744320336118</v>
      </c>
      <c r="Z1084" s="2">
        <v>1727.4432033611799</v>
      </c>
      <c r="AA1084" s="2">
        <v>4.6254861111111101</v>
      </c>
      <c r="AB1084" s="2">
        <v>-74.066980555555503</v>
      </c>
      <c r="AC1084" s="2">
        <v>2621</v>
      </c>
      <c r="AD1084" s="2">
        <v>15</v>
      </c>
      <c r="AE1084" s="2" t="s">
        <v>59</v>
      </c>
      <c r="AF1084" s="2" t="s">
        <v>60</v>
      </c>
      <c r="AG1084" s="2" t="s">
        <v>61</v>
      </c>
      <c r="AH1084" s="2" t="s">
        <v>62</v>
      </c>
      <c r="AI1084" s="2" t="s">
        <v>117</v>
      </c>
      <c r="AJ1084" s="2">
        <v>0.15515953137897601</v>
      </c>
      <c r="AK1084" s="2">
        <v>0.62407257274768302</v>
      </c>
      <c r="AL1084" s="2">
        <v>0.28671928291069099</v>
      </c>
      <c r="AM1084" s="2">
        <v>0.27424663186648801</v>
      </c>
      <c r="AN1084" s="2">
        <v>0.69701183006137601</v>
      </c>
      <c r="AO1084" s="2">
        <v>6.7417050277719007E-2</v>
      </c>
      <c r="AP1084" s="2">
        <v>6.7417050277719007E-2</v>
      </c>
      <c r="AQ1084" s="2">
        <v>1</v>
      </c>
      <c r="AR1084" s="2">
        <v>8</v>
      </c>
      <c r="AS1084" s="2">
        <v>0</v>
      </c>
      <c r="AT1084" s="2">
        <v>24</v>
      </c>
      <c r="AU1084" s="2">
        <v>9</v>
      </c>
      <c r="AV1084" s="2">
        <v>63</v>
      </c>
      <c r="AW1084" s="2">
        <v>1</v>
      </c>
      <c r="AX1084" s="2">
        <v>6</v>
      </c>
      <c r="AZ1084" s="2">
        <v>6.8</v>
      </c>
      <c r="BA1084" s="2">
        <v>19.899999999999999</v>
      </c>
      <c r="BB1084" s="2">
        <v>564</v>
      </c>
      <c r="BC1084" s="2">
        <v>68</v>
      </c>
      <c r="BD1084" s="2">
        <v>1.5</v>
      </c>
      <c r="BE1084" s="2">
        <v>135</v>
      </c>
      <c r="BF1084" s="2">
        <v>0.8</v>
      </c>
      <c r="BG1084" s="2">
        <v>162</v>
      </c>
      <c r="BH1084" s="2">
        <v>9.1</v>
      </c>
      <c r="BI1084" s="2">
        <v>9.1999999999999993</v>
      </c>
      <c r="BJ1084" s="2">
        <v>18.3</v>
      </c>
      <c r="BK1084" s="2">
        <v>0.34</v>
      </c>
      <c r="BL1084" s="2">
        <v>7.3</v>
      </c>
      <c r="BM1084" s="2">
        <v>0.9</v>
      </c>
      <c r="BN1084" s="2">
        <v>7.5</v>
      </c>
      <c r="BO1084" s="2">
        <v>2.9</v>
      </c>
      <c r="BP1084" s="2">
        <f t="shared" si="32"/>
        <v>6.2427086930343227</v>
      </c>
      <c r="BQ1084" s="2">
        <f t="shared" si="33"/>
        <v>19.091841455079702</v>
      </c>
    </row>
    <row r="1085" spans="1:69" x14ac:dyDescent="0.2">
      <c r="A1085" s="2" t="s">
        <v>3736</v>
      </c>
      <c r="B1085" s="2" t="s">
        <v>47</v>
      </c>
      <c r="C1085" s="2" t="s">
        <v>3273</v>
      </c>
      <c r="D1085" s="2" t="s">
        <v>49</v>
      </c>
      <c r="E1085" s="2" t="s">
        <v>1077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89</v>
      </c>
      <c r="L1085" s="6" t="s">
        <v>90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3737</v>
      </c>
      <c r="R1085" s="2">
        <v>11898466.42</v>
      </c>
      <c r="S1085" s="2">
        <v>0</v>
      </c>
      <c r="T1085" s="2" t="s">
        <v>105</v>
      </c>
      <c r="U1085" s="2" t="s">
        <v>106</v>
      </c>
      <c r="V1085" s="2" t="s">
        <v>56</v>
      </c>
      <c r="W1085" s="2" t="s">
        <v>107</v>
      </c>
      <c r="X1085" s="2" t="s">
        <v>108</v>
      </c>
      <c r="Y1085" s="2">
        <v>1.7303375746377301</v>
      </c>
      <c r="Z1085" s="2">
        <v>1730.3375746377301</v>
      </c>
      <c r="AA1085" s="2">
        <v>4.6254861111111101</v>
      </c>
      <c r="AB1085" s="2">
        <v>-74.066980555555503</v>
      </c>
      <c r="AC1085" s="2">
        <v>2621</v>
      </c>
      <c r="AD1085" s="2">
        <v>15</v>
      </c>
      <c r="AE1085" s="2" t="s">
        <v>59</v>
      </c>
      <c r="AF1085" s="2" t="s">
        <v>60</v>
      </c>
      <c r="AG1085" s="2" t="s">
        <v>61</v>
      </c>
      <c r="AH1085" s="2" t="s">
        <v>62</v>
      </c>
      <c r="AI1085" s="2" t="s">
        <v>117</v>
      </c>
      <c r="AJ1085" s="2">
        <v>0.14889056018687899</v>
      </c>
      <c r="AK1085" s="2">
        <v>0.63114810933434495</v>
      </c>
      <c r="AL1085" s="2">
        <v>0.28072151144425</v>
      </c>
      <c r="AM1085" s="2">
        <v>0.270932764878279</v>
      </c>
      <c r="AN1085" s="2">
        <v>0.70273306351493803</v>
      </c>
      <c r="AO1085" s="2">
        <v>6.1498804287053697E-2</v>
      </c>
      <c r="AP1085" s="2">
        <v>6.1498804287053697E-2</v>
      </c>
      <c r="AQ1085" s="2">
        <v>1</v>
      </c>
      <c r="AR1085" s="2">
        <v>8</v>
      </c>
      <c r="AS1085" s="2">
        <v>0</v>
      </c>
      <c r="AT1085" s="2">
        <v>24</v>
      </c>
      <c r="AU1085" s="2">
        <v>9</v>
      </c>
      <c r="AV1085" s="2">
        <v>63</v>
      </c>
      <c r="AW1085" s="2">
        <v>1</v>
      </c>
      <c r="AX1085" s="2">
        <v>6</v>
      </c>
      <c r="AZ1085" s="2">
        <v>6.8</v>
      </c>
      <c r="BA1085" s="2">
        <v>19.899999999999999</v>
      </c>
      <c r="BB1085" s="2">
        <v>564</v>
      </c>
      <c r="BC1085" s="2">
        <v>68</v>
      </c>
      <c r="BD1085" s="2">
        <v>1.5</v>
      </c>
      <c r="BE1085" s="2">
        <v>135</v>
      </c>
      <c r="BF1085" s="2">
        <v>0.8</v>
      </c>
      <c r="BG1085" s="2">
        <v>162</v>
      </c>
      <c r="BH1085" s="2">
        <v>9.1</v>
      </c>
      <c r="BI1085" s="2">
        <v>9.1999999999999993</v>
      </c>
      <c r="BJ1085" s="2">
        <v>18.3</v>
      </c>
      <c r="BK1085" s="2">
        <v>0.34</v>
      </c>
      <c r="BL1085" s="2">
        <v>7.3</v>
      </c>
      <c r="BM1085" s="2">
        <v>0.9</v>
      </c>
      <c r="BN1085" s="2">
        <v>7.5</v>
      </c>
      <c r="BO1085" s="2">
        <v>2.9</v>
      </c>
      <c r="BP1085" s="2">
        <f t="shared" si="32"/>
        <v>6.2418143556242436</v>
      </c>
      <c r="BQ1085" s="2">
        <f t="shared" si="33"/>
        <v>19.090515288080695</v>
      </c>
    </row>
    <row r="1086" spans="1:69" x14ac:dyDescent="0.2">
      <c r="A1086" s="2" t="s">
        <v>3708</v>
      </c>
      <c r="B1086" s="2" t="s">
        <v>47</v>
      </c>
      <c r="C1086" s="2" t="s">
        <v>3273</v>
      </c>
      <c r="D1086" s="2" t="s">
        <v>49</v>
      </c>
      <c r="E1086" s="2" t="s">
        <v>1077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89</v>
      </c>
      <c r="L1086" s="6" t="s">
        <v>112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3709</v>
      </c>
      <c r="R1086" s="2">
        <v>10201342.279999999</v>
      </c>
      <c r="S1086" s="2">
        <v>0</v>
      </c>
      <c r="T1086" s="2" t="s">
        <v>105</v>
      </c>
      <c r="U1086" s="2" t="s">
        <v>106</v>
      </c>
      <c r="V1086" s="2" t="s">
        <v>56</v>
      </c>
      <c r="W1086" s="2" t="s">
        <v>107</v>
      </c>
      <c r="X1086" s="2" t="s">
        <v>108</v>
      </c>
      <c r="Y1086" s="2">
        <v>1.9185435796030901</v>
      </c>
      <c r="Z1086" s="2">
        <v>1918.5435796030899</v>
      </c>
      <c r="AA1086" s="2">
        <v>4.6254861111111101</v>
      </c>
      <c r="AB1086" s="2">
        <v>-74.066980555555503</v>
      </c>
      <c r="AC1086" s="2">
        <v>2621</v>
      </c>
      <c r="AD1086" s="2">
        <v>15</v>
      </c>
      <c r="AE1086" s="2" t="s">
        <v>59</v>
      </c>
      <c r="AF1086" s="2" t="s">
        <v>60</v>
      </c>
      <c r="AG1086" s="2" t="s">
        <v>61</v>
      </c>
      <c r="AH1086" s="2" t="s">
        <v>62</v>
      </c>
      <c r="AI1086" s="2" t="s">
        <v>117</v>
      </c>
      <c r="AJ1086" s="2">
        <v>0.37985071794253999</v>
      </c>
      <c r="AK1086" s="2">
        <v>0.47714733587672897</v>
      </c>
      <c r="AL1086" s="2">
        <v>0.22260628531002499</v>
      </c>
      <c r="AM1086" s="2">
        <v>0.16291863058549499</v>
      </c>
      <c r="AN1086" s="2">
        <v>0.82254534161603299</v>
      </c>
      <c r="AO1086" s="2">
        <v>6.9023465601551398E-2</v>
      </c>
      <c r="AP1086" s="2">
        <v>6.9023465601551398E-2</v>
      </c>
      <c r="AQ1086" s="2">
        <v>2</v>
      </c>
      <c r="AR1086" s="2">
        <v>9</v>
      </c>
      <c r="AS1086" s="2">
        <v>3</v>
      </c>
      <c r="AT1086" s="2">
        <v>29</v>
      </c>
      <c r="AU1086" s="2">
        <v>12</v>
      </c>
      <c r="AV1086" s="2">
        <v>56</v>
      </c>
      <c r="AW1086" s="2">
        <v>1</v>
      </c>
      <c r="AX1086" s="2">
        <v>8</v>
      </c>
      <c r="AZ1086" s="2">
        <v>6.8</v>
      </c>
      <c r="BA1086" s="2">
        <v>19.899999999999999</v>
      </c>
      <c r="BB1086" s="2">
        <v>564</v>
      </c>
      <c r="BC1086" s="2">
        <v>68</v>
      </c>
      <c r="BD1086" s="2">
        <v>1.5</v>
      </c>
      <c r="BE1086" s="2">
        <v>135</v>
      </c>
      <c r="BF1086" s="2">
        <v>0.8</v>
      </c>
      <c r="BG1086" s="2">
        <v>162</v>
      </c>
      <c r="BH1086" s="2">
        <v>9.1</v>
      </c>
      <c r="BI1086" s="2">
        <v>9.1999999999999993</v>
      </c>
      <c r="BJ1086" s="2">
        <v>18.3</v>
      </c>
      <c r="BK1086" s="2">
        <v>0.34</v>
      </c>
      <c r="BL1086" s="2">
        <v>7.3</v>
      </c>
      <c r="BM1086" s="2">
        <v>0.9</v>
      </c>
      <c r="BN1086" s="2">
        <v>7.5</v>
      </c>
      <c r="BO1086" s="2">
        <v>2.9</v>
      </c>
      <c r="BP1086" s="2">
        <f t="shared" si="32"/>
        <v>6.1839344110293641</v>
      </c>
      <c r="BQ1086" s="2">
        <f t="shared" si="33"/>
        <v>19.00447895425603</v>
      </c>
    </row>
    <row r="1087" spans="1:69" x14ac:dyDescent="0.2">
      <c r="A1087" s="2" t="s">
        <v>4084</v>
      </c>
      <c r="B1087" s="2" t="s">
        <v>47</v>
      </c>
      <c r="C1087" s="2" t="s">
        <v>3273</v>
      </c>
      <c r="D1087" s="2" t="s">
        <v>49</v>
      </c>
      <c r="E1087" s="2" t="s">
        <v>1509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89</v>
      </c>
      <c r="L1087" s="6" t="s">
        <v>90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4085</v>
      </c>
      <c r="R1087" s="2">
        <v>9729729.7300000004</v>
      </c>
      <c r="S1087" s="2">
        <v>0</v>
      </c>
      <c r="T1087" s="2" t="s">
        <v>105</v>
      </c>
      <c r="U1087" s="2" t="s">
        <v>106</v>
      </c>
      <c r="V1087" s="2" t="s">
        <v>56</v>
      </c>
      <c r="W1087" s="2" t="s">
        <v>107</v>
      </c>
      <c r="X1087" s="2" t="s">
        <v>108</v>
      </c>
      <c r="Y1087" s="2">
        <v>0.82386205927169598</v>
      </c>
      <c r="Z1087" s="2">
        <v>823.86205927169601</v>
      </c>
      <c r="AA1087" s="2">
        <v>4.6254861111111101</v>
      </c>
      <c r="AB1087" s="2">
        <v>-74.066980555555503</v>
      </c>
      <c r="AC1087" s="2">
        <v>2621</v>
      </c>
      <c r="AD1087" s="2">
        <v>15</v>
      </c>
      <c r="AE1087" s="2" t="s">
        <v>59</v>
      </c>
      <c r="AF1087" s="2" t="s">
        <v>60</v>
      </c>
      <c r="AG1087" s="2" t="s">
        <v>61</v>
      </c>
      <c r="AH1087" s="2" t="s">
        <v>62</v>
      </c>
      <c r="AI1087" s="2" t="s">
        <v>117</v>
      </c>
      <c r="AJ1087" s="2">
        <v>0.50342404242213901</v>
      </c>
      <c r="AK1087" s="2">
        <v>0.37576779931119098</v>
      </c>
      <c r="AL1087" s="2">
        <v>0.30625586355918699</v>
      </c>
      <c r="AM1087" s="2">
        <v>0.20103956032187401</v>
      </c>
      <c r="AN1087" s="2">
        <v>0.327805952259135</v>
      </c>
      <c r="AO1087" s="2">
        <v>1.01802202425018E-2</v>
      </c>
      <c r="AP1087" s="2">
        <v>1.01802202425018E-2</v>
      </c>
      <c r="AQ1087" s="2">
        <v>0</v>
      </c>
      <c r="AR1087" s="2">
        <v>4</v>
      </c>
      <c r="AS1087" s="2">
        <v>1</v>
      </c>
      <c r="AT1087" s="2">
        <v>9</v>
      </c>
      <c r="AU1087" s="2">
        <v>11</v>
      </c>
      <c r="AV1087" s="2">
        <v>54</v>
      </c>
      <c r="AW1087" s="2">
        <v>1</v>
      </c>
      <c r="AX1087" s="2">
        <v>2</v>
      </c>
      <c r="AZ1087" s="2">
        <v>6.8</v>
      </c>
      <c r="BA1087" s="2">
        <v>19.899999999999999</v>
      </c>
      <c r="BB1087" s="2">
        <v>564</v>
      </c>
      <c r="BC1087" s="2">
        <v>68</v>
      </c>
      <c r="BD1087" s="2">
        <v>1.5</v>
      </c>
      <c r="BE1087" s="2">
        <v>135</v>
      </c>
      <c r="BF1087" s="2">
        <v>0.8</v>
      </c>
      <c r="BG1087" s="2">
        <v>162</v>
      </c>
      <c r="BH1087" s="2">
        <v>9.1</v>
      </c>
      <c r="BI1087" s="2">
        <v>9.1999999999999993</v>
      </c>
      <c r="BJ1087" s="2">
        <v>18.3</v>
      </c>
      <c r="BK1087" s="2">
        <v>0.34</v>
      </c>
      <c r="BL1087" s="2">
        <v>7.3</v>
      </c>
      <c r="BM1087" s="2">
        <v>0.9</v>
      </c>
      <c r="BN1087" s="2">
        <v>7.5</v>
      </c>
      <c r="BO1087" s="2">
        <v>2.9</v>
      </c>
      <c r="BP1087" s="2">
        <f t="shared" si="32"/>
        <v>6.5282664952828835</v>
      </c>
      <c r="BQ1087" s="2">
        <f t="shared" si="33"/>
        <v>19.510388012356717</v>
      </c>
    </row>
    <row r="1088" spans="1:69" x14ac:dyDescent="0.2">
      <c r="A1088" s="2" t="s">
        <v>4526</v>
      </c>
      <c r="B1088" s="2" t="s">
        <v>47</v>
      </c>
      <c r="C1088" s="2" t="s">
        <v>3273</v>
      </c>
      <c r="D1088" s="2" t="s">
        <v>49</v>
      </c>
      <c r="E1088" s="2" t="s">
        <v>102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89</v>
      </c>
      <c r="L1088" s="6" t="s">
        <v>103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4527</v>
      </c>
      <c r="R1088" s="2">
        <v>8918918.9189999998</v>
      </c>
      <c r="S1088" s="2">
        <v>0</v>
      </c>
      <c r="T1088" s="2" t="s">
        <v>105</v>
      </c>
      <c r="U1088" s="2" t="s">
        <v>106</v>
      </c>
      <c r="V1088" s="2" t="s">
        <v>56</v>
      </c>
      <c r="W1088" s="2" t="s">
        <v>107</v>
      </c>
      <c r="X1088" s="2" t="s">
        <v>108</v>
      </c>
      <c r="Y1088" s="2">
        <v>1.851195876554</v>
      </c>
      <c r="Z1088" s="2">
        <v>1851.1958765540001</v>
      </c>
      <c r="AA1088" s="2">
        <v>4.6254861111111101</v>
      </c>
      <c r="AB1088" s="2">
        <v>-74.066980555555503</v>
      </c>
      <c r="AC1088" s="2">
        <v>2621</v>
      </c>
      <c r="AD1088" s="2">
        <v>15</v>
      </c>
      <c r="AE1088" s="2" t="s">
        <v>59</v>
      </c>
      <c r="AF1088" s="2" t="s">
        <v>60</v>
      </c>
      <c r="AG1088" s="2" t="s">
        <v>61</v>
      </c>
      <c r="AH1088" s="2" t="s">
        <v>62</v>
      </c>
      <c r="AI1088" s="2" t="s">
        <v>109</v>
      </c>
      <c r="AJ1088" s="2">
        <v>0.37181355826780998</v>
      </c>
      <c r="AK1088" s="2">
        <v>0.58057589205625304</v>
      </c>
      <c r="AL1088" s="2">
        <v>0.42845221417428297</v>
      </c>
      <c r="AM1088" s="2">
        <v>7.9902792317661203E-2</v>
      </c>
      <c r="AN1088" s="2">
        <v>0.48677306127779901</v>
      </c>
      <c r="AO1088" s="2">
        <v>0.233921311851125</v>
      </c>
      <c r="AP1088" s="2">
        <v>0.233921311851125</v>
      </c>
      <c r="AQ1088" s="2">
        <v>1</v>
      </c>
      <c r="AR1088" s="2">
        <v>4</v>
      </c>
      <c r="AS1088" s="2">
        <v>0</v>
      </c>
      <c r="AT1088" s="2">
        <v>22</v>
      </c>
      <c r="AU1088" s="2">
        <v>8</v>
      </c>
      <c r="AV1088" s="2">
        <v>131</v>
      </c>
      <c r="AW1088" s="2">
        <v>1</v>
      </c>
      <c r="AX1088" s="2">
        <v>0</v>
      </c>
      <c r="AZ1088" s="2">
        <v>6.8</v>
      </c>
      <c r="BA1088" s="2">
        <v>19.899999999999999</v>
      </c>
      <c r="BB1088" s="2">
        <v>564</v>
      </c>
      <c r="BC1088" s="2">
        <v>68</v>
      </c>
      <c r="BD1088" s="2">
        <v>1.5</v>
      </c>
      <c r="BE1088" s="2">
        <v>135</v>
      </c>
      <c r="BF1088" s="2">
        <v>0.8</v>
      </c>
      <c r="BG1088" s="2">
        <v>162</v>
      </c>
      <c r="BH1088" s="2">
        <v>9.1</v>
      </c>
      <c r="BI1088" s="2">
        <v>9.1999999999999993</v>
      </c>
      <c r="BJ1088" s="2">
        <v>18.3</v>
      </c>
      <c r="BK1088" s="2">
        <v>0.34</v>
      </c>
      <c r="BL1088" s="2">
        <v>7.3</v>
      </c>
      <c r="BM1088" s="2">
        <v>0.9</v>
      </c>
      <c r="BN1088" s="2">
        <v>7.5</v>
      </c>
      <c r="BO1088" s="2">
        <v>2.9</v>
      </c>
      <c r="BP1088" s="2">
        <f t="shared" si="32"/>
        <v>6.2045842642595925</v>
      </c>
      <c r="BQ1088" s="2">
        <f t="shared" si="33"/>
        <v>19.035221585034879</v>
      </c>
    </row>
    <row r="1089" spans="1:69" x14ac:dyDescent="0.2">
      <c r="A1089" s="2" t="s">
        <v>4012</v>
      </c>
      <c r="B1089" s="2" t="s">
        <v>47</v>
      </c>
      <c r="C1089" s="2" t="s">
        <v>3273</v>
      </c>
      <c r="D1089" s="2" t="s">
        <v>49</v>
      </c>
      <c r="E1089" s="2" t="s">
        <v>3631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89</v>
      </c>
      <c r="L1089" s="6" t="s">
        <v>112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4013</v>
      </c>
      <c r="R1089" s="2">
        <v>8648648.6490000002</v>
      </c>
      <c r="S1089" s="2">
        <v>0</v>
      </c>
      <c r="T1089" s="2" t="s">
        <v>105</v>
      </c>
      <c r="U1089" s="2" t="s">
        <v>106</v>
      </c>
      <c r="V1089" s="2" t="s">
        <v>56</v>
      </c>
      <c r="W1089" s="2" t="s">
        <v>107</v>
      </c>
      <c r="X1089" s="2" t="s">
        <v>108</v>
      </c>
      <c r="Y1089" s="2">
        <v>1.4939372591161399</v>
      </c>
      <c r="Z1089" s="2">
        <v>1493.93725911614</v>
      </c>
      <c r="AA1089" s="2">
        <v>4.6254861111111101</v>
      </c>
      <c r="AB1089" s="2">
        <v>-74.066980555555503</v>
      </c>
      <c r="AC1089" s="2">
        <v>2621</v>
      </c>
      <c r="AD1089" s="2">
        <v>15</v>
      </c>
      <c r="AE1089" s="2" t="s">
        <v>59</v>
      </c>
      <c r="AF1089" s="2" t="s">
        <v>60</v>
      </c>
      <c r="AG1089" s="2" t="s">
        <v>61</v>
      </c>
      <c r="AH1089" s="2" t="s">
        <v>62</v>
      </c>
      <c r="AI1089" s="2" t="s">
        <v>117</v>
      </c>
      <c r="AJ1089" s="2">
        <v>0.45284508780494198</v>
      </c>
      <c r="AK1089" s="2">
        <v>0.39138634335823702</v>
      </c>
      <c r="AL1089" s="2">
        <v>0.40230668990590601</v>
      </c>
      <c r="AM1089" s="2">
        <v>0.34932020328626201</v>
      </c>
      <c r="AN1089" s="2">
        <v>0.35647041813566899</v>
      </c>
      <c r="AO1089" s="2">
        <v>8.2537261649329896E-2</v>
      </c>
      <c r="AP1089" s="2">
        <v>8.2537261649329896E-2</v>
      </c>
      <c r="AQ1089" s="2">
        <v>1</v>
      </c>
      <c r="AR1089" s="2">
        <v>4</v>
      </c>
      <c r="AS1089" s="2">
        <v>5</v>
      </c>
      <c r="AT1089" s="2">
        <v>25</v>
      </c>
      <c r="AU1089" s="2">
        <v>8</v>
      </c>
      <c r="AV1089" s="2">
        <v>44</v>
      </c>
      <c r="AW1089" s="2">
        <v>1</v>
      </c>
      <c r="AX1089" s="2">
        <v>4</v>
      </c>
      <c r="AZ1089" s="2">
        <v>6.8</v>
      </c>
      <c r="BA1089" s="2">
        <v>19.899999999999999</v>
      </c>
      <c r="BB1089" s="2">
        <v>564</v>
      </c>
      <c r="BC1089" s="2">
        <v>68</v>
      </c>
      <c r="BD1089" s="2">
        <v>1.5</v>
      </c>
      <c r="BE1089" s="2">
        <v>135</v>
      </c>
      <c r="BF1089" s="2">
        <v>0.8</v>
      </c>
      <c r="BG1089" s="2">
        <v>162</v>
      </c>
      <c r="BH1089" s="2">
        <v>9.1</v>
      </c>
      <c r="BI1089" s="2">
        <v>9.1999999999999993</v>
      </c>
      <c r="BJ1089" s="2">
        <v>18.3</v>
      </c>
      <c r="BK1089" s="2">
        <v>0.34</v>
      </c>
      <c r="BL1089" s="2">
        <v>7.3</v>
      </c>
      <c r="BM1089" s="2">
        <v>0.9</v>
      </c>
      <c r="BN1089" s="2">
        <v>7.5</v>
      </c>
      <c r="BO1089" s="2">
        <v>2.9</v>
      </c>
      <c r="BP1089" s="2">
        <f t="shared" si="32"/>
        <v>6.3152839417502076</v>
      </c>
      <c r="BQ1089" s="2">
        <f t="shared" si="33"/>
        <v>19.19913522225173</v>
      </c>
    </row>
    <row r="1090" spans="1:69" x14ac:dyDescent="0.2">
      <c r="A1090" s="2" t="s">
        <v>3871</v>
      </c>
      <c r="B1090" s="2" t="s">
        <v>47</v>
      </c>
      <c r="C1090" s="2" t="s">
        <v>3273</v>
      </c>
      <c r="D1090" s="2" t="s">
        <v>49</v>
      </c>
      <c r="E1090" s="2" t="s">
        <v>1509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89</v>
      </c>
      <c r="L1090" s="6" t="s">
        <v>112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3872</v>
      </c>
      <c r="R1090" s="2">
        <v>9271884.3739999998</v>
      </c>
      <c r="S1090" s="2">
        <v>0</v>
      </c>
      <c r="T1090" s="2" t="s">
        <v>105</v>
      </c>
      <c r="U1090" s="2" t="s">
        <v>106</v>
      </c>
      <c r="V1090" s="2" t="s">
        <v>56</v>
      </c>
      <c r="W1090" s="2" t="s">
        <v>107</v>
      </c>
      <c r="X1090" s="2" t="s">
        <v>108</v>
      </c>
      <c r="Y1090" s="2">
        <v>0.87642520579534799</v>
      </c>
      <c r="Z1090" s="2">
        <v>876.42520579534801</v>
      </c>
      <c r="AA1090" s="2">
        <v>4.6254861111111101</v>
      </c>
      <c r="AB1090" s="2">
        <v>-74.066980555555503</v>
      </c>
      <c r="AC1090" s="2">
        <v>2621</v>
      </c>
      <c r="AD1090" s="2">
        <v>15</v>
      </c>
      <c r="AE1090" s="2" t="s">
        <v>59</v>
      </c>
      <c r="AF1090" s="2" t="s">
        <v>60</v>
      </c>
      <c r="AG1090" s="2" t="s">
        <v>61</v>
      </c>
      <c r="AH1090" s="2" t="s">
        <v>62</v>
      </c>
      <c r="AI1090" s="2" t="s">
        <v>117</v>
      </c>
      <c r="AJ1090" s="2">
        <v>0.40558466138814298</v>
      </c>
      <c r="AK1090" s="2">
        <v>0.40272891693065399</v>
      </c>
      <c r="AL1090" s="2">
        <v>0.365860091054243</v>
      </c>
      <c r="AM1090" s="2">
        <v>0.19589704719472301</v>
      </c>
      <c r="AN1090" s="2">
        <v>0.25965389019422103</v>
      </c>
      <c r="AO1090" s="2">
        <v>4.61199164587454E-2</v>
      </c>
      <c r="AP1090" s="2">
        <v>4.61199164587454E-2</v>
      </c>
      <c r="AQ1090" s="2">
        <v>1</v>
      </c>
      <c r="AR1090" s="2">
        <v>5</v>
      </c>
      <c r="AS1090" s="2">
        <v>1</v>
      </c>
      <c r="AT1090" s="2">
        <v>10</v>
      </c>
      <c r="AU1090" s="2">
        <v>12</v>
      </c>
      <c r="AV1090" s="2">
        <v>55</v>
      </c>
      <c r="AW1090" s="2">
        <v>1</v>
      </c>
      <c r="AX1090" s="2">
        <v>2</v>
      </c>
      <c r="AZ1090" s="2">
        <v>6.8</v>
      </c>
      <c r="BA1090" s="2">
        <v>19.899999999999999</v>
      </c>
      <c r="BB1090" s="2">
        <v>564</v>
      </c>
      <c r="BC1090" s="2">
        <v>68</v>
      </c>
      <c r="BD1090" s="2">
        <v>1.5</v>
      </c>
      <c r="BE1090" s="2">
        <v>135</v>
      </c>
      <c r="BF1090" s="2">
        <v>0.8</v>
      </c>
      <c r="BG1090" s="2">
        <v>162</v>
      </c>
      <c r="BH1090" s="2">
        <v>9.1</v>
      </c>
      <c r="BI1090" s="2">
        <v>9.1999999999999993</v>
      </c>
      <c r="BJ1090" s="2">
        <v>18.3</v>
      </c>
      <c r="BK1090" s="2">
        <v>0.34</v>
      </c>
      <c r="BL1090" s="2">
        <v>7.3</v>
      </c>
      <c r="BM1090" s="2">
        <v>0.9</v>
      </c>
      <c r="BN1090" s="2">
        <v>7.5</v>
      </c>
      <c r="BO1090" s="2">
        <v>2.9</v>
      </c>
      <c r="BP1090" s="2">
        <f t="shared" ref="BP1090:BP1153" si="34">+AZ1090*EXP(-0.0495*Y1090)</f>
        <v>6.5113028352180908</v>
      </c>
      <c r="BQ1090" s="2">
        <f t="shared" ref="BQ1090:BQ1153" si="35">+BA1090*EXP(-0.024*Y1090)</f>
        <v>19.485790873243236</v>
      </c>
    </row>
    <row r="1091" spans="1:69" x14ac:dyDescent="0.2">
      <c r="A1091" s="2" t="s">
        <v>1797</v>
      </c>
      <c r="B1091" s="2" t="s">
        <v>47</v>
      </c>
      <c r="C1091" s="2" t="s">
        <v>48</v>
      </c>
      <c r="D1091" s="2" t="s">
        <v>49</v>
      </c>
      <c r="E1091" s="2" t="s">
        <v>1509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89</v>
      </c>
      <c r="L1091" s="6" t="s">
        <v>90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1798</v>
      </c>
      <c r="R1091" s="2">
        <v>10594386.35</v>
      </c>
      <c r="S1091" s="2">
        <v>0</v>
      </c>
      <c r="T1091" s="2" t="s">
        <v>105</v>
      </c>
      <c r="U1091" s="2" t="s">
        <v>106</v>
      </c>
      <c r="V1091" s="2" t="s">
        <v>56</v>
      </c>
      <c r="W1091" s="2" t="s">
        <v>107</v>
      </c>
      <c r="X1091" s="2" t="s">
        <v>108</v>
      </c>
      <c r="Y1091" s="2">
        <v>0.83052602842392598</v>
      </c>
      <c r="Z1091" s="2">
        <v>830.52602842392605</v>
      </c>
      <c r="AA1091" s="2">
        <v>4.6254861111111101</v>
      </c>
      <c r="AB1091" s="2">
        <v>-74.066980555555503</v>
      </c>
      <c r="AC1091" s="2">
        <v>2621</v>
      </c>
      <c r="AD1091" s="2">
        <v>15</v>
      </c>
      <c r="AE1091" s="2" t="s">
        <v>59</v>
      </c>
      <c r="AF1091" s="2" t="s">
        <v>60</v>
      </c>
      <c r="AG1091" s="2" t="s">
        <v>61</v>
      </c>
      <c r="AH1091" s="2" t="s">
        <v>62</v>
      </c>
      <c r="AI1091" s="2" t="s">
        <v>117</v>
      </c>
      <c r="AJ1091" s="2">
        <v>0.478790137873155</v>
      </c>
      <c r="AK1091" s="2">
        <v>0.38709996212615699</v>
      </c>
      <c r="AL1091" s="2">
        <v>0.31399129231740802</v>
      </c>
      <c r="AM1091" s="2">
        <v>0.21097782933290099</v>
      </c>
      <c r="AN1091" s="2">
        <v>0.31363020629612798</v>
      </c>
      <c r="AO1091" s="2">
        <v>1.0006957515140099E-2</v>
      </c>
      <c r="AP1091" s="2">
        <v>1.0006957515140099E-2</v>
      </c>
      <c r="AQ1091" s="2">
        <v>1</v>
      </c>
      <c r="AR1091" s="2">
        <v>4</v>
      </c>
      <c r="AS1091" s="2">
        <v>1</v>
      </c>
      <c r="AT1091" s="2">
        <v>9</v>
      </c>
      <c r="AU1091" s="2">
        <v>11</v>
      </c>
      <c r="AV1091" s="2">
        <v>55</v>
      </c>
      <c r="AW1091" s="2">
        <v>1</v>
      </c>
      <c r="AX1091" s="2">
        <v>2</v>
      </c>
      <c r="AZ1091" s="2">
        <v>6.8</v>
      </c>
      <c r="BA1091" s="2">
        <v>19.899999999999999</v>
      </c>
      <c r="BB1091" s="2">
        <v>564</v>
      </c>
      <c r="BC1091" s="2">
        <v>68</v>
      </c>
      <c r="BD1091" s="2">
        <v>1.5</v>
      </c>
      <c r="BE1091" s="2">
        <v>135</v>
      </c>
      <c r="BF1091" s="2">
        <v>0.8</v>
      </c>
      <c r="BG1091" s="2">
        <v>162</v>
      </c>
      <c r="BH1091" s="2">
        <v>9.1</v>
      </c>
      <c r="BI1091" s="2">
        <v>9.1999999999999993</v>
      </c>
      <c r="BJ1091" s="2">
        <v>18.3</v>
      </c>
      <c r="BK1091" s="2">
        <v>0.34</v>
      </c>
      <c r="BL1091" s="2">
        <v>7.3</v>
      </c>
      <c r="BM1091" s="2">
        <v>0.9</v>
      </c>
      <c r="BN1091" s="2">
        <v>7.5</v>
      </c>
      <c r="BO1091" s="2">
        <v>2.9</v>
      </c>
      <c r="BP1091" s="2">
        <f t="shared" si="34"/>
        <v>6.526113394176507</v>
      </c>
      <c r="BQ1091" s="2">
        <f t="shared" si="35"/>
        <v>19.507267862901628</v>
      </c>
    </row>
    <row r="1092" spans="1:69" x14ac:dyDescent="0.2">
      <c r="A1092" s="2" t="s">
        <v>3606</v>
      </c>
      <c r="B1092" s="2" t="s">
        <v>47</v>
      </c>
      <c r="C1092" s="2" t="s">
        <v>3273</v>
      </c>
      <c r="D1092" s="2" t="s">
        <v>49</v>
      </c>
      <c r="E1092" s="2" t="s">
        <v>3607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89</v>
      </c>
      <c r="L1092" s="6" t="s">
        <v>112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3608</v>
      </c>
      <c r="R1092" s="2">
        <v>12500000</v>
      </c>
      <c r="S1092" s="2">
        <v>0</v>
      </c>
      <c r="T1092" s="2" t="s">
        <v>54</v>
      </c>
      <c r="U1092" s="2" t="s">
        <v>55</v>
      </c>
      <c r="V1092" s="2" t="s">
        <v>56</v>
      </c>
      <c r="W1092" s="2" t="s">
        <v>57</v>
      </c>
      <c r="X1092" s="2" t="s">
        <v>58</v>
      </c>
      <c r="Y1092" s="2">
        <v>1.80365608674084</v>
      </c>
      <c r="Z1092" s="2">
        <v>1803.65608674084</v>
      </c>
      <c r="AA1092" s="2">
        <v>4.6584666666666701</v>
      </c>
      <c r="AB1092" s="2">
        <v>-74.083966666666697</v>
      </c>
      <c r="AC1092" s="2">
        <v>2552</v>
      </c>
      <c r="AD1092" s="2">
        <v>0</v>
      </c>
      <c r="AE1092" s="2" t="s">
        <v>59</v>
      </c>
      <c r="AF1092" s="2" t="s">
        <v>60</v>
      </c>
      <c r="AG1092" s="2" t="s">
        <v>61</v>
      </c>
      <c r="AH1092" s="2" t="s">
        <v>62</v>
      </c>
      <c r="AI1092" s="2" t="s">
        <v>321</v>
      </c>
      <c r="AJ1092" s="2">
        <v>0.77684152967352105</v>
      </c>
      <c r="AK1092" s="2">
        <v>2.4019619972295398</v>
      </c>
      <c r="AL1092" s="2">
        <v>0.53829464998746601</v>
      </c>
      <c r="AM1092" s="2">
        <v>0.13174121751390899</v>
      </c>
      <c r="AN1092" s="2">
        <v>1.90899824302654</v>
      </c>
      <c r="AO1092" s="2">
        <v>0.29780753678629002</v>
      </c>
      <c r="AP1092" s="2">
        <v>0.29780753678629002</v>
      </c>
      <c r="AQ1092" s="2">
        <v>0</v>
      </c>
      <c r="AR1092" s="2">
        <v>5</v>
      </c>
      <c r="AS1092" s="2">
        <v>0</v>
      </c>
      <c r="AT1092" s="2">
        <v>0</v>
      </c>
      <c r="AU1092" s="2">
        <v>7</v>
      </c>
      <c r="AV1092" s="2">
        <v>49</v>
      </c>
      <c r="AW1092" s="2">
        <v>0</v>
      </c>
      <c r="AX1092" s="2">
        <v>0</v>
      </c>
      <c r="AZ1092" s="2">
        <v>6.8</v>
      </c>
      <c r="BA1092" s="2">
        <v>19.899999999999999</v>
      </c>
      <c r="BB1092" s="2">
        <v>564</v>
      </c>
      <c r="BC1092" s="2">
        <v>68</v>
      </c>
      <c r="BD1092" s="2">
        <v>1.5</v>
      </c>
      <c r="BE1092" s="2">
        <v>135</v>
      </c>
      <c r="BF1092" s="2">
        <v>0.8</v>
      </c>
      <c r="BG1092" s="2">
        <v>162</v>
      </c>
      <c r="BH1092" s="2">
        <v>9.1</v>
      </c>
      <c r="BI1092" s="2">
        <v>9.1999999999999993</v>
      </c>
      <c r="BJ1092" s="2">
        <v>18.3</v>
      </c>
      <c r="BK1092" s="2">
        <v>0.34</v>
      </c>
      <c r="BL1092" s="2">
        <v>7.3</v>
      </c>
      <c r="BM1092" s="2">
        <v>0.9</v>
      </c>
      <c r="BN1092" s="2">
        <v>7.5</v>
      </c>
      <c r="BO1092" s="2">
        <v>2.9</v>
      </c>
      <c r="BP1092" s="2">
        <f t="shared" si="34"/>
        <v>6.2192022064019445</v>
      </c>
      <c r="BQ1092" s="2">
        <f t="shared" si="35"/>
        <v>19.056952309963435</v>
      </c>
    </row>
    <row r="1093" spans="1:69" x14ac:dyDescent="0.2">
      <c r="A1093" s="2" t="s">
        <v>3998</v>
      </c>
      <c r="B1093" s="2" t="s">
        <v>47</v>
      </c>
      <c r="C1093" s="2" t="s">
        <v>3273</v>
      </c>
      <c r="D1093" s="2" t="s">
        <v>49</v>
      </c>
      <c r="E1093" s="2" t="s">
        <v>1899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89</v>
      </c>
      <c r="L1093" s="6" t="s">
        <v>90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3999</v>
      </c>
      <c r="R1093" s="2">
        <v>9444444.4440000001</v>
      </c>
      <c r="S1093" s="2">
        <v>0</v>
      </c>
      <c r="T1093" s="2" t="s">
        <v>54</v>
      </c>
      <c r="U1093" s="2" t="s">
        <v>55</v>
      </c>
      <c r="V1093" s="2" t="s">
        <v>56</v>
      </c>
      <c r="W1093" s="2" t="s">
        <v>57</v>
      </c>
      <c r="X1093" s="2" t="s">
        <v>58</v>
      </c>
      <c r="Y1093" s="2">
        <v>1.94073001155798</v>
      </c>
      <c r="Z1093" s="2">
        <v>1940.7300115579801</v>
      </c>
      <c r="AA1093" s="2">
        <v>4.6584666666666701</v>
      </c>
      <c r="AB1093" s="2">
        <v>-74.083966666666697</v>
      </c>
      <c r="AC1093" s="2">
        <v>2552</v>
      </c>
      <c r="AD1093" s="2">
        <v>0</v>
      </c>
      <c r="AE1093" s="2" t="s">
        <v>59</v>
      </c>
      <c r="AF1093" s="2" t="s">
        <v>60</v>
      </c>
      <c r="AG1093" s="2" t="s">
        <v>61</v>
      </c>
      <c r="AH1093" s="2" t="s">
        <v>62</v>
      </c>
      <c r="AI1093" s="2" t="s">
        <v>63</v>
      </c>
      <c r="AJ1093" s="2">
        <v>0.47554318765657599</v>
      </c>
      <c r="AK1093" s="2">
        <v>1.93254178496939</v>
      </c>
      <c r="AL1093" s="2">
        <v>0.34492754195519199</v>
      </c>
      <c r="AM1093" s="2">
        <v>4.8796593864912398E-2</v>
      </c>
      <c r="AN1093" s="2">
        <v>1.8338102486794601</v>
      </c>
      <c r="AO1093" s="2">
        <v>0.58302185452687505</v>
      </c>
      <c r="AP1093" s="2">
        <v>0.58302185452687505</v>
      </c>
      <c r="AQ1093" s="2">
        <v>1</v>
      </c>
      <c r="AR1093" s="2">
        <v>4</v>
      </c>
      <c r="AS1093" s="2">
        <v>0</v>
      </c>
      <c r="AT1093" s="2">
        <v>0</v>
      </c>
      <c r="AU1093" s="2">
        <v>7</v>
      </c>
      <c r="AV1093" s="2">
        <v>103</v>
      </c>
      <c r="AW1093" s="2">
        <v>0</v>
      </c>
      <c r="AX1093" s="2">
        <v>0</v>
      </c>
      <c r="AZ1093" s="2">
        <v>6.8</v>
      </c>
      <c r="BA1093" s="2">
        <v>19.899999999999999</v>
      </c>
      <c r="BB1093" s="2">
        <v>564</v>
      </c>
      <c r="BC1093" s="2">
        <v>68</v>
      </c>
      <c r="BD1093" s="2">
        <v>1.5</v>
      </c>
      <c r="BE1093" s="2">
        <v>135</v>
      </c>
      <c r="BF1093" s="2">
        <v>0.8</v>
      </c>
      <c r="BG1093" s="2">
        <v>162</v>
      </c>
      <c r="BH1093" s="2">
        <v>9.1</v>
      </c>
      <c r="BI1093" s="2">
        <v>9.1999999999999993</v>
      </c>
      <c r="BJ1093" s="2">
        <v>18.3</v>
      </c>
      <c r="BK1093" s="2">
        <v>0.34</v>
      </c>
      <c r="BL1093" s="2">
        <v>7.3</v>
      </c>
      <c r="BM1093" s="2">
        <v>0.9</v>
      </c>
      <c r="BN1093" s="2">
        <v>7.5</v>
      </c>
      <c r="BO1093" s="2">
        <v>2.9</v>
      </c>
      <c r="BP1093" s="2">
        <f t="shared" si="34"/>
        <v>6.1771467666222701</v>
      </c>
      <c r="BQ1093" s="2">
        <f t="shared" si="35"/>
        <v>18.994362250038137</v>
      </c>
    </row>
    <row r="1094" spans="1:69" x14ac:dyDescent="0.2">
      <c r="A1094" s="2" t="s">
        <v>4128</v>
      </c>
      <c r="B1094" s="2" t="s">
        <v>47</v>
      </c>
      <c r="C1094" s="2" t="s">
        <v>3273</v>
      </c>
      <c r="D1094" s="2" t="s">
        <v>49</v>
      </c>
      <c r="E1094" s="2" t="s">
        <v>3465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89</v>
      </c>
      <c r="L1094" s="6" t="s">
        <v>103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4129</v>
      </c>
      <c r="R1094" s="2">
        <v>8611111.1109999996</v>
      </c>
      <c r="S1094" s="2">
        <v>0</v>
      </c>
      <c r="T1094" s="2" t="s">
        <v>105</v>
      </c>
      <c r="U1094" s="2" t="s">
        <v>106</v>
      </c>
      <c r="V1094" s="2" t="s">
        <v>56</v>
      </c>
      <c r="W1094" s="2" t="s">
        <v>107</v>
      </c>
      <c r="X1094" s="2" t="s">
        <v>108</v>
      </c>
      <c r="Y1094" s="2">
        <v>2.82414023974194</v>
      </c>
      <c r="Z1094" s="2">
        <v>2824.1402397419401</v>
      </c>
      <c r="AA1094" s="2">
        <v>4.6254861111111101</v>
      </c>
      <c r="AB1094" s="2">
        <v>-74.066980555555503</v>
      </c>
      <c r="AC1094" s="2">
        <v>2621</v>
      </c>
      <c r="AD1094" s="2">
        <v>15</v>
      </c>
      <c r="AE1094" s="2" t="s">
        <v>59</v>
      </c>
      <c r="AF1094" s="2" t="s">
        <v>60</v>
      </c>
      <c r="AG1094" s="2" t="s">
        <v>61</v>
      </c>
      <c r="AH1094" s="2" t="s">
        <v>62</v>
      </c>
      <c r="AI1094" s="2" t="s">
        <v>63</v>
      </c>
      <c r="AJ1094" s="2">
        <v>0.14034671503936799</v>
      </c>
      <c r="AK1094" s="2">
        <v>3.3729158218794799</v>
      </c>
      <c r="AL1094" s="2">
        <v>0.60670752375092896</v>
      </c>
      <c r="AM1094" s="2">
        <v>8.4256944737286996E-2</v>
      </c>
      <c r="AN1094" s="2">
        <v>2.2450632934616199</v>
      </c>
      <c r="AO1094" s="2">
        <v>2.41409666463905E-2</v>
      </c>
      <c r="AP1094" s="2">
        <v>2.41409666463905E-2</v>
      </c>
      <c r="AQ1094" s="2">
        <v>2</v>
      </c>
      <c r="AR1094" s="2">
        <v>3</v>
      </c>
      <c r="AS1094" s="2">
        <v>0</v>
      </c>
      <c r="AT1094" s="2">
        <v>0</v>
      </c>
      <c r="AU1094" s="2">
        <v>1</v>
      </c>
      <c r="AV1094" s="2">
        <v>14</v>
      </c>
      <c r="AW1094" s="2">
        <v>0</v>
      </c>
      <c r="AX1094" s="2">
        <v>0</v>
      </c>
      <c r="AZ1094" s="2">
        <v>6.8</v>
      </c>
      <c r="BA1094" s="2">
        <v>19.899999999999999</v>
      </c>
      <c r="BB1094" s="2">
        <v>564</v>
      </c>
      <c r="BC1094" s="2">
        <v>68</v>
      </c>
      <c r="BD1094" s="2">
        <v>1.5</v>
      </c>
      <c r="BE1094" s="2">
        <v>135</v>
      </c>
      <c r="BF1094" s="2">
        <v>0.8</v>
      </c>
      <c r="BG1094" s="2">
        <v>162</v>
      </c>
      <c r="BH1094" s="2">
        <v>9.1</v>
      </c>
      <c r="BI1094" s="2">
        <v>9.1999999999999993</v>
      </c>
      <c r="BJ1094" s="2">
        <v>18.3</v>
      </c>
      <c r="BK1094" s="2">
        <v>0.34</v>
      </c>
      <c r="BL1094" s="2">
        <v>7.3</v>
      </c>
      <c r="BM1094" s="2">
        <v>0.9</v>
      </c>
      <c r="BN1094" s="2">
        <v>7.5</v>
      </c>
      <c r="BO1094" s="2">
        <v>2.9</v>
      </c>
      <c r="BP1094" s="2">
        <f t="shared" si="34"/>
        <v>5.9128483540490322</v>
      </c>
      <c r="BQ1094" s="2">
        <f t="shared" si="35"/>
        <v>18.595885860860104</v>
      </c>
    </row>
    <row r="1095" spans="1:69" x14ac:dyDescent="0.2">
      <c r="A1095" s="2" t="s">
        <v>3540</v>
      </c>
      <c r="B1095" s="2" t="s">
        <v>47</v>
      </c>
      <c r="C1095" s="2" t="s">
        <v>3273</v>
      </c>
      <c r="D1095" s="2" t="s">
        <v>49</v>
      </c>
      <c r="E1095" s="2" t="s">
        <v>102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89</v>
      </c>
      <c r="L1095" s="6" t="s">
        <v>103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3541</v>
      </c>
      <c r="R1095" s="2">
        <v>8333333.3329999996</v>
      </c>
      <c r="S1095" s="2">
        <v>0</v>
      </c>
      <c r="T1095" s="2" t="s">
        <v>105</v>
      </c>
      <c r="U1095" s="2" t="s">
        <v>106</v>
      </c>
      <c r="V1095" s="2" t="s">
        <v>56</v>
      </c>
      <c r="W1095" s="2" t="s">
        <v>107</v>
      </c>
      <c r="X1095" s="2" t="s">
        <v>108</v>
      </c>
      <c r="Y1095" s="2">
        <v>1.85017505820428</v>
      </c>
      <c r="Z1095" s="2">
        <v>1850.17505820428</v>
      </c>
      <c r="AA1095" s="2">
        <v>4.6254861111111101</v>
      </c>
      <c r="AB1095" s="2">
        <v>-74.066980555555503</v>
      </c>
      <c r="AC1095" s="2">
        <v>2621</v>
      </c>
      <c r="AD1095" s="2">
        <v>15</v>
      </c>
      <c r="AE1095" s="2" t="s">
        <v>59</v>
      </c>
      <c r="AF1095" s="2" t="s">
        <v>60</v>
      </c>
      <c r="AG1095" s="2" t="s">
        <v>61</v>
      </c>
      <c r="AH1095" s="2" t="s">
        <v>62</v>
      </c>
      <c r="AI1095" s="2" t="s">
        <v>109</v>
      </c>
      <c r="AJ1095" s="2">
        <v>0.372852899425622</v>
      </c>
      <c r="AK1095" s="2">
        <v>0.57974445769233596</v>
      </c>
      <c r="AL1095" s="2">
        <v>0.427568478280553</v>
      </c>
      <c r="AM1095" s="2">
        <v>8.0108328699491194E-2</v>
      </c>
      <c r="AN1095" s="2">
        <v>0.48619134722579099</v>
      </c>
      <c r="AO1095" s="2">
        <v>0.23268685708362399</v>
      </c>
      <c r="AP1095" s="2">
        <v>0.23268685708362399</v>
      </c>
      <c r="AQ1095" s="2">
        <v>1</v>
      </c>
      <c r="AR1095" s="2">
        <v>4</v>
      </c>
      <c r="AS1095" s="2">
        <v>0</v>
      </c>
      <c r="AT1095" s="2">
        <v>22</v>
      </c>
      <c r="AU1095" s="2">
        <v>8</v>
      </c>
      <c r="AV1095" s="2">
        <v>131</v>
      </c>
      <c r="AW1095" s="2">
        <v>1</v>
      </c>
      <c r="AX1095" s="2">
        <v>0</v>
      </c>
      <c r="AZ1095" s="2">
        <v>6.8</v>
      </c>
      <c r="BA1095" s="2">
        <v>19.899999999999999</v>
      </c>
      <c r="BB1095" s="2">
        <v>564</v>
      </c>
      <c r="BC1095" s="2">
        <v>68</v>
      </c>
      <c r="BD1095" s="2">
        <v>1.5</v>
      </c>
      <c r="BE1095" s="2">
        <v>135</v>
      </c>
      <c r="BF1095" s="2">
        <v>0.8</v>
      </c>
      <c r="BG1095" s="2">
        <v>162</v>
      </c>
      <c r="BH1095" s="2">
        <v>9.1</v>
      </c>
      <c r="BI1095" s="2">
        <v>9.1999999999999993</v>
      </c>
      <c r="BJ1095" s="2">
        <v>18.3</v>
      </c>
      <c r="BK1095" s="2">
        <v>0.34</v>
      </c>
      <c r="BL1095" s="2">
        <v>7.3</v>
      </c>
      <c r="BM1095" s="2">
        <v>0.9</v>
      </c>
      <c r="BN1095" s="2">
        <v>7.5</v>
      </c>
      <c r="BO1095" s="2">
        <v>2.9</v>
      </c>
      <c r="BP1095" s="2">
        <f t="shared" si="34"/>
        <v>6.2048977929776408</v>
      </c>
      <c r="BQ1095" s="2">
        <f t="shared" si="35"/>
        <v>19.035687946831345</v>
      </c>
    </row>
    <row r="1096" spans="1:69" x14ac:dyDescent="0.2">
      <c r="A1096" s="2" t="s">
        <v>4124</v>
      </c>
      <c r="B1096" s="2" t="s">
        <v>47</v>
      </c>
      <c r="C1096" s="2" t="s">
        <v>3273</v>
      </c>
      <c r="D1096" s="2" t="s">
        <v>49</v>
      </c>
      <c r="E1096" s="2" t="s">
        <v>663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89</v>
      </c>
      <c r="L1096" s="6" t="s">
        <v>90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4125</v>
      </c>
      <c r="R1096" s="2">
        <v>8752431.2310000006</v>
      </c>
      <c r="S1096" s="2">
        <v>0</v>
      </c>
      <c r="T1096" s="2" t="s">
        <v>54</v>
      </c>
      <c r="U1096" s="2" t="s">
        <v>55</v>
      </c>
      <c r="V1096" s="2" t="s">
        <v>56</v>
      </c>
      <c r="W1096" s="2" t="s">
        <v>57</v>
      </c>
      <c r="X1096" s="2" t="s">
        <v>58</v>
      </c>
      <c r="Y1096" s="2">
        <v>4.1059572715189399</v>
      </c>
      <c r="Z1096" s="2">
        <v>4105.9572715189397</v>
      </c>
      <c r="AA1096" s="2">
        <v>4.6584666666666701</v>
      </c>
      <c r="AB1096" s="2">
        <v>-74.083966666666697</v>
      </c>
      <c r="AC1096" s="2">
        <v>2552</v>
      </c>
      <c r="AD1096" s="2">
        <v>0</v>
      </c>
      <c r="AE1096" s="2" t="s">
        <v>59</v>
      </c>
      <c r="AF1096" s="2" t="s">
        <v>60</v>
      </c>
      <c r="AG1096" s="2" t="s">
        <v>61</v>
      </c>
      <c r="AH1096" s="2" t="s">
        <v>62</v>
      </c>
      <c r="AI1096" s="2" t="s">
        <v>321</v>
      </c>
      <c r="AJ1096" s="2">
        <v>0.38555771811571399</v>
      </c>
      <c r="AK1096" s="2">
        <v>2.80583859368065</v>
      </c>
      <c r="AL1096" s="2">
        <v>0.91282656625998604</v>
      </c>
      <c r="AM1096" s="2">
        <v>4.0076641228315599E-2</v>
      </c>
      <c r="AN1096" s="2">
        <v>2.7576401025890802</v>
      </c>
      <c r="AO1096" s="2">
        <v>0.14031477194287001</v>
      </c>
      <c r="AP1096" s="2">
        <v>0.14031477194287001</v>
      </c>
      <c r="AQ1096" s="2">
        <v>2</v>
      </c>
      <c r="AR1096" s="2">
        <v>6</v>
      </c>
      <c r="AS1096" s="2">
        <v>0</v>
      </c>
      <c r="AT1096" s="2">
        <v>0</v>
      </c>
      <c r="AU1096" s="2">
        <v>2</v>
      </c>
      <c r="AV1096" s="2">
        <v>197</v>
      </c>
      <c r="AW1096" s="2">
        <v>0</v>
      </c>
      <c r="AX1096" s="2">
        <v>0</v>
      </c>
      <c r="AZ1096" s="2">
        <v>6.8</v>
      </c>
      <c r="BA1096" s="2">
        <v>19.899999999999999</v>
      </c>
      <c r="BB1096" s="2">
        <v>564</v>
      </c>
      <c r="BC1096" s="2">
        <v>68</v>
      </c>
      <c r="BD1096" s="2">
        <v>1.5</v>
      </c>
      <c r="BE1096" s="2">
        <v>135</v>
      </c>
      <c r="BF1096" s="2">
        <v>0.8</v>
      </c>
      <c r="BG1096" s="2">
        <v>162</v>
      </c>
      <c r="BH1096" s="2">
        <v>9.1</v>
      </c>
      <c r="BI1096" s="2">
        <v>9.1999999999999993</v>
      </c>
      <c r="BJ1096" s="2">
        <v>18.3</v>
      </c>
      <c r="BK1096" s="2">
        <v>0.34</v>
      </c>
      <c r="BL1096" s="2">
        <v>7.3</v>
      </c>
      <c r="BM1096" s="2">
        <v>0.9</v>
      </c>
      <c r="BN1096" s="2">
        <v>7.5</v>
      </c>
      <c r="BO1096" s="2">
        <v>2.9</v>
      </c>
      <c r="BP1096" s="2">
        <f t="shared" si="34"/>
        <v>5.5493329272256418</v>
      </c>
      <c r="BQ1096" s="2">
        <f t="shared" si="35"/>
        <v>18.03251932757388</v>
      </c>
    </row>
    <row r="1097" spans="1:69" x14ac:dyDescent="0.2">
      <c r="A1097" s="2" t="s">
        <v>3832</v>
      </c>
      <c r="B1097" s="2" t="s">
        <v>47</v>
      </c>
      <c r="C1097" s="2" t="s">
        <v>3273</v>
      </c>
      <c r="D1097" s="2" t="s">
        <v>49</v>
      </c>
      <c r="E1097" s="2" t="s">
        <v>989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89</v>
      </c>
      <c r="L1097" s="6" t="s">
        <v>90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3833</v>
      </c>
      <c r="R1097" s="2">
        <v>9243697.4790000003</v>
      </c>
      <c r="S1097" s="2">
        <v>0</v>
      </c>
      <c r="T1097" s="2" t="s">
        <v>54</v>
      </c>
      <c r="U1097" s="2" t="s">
        <v>55</v>
      </c>
      <c r="V1097" s="2" t="s">
        <v>56</v>
      </c>
      <c r="W1097" s="2" t="s">
        <v>57</v>
      </c>
      <c r="X1097" s="2" t="s">
        <v>58</v>
      </c>
      <c r="Y1097" s="2">
        <v>4.18029084974307</v>
      </c>
      <c r="Z1097" s="2">
        <v>4180.2908497430699</v>
      </c>
      <c r="AA1097" s="2">
        <v>4.6584666666666701</v>
      </c>
      <c r="AB1097" s="2">
        <v>-74.083966666666697</v>
      </c>
      <c r="AC1097" s="2">
        <v>2552</v>
      </c>
      <c r="AD1097" s="2">
        <v>0</v>
      </c>
      <c r="AE1097" s="2" t="s">
        <v>59</v>
      </c>
      <c r="AF1097" s="2" t="s">
        <v>60</v>
      </c>
      <c r="AG1097" s="2" t="s">
        <v>61</v>
      </c>
      <c r="AH1097" s="2" t="s">
        <v>62</v>
      </c>
      <c r="AI1097" s="2" t="s">
        <v>100</v>
      </c>
      <c r="AJ1097" s="2">
        <v>0.36218019451817202</v>
      </c>
      <c r="AK1097" s="2">
        <v>2.9554341929511501</v>
      </c>
      <c r="AL1097" s="2">
        <v>1.0420330131459501</v>
      </c>
      <c r="AM1097" s="2">
        <v>0.14240554945807399</v>
      </c>
      <c r="AN1097" s="2">
        <v>2.77906809708578</v>
      </c>
      <c r="AO1097" s="2">
        <v>2.9249813267697199E-3</v>
      </c>
      <c r="AP1097" s="2">
        <v>2.9249813267697199E-3</v>
      </c>
      <c r="AQ1097" s="2">
        <v>2</v>
      </c>
      <c r="AR1097" s="2">
        <v>6</v>
      </c>
      <c r="AS1097" s="2">
        <v>0</v>
      </c>
      <c r="AT1097" s="2">
        <v>0</v>
      </c>
      <c r="AU1097" s="2">
        <v>0</v>
      </c>
      <c r="AV1097" s="2">
        <v>182</v>
      </c>
      <c r="AW1097" s="2">
        <v>0</v>
      </c>
      <c r="AX1097" s="2">
        <v>0</v>
      </c>
      <c r="AZ1097" s="2">
        <v>6.8</v>
      </c>
      <c r="BA1097" s="2">
        <v>19.899999999999999</v>
      </c>
      <c r="BB1097" s="2">
        <v>564</v>
      </c>
      <c r="BC1097" s="2">
        <v>68</v>
      </c>
      <c r="BD1097" s="2">
        <v>1.5</v>
      </c>
      <c r="BE1097" s="2">
        <v>135</v>
      </c>
      <c r="BF1097" s="2">
        <v>0.8</v>
      </c>
      <c r="BG1097" s="2">
        <v>162</v>
      </c>
      <c r="BH1097" s="2">
        <v>9.1</v>
      </c>
      <c r="BI1097" s="2">
        <v>9.1999999999999993</v>
      </c>
      <c r="BJ1097" s="2">
        <v>18.3</v>
      </c>
      <c r="BK1097" s="2">
        <v>0.34</v>
      </c>
      <c r="BL1097" s="2">
        <v>7.3</v>
      </c>
      <c r="BM1097" s="2">
        <v>0.9</v>
      </c>
      <c r="BN1097" s="2">
        <v>7.5</v>
      </c>
      <c r="BO1097" s="2">
        <v>2.9</v>
      </c>
      <c r="BP1097" s="2">
        <f t="shared" si="34"/>
        <v>5.5289516090988275</v>
      </c>
      <c r="BQ1097" s="2">
        <f t="shared" si="35"/>
        <v>18.000377885894618</v>
      </c>
    </row>
    <row r="1098" spans="1:69" x14ac:dyDescent="0.2">
      <c r="A1098" s="2" t="s">
        <v>1076</v>
      </c>
      <c r="B1098" s="2" t="s">
        <v>47</v>
      </c>
      <c r="C1098" s="2" t="s">
        <v>48</v>
      </c>
      <c r="D1098" s="2" t="s">
        <v>49</v>
      </c>
      <c r="E1098" s="2" t="s">
        <v>1077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51</v>
      </c>
      <c r="L1098" s="6" t="s">
        <v>52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1078</v>
      </c>
      <c r="R1098" s="2">
        <v>8916764.7880000006</v>
      </c>
      <c r="S1098" s="2">
        <v>0</v>
      </c>
      <c r="T1098" s="2" t="s">
        <v>105</v>
      </c>
      <c r="U1098" s="2" t="s">
        <v>106</v>
      </c>
      <c r="V1098" s="2" t="s">
        <v>56</v>
      </c>
      <c r="W1098" s="2" t="s">
        <v>107</v>
      </c>
      <c r="X1098" s="2" t="s">
        <v>108</v>
      </c>
      <c r="Y1098" s="2">
        <v>2.2019124422633198</v>
      </c>
      <c r="Z1098" s="2">
        <v>2201.9124422633199</v>
      </c>
      <c r="AA1098" s="2">
        <v>4.6254861111111101</v>
      </c>
      <c r="AB1098" s="2">
        <v>-74.066980555555503</v>
      </c>
      <c r="AC1098" s="2">
        <v>2621</v>
      </c>
      <c r="AD1098" s="2">
        <v>15</v>
      </c>
      <c r="AE1098" s="2" t="s">
        <v>59</v>
      </c>
      <c r="AF1098" s="2" t="s">
        <v>60</v>
      </c>
      <c r="AG1098" s="2" t="s">
        <v>61</v>
      </c>
      <c r="AH1098" s="2" t="s">
        <v>62</v>
      </c>
      <c r="AI1098" s="2" t="s">
        <v>117</v>
      </c>
      <c r="AJ1098" s="2">
        <v>0.26205392145262502</v>
      </c>
      <c r="AK1098" s="2">
        <v>0.80519454019274705</v>
      </c>
      <c r="AL1098" s="2">
        <v>9.6832708585188401E-2</v>
      </c>
      <c r="AM1098" s="2">
        <v>0.106453309816768</v>
      </c>
      <c r="AN1098" s="2">
        <v>1.16778758119472</v>
      </c>
      <c r="AO1098" s="2">
        <v>0.112458522666643</v>
      </c>
      <c r="AP1098" s="2">
        <v>0.112458522666643</v>
      </c>
      <c r="AQ1098" s="2">
        <v>1</v>
      </c>
      <c r="AR1098" s="2">
        <v>9</v>
      </c>
      <c r="AS1098" s="2">
        <v>0</v>
      </c>
      <c r="AT1098" s="2">
        <v>22</v>
      </c>
      <c r="AU1098" s="2">
        <v>13</v>
      </c>
      <c r="AV1098" s="2">
        <v>57</v>
      </c>
      <c r="AW1098" s="2">
        <v>0</v>
      </c>
      <c r="AX1098" s="2">
        <v>9</v>
      </c>
      <c r="AZ1098" s="2">
        <v>6.8</v>
      </c>
      <c r="BA1098" s="2">
        <v>19.899999999999999</v>
      </c>
      <c r="BB1098" s="2">
        <v>564</v>
      </c>
      <c r="BC1098" s="2">
        <v>68</v>
      </c>
      <c r="BD1098" s="2">
        <v>1.5</v>
      </c>
      <c r="BE1098" s="2">
        <v>135</v>
      </c>
      <c r="BF1098" s="2">
        <v>0.8</v>
      </c>
      <c r="BG1098" s="2">
        <v>162</v>
      </c>
      <c r="BH1098" s="2">
        <v>9.1</v>
      </c>
      <c r="BI1098" s="2">
        <v>9.1999999999999993</v>
      </c>
      <c r="BJ1098" s="2">
        <v>18.3</v>
      </c>
      <c r="BK1098" s="2">
        <v>0.34</v>
      </c>
      <c r="BL1098" s="2">
        <v>7.3</v>
      </c>
      <c r="BM1098" s="2">
        <v>0.9</v>
      </c>
      <c r="BN1098" s="2">
        <v>7.5</v>
      </c>
      <c r="BO1098" s="2">
        <v>2.9</v>
      </c>
      <c r="BP1098" s="2">
        <f t="shared" si="34"/>
        <v>6.0977993652214186</v>
      </c>
      <c r="BQ1098" s="2">
        <f t="shared" si="35"/>
        <v>18.875670791311318</v>
      </c>
    </row>
    <row r="1099" spans="1:69" x14ac:dyDescent="0.2">
      <c r="A1099" s="2" t="s">
        <v>4474</v>
      </c>
      <c r="B1099" s="2" t="s">
        <v>47</v>
      </c>
      <c r="C1099" s="2" t="s">
        <v>3273</v>
      </c>
      <c r="D1099" s="2" t="s">
        <v>49</v>
      </c>
      <c r="E1099" s="2" t="s">
        <v>493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89</v>
      </c>
      <c r="L1099" s="6" t="s">
        <v>103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4475</v>
      </c>
      <c r="R1099" s="2">
        <v>8422234.6999999993</v>
      </c>
      <c r="S1099" s="2">
        <v>0</v>
      </c>
      <c r="T1099" s="2" t="s">
        <v>105</v>
      </c>
      <c r="U1099" s="2" t="s">
        <v>106</v>
      </c>
      <c r="V1099" s="2" t="s">
        <v>56</v>
      </c>
      <c r="W1099" s="2" t="s">
        <v>107</v>
      </c>
      <c r="X1099" s="2" t="s">
        <v>108</v>
      </c>
      <c r="Y1099" s="2">
        <v>1.1760783404341599</v>
      </c>
      <c r="Z1099" s="2">
        <v>1176.0783404341601</v>
      </c>
      <c r="AA1099" s="2">
        <v>4.6254861111111101</v>
      </c>
      <c r="AB1099" s="2">
        <v>-74.066980555555503</v>
      </c>
      <c r="AC1099" s="2">
        <v>2621</v>
      </c>
      <c r="AD1099" s="2">
        <v>15</v>
      </c>
      <c r="AE1099" s="2" t="s">
        <v>59</v>
      </c>
      <c r="AF1099" s="2" t="s">
        <v>60</v>
      </c>
      <c r="AG1099" s="2" t="s">
        <v>61</v>
      </c>
      <c r="AH1099" s="2" t="s">
        <v>62</v>
      </c>
      <c r="AI1099" s="2" t="s">
        <v>109</v>
      </c>
      <c r="AJ1099" s="2">
        <v>0.66336797837491701</v>
      </c>
      <c r="AK1099" s="2">
        <v>0.211038155909792</v>
      </c>
      <c r="AL1099" s="2">
        <v>0.28110074864553197</v>
      </c>
      <c r="AM1099" s="2">
        <v>0.145098086444783</v>
      </c>
      <c r="AN1099" s="2">
        <v>0.85405485880718401</v>
      </c>
      <c r="AO1099" s="2">
        <v>0.116144333882938</v>
      </c>
      <c r="AP1099" s="2">
        <v>0.116144333882938</v>
      </c>
      <c r="AQ1099" s="2">
        <v>0</v>
      </c>
      <c r="AR1099" s="2">
        <v>3</v>
      </c>
      <c r="AS1099" s="2">
        <v>7</v>
      </c>
      <c r="AT1099" s="2">
        <v>50</v>
      </c>
      <c r="AU1099" s="2">
        <v>9</v>
      </c>
      <c r="AV1099" s="2">
        <v>114</v>
      </c>
      <c r="AW1099" s="2">
        <v>2</v>
      </c>
      <c r="AX1099" s="2">
        <v>0</v>
      </c>
      <c r="AZ1099" s="2">
        <v>6.8</v>
      </c>
      <c r="BA1099" s="2">
        <v>19.899999999999999</v>
      </c>
      <c r="BB1099" s="2">
        <v>564</v>
      </c>
      <c r="BC1099" s="2">
        <v>68</v>
      </c>
      <c r="BD1099" s="2">
        <v>1.5</v>
      </c>
      <c r="BE1099" s="2">
        <v>135</v>
      </c>
      <c r="BF1099" s="2">
        <v>0.8</v>
      </c>
      <c r="BG1099" s="2">
        <v>162</v>
      </c>
      <c r="BH1099" s="2">
        <v>9.1</v>
      </c>
      <c r="BI1099" s="2">
        <v>9.1999999999999993</v>
      </c>
      <c r="BJ1099" s="2">
        <v>18.3</v>
      </c>
      <c r="BK1099" s="2">
        <v>0.34</v>
      </c>
      <c r="BL1099" s="2">
        <v>7.3</v>
      </c>
      <c r="BM1099" s="2">
        <v>0.9</v>
      </c>
      <c r="BN1099" s="2">
        <v>7.5</v>
      </c>
      <c r="BO1099" s="2">
        <v>2.9</v>
      </c>
      <c r="BP1099" s="2">
        <f t="shared" si="34"/>
        <v>6.4154345428439434</v>
      </c>
      <c r="BQ1099" s="2">
        <f t="shared" si="35"/>
        <v>19.346158092282394</v>
      </c>
    </row>
    <row r="1100" spans="1:69" x14ac:dyDescent="0.2">
      <c r="A1100" s="2" t="s">
        <v>3297</v>
      </c>
      <c r="B1100" s="2" t="s">
        <v>47</v>
      </c>
      <c r="C1100" s="2" t="s">
        <v>3273</v>
      </c>
      <c r="D1100" s="2" t="s">
        <v>49</v>
      </c>
      <c r="E1100" s="2" t="s">
        <v>1384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89</v>
      </c>
      <c r="L1100" s="6" t="s">
        <v>90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3298</v>
      </c>
      <c r="R1100" s="2">
        <v>8343988.6849999996</v>
      </c>
      <c r="S1100" s="2">
        <v>0</v>
      </c>
      <c r="T1100" s="2" t="s">
        <v>54</v>
      </c>
      <c r="U1100" s="2" t="s">
        <v>55</v>
      </c>
      <c r="V1100" s="2" t="s">
        <v>56</v>
      </c>
      <c r="W1100" s="2" t="s">
        <v>57</v>
      </c>
      <c r="X1100" s="2" t="s">
        <v>58</v>
      </c>
      <c r="Y1100" s="2">
        <v>1.73747420615689</v>
      </c>
      <c r="Z1100" s="2">
        <v>1737.47420615689</v>
      </c>
      <c r="AA1100" s="2">
        <v>4.6584666666666701</v>
      </c>
      <c r="AB1100" s="2">
        <v>-74.083966666666697</v>
      </c>
      <c r="AC1100" s="2">
        <v>2552</v>
      </c>
      <c r="AD1100" s="2">
        <v>0</v>
      </c>
      <c r="AE1100" s="2" t="s">
        <v>59</v>
      </c>
      <c r="AF1100" s="2" t="s">
        <v>60</v>
      </c>
      <c r="AG1100" s="2" t="s">
        <v>61</v>
      </c>
      <c r="AH1100" s="2" t="s">
        <v>62</v>
      </c>
      <c r="AI1100" s="2" t="s">
        <v>321</v>
      </c>
      <c r="AJ1100" s="2">
        <v>1.1965062697631501</v>
      </c>
      <c r="AK1100" s="2">
        <v>4.4994182740196198</v>
      </c>
      <c r="AL1100" s="2">
        <v>1.7844111272607099</v>
      </c>
      <c r="AM1100" s="2">
        <v>0.168503057433147</v>
      </c>
      <c r="AN1100" s="2">
        <v>0.34291230157204</v>
      </c>
      <c r="AO1100" s="2">
        <v>6.8547091360337806E-2</v>
      </c>
      <c r="AP1100" s="2">
        <v>6.8547091360337806E-2</v>
      </c>
      <c r="AQ1100" s="2">
        <v>0</v>
      </c>
      <c r="AR1100" s="2">
        <v>0</v>
      </c>
      <c r="AS1100" s="2">
        <v>0</v>
      </c>
      <c r="AT1100" s="2">
        <v>0</v>
      </c>
      <c r="AU1100" s="2">
        <v>0</v>
      </c>
      <c r="AV1100" s="2">
        <v>15</v>
      </c>
      <c r="AW1100" s="2">
        <v>1</v>
      </c>
      <c r="AX1100" s="2">
        <v>0</v>
      </c>
      <c r="AZ1100" s="2">
        <v>6.8</v>
      </c>
      <c r="BA1100" s="2">
        <v>19.899999999999999</v>
      </c>
      <c r="BB1100" s="2">
        <v>564</v>
      </c>
      <c r="BC1100" s="2">
        <v>68</v>
      </c>
      <c r="BD1100" s="2">
        <v>1.5</v>
      </c>
      <c r="BE1100" s="2">
        <v>135</v>
      </c>
      <c r="BF1100" s="2">
        <v>0.8</v>
      </c>
      <c r="BG1100" s="2">
        <v>162</v>
      </c>
      <c r="BH1100" s="2">
        <v>9.1</v>
      </c>
      <c r="BI1100" s="2">
        <v>9.1999999999999993</v>
      </c>
      <c r="BJ1100" s="2">
        <v>18.3</v>
      </c>
      <c r="BK1100" s="2">
        <v>0.34</v>
      </c>
      <c r="BL1100" s="2">
        <v>7.3</v>
      </c>
      <c r="BM1100" s="2">
        <v>0.9</v>
      </c>
      <c r="BN1100" s="2">
        <v>7.5</v>
      </c>
      <c r="BO1100" s="2">
        <v>2.9</v>
      </c>
      <c r="BP1100" s="2">
        <f t="shared" si="34"/>
        <v>6.239609741362961</v>
      </c>
      <c r="BQ1100" s="2">
        <f t="shared" si="35"/>
        <v>19.087245760734703</v>
      </c>
    </row>
    <row r="1101" spans="1:69" x14ac:dyDescent="0.2">
      <c r="A1101" s="2" t="s">
        <v>3992</v>
      </c>
      <c r="B1101" s="2" t="s">
        <v>47</v>
      </c>
      <c r="C1101" s="2" t="s">
        <v>3273</v>
      </c>
      <c r="D1101" s="2" t="s">
        <v>49</v>
      </c>
      <c r="E1101" s="2" t="s">
        <v>3538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89</v>
      </c>
      <c r="L1101" s="6" t="s">
        <v>90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3993</v>
      </c>
      <c r="R1101" s="2">
        <v>9285714.2860000003</v>
      </c>
      <c r="S1101" s="2">
        <v>0</v>
      </c>
      <c r="T1101" s="2" t="s">
        <v>105</v>
      </c>
      <c r="U1101" s="2" t="s">
        <v>106</v>
      </c>
      <c r="V1101" s="2" t="s">
        <v>56</v>
      </c>
      <c r="W1101" s="2" t="s">
        <v>107</v>
      </c>
      <c r="X1101" s="2" t="s">
        <v>108</v>
      </c>
      <c r="Y1101" s="2">
        <v>0.86978049022589898</v>
      </c>
      <c r="Z1101" s="2">
        <v>869.78049022589903</v>
      </c>
      <c r="AA1101" s="2">
        <v>4.6254861111111101</v>
      </c>
      <c r="AB1101" s="2">
        <v>-74.066980555555503</v>
      </c>
      <c r="AC1101" s="2">
        <v>2621</v>
      </c>
      <c r="AD1101" s="2">
        <v>15</v>
      </c>
      <c r="AE1101" s="2" t="s">
        <v>59</v>
      </c>
      <c r="AF1101" s="2" t="s">
        <v>60</v>
      </c>
      <c r="AG1101" s="2" t="s">
        <v>61</v>
      </c>
      <c r="AH1101" s="2" t="s">
        <v>62</v>
      </c>
      <c r="AI1101" s="2" t="s">
        <v>117</v>
      </c>
      <c r="AJ1101" s="2">
        <v>0.40214383399542297</v>
      </c>
      <c r="AK1101" s="2">
        <v>0.41424412197733101</v>
      </c>
      <c r="AL1101" s="2">
        <v>0.360902260134491</v>
      </c>
      <c r="AM1101" s="2">
        <v>0.18467891059949801</v>
      </c>
      <c r="AN1101" s="2">
        <v>0.26616675802609602</v>
      </c>
      <c r="AO1101" s="2">
        <v>5.74852785967968E-2</v>
      </c>
      <c r="AP1101" s="2">
        <v>5.74852785967968E-2</v>
      </c>
      <c r="AQ1101" s="2">
        <v>1</v>
      </c>
      <c r="AR1101" s="2">
        <v>5</v>
      </c>
      <c r="AS1101" s="2">
        <v>1</v>
      </c>
      <c r="AT1101" s="2">
        <v>10</v>
      </c>
      <c r="AU1101" s="2">
        <v>12</v>
      </c>
      <c r="AV1101" s="2">
        <v>56</v>
      </c>
      <c r="AW1101" s="2">
        <v>1</v>
      </c>
      <c r="AX1101" s="2">
        <v>2</v>
      </c>
      <c r="AZ1101" s="2">
        <v>6.8</v>
      </c>
      <c r="BA1101" s="2">
        <v>19.899999999999999</v>
      </c>
      <c r="BB1101" s="2">
        <v>564</v>
      </c>
      <c r="BC1101" s="2">
        <v>68</v>
      </c>
      <c r="BD1101" s="2">
        <v>1.5</v>
      </c>
      <c r="BE1101" s="2">
        <v>135</v>
      </c>
      <c r="BF1101" s="2">
        <v>0.8</v>
      </c>
      <c r="BG1101" s="2">
        <v>162</v>
      </c>
      <c r="BH1101" s="2">
        <v>9.1</v>
      </c>
      <c r="BI1101" s="2">
        <v>9.1999999999999993</v>
      </c>
      <c r="BJ1101" s="2">
        <v>18.3</v>
      </c>
      <c r="BK1101" s="2">
        <v>0.34</v>
      </c>
      <c r="BL1101" s="2">
        <v>7.3</v>
      </c>
      <c r="BM1101" s="2">
        <v>0.9</v>
      </c>
      <c r="BN1101" s="2">
        <v>7.5</v>
      </c>
      <c r="BO1101" s="2">
        <v>2.9</v>
      </c>
      <c r="BP1101" s="2">
        <f t="shared" si="34"/>
        <v>6.5134448423548923</v>
      </c>
      <c r="BQ1101" s="2">
        <f t="shared" si="35"/>
        <v>19.488898581946696</v>
      </c>
    </row>
    <row r="1102" spans="1:69" x14ac:dyDescent="0.2">
      <c r="A1102" s="2" t="s">
        <v>4022</v>
      </c>
      <c r="B1102" s="2" t="s">
        <v>47</v>
      </c>
      <c r="C1102" s="2" t="s">
        <v>3273</v>
      </c>
      <c r="D1102" s="2" t="s">
        <v>49</v>
      </c>
      <c r="E1102" s="2" t="s">
        <v>4023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89</v>
      </c>
      <c r="L1102" s="6" t="s">
        <v>141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4024</v>
      </c>
      <c r="R1102" s="2">
        <v>5285714.2860000003</v>
      </c>
      <c r="S1102" s="2">
        <v>0</v>
      </c>
      <c r="T1102" s="2" t="s">
        <v>105</v>
      </c>
      <c r="U1102" s="2" t="s">
        <v>106</v>
      </c>
      <c r="V1102" s="2" t="s">
        <v>56</v>
      </c>
      <c r="W1102" s="2" t="s">
        <v>107</v>
      </c>
      <c r="X1102" s="2" t="s">
        <v>108</v>
      </c>
      <c r="Y1102" s="2">
        <v>1.39175174742179</v>
      </c>
      <c r="Z1102" s="2">
        <v>1391.75174742179</v>
      </c>
      <c r="AA1102" s="2">
        <v>4.6254861111111101</v>
      </c>
      <c r="AB1102" s="2">
        <v>-74.066980555555503</v>
      </c>
      <c r="AC1102" s="2">
        <v>2621</v>
      </c>
      <c r="AD1102" s="2">
        <v>15</v>
      </c>
      <c r="AE1102" s="2" t="s">
        <v>59</v>
      </c>
      <c r="AF1102" s="2" t="s">
        <v>60</v>
      </c>
      <c r="AG1102" s="2" t="s">
        <v>61</v>
      </c>
      <c r="AH1102" s="2" t="s">
        <v>62</v>
      </c>
      <c r="AI1102" s="2" t="s">
        <v>117</v>
      </c>
      <c r="AJ1102" s="2">
        <v>0.27103750166353002</v>
      </c>
      <c r="AK1102" s="2">
        <v>0.93637551964950005</v>
      </c>
      <c r="AL1102" s="2">
        <v>0.18700754505161499</v>
      </c>
      <c r="AM1102" s="2">
        <v>0.21994946636573401</v>
      </c>
      <c r="AN1102" s="2">
        <v>0.67974479819548494</v>
      </c>
      <c r="AO1102" s="2">
        <v>0.26595740532094903</v>
      </c>
      <c r="AP1102" s="2">
        <v>0.26595740532094903</v>
      </c>
      <c r="AQ1102" s="2">
        <v>3</v>
      </c>
      <c r="AR1102" s="2">
        <v>8</v>
      </c>
      <c r="AS1102" s="2">
        <v>0</v>
      </c>
      <c r="AT1102" s="2">
        <v>1</v>
      </c>
      <c r="AU1102" s="2">
        <v>8</v>
      </c>
      <c r="AV1102" s="2">
        <v>71</v>
      </c>
      <c r="AW1102" s="2">
        <v>1</v>
      </c>
      <c r="AX1102" s="2">
        <v>4</v>
      </c>
      <c r="AZ1102" s="2">
        <v>6.8</v>
      </c>
      <c r="BA1102" s="2">
        <v>19.899999999999999</v>
      </c>
      <c r="BB1102" s="2">
        <v>564</v>
      </c>
      <c r="BC1102" s="2">
        <v>68</v>
      </c>
      <c r="BD1102" s="2">
        <v>1.5</v>
      </c>
      <c r="BE1102" s="2">
        <v>135</v>
      </c>
      <c r="BF1102" s="2">
        <v>0.8</v>
      </c>
      <c r="BG1102" s="2">
        <v>162</v>
      </c>
      <c r="BH1102" s="2">
        <v>9.1</v>
      </c>
      <c r="BI1102" s="2">
        <v>9.1999999999999993</v>
      </c>
      <c r="BJ1102" s="2">
        <v>18.3</v>
      </c>
      <c r="BK1102" s="2">
        <v>0.34</v>
      </c>
      <c r="BL1102" s="2">
        <v>7.3</v>
      </c>
      <c r="BM1102" s="2">
        <v>0.9</v>
      </c>
      <c r="BN1102" s="2">
        <v>7.5</v>
      </c>
      <c r="BO1102" s="2">
        <v>2.9</v>
      </c>
      <c r="BP1102" s="2">
        <f t="shared" si="34"/>
        <v>6.3473087278753937</v>
      </c>
      <c r="BQ1102" s="2">
        <f t="shared" si="35"/>
        <v>19.246277969254603</v>
      </c>
    </row>
    <row r="1103" spans="1:69" x14ac:dyDescent="0.2">
      <c r="A1103" s="2" t="s">
        <v>4520</v>
      </c>
      <c r="B1103" s="2" t="s">
        <v>47</v>
      </c>
      <c r="C1103" s="2" t="s">
        <v>3273</v>
      </c>
      <c r="D1103" s="2" t="s">
        <v>49</v>
      </c>
      <c r="E1103" s="2" t="s">
        <v>1509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89</v>
      </c>
      <c r="L1103" s="6" t="s">
        <v>94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4521</v>
      </c>
      <c r="R1103" s="2">
        <v>12435677.529999999</v>
      </c>
      <c r="S1103" s="2">
        <v>0</v>
      </c>
      <c r="T1103" s="2" t="s">
        <v>105</v>
      </c>
      <c r="U1103" s="2" t="s">
        <v>106</v>
      </c>
      <c r="V1103" s="2" t="s">
        <v>56</v>
      </c>
      <c r="W1103" s="2" t="s">
        <v>107</v>
      </c>
      <c r="X1103" s="2" t="s">
        <v>108</v>
      </c>
      <c r="Y1103" s="2">
        <v>0.72715001249411604</v>
      </c>
      <c r="Z1103" s="2">
        <v>727.15001249411603</v>
      </c>
      <c r="AA1103" s="2">
        <v>4.6254861111111101</v>
      </c>
      <c r="AB1103" s="2">
        <v>-74.066980555555503</v>
      </c>
      <c r="AC1103" s="2">
        <v>2621</v>
      </c>
      <c r="AD1103" s="2">
        <v>15</v>
      </c>
      <c r="AE1103" s="2" t="s">
        <v>59</v>
      </c>
      <c r="AF1103" s="2" t="s">
        <v>60</v>
      </c>
      <c r="AG1103" s="2" t="s">
        <v>61</v>
      </c>
      <c r="AH1103" s="2" t="s">
        <v>62</v>
      </c>
      <c r="AI1103" s="2" t="s">
        <v>117</v>
      </c>
      <c r="AJ1103" s="2">
        <v>0.44230956646831998</v>
      </c>
      <c r="AK1103" s="2">
        <v>0.510630989792626</v>
      </c>
      <c r="AL1103" s="2">
        <v>0.22582815482886301</v>
      </c>
      <c r="AM1103" s="2">
        <v>0.112407778922738</v>
      </c>
      <c r="AN1103" s="2">
        <v>0.40805781552884601</v>
      </c>
      <c r="AO1103" s="2">
        <v>0.113687195371415</v>
      </c>
      <c r="AP1103" s="2">
        <v>0.113687195371415</v>
      </c>
      <c r="AQ1103" s="2">
        <v>2</v>
      </c>
      <c r="AR1103" s="2">
        <v>5</v>
      </c>
      <c r="AS1103" s="2">
        <v>0</v>
      </c>
      <c r="AT1103" s="2">
        <v>8</v>
      </c>
      <c r="AU1103" s="2">
        <v>12</v>
      </c>
      <c r="AV1103" s="2">
        <v>68</v>
      </c>
      <c r="AW1103" s="2">
        <v>2</v>
      </c>
      <c r="AX1103" s="2">
        <v>2</v>
      </c>
      <c r="AZ1103" s="2">
        <v>6.8</v>
      </c>
      <c r="BA1103" s="2">
        <v>19.899999999999999</v>
      </c>
      <c r="BB1103" s="2">
        <v>564</v>
      </c>
      <c r="BC1103" s="2">
        <v>68</v>
      </c>
      <c r="BD1103" s="2">
        <v>1.5</v>
      </c>
      <c r="BE1103" s="2">
        <v>135</v>
      </c>
      <c r="BF1103" s="2">
        <v>0.8</v>
      </c>
      <c r="BG1103" s="2">
        <v>162</v>
      </c>
      <c r="BH1103" s="2">
        <v>9.1</v>
      </c>
      <c r="BI1103" s="2">
        <v>9.1999999999999993</v>
      </c>
      <c r="BJ1103" s="2">
        <v>18.3</v>
      </c>
      <c r="BK1103" s="2">
        <v>0.34</v>
      </c>
      <c r="BL1103" s="2">
        <v>7.3</v>
      </c>
      <c r="BM1103" s="2">
        <v>0.9</v>
      </c>
      <c r="BN1103" s="2">
        <v>7.5</v>
      </c>
      <c r="BO1103" s="2">
        <v>2.9</v>
      </c>
      <c r="BP1103" s="2">
        <f t="shared" si="34"/>
        <v>6.5595938410399652</v>
      </c>
      <c r="BQ1103" s="2">
        <f t="shared" si="35"/>
        <v>19.555725958102794</v>
      </c>
    </row>
    <row r="1104" spans="1:69" x14ac:dyDescent="0.2">
      <c r="A1104" s="2" t="s">
        <v>4430</v>
      </c>
      <c r="B1104" s="2" t="s">
        <v>47</v>
      </c>
      <c r="C1104" s="2" t="s">
        <v>3273</v>
      </c>
      <c r="D1104" s="2" t="s">
        <v>49</v>
      </c>
      <c r="E1104" s="2" t="s">
        <v>109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89</v>
      </c>
      <c r="L1104" s="6" t="s">
        <v>103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4431</v>
      </c>
      <c r="R1104" s="2">
        <v>9697325.8890000004</v>
      </c>
      <c r="S1104" s="2">
        <v>0</v>
      </c>
      <c r="T1104" s="2" t="s">
        <v>105</v>
      </c>
      <c r="U1104" s="2" t="s">
        <v>106</v>
      </c>
      <c r="V1104" s="2" t="s">
        <v>56</v>
      </c>
      <c r="W1104" s="2" t="s">
        <v>107</v>
      </c>
      <c r="X1104" s="2" t="s">
        <v>108</v>
      </c>
      <c r="Y1104" s="2">
        <v>2.1815064440684702</v>
      </c>
      <c r="Z1104" s="2">
        <v>2181.50644406847</v>
      </c>
      <c r="AA1104" s="2">
        <v>4.6254861111111101</v>
      </c>
      <c r="AB1104" s="2">
        <v>-74.066980555555503</v>
      </c>
      <c r="AC1104" s="2">
        <v>2621</v>
      </c>
      <c r="AD1104" s="2">
        <v>15</v>
      </c>
      <c r="AE1104" s="2" t="s">
        <v>59</v>
      </c>
      <c r="AF1104" s="2" t="s">
        <v>60</v>
      </c>
      <c r="AG1104" s="2" t="s">
        <v>61</v>
      </c>
      <c r="AH1104" s="2" t="s">
        <v>62</v>
      </c>
      <c r="AI1104" s="2" t="s">
        <v>109</v>
      </c>
      <c r="AJ1104" s="2">
        <v>0.46264827635914901</v>
      </c>
      <c r="AK1104" s="2">
        <v>0.61979294245545302</v>
      </c>
      <c r="AL1104" s="2">
        <v>0.20787927867731701</v>
      </c>
      <c r="AM1104" s="2">
        <v>0.14323482014498601</v>
      </c>
      <c r="AN1104" s="2">
        <v>0.49857123134061898</v>
      </c>
      <c r="AO1104" s="2">
        <v>0.26935668749924702</v>
      </c>
      <c r="AP1104" s="2">
        <v>0.26935668749924702</v>
      </c>
      <c r="AQ1104" s="2">
        <v>1</v>
      </c>
      <c r="AR1104" s="2">
        <v>4</v>
      </c>
      <c r="AS1104" s="2">
        <v>0</v>
      </c>
      <c r="AT1104" s="2">
        <v>17</v>
      </c>
      <c r="AU1104" s="2">
        <v>11</v>
      </c>
      <c r="AV1104" s="2">
        <v>120</v>
      </c>
      <c r="AW1104" s="2">
        <v>1</v>
      </c>
      <c r="AX1104" s="2">
        <v>0</v>
      </c>
      <c r="AZ1104" s="2">
        <v>6.8</v>
      </c>
      <c r="BA1104" s="2">
        <v>19.899999999999999</v>
      </c>
      <c r="BB1104" s="2">
        <v>564</v>
      </c>
      <c r="BC1104" s="2">
        <v>68</v>
      </c>
      <c r="BD1104" s="2">
        <v>1.5</v>
      </c>
      <c r="BE1104" s="2">
        <v>135</v>
      </c>
      <c r="BF1104" s="2">
        <v>0.8</v>
      </c>
      <c r="BG1104" s="2">
        <v>162</v>
      </c>
      <c r="BH1104" s="2">
        <v>9.1</v>
      </c>
      <c r="BI1104" s="2">
        <v>9.1999999999999993</v>
      </c>
      <c r="BJ1104" s="2">
        <v>18.3</v>
      </c>
      <c r="BK1104" s="2">
        <v>0.34</v>
      </c>
      <c r="BL1104" s="2">
        <v>7.3</v>
      </c>
      <c r="BM1104" s="2">
        <v>0.9</v>
      </c>
      <c r="BN1104" s="2">
        <v>7.5</v>
      </c>
      <c r="BO1104" s="2">
        <v>2.9</v>
      </c>
      <c r="BP1104" s="2">
        <f t="shared" si="34"/>
        <v>6.1039618453490689</v>
      </c>
      <c r="BQ1104" s="2">
        <f t="shared" si="35"/>
        <v>18.884917301035891</v>
      </c>
    </row>
    <row r="1105" spans="1:69" x14ac:dyDescent="0.2">
      <c r="A1105" s="2" t="s">
        <v>3639</v>
      </c>
      <c r="B1105" s="2" t="s">
        <v>47</v>
      </c>
      <c r="C1105" s="2" t="s">
        <v>3273</v>
      </c>
      <c r="D1105" s="2" t="s">
        <v>49</v>
      </c>
      <c r="E1105" s="2" t="s">
        <v>3640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89</v>
      </c>
      <c r="L1105" s="6" t="s">
        <v>90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3641</v>
      </c>
      <c r="R1105" s="2">
        <v>9852941.1760000009</v>
      </c>
      <c r="S1105" s="2">
        <v>0</v>
      </c>
      <c r="T1105" s="2" t="s">
        <v>105</v>
      </c>
      <c r="U1105" s="2" t="s">
        <v>106</v>
      </c>
      <c r="V1105" s="2" t="s">
        <v>56</v>
      </c>
      <c r="W1105" s="2" t="s">
        <v>107</v>
      </c>
      <c r="X1105" s="2" t="s">
        <v>108</v>
      </c>
      <c r="Y1105" s="2">
        <v>2.0593178363596198</v>
      </c>
      <c r="Z1105" s="2">
        <v>2059.3178363596198</v>
      </c>
      <c r="AA1105" s="2">
        <v>4.6254861111111101</v>
      </c>
      <c r="AB1105" s="2">
        <v>-74.066980555555503</v>
      </c>
      <c r="AC1105" s="2">
        <v>2621</v>
      </c>
      <c r="AD1105" s="2">
        <v>15</v>
      </c>
      <c r="AE1105" s="2" t="s">
        <v>59</v>
      </c>
      <c r="AF1105" s="2" t="s">
        <v>60</v>
      </c>
      <c r="AG1105" s="2" t="s">
        <v>61</v>
      </c>
      <c r="AH1105" s="2" t="s">
        <v>62</v>
      </c>
      <c r="AI1105" s="2" t="s">
        <v>63</v>
      </c>
      <c r="AJ1105" s="2">
        <v>0.51255332727923797</v>
      </c>
      <c r="AK1105" s="2">
        <v>2.0566848461359299</v>
      </c>
      <c r="AL1105" s="2">
        <v>0.40874749590862802</v>
      </c>
      <c r="AM1105" s="2">
        <v>9.1220297486330204E-2</v>
      </c>
      <c r="AN1105" s="2">
        <v>1.88707729593026</v>
      </c>
      <c r="AO1105" s="2">
        <v>0.62529110810194299</v>
      </c>
      <c r="AP1105" s="2">
        <v>0.62529110810194299</v>
      </c>
      <c r="AQ1105" s="2">
        <v>0</v>
      </c>
      <c r="AR1105" s="2">
        <v>2</v>
      </c>
      <c r="AS1105" s="2">
        <v>0</v>
      </c>
      <c r="AT1105" s="2">
        <v>0</v>
      </c>
      <c r="AU1105" s="2">
        <v>5</v>
      </c>
      <c r="AV1105" s="2">
        <v>91</v>
      </c>
      <c r="AW1105" s="2">
        <v>0</v>
      </c>
      <c r="AX1105" s="2">
        <v>0</v>
      </c>
      <c r="AZ1105" s="2">
        <v>6.8</v>
      </c>
      <c r="BA1105" s="2">
        <v>19.899999999999999</v>
      </c>
      <c r="BB1105" s="2">
        <v>564</v>
      </c>
      <c r="BC1105" s="2">
        <v>68</v>
      </c>
      <c r="BD1105" s="2">
        <v>1.5</v>
      </c>
      <c r="BE1105" s="2">
        <v>135</v>
      </c>
      <c r="BF1105" s="2">
        <v>0.8</v>
      </c>
      <c r="BG1105" s="2">
        <v>162</v>
      </c>
      <c r="BH1105" s="2">
        <v>9.1</v>
      </c>
      <c r="BI1105" s="2">
        <v>9.1999999999999993</v>
      </c>
      <c r="BJ1105" s="2">
        <v>18.3</v>
      </c>
      <c r="BK1105" s="2">
        <v>0.34</v>
      </c>
      <c r="BL1105" s="2">
        <v>7.3</v>
      </c>
      <c r="BM1105" s="2">
        <v>0.9</v>
      </c>
      <c r="BN1105" s="2">
        <v>7.5</v>
      </c>
      <c r="BO1105" s="2">
        <v>2.9</v>
      </c>
      <c r="BP1105" s="2">
        <f t="shared" si="34"/>
        <v>6.1409925321493617</v>
      </c>
      <c r="BQ1105" s="2">
        <f t="shared" si="35"/>
        <v>18.940379104937847</v>
      </c>
    </row>
    <row r="1106" spans="1:69" x14ac:dyDescent="0.2">
      <c r="A1106" s="2" t="s">
        <v>1511</v>
      </c>
      <c r="B1106" s="2" t="s">
        <v>47</v>
      </c>
      <c r="C1106" s="2" t="s">
        <v>48</v>
      </c>
      <c r="D1106" s="2" t="s">
        <v>49</v>
      </c>
      <c r="E1106" s="2" t="s">
        <v>1509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51</v>
      </c>
      <c r="L1106" s="6" t="s">
        <v>52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1512</v>
      </c>
      <c r="R1106" s="2">
        <v>10669694.08</v>
      </c>
      <c r="S1106" s="2">
        <v>0</v>
      </c>
      <c r="T1106" s="2" t="s">
        <v>105</v>
      </c>
      <c r="U1106" s="2" t="s">
        <v>106</v>
      </c>
      <c r="V1106" s="2" t="s">
        <v>56</v>
      </c>
      <c r="W1106" s="2" t="s">
        <v>107</v>
      </c>
      <c r="X1106" s="2" t="s">
        <v>108</v>
      </c>
      <c r="Y1106" s="2">
        <v>0.477297678444431</v>
      </c>
      <c r="Z1106" s="2">
        <v>477.29767844443103</v>
      </c>
      <c r="AA1106" s="2">
        <v>4.6254861111111101</v>
      </c>
      <c r="AB1106" s="2">
        <v>-74.066980555555503</v>
      </c>
      <c r="AC1106" s="2">
        <v>2621</v>
      </c>
      <c r="AD1106" s="2">
        <v>15</v>
      </c>
      <c r="AE1106" s="2" t="s">
        <v>59</v>
      </c>
      <c r="AF1106" s="2" t="s">
        <v>60</v>
      </c>
      <c r="AG1106" s="2" t="s">
        <v>61</v>
      </c>
      <c r="AH1106" s="2" t="s">
        <v>62</v>
      </c>
      <c r="AI1106" s="2" t="s">
        <v>117</v>
      </c>
      <c r="AJ1106" s="2">
        <v>5.6142650139799702E-2</v>
      </c>
      <c r="AK1106" s="2">
        <v>0.90372310585985105</v>
      </c>
      <c r="AL1106" s="2">
        <v>0.22218264720956099</v>
      </c>
      <c r="AM1106" s="2">
        <v>4.7684081077489601E-2</v>
      </c>
      <c r="AN1106" s="2">
        <v>0.68763354418564704</v>
      </c>
      <c r="AO1106" s="2">
        <v>0.19304280251591199</v>
      </c>
      <c r="AP1106" s="2">
        <v>0.19304280251591199</v>
      </c>
      <c r="AQ1106" s="2">
        <v>2</v>
      </c>
      <c r="AR1106" s="2">
        <v>6</v>
      </c>
      <c r="AS1106" s="2">
        <v>0</v>
      </c>
      <c r="AT1106" s="2">
        <v>3</v>
      </c>
      <c r="AU1106" s="2">
        <v>18</v>
      </c>
      <c r="AV1106" s="2">
        <v>98</v>
      </c>
      <c r="AW1106" s="2">
        <v>2</v>
      </c>
      <c r="AX1106" s="2">
        <v>1</v>
      </c>
      <c r="AZ1106" s="2">
        <v>6.8</v>
      </c>
      <c r="BA1106" s="2">
        <v>19.899999999999999</v>
      </c>
      <c r="BB1106" s="2">
        <v>564</v>
      </c>
      <c r="BC1106" s="2">
        <v>68</v>
      </c>
      <c r="BD1106" s="2">
        <v>1.5</v>
      </c>
      <c r="BE1106" s="2">
        <v>135</v>
      </c>
      <c r="BF1106" s="2">
        <v>0.8</v>
      </c>
      <c r="BG1106" s="2">
        <v>162</v>
      </c>
      <c r="BH1106" s="2">
        <v>9.1</v>
      </c>
      <c r="BI1106" s="2">
        <v>9.1999999999999993</v>
      </c>
      <c r="BJ1106" s="2">
        <v>18.3</v>
      </c>
      <c r="BK1106" s="2">
        <v>0.34</v>
      </c>
      <c r="BL1106" s="2">
        <v>7.3</v>
      </c>
      <c r="BM1106" s="2">
        <v>0.9</v>
      </c>
      <c r="BN1106" s="2">
        <v>7.5</v>
      </c>
      <c r="BO1106" s="2">
        <v>2.9</v>
      </c>
      <c r="BP1106" s="2">
        <f t="shared" si="34"/>
        <v>6.6412246192899369</v>
      </c>
      <c r="BQ1106" s="2">
        <f t="shared" si="35"/>
        <v>19.673343299868097</v>
      </c>
    </row>
    <row r="1107" spans="1:69" x14ac:dyDescent="0.2">
      <c r="A1107" s="2" t="s">
        <v>1508</v>
      </c>
      <c r="B1107" s="2" t="s">
        <v>47</v>
      </c>
      <c r="C1107" s="2" t="s">
        <v>48</v>
      </c>
      <c r="D1107" s="2" t="s">
        <v>49</v>
      </c>
      <c r="E1107" s="2" t="s">
        <v>1509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51</v>
      </c>
      <c r="L1107" s="6" t="s">
        <v>52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1510</v>
      </c>
      <c r="R1107" s="2">
        <v>10682062.75</v>
      </c>
      <c r="S1107" s="2">
        <v>0</v>
      </c>
      <c r="T1107" s="2" t="s">
        <v>105</v>
      </c>
      <c r="U1107" s="2" t="s">
        <v>106</v>
      </c>
      <c r="V1107" s="2" t="s">
        <v>56</v>
      </c>
      <c r="W1107" s="2" t="s">
        <v>107</v>
      </c>
      <c r="X1107" s="2" t="s">
        <v>108</v>
      </c>
      <c r="Y1107" s="2">
        <v>0.477297678444431</v>
      </c>
      <c r="Z1107" s="2">
        <v>477.29767844443103</v>
      </c>
      <c r="AA1107" s="2">
        <v>4.6254861111111101</v>
      </c>
      <c r="AB1107" s="2">
        <v>-74.066980555555503</v>
      </c>
      <c r="AC1107" s="2">
        <v>2621</v>
      </c>
      <c r="AD1107" s="2">
        <v>15</v>
      </c>
      <c r="AE1107" s="2" t="s">
        <v>59</v>
      </c>
      <c r="AF1107" s="2" t="s">
        <v>60</v>
      </c>
      <c r="AG1107" s="2" t="s">
        <v>61</v>
      </c>
      <c r="AH1107" s="2" t="s">
        <v>62</v>
      </c>
      <c r="AI1107" s="2" t="s">
        <v>117</v>
      </c>
      <c r="AJ1107" s="2">
        <v>5.6142650139799702E-2</v>
      </c>
      <c r="AK1107" s="2">
        <v>0.90372310585985105</v>
      </c>
      <c r="AL1107" s="2">
        <v>0.22218264720956099</v>
      </c>
      <c r="AM1107" s="2">
        <v>4.7684081077489601E-2</v>
      </c>
      <c r="AN1107" s="2">
        <v>0.68763354418564704</v>
      </c>
      <c r="AO1107" s="2">
        <v>0.19304280251591199</v>
      </c>
      <c r="AP1107" s="2">
        <v>0.19304280251591199</v>
      </c>
      <c r="AQ1107" s="2">
        <v>2</v>
      </c>
      <c r="AR1107" s="2">
        <v>6</v>
      </c>
      <c r="AS1107" s="2">
        <v>0</v>
      </c>
      <c r="AT1107" s="2">
        <v>3</v>
      </c>
      <c r="AU1107" s="2">
        <v>18</v>
      </c>
      <c r="AV1107" s="2">
        <v>98</v>
      </c>
      <c r="AW1107" s="2">
        <v>2</v>
      </c>
      <c r="AX1107" s="2">
        <v>1</v>
      </c>
      <c r="AZ1107" s="2">
        <v>6.8</v>
      </c>
      <c r="BA1107" s="2">
        <v>19.899999999999999</v>
      </c>
      <c r="BB1107" s="2">
        <v>564</v>
      </c>
      <c r="BC1107" s="2">
        <v>68</v>
      </c>
      <c r="BD1107" s="2">
        <v>1.5</v>
      </c>
      <c r="BE1107" s="2">
        <v>135</v>
      </c>
      <c r="BF1107" s="2">
        <v>0.8</v>
      </c>
      <c r="BG1107" s="2">
        <v>162</v>
      </c>
      <c r="BH1107" s="2">
        <v>9.1</v>
      </c>
      <c r="BI1107" s="2">
        <v>9.1999999999999993</v>
      </c>
      <c r="BJ1107" s="2">
        <v>18.3</v>
      </c>
      <c r="BK1107" s="2">
        <v>0.34</v>
      </c>
      <c r="BL1107" s="2">
        <v>7.3</v>
      </c>
      <c r="BM1107" s="2">
        <v>0.9</v>
      </c>
      <c r="BN1107" s="2">
        <v>7.5</v>
      </c>
      <c r="BO1107" s="2">
        <v>2.9</v>
      </c>
      <c r="BP1107" s="2">
        <f t="shared" si="34"/>
        <v>6.6412246192899369</v>
      </c>
      <c r="BQ1107" s="2">
        <f t="shared" si="35"/>
        <v>19.673343299868097</v>
      </c>
    </row>
    <row r="1108" spans="1:69" x14ac:dyDescent="0.2">
      <c r="A1108" s="2" t="s">
        <v>3740</v>
      </c>
      <c r="B1108" s="2" t="s">
        <v>47</v>
      </c>
      <c r="C1108" s="2" t="s">
        <v>3273</v>
      </c>
      <c r="D1108" s="2" t="s">
        <v>49</v>
      </c>
      <c r="E1108" s="2" t="s">
        <v>115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89</v>
      </c>
      <c r="L1108" s="6" t="s">
        <v>90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3741</v>
      </c>
      <c r="R1108" s="2">
        <v>10391923.99</v>
      </c>
      <c r="S1108" s="2">
        <v>0</v>
      </c>
      <c r="T1108" s="2" t="s">
        <v>105</v>
      </c>
      <c r="U1108" s="2" t="s">
        <v>106</v>
      </c>
      <c r="V1108" s="2" t="s">
        <v>56</v>
      </c>
      <c r="W1108" s="2" t="s">
        <v>107</v>
      </c>
      <c r="X1108" s="2" t="s">
        <v>108</v>
      </c>
      <c r="Y1108" s="2">
        <v>0.46189389697965899</v>
      </c>
      <c r="Z1108" s="2">
        <v>461.89389697965902</v>
      </c>
      <c r="AA1108" s="2">
        <v>4.6254861111111101</v>
      </c>
      <c r="AB1108" s="2">
        <v>-74.066980555555503</v>
      </c>
      <c r="AC1108" s="2">
        <v>2621</v>
      </c>
      <c r="AD1108" s="2">
        <v>15</v>
      </c>
      <c r="AE1108" s="2" t="s">
        <v>59</v>
      </c>
      <c r="AF1108" s="2" t="s">
        <v>60</v>
      </c>
      <c r="AG1108" s="2" t="s">
        <v>61</v>
      </c>
      <c r="AH1108" s="2" t="s">
        <v>62</v>
      </c>
      <c r="AI1108" s="2" t="s">
        <v>117</v>
      </c>
      <c r="AJ1108" s="2">
        <v>0.185129463807061</v>
      </c>
      <c r="AK1108" s="2">
        <v>0.76038377136523405</v>
      </c>
      <c r="AL1108" s="2">
        <v>0.219025389516252</v>
      </c>
      <c r="AM1108" s="2">
        <v>0.11153857506423701</v>
      </c>
      <c r="AN1108" s="2">
        <v>0.68382185124702299</v>
      </c>
      <c r="AO1108" s="2">
        <v>0.14045488553705901</v>
      </c>
      <c r="AP1108" s="2">
        <v>0.14045488553705901</v>
      </c>
      <c r="AQ1108" s="2">
        <v>2</v>
      </c>
      <c r="AR1108" s="2">
        <v>6</v>
      </c>
      <c r="AS1108" s="2">
        <v>0</v>
      </c>
      <c r="AT1108" s="2">
        <v>8</v>
      </c>
      <c r="AU1108" s="2">
        <v>17</v>
      </c>
      <c r="AV1108" s="2">
        <v>95</v>
      </c>
      <c r="AW1108" s="2">
        <v>2</v>
      </c>
      <c r="AX1108" s="2">
        <v>1</v>
      </c>
      <c r="AZ1108" s="2">
        <v>6.8</v>
      </c>
      <c r="BA1108" s="2">
        <v>19.899999999999999</v>
      </c>
      <c r="BB1108" s="2">
        <v>564</v>
      </c>
      <c r="BC1108" s="2">
        <v>68</v>
      </c>
      <c r="BD1108" s="2">
        <v>1.5</v>
      </c>
      <c r="BE1108" s="2">
        <v>135</v>
      </c>
      <c r="BF1108" s="2">
        <v>0.8</v>
      </c>
      <c r="BG1108" s="2">
        <v>162</v>
      </c>
      <c r="BH1108" s="2">
        <v>9.1</v>
      </c>
      <c r="BI1108" s="2">
        <v>9.1999999999999993</v>
      </c>
      <c r="BJ1108" s="2">
        <v>18.3</v>
      </c>
      <c r="BK1108" s="2">
        <v>0.34</v>
      </c>
      <c r="BL1108" s="2">
        <v>7.3</v>
      </c>
      <c r="BM1108" s="2">
        <v>0.9</v>
      </c>
      <c r="BN1108" s="2">
        <v>7.5</v>
      </c>
      <c r="BO1108" s="2">
        <v>2.9</v>
      </c>
      <c r="BP1108" s="2">
        <f t="shared" si="34"/>
        <v>6.6462903989889037</v>
      </c>
      <c r="BQ1108" s="2">
        <f t="shared" si="35"/>
        <v>19.68061769756498</v>
      </c>
    </row>
    <row r="1109" spans="1:69" x14ac:dyDescent="0.2">
      <c r="A1109" s="2" t="s">
        <v>3937</v>
      </c>
      <c r="B1109" s="2" t="s">
        <v>47</v>
      </c>
      <c r="C1109" s="2" t="s">
        <v>3273</v>
      </c>
      <c r="D1109" s="2" t="s">
        <v>49</v>
      </c>
      <c r="E1109" s="2" t="s">
        <v>115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89</v>
      </c>
      <c r="L1109" s="6" t="s">
        <v>90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3938</v>
      </c>
      <c r="R1109" s="2">
        <v>10391923.99</v>
      </c>
      <c r="S1109" s="2">
        <v>0</v>
      </c>
      <c r="T1109" s="2" t="s">
        <v>105</v>
      </c>
      <c r="U1109" s="2" t="s">
        <v>106</v>
      </c>
      <c r="V1109" s="2" t="s">
        <v>56</v>
      </c>
      <c r="W1109" s="2" t="s">
        <v>107</v>
      </c>
      <c r="X1109" s="2" t="s">
        <v>108</v>
      </c>
      <c r="Y1109" s="2">
        <v>0.45115650123085599</v>
      </c>
      <c r="Z1109" s="2">
        <v>451.15650123085601</v>
      </c>
      <c r="AA1109" s="2">
        <v>4.6254861111111101</v>
      </c>
      <c r="AB1109" s="2">
        <v>-74.066980555555503</v>
      </c>
      <c r="AC1109" s="2">
        <v>2621</v>
      </c>
      <c r="AD1109" s="2">
        <v>15</v>
      </c>
      <c r="AE1109" s="2" t="s">
        <v>59</v>
      </c>
      <c r="AF1109" s="2" t="s">
        <v>60</v>
      </c>
      <c r="AG1109" s="2" t="s">
        <v>61</v>
      </c>
      <c r="AH1109" s="2" t="s">
        <v>62</v>
      </c>
      <c r="AI1109" s="2" t="s">
        <v>117</v>
      </c>
      <c r="AJ1109" s="2">
        <v>0.180404950430332</v>
      </c>
      <c r="AK1109" s="2">
        <v>0.765451791954608</v>
      </c>
      <c r="AL1109" s="2">
        <v>0.226897966119187</v>
      </c>
      <c r="AM1109" s="2">
        <v>0.106950168073355</v>
      </c>
      <c r="AN1109" s="2">
        <v>0.67292899752805302</v>
      </c>
      <c r="AO1109" s="2">
        <v>0.147186253146771</v>
      </c>
      <c r="AP1109" s="2">
        <v>0.147186253146771</v>
      </c>
      <c r="AQ1109" s="2">
        <v>2</v>
      </c>
      <c r="AR1109" s="2">
        <v>6</v>
      </c>
      <c r="AS1109" s="2">
        <v>0</v>
      </c>
      <c r="AT1109" s="2">
        <v>8</v>
      </c>
      <c r="AU1109" s="2">
        <v>16</v>
      </c>
      <c r="AV1109" s="2">
        <v>96</v>
      </c>
      <c r="AW1109" s="2">
        <v>2</v>
      </c>
      <c r="AX1109" s="2">
        <v>1</v>
      </c>
      <c r="AZ1109" s="2">
        <v>6.8</v>
      </c>
      <c r="BA1109" s="2">
        <v>19.899999999999999</v>
      </c>
      <c r="BB1109" s="2">
        <v>564</v>
      </c>
      <c r="BC1109" s="2">
        <v>68</v>
      </c>
      <c r="BD1109" s="2">
        <v>1.5</v>
      </c>
      <c r="BE1109" s="2">
        <v>135</v>
      </c>
      <c r="BF1109" s="2">
        <v>0.8</v>
      </c>
      <c r="BG1109" s="2">
        <v>162</v>
      </c>
      <c r="BH1109" s="2">
        <v>9.1</v>
      </c>
      <c r="BI1109" s="2">
        <v>9.1999999999999993</v>
      </c>
      <c r="BJ1109" s="2">
        <v>18.3</v>
      </c>
      <c r="BK1109" s="2">
        <v>0.34</v>
      </c>
      <c r="BL1109" s="2">
        <v>7.3</v>
      </c>
      <c r="BM1109" s="2">
        <v>0.9</v>
      </c>
      <c r="BN1109" s="2">
        <v>7.5</v>
      </c>
      <c r="BO1109" s="2">
        <v>2.9</v>
      </c>
      <c r="BP1109" s="2">
        <f t="shared" si="34"/>
        <v>6.6498238485104908</v>
      </c>
      <c r="BQ1109" s="2">
        <f t="shared" si="35"/>
        <v>19.685689997035542</v>
      </c>
    </row>
    <row r="1110" spans="1:69" x14ac:dyDescent="0.2">
      <c r="A1110" s="2" t="s">
        <v>3311</v>
      </c>
      <c r="B1110" s="2" t="s">
        <v>47</v>
      </c>
      <c r="C1110" s="2" t="s">
        <v>3273</v>
      </c>
      <c r="D1110" s="2" t="s">
        <v>49</v>
      </c>
      <c r="E1110" s="2" t="s">
        <v>3312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89</v>
      </c>
      <c r="L1110" s="6" t="s">
        <v>112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3313</v>
      </c>
      <c r="R1110" s="2">
        <v>11084481.73</v>
      </c>
      <c r="S1110" s="2">
        <v>0</v>
      </c>
      <c r="T1110" s="2" t="s">
        <v>54</v>
      </c>
      <c r="U1110" s="2" t="s">
        <v>55</v>
      </c>
      <c r="V1110" s="2" t="s">
        <v>56</v>
      </c>
      <c r="W1110" s="2" t="s">
        <v>57</v>
      </c>
      <c r="X1110" s="2" t="s">
        <v>58</v>
      </c>
      <c r="Y1110" s="2">
        <v>3.1709578180078899</v>
      </c>
      <c r="Z1110" s="2">
        <v>3170.9578180078902</v>
      </c>
      <c r="AA1110" s="2">
        <v>4.6584666666666701</v>
      </c>
      <c r="AB1110" s="2">
        <v>-74.083966666666697</v>
      </c>
      <c r="AC1110" s="2">
        <v>2552</v>
      </c>
      <c r="AD1110" s="2">
        <v>0</v>
      </c>
      <c r="AE1110" s="2" t="s">
        <v>59</v>
      </c>
      <c r="AF1110" s="2" t="s">
        <v>60</v>
      </c>
      <c r="AG1110" s="2" t="s">
        <v>61</v>
      </c>
      <c r="AH1110" s="2" t="s">
        <v>62</v>
      </c>
      <c r="AI1110" s="2" t="s">
        <v>71</v>
      </c>
      <c r="AJ1110" s="2">
        <v>0.42453358921085899</v>
      </c>
      <c r="AK1110" s="2">
        <v>5.0542695963202897</v>
      </c>
      <c r="AL1110" s="2">
        <v>0.89394256792182003</v>
      </c>
      <c r="AM1110" s="2">
        <v>0.35546385331772501</v>
      </c>
      <c r="AN1110" s="2">
        <v>1.45095590454392</v>
      </c>
      <c r="AO1110" s="2">
        <v>0.614222576802262</v>
      </c>
      <c r="AP1110" s="2">
        <v>0.614222576802262</v>
      </c>
      <c r="AQ1110" s="2">
        <v>1</v>
      </c>
      <c r="AR1110" s="2">
        <v>2</v>
      </c>
      <c r="AS1110" s="2">
        <v>0</v>
      </c>
      <c r="AT1110" s="2">
        <v>0</v>
      </c>
      <c r="AU1110" s="2">
        <v>1</v>
      </c>
      <c r="AV1110" s="2">
        <v>38</v>
      </c>
      <c r="AW1110" s="2">
        <v>0</v>
      </c>
      <c r="AX1110" s="2">
        <v>0</v>
      </c>
      <c r="AZ1110" s="2">
        <v>6.8</v>
      </c>
      <c r="BA1110" s="2">
        <v>19.899999999999999</v>
      </c>
      <c r="BB1110" s="2">
        <v>564</v>
      </c>
      <c r="BC1110" s="2">
        <v>68</v>
      </c>
      <c r="BD1110" s="2">
        <v>1.5</v>
      </c>
      <c r="BE1110" s="2">
        <v>135</v>
      </c>
      <c r="BF1110" s="2">
        <v>0.8</v>
      </c>
      <c r="BG1110" s="2">
        <v>162</v>
      </c>
      <c r="BH1110" s="2">
        <v>9.1</v>
      </c>
      <c r="BI1110" s="2">
        <v>9.1999999999999993</v>
      </c>
      <c r="BJ1110" s="2">
        <v>18.3</v>
      </c>
      <c r="BK1110" s="2">
        <v>0.34</v>
      </c>
      <c r="BL1110" s="2">
        <v>7.3</v>
      </c>
      <c r="BM1110" s="2">
        <v>0.9</v>
      </c>
      <c r="BN1110" s="2">
        <v>7.5</v>
      </c>
      <c r="BO1110" s="2">
        <v>2.9</v>
      </c>
      <c r="BP1110" s="2">
        <f t="shared" si="34"/>
        <v>5.8122060651060128</v>
      </c>
      <c r="BQ1110" s="2">
        <f t="shared" si="35"/>
        <v>18.441743141268049</v>
      </c>
    </row>
    <row r="1111" spans="1:69" x14ac:dyDescent="0.2">
      <c r="A1111" s="2" t="s">
        <v>4332</v>
      </c>
      <c r="B1111" s="2" t="s">
        <v>47</v>
      </c>
      <c r="C1111" s="2" t="s">
        <v>3273</v>
      </c>
      <c r="D1111" s="2" t="s">
        <v>49</v>
      </c>
      <c r="E1111" s="2" t="s">
        <v>785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89</v>
      </c>
      <c r="L1111" s="6" t="s">
        <v>90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4333</v>
      </c>
      <c r="R1111" s="2">
        <v>13636363.640000001</v>
      </c>
      <c r="S1111" s="2">
        <v>0</v>
      </c>
      <c r="T1111" s="2" t="s">
        <v>54</v>
      </c>
      <c r="U1111" s="2" t="s">
        <v>55</v>
      </c>
      <c r="V1111" s="2" t="s">
        <v>56</v>
      </c>
      <c r="W1111" s="2" t="s">
        <v>57</v>
      </c>
      <c r="X1111" s="2" t="s">
        <v>58</v>
      </c>
      <c r="Y1111" s="2">
        <v>3.1831366489165802</v>
      </c>
      <c r="Z1111" s="2">
        <v>3183.1366489165798</v>
      </c>
      <c r="AA1111" s="2">
        <v>4.6584666666666701</v>
      </c>
      <c r="AB1111" s="2">
        <v>-74.083966666666697</v>
      </c>
      <c r="AC1111" s="2">
        <v>2552</v>
      </c>
      <c r="AD1111" s="2">
        <v>0</v>
      </c>
      <c r="AE1111" s="2" t="s">
        <v>59</v>
      </c>
      <c r="AF1111" s="2" t="s">
        <v>60</v>
      </c>
      <c r="AG1111" s="2" t="s">
        <v>61</v>
      </c>
      <c r="AH1111" s="2" t="s">
        <v>62</v>
      </c>
      <c r="AI1111" s="2" t="s">
        <v>71</v>
      </c>
      <c r="AJ1111" s="2">
        <v>0.40543897568824599</v>
      </c>
      <c r="AK1111" s="2">
        <v>5.0184949982578804</v>
      </c>
      <c r="AL1111" s="2">
        <v>0.82500746667062896</v>
      </c>
      <c r="AM1111" s="2">
        <v>0.30258654602586299</v>
      </c>
      <c r="AN1111" s="2">
        <v>1.3162846207494301</v>
      </c>
      <c r="AO1111" s="2">
        <v>0.55346451991790502</v>
      </c>
      <c r="AP1111" s="2">
        <v>0.55346451991790502</v>
      </c>
      <c r="AQ1111" s="2">
        <v>1</v>
      </c>
      <c r="AR1111" s="2">
        <v>3</v>
      </c>
      <c r="AS1111" s="2">
        <v>0</v>
      </c>
      <c r="AT1111" s="2">
        <v>0</v>
      </c>
      <c r="AU1111" s="2">
        <v>1</v>
      </c>
      <c r="AV1111" s="2">
        <v>45</v>
      </c>
      <c r="AW1111" s="2">
        <v>0</v>
      </c>
      <c r="AX1111" s="2">
        <v>0</v>
      </c>
      <c r="AZ1111" s="2">
        <v>6.8</v>
      </c>
      <c r="BA1111" s="2">
        <v>19.899999999999999</v>
      </c>
      <c r="BB1111" s="2">
        <v>564</v>
      </c>
      <c r="BC1111" s="2">
        <v>68</v>
      </c>
      <c r="BD1111" s="2">
        <v>1.5</v>
      </c>
      <c r="BE1111" s="2">
        <v>135</v>
      </c>
      <c r="BF1111" s="2">
        <v>0.8</v>
      </c>
      <c r="BG1111" s="2">
        <v>162</v>
      </c>
      <c r="BH1111" s="2">
        <v>9.1</v>
      </c>
      <c r="BI1111" s="2">
        <v>9.1999999999999993</v>
      </c>
      <c r="BJ1111" s="2">
        <v>18.3</v>
      </c>
      <c r="BK1111" s="2">
        <v>0.34</v>
      </c>
      <c r="BL1111" s="2">
        <v>7.3</v>
      </c>
      <c r="BM1111" s="2">
        <v>0.9</v>
      </c>
      <c r="BN1111" s="2">
        <v>7.5</v>
      </c>
      <c r="BO1111" s="2">
        <v>2.9</v>
      </c>
      <c r="BP1111" s="2">
        <f t="shared" si="34"/>
        <v>5.8087032202546069</v>
      </c>
      <c r="BQ1111" s="2">
        <f t="shared" si="35"/>
        <v>18.436353556059487</v>
      </c>
    </row>
    <row r="1112" spans="1:69" x14ac:dyDescent="0.2">
      <c r="A1112" s="2" t="s">
        <v>3890</v>
      </c>
      <c r="B1112" s="2" t="s">
        <v>47</v>
      </c>
      <c r="C1112" s="2" t="s">
        <v>3273</v>
      </c>
      <c r="D1112" s="2" t="s">
        <v>49</v>
      </c>
      <c r="E1112" s="2" t="s">
        <v>115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89</v>
      </c>
      <c r="L1112" s="6" t="s">
        <v>90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3891</v>
      </c>
      <c r="R1112" s="2">
        <v>13636363.640000001</v>
      </c>
      <c r="S1112" s="2">
        <v>0</v>
      </c>
      <c r="T1112" s="2" t="s">
        <v>105</v>
      </c>
      <c r="U1112" s="2" t="s">
        <v>106</v>
      </c>
      <c r="V1112" s="2" t="s">
        <v>56</v>
      </c>
      <c r="W1112" s="2" t="s">
        <v>107</v>
      </c>
      <c r="X1112" s="2" t="s">
        <v>108</v>
      </c>
      <c r="Y1112" s="2">
        <v>0.633997516669768</v>
      </c>
      <c r="Z1112" s="2">
        <v>633.99751666976795</v>
      </c>
      <c r="AA1112" s="2">
        <v>4.6254861111111101</v>
      </c>
      <c r="AB1112" s="2">
        <v>-74.066980555555503</v>
      </c>
      <c r="AC1112" s="2">
        <v>2621</v>
      </c>
      <c r="AD1112" s="2">
        <v>15</v>
      </c>
      <c r="AE1112" s="2" t="s">
        <v>59</v>
      </c>
      <c r="AF1112" s="2" t="s">
        <v>60</v>
      </c>
      <c r="AG1112" s="2" t="s">
        <v>61</v>
      </c>
      <c r="AH1112" s="2" t="s">
        <v>62</v>
      </c>
      <c r="AI1112" s="2" t="s">
        <v>117</v>
      </c>
      <c r="AJ1112" s="2">
        <v>0.11136946779222399</v>
      </c>
      <c r="AK1112" s="2">
        <v>0.89949815752611095</v>
      </c>
      <c r="AL1112" s="2">
        <v>0.31405967624686398</v>
      </c>
      <c r="AM1112" s="2">
        <v>3.8130556448605898E-2</v>
      </c>
      <c r="AN1112" s="2">
        <v>0.70381445224444295</v>
      </c>
      <c r="AO1112" s="2">
        <v>3.9668829955487601E-2</v>
      </c>
      <c r="AP1112" s="2">
        <v>3.9668829955487601E-2</v>
      </c>
      <c r="AQ1112" s="2">
        <v>1</v>
      </c>
      <c r="AR1112" s="2">
        <v>6</v>
      </c>
      <c r="AS1112" s="2">
        <v>0</v>
      </c>
      <c r="AT1112" s="2">
        <v>3</v>
      </c>
      <c r="AU1112" s="2">
        <v>17</v>
      </c>
      <c r="AV1112" s="2">
        <v>91</v>
      </c>
      <c r="AW1112" s="2">
        <v>2</v>
      </c>
      <c r="AX1112" s="2">
        <v>1</v>
      </c>
      <c r="AZ1112" s="2">
        <v>6.8</v>
      </c>
      <c r="BA1112" s="2">
        <v>19.899999999999999</v>
      </c>
      <c r="BB1112" s="2">
        <v>564</v>
      </c>
      <c r="BC1112" s="2">
        <v>68</v>
      </c>
      <c r="BD1112" s="2">
        <v>1.5</v>
      </c>
      <c r="BE1112" s="2">
        <v>135</v>
      </c>
      <c r="BF1112" s="2">
        <v>0.8</v>
      </c>
      <c r="BG1112" s="2">
        <v>162</v>
      </c>
      <c r="BH1112" s="2">
        <v>9.1</v>
      </c>
      <c r="BI1112" s="2">
        <v>9.1999999999999993</v>
      </c>
      <c r="BJ1112" s="2">
        <v>18.3</v>
      </c>
      <c r="BK1112" s="2">
        <v>0.34</v>
      </c>
      <c r="BL1112" s="2">
        <v>7.3</v>
      </c>
      <c r="BM1112" s="2">
        <v>0.9</v>
      </c>
      <c r="BN1112" s="2">
        <v>7.5</v>
      </c>
      <c r="BO1112" s="2">
        <v>2.9</v>
      </c>
      <c r="BP1112" s="2">
        <f t="shared" si="34"/>
        <v>6.5899102882551626</v>
      </c>
      <c r="BQ1112" s="2">
        <f t="shared" si="35"/>
        <v>19.599494818350987</v>
      </c>
    </row>
    <row r="1113" spans="1:69" x14ac:dyDescent="0.2">
      <c r="A1113" s="2" t="s">
        <v>3529</v>
      </c>
      <c r="B1113" s="2" t="s">
        <v>47</v>
      </c>
      <c r="C1113" s="2" t="s">
        <v>3273</v>
      </c>
      <c r="D1113" s="2" t="s">
        <v>49</v>
      </c>
      <c r="E1113" s="2" t="s">
        <v>1509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89</v>
      </c>
      <c r="L1113" s="6" t="s">
        <v>90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3530</v>
      </c>
      <c r="R1113" s="2">
        <v>10484848.48</v>
      </c>
      <c r="S1113" s="2">
        <v>0</v>
      </c>
      <c r="T1113" s="2" t="s">
        <v>105</v>
      </c>
      <c r="U1113" s="2" t="s">
        <v>106</v>
      </c>
      <c r="V1113" s="2" t="s">
        <v>56</v>
      </c>
      <c r="W1113" s="2" t="s">
        <v>107</v>
      </c>
      <c r="X1113" s="2" t="s">
        <v>108</v>
      </c>
      <c r="Y1113" s="2">
        <v>0.87270121480546503</v>
      </c>
      <c r="Z1113" s="2">
        <v>872.70121480546504</v>
      </c>
      <c r="AA1113" s="2">
        <v>4.6254861111111101</v>
      </c>
      <c r="AB1113" s="2">
        <v>-74.066980555555503</v>
      </c>
      <c r="AC1113" s="2">
        <v>2621</v>
      </c>
      <c r="AD1113" s="2">
        <v>15</v>
      </c>
      <c r="AE1113" s="2" t="s">
        <v>59</v>
      </c>
      <c r="AF1113" s="2" t="s">
        <v>60</v>
      </c>
      <c r="AG1113" s="2" t="s">
        <v>61</v>
      </c>
      <c r="AH1113" s="2" t="s">
        <v>62</v>
      </c>
      <c r="AI1113" s="2" t="s">
        <v>117</v>
      </c>
      <c r="AJ1113" s="2">
        <v>0.404838055812764</v>
      </c>
      <c r="AK1113" s="2">
        <v>0.407860929057481</v>
      </c>
      <c r="AL1113" s="2">
        <v>0.36280320910421099</v>
      </c>
      <c r="AM1113" s="2">
        <v>0.19064958171785301</v>
      </c>
      <c r="AN1113" s="2">
        <v>0.26326419266373002</v>
      </c>
      <c r="AO1113" s="2">
        <v>5.1078401436081798E-2</v>
      </c>
      <c r="AP1113" s="2">
        <v>5.1078401436081798E-2</v>
      </c>
      <c r="AQ1113" s="2">
        <v>1</v>
      </c>
      <c r="AR1113" s="2">
        <v>5</v>
      </c>
      <c r="AS1113" s="2">
        <v>1</v>
      </c>
      <c r="AT1113" s="2">
        <v>10</v>
      </c>
      <c r="AU1113" s="2">
        <v>12</v>
      </c>
      <c r="AV1113" s="2">
        <v>56</v>
      </c>
      <c r="AW1113" s="2">
        <v>1</v>
      </c>
      <c r="AX1113" s="2">
        <v>2</v>
      </c>
      <c r="AZ1113" s="2">
        <v>6.8</v>
      </c>
      <c r="BA1113" s="2">
        <v>19.899999999999999</v>
      </c>
      <c r="BB1113" s="2">
        <v>564</v>
      </c>
      <c r="BC1113" s="2">
        <v>68</v>
      </c>
      <c r="BD1113" s="2">
        <v>1.5</v>
      </c>
      <c r="BE1113" s="2">
        <v>135</v>
      </c>
      <c r="BF1113" s="2">
        <v>0.8</v>
      </c>
      <c r="BG1113" s="2">
        <v>162</v>
      </c>
      <c r="BH1113" s="2">
        <v>9.1</v>
      </c>
      <c r="BI1113" s="2">
        <v>9.1999999999999993</v>
      </c>
      <c r="BJ1113" s="2">
        <v>18.3</v>
      </c>
      <c r="BK1113" s="2">
        <v>0.34</v>
      </c>
      <c r="BL1113" s="2">
        <v>7.3</v>
      </c>
      <c r="BM1113" s="2">
        <v>0.9</v>
      </c>
      <c r="BN1113" s="2">
        <v>7.5</v>
      </c>
      <c r="BO1113" s="2">
        <v>2.9</v>
      </c>
      <c r="BP1113" s="2">
        <f t="shared" si="34"/>
        <v>6.5125032234910023</v>
      </c>
      <c r="BQ1113" s="2">
        <f t="shared" si="35"/>
        <v>19.487532508903527</v>
      </c>
    </row>
    <row r="1114" spans="1:69" x14ac:dyDescent="0.2">
      <c r="A1114" s="2" t="s">
        <v>3931</v>
      </c>
      <c r="B1114" s="2" t="s">
        <v>47</v>
      </c>
      <c r="C1114" s="2" t="s">
        <v>3273</v>
      </c>
      <c r="D1114" s="2" t="s">
        <v>49</v>
      </c>
      <c r="E1114" s="2" t="s">
        <v>2787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89</v>
      </c>
      <c r="L1114" s="6" t="s">
        <v>90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3932</v>
      </c>
      <c r="R1114" s="2">
        <v>10036363.640000001</v>
      </c>
      <c r="S1114" s="2">
        <v>0</v>
      </c>
      <c r="T1114" s="2" t="s">
        <v>54</v>
      </c>
      <c r="U1114" s="2" t="s">
        <v>55</v>
      </c>
      <c r="V1114" s="2" t="s">
        <v>56</v>
      </c>
      <c r="W1114" s="2" t="s">
        <v>57</v>
      </c>
      <c r="X1114" s="2" t="s">
        <v>58</v>
      </c>
      <c r="Y1114" s="2">
        <v>4.2113706999888096</v>
      </c>
      <c r="Z1114" s="2">
        <v>4211.37069998881</v>
      </c>
      <c r="AA1114" s="2">
        <v>4.6584666666666701</v>
      </c>
      <c r="AB1114" s="2">
        <v>-74.083966666666697</v>
      </c>
      <c r="AC1114" s="2">
        <v>2552</v>
      </c>
      <c r="AD1114" s="2">
        <v>0</v>
      </c>
      <c r="AE1114" s="2" t="s">
        <v>59</v>
      </c>
      <c r="AF1114" s="2" t="s">
        <v>60</v>
      </c>
      <c r="AG1114" s="2" t="s">
        <v>61</v>
      </c>
      <c r="AH1114" s="2" t="s">
        <v>62</v>
      </c>
      <c r="AI1114" s="2" t="s">
        <v>100</v>
      </c>
      <c r="AJ1114" s="2">
        <v>0.116403120570648</v>
      </c>
      <c r="AK1114" s="2">
        <v>3.6712569494902301</v>
      </c>
      <c r="AL1114" s="2">
        <v>0.66595310599023505</v>
      </c>
      <c r="AM1114" s="2">
        <v>8.3405521511087502E-2</v>
      </c>
      <c r="AN1114" s="2">
        <v>2.6231550286731702</v>
      </c>
      <c r="AO1114" s="2">
        <v>0.35908625602609801</v>
      </c>
      <c r="AP1114" s="2">
        <v>0.35908625602609801</v>
      </c>
      <c r="AQ1114" s="2">
        <v>1</v>
      </c>
      <c r="AR1114" s="2">
        <v>4</v>
      </c>
      <c r="AS1114" s="2">
        <v>0</v>
      </c>
      <c r="AT1114" s="2">
        <v>0</v>
      </c>
      <c r="AU1114" s="2">
        <v>1</v>
      </c>
      <c r="AV1114" s="2">
        <v>71</v>
      </c>
      <c r="AW1114" s="2">
        <v>0</v>
      </c>
      <c r="AX1114" s="2">
        <v>0</v>
      </c>
      <c r="AZ1114" s="2">
        <v>6.8</v>
      </c>
      <c r="BA1114" s="2">
        <v>19.899999999999999</v>
      </c>
      <c r="BB1114" s="2">
        <v>564</v>
      </c>
      <c r="BC1114" s="2">
        <v>68</v>
      </c>
      <c r="BD1114" s="2">
        <v>1.5</v>
      </c>
      <c r="BE1114" s="2">
        <v>135</v>
      </c>
      <c r="BF1114" s="2">
        <v>0.8</v>
      </c>
      <c r="BG1114" s="2">
        <v>162</v>
      </c>
      <c r="BH1114" s="2">
        <v>9.1</v>
      </c>
      <c r="BI1114" s="2">
        <v>9.1999999999999993</v>
      </c>
      <c r="BJ1114" s="2">
        <v>18.3</v>
      </c>
      <c r="BK1114" s="2">
        <v>0.34</v>
      </c>
      <c r="BL1114" s="2">
        <v>7.3</v>
      </c>
      <c r="BM1114" s="2">
        <v>0.9</v>
      </c>
      <c r="BN1114" s="2">
        <v>7.5</v>
      </c>
      <c r="BO1114" s="2">
        <v>2.9</v>
      </c>
      <c r="BP1114" s="2">
        <f t="shared" si="34"/>
        <v>5.5204521188992564</v>
      </c>
      <c r="BQ1114" s="2">
        <f t="shared" si="35"/>
        <v>17.986956115098998</v>
      </c>
    </row>
    <row r="1115" spans="1:69" x14ac:dyDescent="0.2">
      <c r="A1115" s="2" t="s">
        <v>4573</v>
      </c>
      <c r="B1115" s="2" t="s">
        <v>47</v>
      </c>
      <c r="C1115" s="2" t="s">
        <v>3273</v>
      </c>
      <c r="D1115" s="2" t="s">
        <v>49</v>
      </c>
      <c r="E1115" s="2" t="s">
        <v>2013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89</v>
      </c>
      <c r="L1115" s="6" t="s">
        <v>90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4574</v>
      </c>
      <c r="R1115" s="2">
        <v>10036363.640000001</v>
      </c>
      <c r="S1115" s="2">
        <v>0</v>
      </c>
      <c r="T1115" s="2" t="s">
        <v>54</v>
      </c>
      <c r="U1115" s="2" t="s">
        <v>55</v>
      </c>
      <c r="V1115" s="2" t="s">
        <v>56</v>
      </c>
      <c r="W1115" s="2" t="s">
        <v>57</v>
      </c>
      <c r="X1115" s="2" t="s">
        <v>58</v>
      </c>
      <c r="Y1115" s="2">
        <v>4.2113464516015</v>
      </c>
      <c r="Z1115" s="2">
        <v>4211.3464516015001</v>
      </c>
      <c r="AA1115" s="2">
        <v>4.6584666666666701</v>
      </c>
      <c r="AB1115" s="2">
        <v>-74.083966666666697</v>
      </c>
      <c r="AC1115" s="2">
        <v>2552</v>
      </c>
      <c r="AD1115" s="2">
        <v>0</v>
      </c>
      <c r="AE1115" s="2" t="s">
        <v>59</v>
      </c>
      <c r="AF1115" s="2" t="s">
        <v>60</v>
      </c>
      <c r="AG1115" s="2" t="s">
        <v>61</v>
      </c>
      <c r="AH1115" s="2" t="s">
        <v>62</v>
      </c>
      <c r="AI1115" s="2" t="s">
        <v>100</v>
      </c>
      <c r="AJ1115" s="2">
        <v>0.116369878892988</v>
      </c>
      <c r="AK1115" s="2">
        <v>3.6713527563124702</v>
      </c>
      <c r="AL1115" s="2">
        <v>0.66589099616134695</v>
      </c>
      <c r="AM1115" s="2">
        <v>8.3316858019037404E-2</v>
      </c>
      <c r="AN1115" s="2">
        <v>2.6231101662006</v>
      </c>
      <c r="AO1115" s="2">
        <v>0.359032015968763</v>
      </c>
      <c r="AP1115" s="2">
        <v>0.359032015968763</v>
      </c>
      <c r="AQ1115" s="2">
        <v>1</v>
      </c>
      <c r="AR1115" s="2">
        <v>4</v>
      </c>
      <c r="AS1115" s="2">
        <v>0</v>
      </c>
      <c r="AT1115" s="2">
        <v>0</v>
      </c>
      <c r="AU1115" s="2">
        <v>1</v>
      </c>
      <c r="AV1115" s="2">
        <v>71</v>
      </c>
      <c r="AW1115" s="2">
        <v>0</v>
      </c>
      <c r="AX1115" s="2">
        <v>0</v>
      </c>
      <c r="AZ1115" s="2">
        <v>6.8</v>
      </c>
      <c r="BA1115" s="2">
        <v>19.899999999999999</v>
      </c>
      <c r="BB1115" s="2">
        <v>564</v>
      </c>
      <c r="BC1115" s="2">
        <v>68</v>
      </c>
      <c r="BD1115" s="2">
        <v>1.5</v>
      </c>
      <c r="BE1115" s="2">
        <v>135</v>
      </c>
      <c r="BF1115" s="2">
        <v>0.8</v>
      </c>
      <c r="BG1115" s="2">
        <v>162</v>
      </c>
      <c r="BH1115" s="2">
        <v>9.1</v>
      </c>
      <c r="BI1115" s="2">
        <v>9.1999999999999993</v>
      </c>
      <c r="BJ1115" s="2">
        <v>18.3</v>
      </c>
      <c r="BK1115" s="2">
        <v>0.34</v>
      </c>
      <c r="BL1115" s="2">
        <v>7.3</v>
      </c>
      <c r="BM1115" s="2">
        <v>0.9</v>
      </c>
      <c r="BN1115" s="2">
        <v>7.5</v>
      </c>
      <c r="BO1115" s="2">
        <v>2.9</v>
      </c>
      <c r="BP1115" s="2">
        <f t="shared" si="34"/>
        <v>5.5204587450752571</v>
      </c>
      <c r="BQ1115" s="2">
        <f t="shared" si="35"/>
        <v>17.986966582814325</v>
      </c>
    </row>
    <row r="1116" spans="1:69" x14ac:dyDescent="0.2">
      <c r="A1116" s="2" t="s">
        <v>3050</v>
      </c>
      <c r="B1116" s="2" t="s">
        <v>47</v>
      </c>
      <c r="C1116" s="2" t="s">
        <v>1935</v>
      </c>
      <c r="D1116" s="2" t="s">
        <v>49</v>
      </c>
      <c r="E1116" s="2" t="s">
        <v>3051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89</v>
      </c>
      <c r="L1116" s="6" t="s">
        <v>141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3052</v>
      </c>
      <c r="R1116" s="2">
        <v>9696969.6970000006</v>
      </c>
      <c r="S1116" s="2">
        <v>0</v>
      </c>
      <c r="T1116" s="2" t="s">
        <v>1822</v>
      </c>
      <c r="U1116" s="2" t="s">
        <v>1823</v>
      </c>
      <c r="V1116" s="2" t="s">
        <v>56</v>
      </c>
      <c r="W1116" s="2" t="s">
        <v>1824</v>
      </c>
      <c r="X1116" s="2" t="s">
        <v>1825</v>
      </c>
      <c r="Y1116" s="2">
        <v>1.5533266474232199</v>
      </c>
      <c r="Z1116" s="2">
        <v>1553.32664742322</v>
      </c>
      <c r="AA1116" s="2">
        <v>4.576225</v>
      </c>
      <c r="AB1116" s="2">
        <v>-74.130955555555502</v>
      </c>
      <c r="AC1116" s="2">
        <v>2589</v>
      </c>
      <c r="AD1116" s="2">
        <v>0</v>
      </c>
      <c r="AE1116" s="2" t="s">
        <v>59</v>
      </c>
      <c r="AF1116" s="2" t="s">
        <v>86</v>
      </c>
      <c r="AG1116" s="2" t="s">
        <v>61</v>
      </c>
      <c r="AH1116" s="2" t="s">
        <v>62</v>
      </c>
      <c r="AI1116" s="2" t="s">
        <v>443</v>
      </c>
      <c r="AJ1116" s="2">
        <v>0.41194804563294302</v>
      </c>
      <c r="AK1116" s="2">
        <v>3.1069466897239799</v>
      </c>
      <c r="AL1116" s="2">
        <v>2.2853448245713501</v>
      </c>
      <c r="AM1116" s="2">
        <v>0.68111208407693202</v>
      </c>
      <c r="AN1116" s="2">
        <v>2.1679476876192001</v>
      </c>
      <c r="AO1116" s="2">
        <v>0.30572310262859298</v>
      </c>
      <c r="AP1116" s="2">
        <v>0.30572310262859298</v>
      </c>
      <c r="AQ1116" s="2">
        <v>1</v>
      </c>
      <c r="AR1116" s="2">
        <v>2</v>
      </c>
      <c r="AS1116" s="2">
        <v>0</v>
      </c>
      <c r="AT1116" s="2">
        <v>0</v>
      </c>
      <c r="AU1116" s="2">
        <v>0</v>
      </c>
      <c r="AV1116" s="2">
        <v>11</v>
      </c>
      <c r="AW1116" s="2">
        <v>0</v>
      </c>
      <c r="AX1116" s="2">
        <v>0</v>
      </c>
      <c r="AZ1116" s="2">
        <v>6.8</v>
      </c>
      <c r="BA1116" s="2">
        <v>19.899999999999999</v>
      </c>
      <c r="BB1116" s="2">
        <v>564</v>
      </c>
      <c r="BC1116" s="2">
        <v>68</v>
      </c>
      <c r="BD1116" s="2">
        <v>1.5</v>
      </c>
      <c r="BE1116" s="2">
        <v>135</v>
      </c>
      <c r="BF1116" s="2">
        <v>0.8</v>
      </c>
      <c r="BG1116" s="2">
        <v>162</v>
      </c>
      <c r="BH1116" s="2">
        <v>9.1</v>
      </c>
      <c r="BI1116" s="2">
        <v>9.1999999999999993</v>
      </c>
      <c r="BJ1116" s="2">
        <v>18.3</v>
      </c>
      <c r="BK1116" s="2">
        <v>0.34</v>
      </c>
      <c r="BL1116" s="2">
        <v>7.3</v>
      </c>
      <c r="BM1116" s="2">
        <v>0.9</v>
      </c>
      <c r="BN1116" s="2">
        <v>7.5</v>
      </c>
      <c r="BO1116" s="2">
        <v>2.9</v>
      </c>
      <c r="BP1116" s="2">
        <f t="shared" si="34"/>
        <v>6.296745692150874</v>
      </c>
      <c r="BQ1116" s="2">
        <f t="shared" si="35"/>
        <v>19.171789318034715</v>
      </c>
    </row>
    <row r="1117" spans="1:69" x14ac:dyDescent="0.2">
      <c r="A1117" s="2" t="s">
        <v>3435</v>
      </c>
      <c r="B1117" s="2" t="s">
        <v>47</v>
      </c>
      <c r="C1117" s="2" t="s">
        <v>3273</v>
      </c>
      <c r="D1117" s="2" t="s">
        <v>49</v>
      </c>
      <c r="E1117" s="2" t="s">
        <v>102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89</v>
      </c>
      <c r="L1117" s="6" t="s">
        <v>103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3436</v>
      </c>
      <c r="R1117" s="2">
        <v>8121212.1210000003</v>
      </c>
      <c r="S1117" s="2">
        <v>0</v>
      </c>
      <c r="T1117" s="2" t="s">
        <v>105</v>
      </c>
      <c r="U1117" s="2" t="s">
        <v>106</v>
      </c>
      <c r="V1117" s="2" t="s">
        <v>56</v>
      </c>
      <c r="W1117" s="2" t="s">
        <v>107</v>
      </c>
      <c r="X1117" s="2" t="s">
        <v>108</v>
      </c>
      <c r="Y1117" s="2">
        <v>2.4293874739316701</v>
      </c>
      <c r="Z1117" s="2">
        <v>2429.3874739316698</v>
      </c>
      <c r="AA1117" s="2">
        <v>4.6254861111111101</v>
      </c>
      <c r="AB1117" s="2">
        <v>-74.066980555555503</v>
      </c>
      <c r="AC1117" s="2">
        <v>2621</v>
      </c>
      <c r="AD1117" s="2">
        <v>15</v>
      </c>
      <c r="AE1117" s="2" t="s">
        <v>59</v>
      </c>
      <c r="AF1117" s="2" t="s">
        <v>60</v>
      </c>
      <c r="AG1117" s="2" t="s">
        <v>61</v>
      </c>
      <c r="AH1117" s="2" t="s">
        <v>62</v>
      </c>
      <c r="AI1117" s="2" t="s">
        <v>109</v>
      </c>
      <c r="AJ1117" s="2">
        <v>0.38962099298154801</v>
      </c>
      <c r="AK1117" s="2">
        <v>0.78798929420080599</v>
      </c>
      <c r="AL1117" s="2">
        <v>0.178872588835288</v>
      </c>
      <c r="AM1117" s="2">
        <v>6.5188632930639201E-2</v>
      </c>
      <c r="AN1117" s="2">
        <v>0.67660012542526604</v>
      </c>
      <c r="AO1117" s="2">
        <v>0.321051581864647</v>
      </c>
      <c r="AP1117" s="2">
        <v>0.321051581864647</v>
      </c>
      <c r="AQ1117" s="2">
        <v>1</v>
      </c>
      <c r="AR1117" s="2">
        <v>3</v>
      </c>
      <c r="AS1117" s="2">
        <v>0</v>
      </c>
      <c r="AT1117" s="2">
        <v>10</v>
      </c>
      <c r="AU1117" s="2">
        <v>13</v>
      </c>
      <c r="AV1117" s="2">
        <v>76</v>
      </c>
      <c r="AW1117" s="2">
        <v>1</v>
      </c>
      <c r="AX1117" s="2">
        <v>0</v>
      </c>
      <c r="AZ1117" s="2">
        <v>6.8</v>
      </c>
      <c r="BA1117" s="2">
        <v>19.899999999999999</v>
      </c>
      <c r="BB1117" s="2">
        <v>564</v>
      </c>
      <c r="BC1117" s="2">
        <v>68</v>
      </c>
      <c r="BD1117" s="2">
        <v>1.5</v>
      </c>
      <c r="BE1117" s="2">
        <v>135</v>
      </c>
      <c r="BF1117" s="2">
        <v>0.8</v>
      </c>
      <c r="BG1117" s="2">
        <v>162</v>
      </c>
      <c r="BH1117" s="2">
        <v>9.1</v>
      </c>
      <c r="BI1117" s="2">
        <v>9.1999999999999993</v>
      </c>
      <c r="BJ1117" s="2">
        <v>18.3</v>
      </c>
      <c r="BK1117" s="2">
        <v>0.34</v>
      </c>
      <c r="BL1117" s="2">
        <v>7.3</v>
      </c>
      <c r="BM1117" s="2">
        <v>0.9</v>
      </c>
      <c r="BN1117" s="2">
        <v>7.5</v>
      </c>
      <c r="BO1117" s="2">
        <v>2.9</v>
      </c>
      <c r="BP1117" s="2">
        <f t="shared" si="34"/>
        <v>6.0295231753981362</v>
      </c>
      <c r="BQ1117" s="2">
        <f t="shared" si="35"/>
        <v>18.772901723862461</v>
      </c>
    </row>
    <row r="1118" spans="1:69" x14ac:dyDescent="0.2">
      <c r="A1118" s="2" t="s">
        <v>3353</v>
      </c>
      <c r="B1118" s="2" t="s">
        <v>47</v>
      </c>
      <c r="C1118" s="2" t="s">
        <v>3273</v>
      </c>
      <c r="D1118" s="2" t="s">
        <v>49</v>
      </c>
      <c r="E1118" s="2" t="s">
        <v>1899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89</v>
      </c>
      <c r="L1118" s="6" t="s">
        <v>103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3354</v>
      </c>
      <c r="R1118" s="2">
        <v>7575757.5760000004</v>
      </c>
      <c r="S1118" s="2">
        <v>0</v>
      </c>
      <c r="T1118" s="2" t="s">
        <v>105</v>
      </c>
      <c r="U1118" s="2" t="s">
        <v>106</v>
      </c>
      <c r="V1118" s="2" t="s">
        <v>56</v>
      </c>
      <c r="W1118" s="2" t="s">
        <v>107</v>
      </c>
      <c r="X1118" s="2" t="s">
        <v>108</v>
      </c>
      <c r="Y1118" s="2">
        <v>1.42175421207107</v>
      </c>
      <c r="Z1118" s="2">
        <v>1421.75421207107</v>
      </c>
      <c r="AA1118" s="2">
        <v>4.6254861111111101</v>
      </c>
      <c r="AB1118" s="2">
        <v>-74.066980555555503</v>
      </c>
      <c r="AC1118" s="2">
        <v>2621</v>
      </c>
      <c r="AD1118" s="2">
        <v>15</v>
      </c>
      <c r="AE1118" s="2" t="s">
        <v>59</v>
      </c>
      <c r="AF1118" s="2" t="s">
        <v>60</v>
      </c>
      <c r="AG1118" s="2" t="s">
        <v>61</v>
      </c>
      <c r="AH1118" s="2" t="s">
        <v>62</v>
      </c>
      <c r="AI1118" s="2" t="s">
        <v>109</v>
      </c>
      <c r="AJ1118" s="2">
        <v>0.13917170321966099</v>
      </c>
      <c r="AK1118" s="2">
        <v>0.806836275219034</v>
      </c>
      <c r="AL1118" s="2">
        <v>0.16280777225166801</v>
      </c>
      <c r="AM1118" s="2">
        <v>8.8526668028791097E-2</v>
      </c>
      <c r="AN1118" s="2">
        <v>0.89469459512187</v>
      </c>
      <c r="AO1118" s="2">
        <v>0.213491886160352</v>
      </c>
      <c r="AP1118" s="2">
        <v>0.213491886160352</v>
      </c>
      <c r="AQ1118" s="2">
        <v>2</v>
      </c>
      <c r="AR1118" s="2">
        <v>4</v>
      </c>
      <c r="AS1118" s="2">
        <v>0</v>
      </c>
      <c r="AT1118" s="2">
        <v>13</v>
      </c>
      <c r="AU1118" s="2">
        <v>12</v>
      </c>
      <c r="AV1118" s="2">
        <v>165</v>
      </c>
      <c r="AW1118" s="2">
        <v>1</v>
      </c>
      <c r="AX1118" s="2">
        <v>0</v>
      </c>
      <c r="AZ1118" s="2">
        <v>6.8</v>
      </c>
      <c r="BA1118" s="2">
        <v>19.899999999999999</v>
      </c>
      <c r="BB1118" s="2">
        <v>564</v>
      </c>
      <c r="BC1118" s="2">
        <v>68</v>
      </c>
      <c r="BD1118" s="2">
        <v>1.5</v>
      </c>
      <c r="BE1118" s="2">
        <v>135</v>
      </c>
      <c r="BF1118" s="2">
        <v>0.8</v>
      </c>
      <c r="BG1118" s="2">
        <v>162</v>
      </c>
      <c r="BH1118" s="2">
        <v>9.1</v>
      </c>
      <c r="BI1118" s="2">
        <v>9.1999999999999993</v>
      </c>
      <c r="BJ1118" s="2">
        <v>18.3</v>
      </c>
      <c r="BK1118" s="2">
        <v>0.34</v>
      </c>
      <c r="BL1118" s="2">
        <v>7.3</v>
      </c>
      <c r="BM1118" s="2">
        <v>0.9</v>
      </c>
      <c r="BN1118" s="2">
        <v>7.5</v>
      </c>
      <c r="BO1118" s="2">
        <v>2.9</v>
      </c>
      <c r="BP1118" s="2">
        <f t="shared" si="34"/>
        <v>6.337889196349999</v>
      </c>
      <c r="BQ1118" s="2">
        <f t="shared" si="35"/>
        <v>19.232424498926552</v>
      </c>
    </row>
    <row r="1119" spans="1:69" x14ac:dyDescent="0.2">
      <c r="A1119" s="2" t="s">
        <v>3359</v>
      </c>
      <c r="B1119" s="2" t="s">
        <v>47</v>
      </c>
      <c r="C1119" s="2" t="s">
        <v>3273</v>
      </c>
      <c r="D1119" s="2" t="s">
        <v>49</v>
      </c>
      <c r="E1119" s="2" t="s">
        <v>115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89</v>
      </c>
      <c r="L1119" s="6" t="s">
        <v>90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3360</v>
      </c>
      <c r="R1119" s="2">
        <v>11464383.98</v>
      </c>
      <c r="S1119" s="2">
        <v>0</v>
      </c>
      <c r="T1119" s="2" t="s">
        <v>105</v>
      </c>
      <c r="U1119" s="2" t="s">
        <v>106</v>
      </c>
      <c r="V1119" s="2" t="s">
        <v>56</v>
      </c>
      <c r="W1119" s="2" t="s">
        <v>107</v>
      </c>
      <c r="X1119" s="2" t="s">
        <v>108</v>
      </c>
      <c r="Y1119" s="2">
        <v>0.65014241261012795</v>
      </c>
      <c r="Z1119" s="2">
        <v>650.14241261012796</v>
      </c>
      <c r="AA1119" s="2">
        <v>4.6254861111111101</v>
      </c>
      <c r="AB1119" s="2">
        <v>-74.066980555555503</v>
      </c>
      <c r="AC1119" s="2">
        <v>2621</v>
      </c>
      <c r="AD1119" s="2">
        <v>15</v>
      </c>
      <c r="AE1119" s="2" t="s">
        <v>59</v>
      </c>
      <c r="AF1119" s="2" t="s">
        <v>60</v>
      </c>
      <c r="AG1119" s="2" t="s">
        <v>61</v>
      </c>
      <c r="AH1119" s="2" t="s">
        <v>62</v>
      </c>
      <c r="AI1119" s="2" t="s">
        <v>117</v>
      </c>
      <c r="AJ1119" s="2">
        <v>0.13720579165720401</v>
      </c>
      <c r="AK1119" s="2">
        <v>0.87071666130195202</v>
      </c>
      <c r="AL1119" s="2">
        <v>0.34510880768399999</v>
      </c>
      <c r="AM1119" s="2">
        <v>4.11443730616032E-2</v>
      </c>
      <c r="AN1119" s="2">
        <v>0.67214491497680795</v>
      </c>
      <c r="AO1119" s="2">
        <v>2.9003813943615401E-2</v>
      </c>
      <c r="AP1119" s="2">
        <v>2.9003813943615401E-2</v>
      </c>
      <c r="AQ1119" s="2">
        <v>2</v>
      </c>
      <c r="AR1119" s="2">
        <v>6</v>
      </c>
      <c r="AS1119" s="2">
        <v>0</v>
      </c>
      <c r="AT1119" s="2">
        <v>3</v>
      </c>
      <c r="AU1119" s="2">
        <v>17</v>
      </c>
      <c r="AV1119" s="2">
        <v>90</v>
      </c>
      <c r="AW1119" s="2">
        <v>2</v>
      </c>
      <c r="AX1119" s="2">
        <v>1</v>
      </c>
      <c r="AZ1119" s="2">
        <v>6.8</v>
      </c>
      <c r="BA1119" s="2">
        <v>19.899999999999999</v>
      </c>
      <c r="BB1119" s="2">
        <v>564</v>
      </c>
      <c r="BC1119" s="2">
        <v>68</v>
      </c>
      <c r="BD1119" s="2">
        <v>1.5</v>
      </c>
      <c r="BE1119" s="2">
        <v>135</v>
      </c>
      <c r="BF1119" s="2">
        <v>0.8</v>
      </c>
      <c r="BG1119" s="2">
        <v>162</v>
      </c>
      <c r="BH1119" s="2">
        <v>9.1</v>
      </c>
      <c r="BI1119" s="2">
        <v>9.1999999999999993</v>
      </c>
      <c r="BJ1119" s="2">
        <v>18.3</v>
      </c>
      <c r="BK1119" s="2">
        <v>0.34</v>
      </c>
      <c r="BL1119" s="2">
        <v>7.3</v>
      </c>
      <c r="BM1119" s="2">
        <v>0.9</v>
      </c>
      <c r="BN1119" s="2">
        <v>7.5</v>
      </c>
      <c r="BO1119" s="2">
        <v>2.9</v>
      </c>
      <c r="BP1119" s="2">
        <f t="shared" si="34"/>
        <v>6.5846459180198327</v>
      </c>
      <c r="BQ1119" s="2">
        <f t="shared" si="35"/>
        <v>19.591901926179613</v>
      </c>
    </row>
    <row r="1120" spans="1:69" x14ac:dyDescent="0.2">
      <c r="A1120" s="2" t="s">
        <v>4245</v>
      </c>
      <c r="B1120" s="2" t="s">
        <v>47</v>
      </c>
      <c r="C1120" s="2" t="s">
        <v>3273</v>
      </c>
      <c r="D1120" s="2" t="s">
        <v>49</v>
      </c>
      <c r="E1120" s="2" t="s">
        <v>3628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89</v>
      </c>
      <c r="L1120" s="6" t="s">
        <v>90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4246</v>
      </c>
      <c r="R1120" s="2">
        <v>17944785.280000001</v>
      </c>
      <c r="S1120" s="2">
        <v>0</v>
      </c>
      <c r="T1120" s="2" t="s">
        <v>54</v>
      </c>
      <c r="U1120" s="2" t="s">
        <v>55</v>
      </c>
      <c r="V1120" s="2" t="s">
        <v>56</v>
      </c>
      <c r="W1120" s="2" t="s">
        <v>57</v>
      </c>
      <c r="X1120" s="2" t="s">
        <v>58</v>
      </c>
      <c r="Y1120" s="2">
        <v>3.2189286264914498</v>
      </c>
      <c r="Z1120" s="2">
        <v>3218.9286264914499</v>
      </c>
      <c r="AA1120" s="2">
        <v>4.6584666666666701</v>
      </c>
      <c r="AB1120" s="2">
        <v>-74.083966666666697</v>
      </c>
      <c r="AC1120" s="2">
        <v>2552</v>
      </c>
      <c r="AD1120" s="2">
        <v>0</v>
      </c>
      <c r="AE1120" s="2" t="s">
        <v>59</v>
      </c>
      <c r="AF1120" s="2" t="s">
        <v>60</v>
      </c>
      <c r="AG1120" s="2" t="s">
        <v>61</v>
      </c>
      <c r="AH1120" s="2" t="s">
        <v>62</v>
      </c>
      <c r="AI1120" s="2" t="s">
        <v>109</v>
      </c>
      <c r="AJ1120" s="2">
        <v>0.14504750864367399</v>
      </c>
      <c r="AK1120" s="2">
        <v>1.67565584749176</v>
      </c>
      <c r="AL1120" s="2">
        <v>0.46443478485509399</v>
      </c>
      <c r="AM1120" s="2">
        <v>3.1978484750333103E-2</v>
      </c>
      <c r="AN1120" s="2">
        <v>2.613119336939</v>
      </c>
      <c r="AO1120" s="2">
        <v>0.77247022554299705</v>
      </c>
      <c r="AP1120" s="2">
        <v>0.77247022554299705</v>
      </c>
      <c r="AQ1120" s="2">
        <v>3</v>
      </c>
      <c r="AR1120" s="2">
        <v>5</v>
      </c>
      <c r="AS1120" s="2">
        <v>0</v>
      </c>
      <c r="AT1120" s="2">
        <v>0</v>
      </c>
      <c r="AU1120" s="2">
        <v>7</v>
      </c>
      <c r="AV1120" s="2">
        <v>284</v>
      </c>
      <c r="AW1120" s="2">
        <v>0</v>
      </c>
      <c r="AX1120" s="2">
        <v>0</v>
      </c>
      <c r="AZ1120" s="2">
        <v>6.8</v>
      </c>
      <c r="BA1120" s="2">
        <v>19.899999999999999</v>
      </c>
      <c r="BB1120" s="2">
        <v>564</v>
      </c>
      <c r="BC1120" s="2">
        <v>68</v>
      </c>
      <c r="BD1120" s="2">
        <v>1.5</v>
      </c>
      <c r="BE1120" s="2">
        <v>135</v>
      </c>
      <c r="BF1120" s="2">
        <v>0.8</v>
      </c>
      <c r="BG1120" s="2">
        <v>162</v>
      </c>
      <c r="BH1120" s="2">
        <v>9.1</v>
      </c>
      <c r="BI1120" s="2">
        <v>9.1999999999999993</v>
      </c>
      <c r="BJ1120" s="2">
        <v>18.3</v>
      </c>
      <c r="BK1120" s="2">
        <v>0.34</v>
      </c>
      <c r="BL1120" s="2">
        <v>7.3</v>
      </c>
      <c r="BM1120" s="2">
        <v>0.9</v>
      </c>
      <c r="BN1120" s="2">
        <v>7.5</v>
      </c>
      <c r="BO1120" s="2">
        <v>2.9</v>
      </c>
      <c r="BP1120" s="2">
        <f t="shared" si="34"/>
        <v>5.7984210351505059</v>
      </c>
      <c r="BQ1120" s="2">
        <f t="shared" si="35"/>
        <v>18.42052339087493</v>
      </c>
    </row>
    <row r="1121" spans="1:69" x14ac:dyDescent="0.2">
      <c r="A1121" s="2" t="s">
        <v>4008</v>
      </c>
      <c r="B1121" s="2" t="s">
        <v>47</v>
      </c>
      <c r="C1121" s="2" t="s">
        <v>3273</v>
      </c>
      <c r="D1121" s="2" t="s">
        <v>49</v>
      </c>
      <c r="E1121" s="2" t="s">
        <v>1270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89</v>
      </c>
      <c r="L1121" s="6" t="s">
        <v>90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4009</v>
      </c>
      <c r="R1121" s="2">
        <v>13125000</v>
      </c>
      <c r="S1121" s="2">
        <v>0</v>
      </c>
      <c r="T1121" s="2" t="s">
        <v>105</v>
      </c>
      <c r="U1121" s="2" t="s">
        <v>106</v>
      </c>
      <c r="V1121" s="2" t="s">
        <v>56</v>
      </c>
      <c r="W1121" s="2" t="s">
        <v>107</v>
      </c>
      <c r="X1121" s="2" t="s">
        <v>108</v>
      </c>
      <c r="Y1121" s="2">
        <v>1.91922838807675</v>
      </c>
      <c r="Z1121" s="2">
        <v>1919.22838807675</v>
      </c>
      <c r="AA1121" s="2">
        <v>4.6254861111111101</v>
      </c>
      <c r="AB1121" s="2">
        <v>-74.066980555555503</v>
      </c>
      <c r="AC1121" s="2">
        <v>2621</v>
      </c>
      <c r="AD1121" s="2">
        <v>15</v>
      </c>
      <c r="AE1121" s="2" t="s">
        <v>59</v>
      </c>
      <c r="AF1121" s="2" t="s">
        <v>60</v>
      </c>
      <c r="AG1121" s="2" t="s">
        <v>61</v>
      </c>
      <c r="AH1121" s="2" t="s">
        <v>62</v>
      </c>
      <c r="AI1121" s="2" t="s">
        <v>109</v>
      </c>
      <c r="AJ1121" s="2">
        <v>0.36688709197208902</v>
      </c>
      <c r="AK1121" s="2">
        <v>0.57830557945604999</v>
      </c>
      <c r="AL1121" s="2">
        <v>0.40083768395434699</v>
      </c>
      <c r="AM1121" s="2">
        <v>5.1942815949417701E-2</v>
      </c>
      <c r="AN1121" s="2">
        <v>0.47304396293589801</v>
      </c>
      <c r="AO1121" s="2">
        <v>0.25878570025696601</v>
      </c>
      <c r="AP1121" s="2">
        <v>0.25878570025696601</v>
      </c>
      <c r="AQ1121" s="2">
        <v>1</v>
      </c>
      <c r="AR1121" s="2">
        <v>4</v>
      </c>
      <c r="AS1121" s="2">
        <v>0</v>
      </c>
      <c r="AT1121" s="2">
        <v>21</v>
      </c>
      <c r="AU1121" s="2">
        <v>6</v>
      </c>
      <c r="AV1121" s="2">
        <v>131</v>
      </c>
      <c r="AW1121" s="2">
        <v>1</v>
      </c>
      <c r="AX1121" s="2">
        <v>0</v>
      </c>
      <c r="AZ1121" s="2">
        <v>6.8</v>
      </c>
      <c r="BA1121" s="2">
        <v>19.899999999999999</v>
      </c>
      <c r="BB1121" s="2">
        <v>564</v>
      </c>
      <c r="BC1121" s="2">
        <v>68</v>
      </c>
      <c r="BD1121" s="2">
        <v>1.5</v>
      </c>
      <c r="BE1121" s="2">
        <v>135</v>
      </c>
      <c r="BF1121" s="2">
        <v>0.8</v>
      </c>
      <c r="BG1121" s="2">
        <v>162</v>
      </c>
      <c r="BH1121" s="2">
        <v>9.1</v>
      </c>
      <c r="BI1121" s="2">
        <v>9.1999999999999993</v>
      </c>
      <c r="BJ1121" s="2">
        <v>18.3</v>
      </c>
      <c r="BK1121" s="2">
        <v>0.34</v>
      </c>
      <c r="BL1121" s="2">
        <v>7.3</v>
      </c>
      <c r="BM1121" s="2">
        <v>0.9</v>
      </c>
      <c r="BN1121" s="2">
        <v>7.5</v>
      </c>
      <c r="BO1121" s="2">
        <v>2.9</v>
      </c>
      <c r="BP1121" s="2">
        <f t="shared" si="34"/>
        <v>6.1837247914533089</v>
      </c>
      <c r="BQ1121" s="2">
        <f t="shared" si="35"/>
        <v>19.004166610545376</v>
      </c>
    </row>
    <row r="1122" spans="1:69" x14ac:dyDescent="0.2">
      <c r="A1122" s="2" t="s">
        <v>3567</v>
      </c>
      <c r="B1122" s="2" t="s">
        <v>47</v>
      </c>
      <c r="C1122" s="2" t="s">
        <v>3273</v>
      </c>
      <c r="D1122" s="2" t="s">
        <v>49</v>
      </c>
      <c r="E1122" s="2" t="s">
        <v>115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89</v>
      </c>
      <c r="L1122" s="6" t="s">
        <v>90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3568</v>
      </c>
      <c r="R1122" s="2">
        <v>10937500</v>
      </c>
      <c r="S1122" s="2">
        <v>0</v>
      </c>
      <c r="T1122" s="2" t="s">
        <v>105</v>
      </c>
      <c r="U1122" s="2" t="s">
        <v>106</v>
      </c>
      <c r="V1122" s="2" t="s">
        <v>56</v>
      </c>
      <c r="W1122" s="2" t="s">
        <v>107</v>
      </c>
      <c r="X1122" s="2" t="s">
        <v>108</v>
      </c>
      <c r="Y1122" s="2">
        <v>0.430266429382965</v>
      </c>
      <c r="Z1122" s="2">
        <v>430.26642938296499</v>
      </c>
      <c r="AA1122" s="2">
        <v>4.6254861111111101</v>
      </c>
      <c r="AB1122" s="2">
        <v>-74.066980555555503</v>
      </c>
      <c r="AC1122" s="2">
        <v>2621</v>
      </c>
      <c r="AD1122" s="2">
        <v>15</v>
      </c>
      <c r="AE1122" s="2" t="s">
        <v>59</v>
      </c>
      <c r="AF1122" s="2" t="s">
        <v>60</v>
      </c>
      <c r="AG1122" s="2" t="s">
        <v>61</v>
      </c>
      <c r="AH1122" s="2" t="s">
        <v>62</v>
      </c>
      <c r="AI1122" s="2" t="s">
        <v>117</v>
      </c>
      <c r="AJ1122" s="2">
        <v>0.19102884698027101</v>
      </c>
      <c r="AK1122" s="2">
        <v>0.75734009374104005</v>
      </c>
      <c r="AL1122" s="2">
        <v>0.22192635924144399</v>
      </c>
      <c r="AM1122" s="2">
        <v>0.11872796493401799</v>
      </c>
      <c r="AN1122" s="2">
        <v>0.652330046125842</v>
      </c>
      <c r="AO1122" s="2">
        <v>0.143459066273773</v>
      </c>
      <c r="AP1122" s="2">
        <v>0.143459066273773</v>
      </c>
      <c r="AQ1122" s="2">
        <v>2</v>
      </c>
      <c r="AR1122" s="2">
        <v>6</v>
      </c>
      <c r="AS1122" s="2">
        <v>0</v>
      </c>
      <c r="AT1122" s="2">
        <v>10</v>
      </c>
      <c r="AU1122" s="2">
        <v>16</v>
      </c>
      <c r="AV1122" s="2">
        <v>97</v>
      </c>
      <c r="AW1122" s="2">
        <v>2</v>
      </c>
      <c r="AX1122" s="2">
        <v>1</v>
      </c>
      <c r="AZ1122" s="2">
        <v>6.8</v>
      </c>
      <c r="BA1122" s="2">
        <v>19.899999999999999</v>
      </c>
      <c r="BB1122" s="2">
        <v>564</v>
      </c>
      <c r="BC1122" s="2">
        <v>68</v>
      </c>
      <c r="BD1122" s="2">
        <v>1.5</v>
      </c>
      <c r="BE1122" s="2">
        <v>135</v>
      </c>
      <c r="BF1122" s="2">
        <v>0.8</v>
      </c>
      <c r="BG1122" s="2">
        <v>162</v>
      </c>
      <c r="BH1122" s="2">
        <v>9.1</v>
      </c>
      <c r="BI1122" s="2">
        <v>9.1999999999999993</v>
      </c>
      <c r="BJ1122" s="2">
        <v>18.3</v>
      </c>
      <c r="BK1122" s="2">
        <v>0.34</v>
      </c>
      <c r="BL1122" s="2">
        <v>7.3</v>
      </c>
      <c r="BM1122" s="2">
        <v>0.9</v>
      </c>
      <c r="BN1122" s="2">
        <v>7.5</v>
      </c>
      <c r="BO1122" s="2">
        <v>2.9</v>
      </c>
      <c r="BP1122" s="2">
        <f t="shared" si="34"/>
        <v>6.6567037122380031</v>
      </c>
      <c r="BQ1122" s="2">
        <f t="shared" si="35"/>
        <v>19.695562123063738</v>
      </c>
    </row>
    <row r="1123" spans="1:69" x14ac:dyDescent="0.2">
      <c r="A1123" s="2" t="s">
        <v>4603</v>
      </c>
      <c r="B1123" s="2" t="s">
        <v>47</v>
      </c>
      <c r="C1123" s="2" t="s">
        <v>3273</v>
      </c>
      <c r="D1123" s="2" t="s">
        <v>49</v>
      </c>
      <c r="E1123" s="2" t="s">
        <v>4023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89</v>
      </c>
      <c r="L1123" s="6" t="s">
        <v>141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4604</v>
      </c>
      <c r="R1123" s="2">
        <v>4375000</v>
      </c>
      <c r="S1123" s="2">
        <v>0</v>
      </c>
      <c r="T1123" s="2" t="s">
        <v>105</v>
      </c>
      <c r="U1123" s="2" t="s">
        <v>106</v>
      </c>
      <c r="V1123" s="2" t="s">
        <v>56</v>
      </c>
      <c r="W1123" s="2" t="s">
        <v>107</v>
      </c>
      <c r="X1123" s="2" t="s">
        <v>108</v>
      </c>
      <c r="Y1123" s="2">
        <v>1.8799462456964</v>
      </c>
      <c r="Z1123" s="2">
        <v>1879.9462456964</v>
      </c>
      <c r="AA1123" s="2">
        <v>4.6254861111111101</v>
      </c>
      <c r="AB1123" s="2">
        <v>-74.066980555555503</v>
      </c>
      <c r="AC1123" s="2">
        <v>2621</v>
      </c>
      <c r="AD1123" s="2">
        <v>15</v>
      </c>
      <c r="AE1123" s="2" t="s">
        <v>59</v>
      </c>
      <c r="AF1123" s="2" t="s">
        <v>60</v>
      </c>
      <c r="AG1123" s="2" t="s">
        <v>61</v>
      </c>
      <c r="AH1123" s="2" t="s">
        <v>62</v>
      </c>
      <c r="AI1123" s="2" t="s">
        <v>117</v>
      </c>
      <c r="AJ1123" s="2">
        <v>0.20718648656123401</v>
      </c>
      <c r="AK1123" s="2">
        <v>0.90668035431734795</v>
      </c>
      <c r="AL1123" s="2">
        <v>0.21287129318845599</v>
      </c>
      <c r="AM1123" s="2">
        <v>0.284764235834011</v>
      </c>
      <c r="AN1123" s="2">
        <v>0.95490295370552003</v>
      </c>
      <c r="AO1123" s="2">
        <v>3.2945094861804199E-2</v>
      </c>
      <c r="AP1123" s="2">
        <v>3.2945094861804199E-2</v>
      </c>
      <c r="AQ1123" s="2">
        <v>4</v>
      </c>
      <c r="AR1123" s="2">
        <v>9</v>
      </c>
      <c r="AS1123" s="2">
        <v>0</v>
      </c>
      <c r="AT1123" s="2">
        <v>4</v>
      </c>
      <c r="AU1123" s="2">
        <v>10</v>
      </c>
      <c r="AV1123" s="2">
        <v>60</v>
      </c>
      <c r="AW1123" s="2">
        <v>1</v>
      </c>
      <c r="AX1123" s="2">
        <v>6</v>
      </c>
      <c r="AZ1123" s="2">
        <v>6.8</v>
      </c>
      <c r="BA1123" s="2">
        <v>19.899999999999999</v>
      </c>
      <c r="BB1123" s="2">
        <v>564</v>
      </c>
      <c r="BC1123" s="2">
        <v>68</v>
      </c>
      <c r="BD1123" s="2">
        <v>1.5</v>
      </c>
      <c r="BE1123" s="2">
        <v>135</v>
      </c>
      <c r="BF1123" s="2">
        <v>0.8</v>
      </c>
      <c r="BG1123" s="2">
        <v>162</v>
      </c>
      <c r="BH1123" s="2">
        <v>9.1</v>
      </c>
      <c r="BI1123" s="2">
        <v>9.1999999999999993</v>
      </c>
      <c r="BJ1123" s="2">
        <v>18.3</v>
      </c>
      <c r="BK1123" s="2">
        <v>0.34</v>
      </c>
      <c r="BL1123" s="2">
        <v>7.3</v>
      </c>
      <c r="BM1123" s="2">
        <v>0.9</v>
      </c>
      <c r="BN1123" s="2">
        <v>7.5</v>
      </c>
      <c r="BO1123" s="2">
        <v>2.9</v>
      </c>
      <c r="BP1123" s="2">
        <f t="shared" si="34"/>
        <v>6.1957605321117244</v>
      </c>
      <c r="BQ1123" s="2">
        <f t="shared" si="35"/>
        <v>19.022091643909025</v>
      </c>
    </row>
    <row r="1124" spans="1:69" x14ac:dyDescent="0.2">
      <c r="A1124" s="2" t="s">
        <v>3501</v>
      </c>
      <c r="B1124" s="2" t="s">
        <v>47</v>
      </c>
      <c r="C1124" s="2" t="s">
        <v>3273</v>
      </c>
      <c r="D1124" s="2" t="s">
        <v>49</v>
      </c>
      <c r="E1124" s="2" t="s">
        <v>3502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89</v>
      </c>
      <c r="L1124" s="6" t="s">
        <v>141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3503</v>
      </c>
      <c r="R1124" s="2">
        <v>3750000</v>
      </c>
      <c r="S1124" s="2">
        <v>0</v>
      </c>
      <c r="T1124" s="2" t="s">
        <v>54</v>
      </c>
      <c r="U1124" s="2" t="s">
        <v>55</v>
      </c>
      <c r="V1124" s="2" t="s">
        <v>56</v>
      </c>
      <c r="W1124" s="2" t="s">
        <v>57</v>
      </c>
      <c r="X1124" s="2" t="s">
        <v>58</v>
      </c>
      <c r="Y1124" s="2">
        <v>3.2926116907323002</v>
      </c>
      <c r="Z1124" s="2">
        <v>3292.6116907322998</v>
      </c>
      <c r="AA1124" s="2">
        <v>4.6584666666666701</v>
      </c>
      <c r="AB1124" s="2">
        <v>-74.083966666666697</v>
      </c>
      <c r="AC1124" s="2">
        <v>2552</v>
      </c>
      <c r="AD1124" s="2">
        <v>0</v>
      </c>
      <c r="AE1124" s="2" t="s">
        <v>59</v>
      </c>
      <c r="AF1124" s="2" t="s">
        <v>60</v>
      </c>
      <c r="AG1124" s="2" t="s">
        <v>61</v>
      </c>
      <c r="AH1124" s="2" t="s">
        <v>62</v>
      </c>
      <c r="AI1124" s="2" t="s">
        <v>391</v>
      </c>
      <c r="AJ1124" s="2">
        <v>0.319370245310935</v>
      </c>
      <c r="AK1124" s="2">
        <v>5.0266407382496396</v>
      </c>
      <c r="AL1124" s="2">
        <v>1.0195276997940601</v>
      </c>
      <c r="AM1124" s="2">
        <v>0.111155864614047</v>
      </c>
      <c r="AN1124" s="2">
        <v>1.59192230533477</v>
      </c>
      <c r="AO1124" s="2">
        <v>1.2318462946155E-2</v>
      </c>
      <c r="AP1124" s="2">
        <v>1.2318462946155E-2</v>
      </c>
      <c r="AQ1124" s="2">
        <v>2</v>
      </c>
      <c r="AR1124" s="2">
        <v>3</v>
      </c>
      <c r="AS1124" s="2">
        <v>0</v>
      </c>
      <c r="AT1124" s="2">
        <v>0</v>
      </c>
      <c r="AU1124" s="2">
        <v>0</v>
      </c>
      <c r="AV1124" s="2">
        <v>25</v>
      </c>
      <c r="AW1124" s="2">
        <v>0</v>
      </c>
      <c r="AX1124" s="2">
        <v>0</v>
      </c>
      <c r="AZ1124" s="2">
        <v>6.8</v>
      </c>
      <c r="BA1124" s="2">
        <v>19.899999999999999</v>
      </c>
      <c r="BB1124" s="2">
        <v>564</v>
      </c>
      <c r="BC1124" s="2">
        <v>68</v>
      </c>
      <c r="BD1124" s="2">
        <v>1.5</v>
      </c>
      <c r="BE1124" s="2">
        <v>135</v>
      </c>
      <c r="BF1124" s="2">
        <v>0.8</v>
      </c>
      <c r="BG1124" s="2">
        <v>162</v>
      </c>
      <c r="BH1124" s="2">
        <v>9.1</v>
      </c>
      <c r="BI1124" s="2">
        <v>9.1999999999999993</v>
      </c>
      <c r="BJ1124" s="2">
        <v>18.3</v>
      </c>
      <c r="BK1124" s="2">
        <v>0.34</v>
      </c>
      <c r="BL1124" s="2">
        <v>7.3</v>
      </c>
      <c r="BM1124" s="2">
        <v>0.9</v>
      </c>
      <c r="BN1124" s="2">
        <v>7.5</v>
      </c>
      <c r="BO1124" s="2">
        <v>2.9</v>
      </c>
      <c r="BP1124" s="2">
        <f t="shared" si="34"/>
        <v>5.7773109073937849</v>
      </c>
      <c r="BQ1124" s="2">
        <f t="shared" si="35"/>
        <v>18.387977441778904</v>
      </c>
    </row>
    <row r="1125" spans="1:69" x14ac:dyDescent="0.2">
      <c r="A1125" s="2" t="s">
        <v>3935</v>
      </c>
      <c r="B1125" s="2" t="s">
        <v>47</v>
      </c>
      <c r="C1125" s="2" t="s">
        <v>3273</v>
      </c>
      <c r="D1125" s="2" t="s">
        <v>49</v>
      </c>
      <c r="E1125" s="2" t="s">
        <v>2500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89</v>
      </c>
      <c r="L1125" s="6" t="s">
        <v>90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3936</v>
      </c>
      <c r="R1125" s="2">
        <v>20422403</v>
      </c>
      <c r="S1125" s="2">
        <v>0</v>
      </c>
      <c r="T1125" s="2" t="s">
        <v>54</v>
      </c>
      <c r="U1125" s="2" t="s">
        <v>55</v>
      </c>
      <c r="V1125" s="2" t="s">
        <v>56</v>
      </c>
      <c r="W1125" s="2" t="s">
        <v>57</v>
      </c>
      <c r="X1125" s="2" t="s">
        <v>58</v>
      </c>
      <c r="Y1125" s="2">
        <v>2.5467879479722999</v>
      </c>
      <c r="Z1125" s="2">
        <v>2546.7879479723001</v>
      </c>
      <c r="AA1125" s="2">
        <v>4.6584666666666701</v>
      </c>
      <c r="AB1125" s="2">
        <v>-74.083966666666697</v>
      </c>
      <c r="AC1125" s="2">
        <v>2552</v>
      </c>
      <c r="AD1125" s="2">
        <v>0</v>
      </c>
      <c r="AE1125" s="2" t="s">
        <v>59</v>
      </c>
      <c r="AF1125" s="2" t="s">
        <v>60</v>
      </c>
      <c r="AG1125" s="2" t="s">
        <v>61</v>
      </c>
      <c r="AH1125" s="2" t="s">
        <v>62</v>
      </c>
      <c r="AI1125" s="2" t="s">
        <v>321</v>
      </c>
      <c r="AJ1125" s="2">
        <v>0.136890712308541</v>
      </c>
      <c r="AK1125" s="2">
        <v>2.3076183359975002</v>
      </c>
      <c r="AL1125" s="2">
        <v>0.80888925508398402</v>
      </c>
      <c r="AM1125" s="2">
        <v>0.12815544697217901</v>
      </c>
      <c r="AN1125" s="2">
        <v>1.89867080334959</v>
      </c>
      <c r="AO1125" s="2">
        <v>4.7779363435587897E-2</v>
      </c>
      <c r="AP1125" s="2">
        <v>4.7779363435587897E-2</v>
      </c>
      <c r="AQ1125" s="2">
        <v>2</v>
      </c>
      <c r="AR1125" s="2">
        <v>9</v>
      </c>
      <c r="AS1125" s="2">
        <v>0</v>
      </c>
      <c r="AT1125" s="2">
        <v>0</v>
      </c>
      <c r="AU1125" s="2">
        <v>4</v>
      </c>
      <c r="AV1125" s="2">
        <v>230</v>
      </c>
      <c r="AW1125" s="2">
        <v>0</v>
      </c>
      <c r="AX1125" s="2">
        <v>0</v>
      </c>
      <c r="AZ1125" s="2">
        <v>6.8</v>
      </c>
      <c r="BA1125" s="2">
        <v>19.899999999999999</v>
      </c>
      <c r="BB1125" s="2">
        <v>564</v>
      </c>
      <c r="BC1125" s="2">
        <v>68</v>
      </c>
      <c r="BD1125" s="2">
        <v>1.5</v>
      </c>
      <c r="BE1125" s="2">
        <v>135</v>
      </c>
      <c r="BF1125" s="2">
        <v>0.8</v>
      </c>
      <c r="BG1125" s="2">
        <v>162</v>
      </c>
      <c r="BH1125" s="2">
        <v>9.1</v>
      </c>
      <c r="BI1125" s="2">
        <v>9.1999999999999993</v>
      </c>
      <c r="BJ1125" s="2">
        <v>18.3</v>
      </c>
      <c r="BK1125" s="2">
        <v>0.34</v>
      </c>
      <c r="BL1125" s="2">
        <v>7.3</v>
      </c>
      <c r="BM1125" s="2">
        <v>0.9</v>
      </c>
      <c r="BN1125" s="2">
        <v>7.5</v>
      </c>
      <c r="BO1125" s="2">
        <v>2.9</v>
      </c>
      <c r="BP1125" s="2">
        <f t="shared" si="34"/>
        <v>5.9945852819115446</v>
      </c>
      <c r="BQ1125" s="2">
        <f t="shared" si="35"/>
        <v>18.720081430860446</v>
      </c>
    </row>
    <row r="1126" spans="1:69" x14ac:dyDescent="0.2">
      <c r="A1126" s="2" t="s">
        <v>3721</v>
      </c>
      <c r="B1126" s="2" t="s">
        <v>47</v>
      </c>
      <c r="C1126" s="2" t="s">
        <v>3273</v>
      </c>
      <c r="D1126" s="2" t="s">
        <v>49</v>
      </c>
      <c r="E1126" s="2" t="s">
        <v>1270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89</v>
      </c>
      <c r="L1126" s="6" t="s">
        <v>141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3722</v>
      </c>
      <c r="R1126" s="2">
        <v>7178683.3859999999</v>
      </c>
      <c r="S1126" s="2">
        <v>0</v>
      </c>
      <c r="T1126" s="2" t="s">
        <v>105</v>
      </c>
      <c r="U1126" s="2" t="s">
        <v>106</v>
      </c>
      <c r="V1126" s="2" t="s">
        <v>56</v>
      </c>
      <c r="W1126" s="2" t="s">
        <v>107</v>
      </c>
      <c r="X1126" s="2" t="s">
        <v>108</v>
      </c>
      <c r="Y1126" s="2">
        <v>2.00630719727027</v>
      </c>
      <c r="Z1126" s="2">
        <v>2006.3071972702701</v>
      </c>
      <c r="AA1126" s="2">
        <v>4.6254861111111101</v>
      </c>
      <c r="AB1126" s="2">
        <v>-74.066980555555503</v>
      </c>
      <c r="AC1126" s="2">
        <v>2621</v>
      </c>
      <c r="AD1126" s="2">
        <v>15</v>
      </c>
      <c r="AE1126" s="2" t="s">
        <v>59</v>
      </c>
      <c r="AF1126" s="2" t="s">
        <v>60</v>
      </c>
      <c r="AG1126" s="2" t="s">
        <v>61</v>
      </c>
      <c r="AH1126" s="2" t="s">
        <v>62</v>
      </c>
      <c r="AI1126" s="2" t="s">
        <v>109</v>
      </c>
      <c r="AJ1126" s="2">
        <v>0.50619618253462195</v>
      </c>
      <c r="AK1126" s="2">
        <v>0.45419633031405299</v>
      </c>
      <c r="AL1126" s="2">
        <v>0.27258428034149701</v>
      </c>
      <c r="AM1126" s="2">
        <v>7.4205803909910203E-2</v>
      </c>
      <c r="AN1126" s="2">
        <v>0.33814105665469602</v>
      </c>
      <c r="AO1126" s="2">
        <v>0.13206654655363501</v>
      </c>
      <c r="AP1126" s="2">
        <v>0.13206654655363501</v>
      </c>
      <c r="AQ1126" s="2">
        <v>0</v>
      </c>
      <c r="AR1126" s="2">
        <v>4</v>
      </c>
      <c r="AS1126" s="2">
        <v>3</v>
      </c>
      <c r="AT1126" s="2">
        <v>27</v>
      </c>
      <c r="AU1126" s="2">
        <v>8</v>
      </c>
      <c r="AV1126" s="2">
        <v>128</v>
      </c>
      <c r="AW1126" s="2">
        <v>1</v>
      </c>
      <c r="AX1126" s="2">
        <v>0</v>
      </c>
      <c r="AZ1126" s="2">
        <v>6.8</v>
      </c>
      <c r="BA1126" s="2">
        <v>19.899999999999999</v>
      </c>
      <c r="BB1126" s="2">
        <v>564</v>
      </c>
      <c r="BC1126" s="2">
        <v>68</v>
      </c>
      <c r="BD1126" s="2">
        <v>1.5</v>
      </c>
      <c r="BE1126" s="2">
        <v>135</v>
      </c>
      <c r="BF1126" s="2">
        <v>0.8</v>
      </c>
      <c r="BG1126" s="2">
        <v>162</v>
      </c>
      <c r="BH1126" s="2">
        <v>9.1</v>
      </c>
      <c r="BI1126" s="2">
        <v>9.1999999999999993</v>
      </c>
      <c r="BJ1126" s="2">
        <v>18.3</v>
      </c>
      <c r="BK1126" s="2">
        <v>0.34</v>
      </c>
      <c r="BL1126" s="2">
        <v>7.3</v>
      </c>
      <c r="BM1126" s="2">
        <v>0.9</v>
      </c>
      <c r="BN1126" s="2">
        <v>7.5</v>
      </c>
      <c r="BO1126" s="2">
        <v>2.9</v>
      </c>
      <c r="BP1126" s="2">
        <f t="shared" si="34"/>
        <v>6.157127820573562</v>
      </c>
      <c r="BQ1126" s="2">
        <f t="shared" si="35"/>
        <v>18.964491438630791</v>
      </c>
    </row>
    <row r="1127" spans="1:69" x14ac:dyDescent="0.2">
      <c r="A1127" s="2" t="s">
        <v>1624</v>
      </c>
      <c r="B1127" s="2" t="s">
        <v>47</v>
      </c>
      <c r="C1127" s="2" t="s">
        <v>48</v>
      </c>
      <c r="D1127" s="2" t="s">
        <v>49</v>
      </c>
      <c r="E1127" s="2" t="s">
        <v>1625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51</v>
      </c>
      <c r="L1127" s="6" t="s">
        <v>52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1626</v>
      </c>
      <c r="R1127" s="2">
        <v>17384404.379999999</v>
      </c>
      <c r="S1127" s="2">
        <v>0</v>
      </c>
      <c r="T1127" s="2" t="s">
        <v>105</v>
      </c>
      <c r="U1127" s="2" t="s">
        <v>106</v>
      </c>
      <c r="V1127" s="2" t="s">
        <v>56</v>
      </c>
      <c r="W1127" s="2" t="s">
        <v>107</v>
      </c>
      <c r="X1127" s="2" t="s">
        <v>108</v>
      </c>
      <c r="Y1127" s="2">
        <v>1.32679531356876</v>
      </c>
      <c r="Z1127" s="2">
        <v>1326.7953135687601</v>
      </c>
      <c r="AA1127" s="2">
        <v>4.6254861111111101</v>
      </c>
      <c r="AB1127" s="2">
        <v>-74.066980555555503</v>
      </c>
      <c r="AC1127" s="2">
        <v>2621</v>
      </c>
      <c r="AD1127" s="2">
        <v>15</v>
      </c>
      <c r="AE1127" s="2" t="s">
        <v>59</v>
      </c>
      <c r="AF1127" s="2" t="s">
        <v>60</v>
      </c>
      <c r="AG1127" s="2" t="s">
        <v>61</v>
      </c>
      <c r="AH1127" s="2" t="s">
        <v>62</v>
      </c>
      <c r="AI1127" s="2" t="s">
        <v>117</v>
      </c>
      <c r="AJ1127" s="2">
        <v>0.226279498155146</v>
      </c>
      <c r="AK1127" s="2">
        <v>0.45713466067730502</v>
      </c>
      <c r="AL1127" s="2">
        <v>0.17650917730728399</v>
      </c>
      <c r="AM1127" s="2">
        <v>0.12835911917661399</v>
      </c>
      <c r="AN1127" s="2">
        <v>0.25897344103646802</v>
      </c>
      <c r="AO1127" s="2">
        <v>0.104731044684612</v>
      </c>
      <c r="AP1127" s="2">
        <v>0.104731044684612</v>
      </c>
      <c r="AQ1127" s="2">
        <v>2</v>
      </c>
      <c r="AR1127" s="2">
        <v>6</v>
      </c>
      <c r="AS1127" s="2">
        <v>1</v>
      </c>
      <c r="AT1127" s="2">
        <v>23</v>
      </c>
      <c r="AU1127" s="2">
        <v>10</v>
      </c>
      <c r="AV1127" s="2">
        <v>39</v>
      </c>
      <c r="AW1127" s="2">
        <v>1</v>
      </c>
      <c r="AX1127" s="2">
        <v>4</v>
      </c>
      <c r="AZ1127" s="2">
        <v>6.8</v>
      </c>
      <c r="BA1127" s="2">
        <v>19.899999999999999</v>
      </c>
      <c r="BB1127" s="2">
        <v>564</v>
      </c>
      <c r="BC1127" s="2">
        <v>68</v>
      </c>
      <c r="BD1127" s="2">
        <v>1.5</v>
      </c>
      <c r="BE1127" s="2">
        <v>135</v>
      </c>
      <c r="BF1127" s="2">
        <v>0.8</v>
      </c>
      <c r="BG1127" s="2">
        <v>162</v>
      </c>
      <c r="BH1127" s="2">
        <v>9.1</v>
      </c>
      <c r="BI1127" s="2">
        <v>9.1999999999999993</v>
      </c>
      <c r="BJ1127" s="2">
        <v>18.3</v>
      </c>
      <c r="BK1127" s="2">
        <v>0.34</v>
      </c>
      <c r="BL1127" s="2">
        <v>7.3</v>
      </c>
      <c r="BM1127" s="2">
        <v>0.9</v>
      </c>
      <c r="BN1127" s="2">
        <v>7.5</v>
      </c>
      <c r="BO1127" s="2">
        <v>2.9</v>
      </c>
      <c r="BP1127" s="2">
        <f t="shared" si="34"/>
        <v>6.3677503513911882</v>
      </c>
      <c r="BQ1127" s="2">
        <f t="shared" si="35"/>
        <v>19.276305438865162</v>
      </c>
    </row>
    <row r="1128" spans="1:69" x14ac:dyDescent="0.2">
      <c r="A1128" s="2" t="s">
        <v>1726</v>
      </c>
      <c r="B1128" s="2" t="s">
        <v>47</v>
      </c>
      <c r="C1128" s="2" t="s">
        <v>48</v>
      </c>
      <c r="D1128" s="2" t="s">
        <v>49</v>
      </c>
      <c r="E1128" s="2" t="s">
        <v>1509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51</v>
      </c>
      <c r="L1128" s="6" t="s">
        <v>52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1727</v>
      </c>
      <c r="R1128" s="2">
        <v>10730267.779999999</v>
      </c>
      <c r="S1128" s="2">
        <v>0</v>
      </c>
      <c r="T1128" s="2" t="s">
        <v>105</v>
      </c>
      <c r="U1128" s="2" t="s">
        <v>106</v>
      </c>
      <c r="V1128" s="2" t="s">
        <v>56</v>
      </c>
      <c r="W1128" s="2" t="s">
        <v>107</v>
      </c>
      <c r="X1128" s="2" t="s">
        <v>108</v>
      </c>
      <c r="Y1128" s="2">
        <v>0.477297678444431</v>
      </c>
      <c r="Z1128" s="2">
        <v>477.29767844443103</v>
      </c>
      <c r="AA1128" s="2">
        <v>4.6254861111111101</v>
      </c>
      <c r="AB1128" s="2">
        <v>-74.066980555555503</v>
      </c>
      <c r="AC1128" s="2">
        <v>2621</v>
      </c>
      <c r="AD1128" s="2">
        <v>15</v>
      </c>
      <c r="AE1128" s="2" t="s">
        <v>59</v>
      </c>
      <c r="AF1128" s="2" t="s">
        <v>60</v>
      </c>
      <c r="AG1128" s="2" t="s">
        <v>61</v>
      </c>
      <c r="AH1128" s="2" t="s">
        <v>62</v>
      </c>
      <c r="AI1128" s="2" t="s">
        <v>117</v>
      </c>
      <c r="AJ1128" s="2">
        <v>5.6142650139799702E-2</v>
      </c>
      <c r="AK1128" s="2">
        <v>0.90372310585985105</v>
      </c>
      <c r="AL1128" s="2">
        <v>0.22218264720956099</v>
      </c>
      <c r="AM1128" s="2">
        <v>4.7684081077489601E-2</v>
      </c>
      <c r="AN1128" s="2">
        <v>0.68763354418564704</v>
      </c>
      <c r="AO1128" s="2">
        <v>0.19304280251591199</v>
      </c>
      <c r="AP1128" s="2">
        <v>0.19304280251591199</v>
      </c>
      <c r="AQ1128" s="2">
        <v>2</v>
      </c>
      <c r="AR1128" s="2">
        <v>6</v>
      </c>
      <c r="AS1128" s="2">
        <v>0</v>
      </c>
      <c r="AT1128" s="2">
        <v>3</v>
      </c>
      <c r="AU1128" s="2">
        <v>18</v>
      </c>
      <c r="AV1128" s="2">
        <v>98</v>
      </c>
      <c r="AW1128" s="2">
        <v>2</v>
      </c>
      <c r="AX1128" s="2">
        <v>1</v>
      </c>
      <c r="AZ1128" s="2">
        <v>6.8</v>
      </c>
      <c r="BA1128" s="2">
        <v>19.899999999999999</v>
      </c>
      <c r="BB1128" s="2">
        <v>564</v>
      </c>
      <c r="BC1128" s="2">
        <v>68</v>
      </c>
      <c r="BD1128" s="2">
        <v>1.5</v>
      </c>
      <c r="BE1128" s="2">
        <v>135</v>
      </c>
      <c r="BF1128" s="2">
        <v>0.8</v>
      </c>
      <c r="BG1128" s="2">
        <v>162</v>
      </c>
      <c r="BH1128" s="2">
        <v>9.1</v>
      </c>
      <c r="BI1128" s="2">
        <v>9.1999999999999993</v>
      </c>
      <c r="BJ1128" s="2">
        <v>18.3</v>
      </c>
      <c r="BK1128" s="2">
        <v>0.34</v>
      </c>
      <c r="BL1128" s="2">
        <v>7.3</v>
      </c>
      <c r="BM1128" s="2">
        <v>0.9</v>
      </c>
      <c r="BN1128" s="2">
        <v>7.5</v>
      </c>
      <c r="BO1128" s="2">
        <v>2.9</v>
      </c>
      <c r="BP1128" s="2">
        <f t="shared" si="34"/>
        <v>6.6412246192899369</v>
      </c>
      <c r="BQ1128" s="2">
        <f t="shared" si="35"/>
        <v>19.673343299868097</v>
      </c>
    </row>
    <row r="1129" spans="1:69" x14ac:dyDescent="0.2">
      <c r="A1129" s="2" t="s">
        <v>4018</v>
      </c>
      <c r="B1129" s="2" t="s">
        <v>47</v>
      </c>
      <c r="C1129" s="2" t="s">
        <v>3273</v>
      </c>
      <c r="D1129" s="2" t="s">
        <v>49</v>
      </c>
      <c r="E1129" s="2" t="s">
        <v>1899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89</v>
      </c>
      <c r="L1129" s="6" t="s">
        <v>141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4019</v>
      </c>
      <c r="R1129" s="2">
        <v>7124762.5080000004</v>
      </c>
      <c r="S1129" s="2">
        <v>0</v>
      </c>
      <c r="T1129" s="2" t="s">
        <v>54</v>
      </c>
      <c r="U1129" s="2" t="s">
        <v>55</v>
      </c>
      <c r="V1129" s="2" t="s">
        <v>56</v>
      </c>
      <c r="W1129" s="2" t="s">
        <v>57</v>
      </c>
      <c r="X1129" s="2" t="s">
        <v>58</v>
      </c>
      <c r="Y1129" s="2">
        <v>2.0281911835751698</v>
      </c>
      <c r="Z1129" s="2">
        <v>2028.19118357517</v>
      </c>
      <c r="AA1129" s="2">
        <v>4.6584666666666701</v>
      </c>
      <c r="AB1129" s="2">
        <v>-74.083966666666697</v>
      </c>
      <c r="AC1129" s="2">
        <v>2552</v>
      </c>
      <c r="AD1129" s="2">
        <v>0</v>
      </c>
      <c r="AE1129" s="2" t="s">
        <v>59</v>
      </c>
      <c r="AF1129" s="2" t="s">
        <v>60</v>
      </c>
      <c r="AG1129" s="2" t="s">
        <v>61</v>
      </c>
      <c r="AH1129" s="2" t="s">
        <v>62</v>
      </c>
      <c r="AI1129" s="2" t="s">
        <v>63</v>
      </c>
      <c r="AJ1129" s="2">
        <v>0.465369071257622</v>
      </c>
      <c r="AK1129" s="2">
        <v>2.03966244712886</v>
      </c>
      <c r="AL1129" s="2">
        <v>0.37136443353009202</v>
      </c>
      <c r="AM1129" s="2">
        <v>2.3076064064063401E-2</v>
      </c>
      <c r="AN1129" s="2">
        <v>1.92257034379986</v>
      </c>
      <c r="AO1129" s="2">
        <v>0.644093614505034</v>
      </c>
      <c r="AP1129" s="2">
        <v>0.644093614505034</v>
      </c>
      <c r="AQ1129" s="2">
        <v>1</v>
      </c>
      <c r="AR1129" s="2">
        <v>3</v>
      </c>
      <c r="AS1129" s="2">
        <v>0</v>
      </c>
      <c r="AT1129" s="2">
        <v>0</v>
      </c>
      <c r="AU1129" s="2">
        <v>4</v>
      </c>
      <c r="AV1129" s="2">
        <v>98</v>
      </c>
      <c r="AW1129" s="2">
        <v>0</v>
      </c>
      <c r="AX1129" s="2">
        <v>0</v>
      </c>
      <c r="AZ1129" s="2">
        <v>6.8</v>
      </c>
      <c r="BA1129" s="2">
        <v>19.899999999999999</v>
      </c>
      <c r="BB1129" s="2">
        <v>564</v>
      </c>
      <c r="BC1129" s="2">
        <v>68</v>
      </c>
      <c r="BD1129" s="2">
        <v>1.5</v>
      </c>
      <c r="BE1129" s="2">
        <v>135</v>
      </c>
      <c r="BF1129" s="2">
        <v>0.8</v>
      </c>
      <c r="BG1129" s="2">
        <v>162</v>
      </c>
      <c r="BH1129" s="2">
        <v>9.1</v>
      </c>
      <c r="BI1129" s="2">
        <v>9.1999999999999993</v>
      </c>
      <c r="BJ1129" s="2">
        <v>18.3</v>
      </c>
      <c r="BK1129" s="2">
        <v>0.34</v>
      </c>
      <c r="BL1129" s="2">
        <v>7.3</v>
      </c>
      <c r="BM1129" s="2">
        <v>0.9</v>
      </c>
      <c r="BN1129" s="2">
        <v>7.5</v>
      </c>
      <c r="BO1129" s="2">
        <v>2.9</v>
      </c>
      <c r="BP1129" s="2">
        <f t="shared" si="34"/>
        <v>6.1504616780046035</v>
      </c>
      <c r="BQ1129" s="2">
        <f t="shared" si="35"/>
        <v>18.954533605762496</v>
      </c>
    </row>
    <row r="1130" spans="1:69" x14ac:dyDescent="0.2">
      <c r="A1130" s="2" t="s">
        <v>4103</v>
      </c>
      <c r="B1130" s="2" t="s">
        <v>47</v>
      </c>
      <c r="C1130" s="2" t="s">
        <v>3273</v>
      </c>
      <c r="D1130" s="2" t="s">
        <v>49</v>
      </c>
      <c r="E1130" s="2" t="s">
        <v>1270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89</v>
      </c>
      <c r="L1130" s="6" t="s">
        <v>141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4104</v>
      </c>
      <c r="R1130" s="2">
        <v>11000000</v>
      </c>
      <c r="S1130" s="2">
        <v>0</v>
      </c>
      <c r="T1130" s="2" t="s">
        <v>105</v>
      </c>
      <c r="U1130" s="2" t="s">
        <v>106</v>
      </c>
      <c r="V1130" s="2" t="s">
        <v>56</v>
      </c>
      <c r="W1130" s="2" t="s">
        <v>107</v>
      </c>
      <c r="X1130" s="2" t="s">
        <v>108</v>
      </c>
      <c r="Y1130" s="2">
        <v>2.57826800060251</v>
      </c>
      <c r="Z1130" s="2">
        <v>2578.2680006025098</v>
      </c>
      <c r="AA1130" s="2">
        <v>4.6254861111111101</v>
      </c>
      <c r="AB1130" s="2">
        <v>-74.066980555555503</v>
      </c>
      <c r="AC1130" s="2">
        <v>2621</v>
      </c>
      <c r="AD1130" s="2">
        <v>15</v>
      </c>
      <c r="AE1130" s="2" t="s">
        <v>59</v>
      </c>
      <c r="AF1130" s="2" t="s">
        <v>60</v>
      </c>
      <c r="AG1130" s="2" t="s">
        <v>61</v>
      </c>
      <c r="AH1130" s="2" t="s">
        <v>62</v>
      </c>
      <c r="AI1130" s="2" t="s">
        <v>109</v>
      </c>
      <c r="AJ1130" s="2">
        <v>0.56849067648222895</v>
      </c>
      <c r="AK1130" s="2">
        <v>0.73734148311672199</v>
      </c>
      <c r="AL1130" s="2">
        <v>0.192841274729603</v>
      </c>
      <c r="AM1130" s="2">
        <v>0.16255868724338701</v>
      </c>
      <c r="AN1130" s="2">
        <v>0.67180115101908999</v>
      </c>
      <c r="AO1130" s="2">
        <v>0.25058642058473601</v>
      </c>
      <c r="AP1130" s="2">
        <v>0.25058642058473601</v>
      </c>
      <c r="AQ1130" s="2">
        <v>0</v>
      </c>
      <c r="AR1130" s="2">
        <v>3</v>
      </c>
      <c r="AS1130" s="2">
        <v>0</v>
      </c>
      <c r="AT1130" s="2">
        <v>16</v>
      </c>
      <c r="AU1130" s="2">
        <v>13</v>
      </c>
      <c r="AV1130" s="2">
        <v>72</v>
      </c>
      <c r="AW1130" s="2">
        <v>1</v>
      </c>
      <c r="AX1130" s="2">
        <v>0</v>
      </c>
      <c r="AZ1130" s="2">
        <v>6.8</v>
      </c>
      <c r="BA1130" s="2">
        <v>19.899999999999999</v>
      </c>
      <c r="BB1130" s="2">
        <v>564</v>
      </c>
      <c r="BC1130" s="2">
        <v>68</v>
      </c>
      <c r="BD1130" s="2">
        <v>1.5</v>
      </c>
      <c r="BE1130" s="2">
        <v>135</v>
      </c>
      <c r="BF1130" s="2">
        <v>0.8</v>
      </c>
      <c r="BG1130" s="2">
        <v>162</v>
      </c>
      <c r="BH1130" s="2">
        <v>9.1</v>
      </c>
      <c r="BI1130" s="2">
        <v>9.1999999999999993</v>
      </c>
      <c r="BJ1130" s="2">
        <v>18.3</v>
      </c>
      <c r="BK1130" s="2">
        <v>0.34</v>
      </c>
      <c r="BL1130" s="2">
        <v>7.3</v>
      </c>
      <c r="BM1130" s="2">
        <v>0.9</v>
      </c>
      <c r="BN1130" s="2">
        <v>7.5</v>
      </c>
      <c r="BO1130" s="2">
        <v>2.9</v>
      </c>
      <c r="BP1130" s="2">
        <f t="shared" si="34"/>
        <v>5.9852514180273069</v>
      </c>
      <c r="BQ1130" s="2">
        <f t="shared" si="35"/>
        <v>18.705943352773822</v>
      </c>
    </row>
    <row r="1131" spans="1:69" x14ac:dyDescent="0.2">
      <c r="A1131" s="2" t="s">
        <v>4000</v>
      </c>
      <c r="B1131" s="2" t="s">
        <v>47</v>
      </c>
      <c r="C1131" s="2" t="s">
        <v>3273</v>
      </c>
      <c r="D1131" s="2" t="s">
        <v>49</v>
      </c>
      <c r="E1131" s="2" t="s">
        <v>3897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89</v>
      </c>
      <c r="L1131" s="6" t="s">
        <v>90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4001</v>
      </c>
      <c r="R1131" s="2">
        <v>9818875.1190000009</v>
      </c>
      <c r="S1131" s="2">
        <v>0</v>
      </c>
      <c r="T1131" s="2" t="s">
        <v>105</v>
      </c>
      <c r="U1131" s="2" t="s">
        <v>106</v>
      </c>
      <c r="V1131" s="2" t="s">
        <v>56</v>
      </c>
      <c r="W1131" s="2" t="s">
        <v>107</v>
      </c>
      <c r="X1131" s="2" t="s">
        <v>108</v>
      </c>
      <c r="Y1131" s="2">
        <v>1.8032820478801099</v>
      </c>
      <c r="Z1131" s="2">
        <v>1803.28204788011</v>
      </c>
      <c r="AA1131" s="2">
        <v>4.6254861111111101</v>
      </c>
      <c r="AB1131" s="2">
        <v>-74.066980555555503</v>
      </c>
      <c r="AC1131" s="2">
        <v>2621</v>
      </c>
      <c r="AD1131" s="2">
        <v>15</v>
      </c>
      <c r="AE1131" s="2" t="s">
        <v>59</v>
      </c>
      <c r="AF1131" s="2" t="s">
        <v>60</v>
      </c>
      <c r="AG1131" s="2" t="s">
        <v>61</v>
      </c>
      <c r="AH1131" s="2" t="s">
        <v>62</v>
      </c>
      <c r="AI1131" s="2" t="s">
        <v>63</v>
      </c>
      <c r="AJ1131" s="2">
        <v>0.73982396616865598</v>
      </c>
      <c r="AK1131" s="2">
        <v>1.61363396553261</v>
      </c>
      <c r="AL1131" s="2">
        <v>6.3616362337869603E-2</v>
      </c>
      <c r="AM1131" s="2">
        <v>9.3025974772218203E-2</v>
      </c>
      <c r="AN1131" s="2">
        <v>1.59125488242741</v>
      </c>
      <c r="AO1131" s="2">
        <v>0.29193096675896901</v>
      </c>
      <c r="AP1131" s="2">
        <v>0.29193096675896901</v>
      </c>
      <c r="AQ1131" s="2">
        <v>0</v>
      </c>
      <c r="AR1131" s="2">
        <v>5</v>
      </c>
      <c r="AS1131" s="2">
        <v>0</v>
      </c>
      <c r="AT1131" s="2">
        <v>0</v>
      </c>
      <c r="AU1131" s="2">
        <v>8</v>
      </c>
      <c r="AV1131" s="2">
        <v>149</v>
      </c>
      <c r="AW1131" s="2">
        <v>0</v>
      </c>
      <c r="AX1131" s="2">
        <v>0</v>
      </c>
      <c r="AZ1131" s="2">
        <v>6.8</v>
      </c>
      <c r="BA1131" s="2">
        <v>19.899999999999999</v>
      </c>
      <c r="BB1131" s="2">
        <v>564</v>
      </c>
      <c r="BC1131" s="2">
        <v>68</v>
      </c>
      <c r="BD1131" s="2">
        <v>1.5</v>
      </c>
      <c r="BE1131" s="2">
        <v>135</v>
      </c>
      <c r="BF1131" s="2">
        <v>0.8</v>
      </c>
      <c r="BG1131" s="2">
        <v>162</v>
      </c>
      <c r="BH1131" s="2">
        <v>9.1</v>
      </c>
      <c r="BI1131" s="2">
        <v>9.1999999999999993</v>
      </c>
      <c r="BJ1131" s="2">
        <v>18.3</v>
      </c>
      <c r="BK1131" s="2">
        <v>0.34</v>
      </c>
      <c r="BL1131" s="2">
        <v>7.3</v>
      </c>
      <c r="BM1131" s="2">
        <v>0.9</v>
      </c>
      <c r="BN1131" s="2">
        <v>7.5</v>
      </c>
      <c r="BO1131" s="2">
        <v>2.9</v>
      </c>
      <c r="BP1131" s="2">
        <f t="shared" si="34"/>
        <v>6.2193173555216728</v>
      </c>
      <c r="BQ1131" s="2">
        <f t="shared" si="35"/>
        <v>19.057123383708838</v>
      </c>
    </row>
    <row r="1132" spans="1:69" x14ac:dyDescent="0.2">
      <c r="A1132" s="2" t="s">
        <v>3454</v>
      </c>
      <c r="B1132" s="2" t="s">
        <v>47</v>
      </c>
      <c r="C1132" s="2" t="s">
        <v>3273</v>
      </c>
      <c r="D1132" s="2" t="s">
        <v>49</v>
      </c>
      <c r="E1132" s="2" t="s">
        <v>63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89</v>
      </c>
      <c r="L1132" s="6" t="s">
        <v>90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3455</v>
      </c>
      <c r="R1132" s="2">
        <v>10953608.25</v>
      </c>
      <c r="S1132" s="2">
        <v>0</v>
      </c>
      <c r="T1132" s="2" t="s">
        <v>105</v>
      </c>
      <c r="U1132" s="2" t="s">
        <v>106</v>
      </c>
      <c r="V1132" s="2" t="s">
        <v>56</v>
      </c>
      <c r="W1132" s="2" t="s">
        <v>107</v>
      </c>
      <c r="X1132" s="2" t="s">
        <v>108</v>
      </c>
      <c r="Y1132" s="2">
        <v>0.472206833127507</v>
      </c>
      <c r="Z1132" s="2">
        <v>472.20683312750702</v>
      </c>
      <c r="AA1132" s="2">
        <v>4.6254861111111101</v>
      </c>
      <c r="AB1132" s="2">
        <v>-74.066980555555503</v>
      </c>
      <c r="AC1132" s="2">
        <v>2621</v>
      </c>
      <c r="AD1132" s="2">
        <v>15</v>
      </c>
      <c r="AE1132" s="2" t="s">
        <v>59</v>
      </c>
      <c r="AF1132" s="2" t="s">
        <v>60</v>
      </c>
      <c r="AG1132" s="2" t="s">
        <v>61</v>
      </c>
      <c r="AH1132" s="2" t="s">
        <v>62</v>
      </c>
      <c r="AI1132" s="2" t="s">
        <v>63</v>
      </c>
      <c r="AJ1132" s="2">
        <v>7.0476233731438104E-2</v>
      </c>
      <c r="AK1132" s="2">
        <v>0.94799266565209706</v>
      </c>
      <c r="AL1132" s="2">
        <v>0.16802881298367001</v>
      </c>
      <c r="AM1132" s="2">
        <v>3.6351316412109397E-2</v>
      </c>
      <c r="AN1132" s="2">
        <v>0.67487221214827398</v>
      </c>
      <c r="AO1132" s="2">
        <v>0.19510673271340701</v>
      </c>
      <c r="AP1132" s="2">
        <v>0.19510673271340701</v>
      </c>
      <c r="AQ1132" s="2">
        <v>2</v>
      </c>
      <c r="AR1132" s="2">
        <v>6</v>
      </c>
      <c r="AS1132" s="2">
        <v>0</v>
      </c>
      <c r="AT1132" s="2">
        <v>3</v>
      </c>
      <c r="AU1132" s="2">
        <v>18</v>
      </c>
      <c r="AV1132" s="2">
        <v>99</v>
      </c>
      <c r="AW1132" s="2">
        <v>2</v>
      </c>
      <c r="AX1132" s="2">
        <v>1</v>
      </c>
      <c r="AZ1132" s="2">
        <v>6.8</v>
      </c>
      <c r="BA1132" s="2">
        <v>19.899999999999999</v>
      </c>
      <c r="BB1132" s="2">
        <v>564</v>
      </c>
      <c r="BC1132" s="2">
        <v>68</v>
      </c>
      <c r="BD1132" s="2">
        <v>1.5</v>
      </c>
      <c r="BE1132" s="2">
        <v>135</v>
      </c>
      <c r="BF1132" s="2">
        <v>0.8</v>
      </c>
      <c r="BG1132" s="2">
        <v>162</v>
      </c>
      <c r="BH1132" s="2">
        <v>9.1</v>
      </c>
      <c r="BI1132" s="2">
        <v>9.1999999999999993</v>
      </c>
      <c r="BJ1132" s="2">
        <v>18.3</v>
      </c>
      <c r="BK1132" s="2">
        <v>0.34</v>
      </c>
      <c r="BL1132" s="2">
        <v>7.3</v>
      </c>
      <c r="BM1132" s="2">
        <v>0.9</v>
      </c>
      <c r="BN1132" s="2">
        <v>7.5</v>
      </c>
      <c r="BO1132" s="2">
        <v>2.9</v>
      </c>
      <c r="BP1132" s="2">
        <f t="shared" si="34"/>
        <v>6.6428983978134939</v>
      </c>
      <c r="BQ1132" s="2">
        <f t="shared" si="35"/>
        <v>19.67574714145869</v>
      </c>
    </row>
    <row r="1133" spans="1:69" x14ac:dyDescent="0.2">
      <c r="A1133" s="2" t="s">
        <v>3471</v>
      </c>
      <c r="B1133" s="2" t="s">
        <v>47</v>
      </c>
      <c r="C1133" s="2" t="s">
        <v>3273</v>
      </c>
      <c r="D1133" s="2" t="s">
        <v>49</v>
      </c>
      <c r="E1133" s="2" t="s">
        <v>115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89</v>
      </c>
      <c r="L1133" s="6" t="s">
        <v>90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3472</v>
      </c>
      <c r="R1133" s="2">
        <v>10148195.880000001</v>
      </c>
      <c r="S1133" s="2">
        <v>0</v>
      </c>
      <c r="T1133" s="2" t="s">
        <v>105</v>
      </c>
      <c r="U1133" s="2" t="s">
        <v>106</v>
      </c>
      <c r="V1133" s="2" t="s">
        <v>56</v>
      </c>
      <c r="W1133" s="2" t="s">
        <v>107</v>
      </c>
      <c r="X1133" s="2" t="s">
        <v>108</v>
      </c>
      <c r="Y1133" s="2">
        <v>0.65014241261012795</v>
      </c>
      <c r="Z1133" s="2">
        <v>650.14241261012796</v>
      </c>
      <c r="AA1133" s="2">
        <v>4.6254861111111101</v>
      </c>
      <c r="AB1133" s="2">
        <v>-74.066980555555503</v>
      </c>
      <c r="AC1133" s="2">
        <v>2621</v>
      </c>
      <c r="AD1133" s="2">
        <v>15</v>
      </c>
      <c r="AE1133" s="2" t="s">
        <v>59</v>
      </c>
      <c r="AF1133" s="2" t="s">
        <v>60</v>
      </c>
      <c r="AG1133" s="2" t="s">
        <v>61</v>
      </c>
      <c r="AH1133" s="2" t="s">
        <v>62</v>
      </c>
      <c r="AI1133" s="2" t="s">
        <v>117</v>
      </c>
      <c r="AJ1133" s="2">
        <v>0.13720579165720401</v>
      </c>
      <c r="AK1133" s="2">
        <v>0.87071666130195202</v>
      </c>
      <c r="AL1133" s="2">
        <v>0.34510880768399999</v>
      </c>
      <c r="AM1133" s="2">
        <v>4.11443730616032E-2</v>
      </c>
      <c r="AN1133" s="2">
        <v>0.67214491497680795</v>
      </c>
      <c r="AO1133" s="2">
        <v>2.9003813943615401E-2</v>
      </c>
      <c r="AP1133" s="2">
        <v>2.9003813943615401E-2</v>
      </c>
      <c r="AQ1133" s="2">
        <v>2</v>
      </c>
      <c r="AR1133" s="2">
        <v>6</v>
      </c>
      <c r="AS1133" s="2">
        <v>0</v>
      </c>
      <c r="AT1133" s="2">
        <v>3</v>
      </c>
      <c r="AU1133" s="2">
        <v>17</v>
      </c>
      <c r="AV1133" s="2">
        <v>90</v>
      </c>
      <c r="AW1133" s="2">
        <v>2</v>
      </c>
      <c r="AX1133" s="2">
        <v>1</v>
      </c>
      <c r="AZ1133" s="2">
        <v>6.8</v>
      </c>
      <c r="BA1133" s="2">
        <v>19.899999999999999</v>
      </c>
      <c r="BB1133" s="2">
        <v>564</v>
      </c>
      <c r="BC1133" s="2">
        <v>68</v>
      </c>
      <c r="BD1133" s="2">
        <v>1.5</v>
      </c>
      <c r="BE1133" s="2">
        <v>135</v>
      </c>
      <c r="BF1133" s="2">
        <v>0.8</v>
      </c>
      <c r="BG1133" s="2">
        <v>162</v>
      </c>
      <c r="BH1133" s="2">
        <v>9.1</v>
      </c>
      <c r="BI1133" s="2">
        <v>9.1999999999999993</v>
      </c>
      <c r="BJ1133" s="2">
        <v>18.3</v>
      </c>
      <c r="BK1133" s="2">
        <v>0.34</v>
      </c>
      <c r="BL1133" s="2">
        <v>7.3</v>
      </c>
      <c r="BM1133" s="2">
        <v>0.9</v>
      </c>
      <c r="BN1133" s="2">
        <v>7.5</v>
      </c>
      <c r="BO1133" s="2">
        <v>2.9</v>
      </c>
      <c r="BP1133" s="2">
        <f t="shared" si="34"/>
        <v>6.5846459180198327</v>
      </c>
      <c r="BQ1133" s="2">
        <f t="shared" si="35"/>
        <v>19.591901926179613</v>
      </c>
    </row>
    <row r="1134" spans="1:69" x14ac:dyDescent="0.2">
      <c r="A1134" s="2" t="s">
        <v>4057</v>
      </c>
      <c r="B1134" s="2" t="s">
        <v>47</v>
      </c>
      <c r="C1134" s="2" t="s">
        <v>3273</v>
      </c>
      <c r="D1134" s="2" t="s">
        <v>49</v>
      </c>
      <c r="E1134" s="2" t="s">
        <v>4058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89</v>
      </c>
      <c r="L1134" s="6" t="s">
        <v>90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4059</v>
      </c>
      <c r="R1134" s="2">
        <v>13870967.74</v>
      </c>
      <c r="S1134" s="2">
        <v>0</v>
      </c>
      <c r="T1134" s="2" t="s">
        <v>54</v>
      </c>
      <c r="U1134" s="2" t="s">
        <v>55</v>
      </c>
      <c r="V1134" s="2" t="s">
        <v>56</v>
      </c>
      <c r="W1134" s="2" t="s">
        <v>57</v>
      </c>
      <c r="X1134" s="2" t="s">
        <v>58</v>
      </c>
      <c r="Y1134" s="2">
        <v>3.0080538106316501</v>
      </c>
      <c r="Z1134" s="2">
        <v>3008.0538106316499</v>
      </c>
      <c r="AA1134" s="2">
        <v>4.6584666666666701</v>
      </c>
      <c r="AB1134" s="2">
        <v>-74.083966666666697</v>
      </c>
      <c r="AC1134" s="2">
        <v>2552</v>
      </c>
      <c r="AD1134" s="2">
        <v>0</v>
      </c>
      <c r="AE1134" s="2" t="s">
        <v>59</v>
      </c>
      <c r="AF1134" s="2" t="s">
        <v>60</v>
      </c>
      <c r="AG1134" s="2" t="s">
        <v>61</v>
      </c>
      <c r="AH1134" s="2" t="s">
        <v>62</v>
      </c>
      <c r="AI1134" s="2" t="s">
        <v>109</v>
      </c>
      <c r="AJ1134" s="2">
        <v>0.470281967987007</v>
      </c>
      <c r="AK1134" s="2">
        <v>1.1560846340222299</v>
      </c>
      <c r="AL1134" s="2">
        <v>4.7810630647053397E-2</v>
      </c>
      <c r="AM1134" s="2">
        <v>7.6610375033365694E-2</v>
      </c>
      <c r="AN1134" s="2">
        <v>2.27511146314693</v>
      </c>
      <c r="AO1134" s="2">
        <v>5.5730772655706001E-2</v>
      </c>
      <c r="AP1134" s="2">
        <v>5.5730772655706001E-2</v>
      </c>
      <c r="AQ1134" s="2">
        <v>1</v>
      </c>
      <c r="AR1134" s="2">
        <v>3</v>
      </c>
      <c r="AS1134" s="2">
        <v>0</v>
      </c>
      <c r="AT1134" s="2">
        <v>0</v>
      </c>
      <c r="AU1134" s="2">
        <v>22</v>
      </c>
      <c r="AV1134" s="2">
        <v>231</v>
      </c>
      <c r="AW1134" s="2">
        <v>0</v>
      </c>
      <c r="AX1134" s="2">
        <v>0</v>
      </c>
      <c r="AZ1134" s="2">
        <v>6.8</v>
      </c>
      <c r="BA1134" s="2">
        <v>19.899999999999999</v>
      </c>
      <c r="BB1134" s="2">
        <v>564</v>
      </c>
      <c r="BC1134" s="2">
        <v>68</v>
      </c>
      <c r="BD1134" s="2">
        <v>1.5</v>
      </c>
      <c r="BE1134" s="2">
        <v>135</v>
      </c>
      <c r="BF1134" s="2">
        <v>0.8</v>
      </c>
      <c r="BG1134" s="2">
        <v>162</v>
      </c>
      <c r="BH1134" s="2">
        <v>9.1</v>
      </c>
      <c r="BI1134" s="2">
        <v>9.1999999999999993</v>
      </c>
      <c r="BJ1134" s="2">
        <v>18.3</v>
      </c>
      <c r="BK1134" s="2">
        <v>0.34</v>
      </c>
      <c r="BL1134" s="2">
        <v>7.3</v>
      </c>
      <c r="BM1134" s="2">
        <v>0.9</v>
      </c>
      <c r="BN1134" s="2">
        <v>7.5</v>
      </c>
      <c r="BO1134" s="2">
        <v>2.9</v>
      </c>
      <c r="BP1134" s="2">
        <f t="shared" si="34"/>
        <v>5.8592637077662575</v>
      </c>
      <c r="BQ1134" s="2">
        <f t="shared" si="35"/>
        <v>18.513985885492154</v>
      </c>
    </row>
    <row r="1135" spans="1:69" x14ac:dyDescent="0.2">
      <c r="A1135" s="2" t="s">
        <v>3953</v>
      </c>
      <c r="B1135" s="2" t="s">
        <v>47</v>
      </c>
      <c r="C1135" s="2" t="s">
        <v>3273</v>
      </c>
      <c r="D1135" s="2" t="s">
        <v>49</v>
      </c>
      <c r="E1135" s="2" t="s">
        <v>2500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89</v>
      </c>
      <c r="L1135" s="6" t="s">
        <v>90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3954</v>
      </c>
      <c r="R1135" s="2">
        <v>10322580.65</v>
      </c>
      <c r="S1135" s="2">
        <v>0</v>
      </c>
      <c r="T1135" s="2" t="s">
        <v>54</v>
      </c>
      <c r="U1135" s="2" t="s">
        <v>55</v>
      </c>
      <c r="V1135" s="2" t="s">
        <v>56</v>
      </c>
      <c r="W1135" s="2" t="s">
        <v>57</v>
      </c>
      <c r="X1135" s="2" t="s">
        <v>58</v>
      </c>
      <c r="Y1135" s="2">
        <v>3.3622073515233502</v>
      </c>
      <c r="Z1135" s="2">
        <v>3362.2073515233501</v>
      </c>
      <c r="AA1135" s="2">
        <v>4.6584666666666701</v>
      </c>
      <c r="AB1135" s="2">
        <v>-74.083966666666697</v>
      </c>
      <c r="AC1135" s="2">
        <v>2552</v>
      </c>
      <c r="AD1135" s="2">
        <v>0</v>
      </c>
      <c r="AE1135" s="2" t="s">
        <v>59</v>
      </c>
      <c r="AF1135" s="2" t="s">
        <v>60</v>
      </c>
      <c r="AG1135" s="2" t="s">
        <v>61</v>
      </c>
      <c r="AH1135" s="2" t="s">
        <v>62</v>
      </c>
      <c r="AI1135" s="2" t="s">
        <v>321</v>
      </c>
      <c r="AJ1135" s="2">
        <v>0.17296335195675899</v>
      </c>
      <c r="AK1135" s="2">
        <v>2.1097082787294199</v>
      </c>
      <c r="AL1135" s="2">
        <v>0.27909720226901102</v>
      </c>
      <c r="AM1135" s="2">
        <v>3.2981606645727697E-2</v>
      </c>
      <c r="AN1135" s="2">
        <v>2.4379506053627602</v>
      </c>
      <c r="AO1135" s="2">
        <v>0.37678931657211501</v>
      </c>
      <c r="AP1135" s="2">
        <v>0.37678931657211501</v>
      </c>
      <c r="AQ1135" s="2">
        <v>1</v>
      </c>
      <c r="AR1135" s="2">
        <v>9</v>
      </c>
      <c r="AS1135" s="2">
        <v>0</v>
      </c>
      <c r="AT1135" s="2">
        <v>0</v>
      </c>
      <c r="AU1135" s="2">
        <v>1</v>
      </c>
      <c r="AV1135" s="2">
        <v>298</v>
      </c>
      <c r="AW1135" s="2">
        <v>0</v>
      </c>
      <c r="AX1135" s="2">
        <v>0</v>
      </c>
      <c r="AZ1135" s="2">
        <v>6.8</v>
      </c>
      <c r="BA1135" s="2">
        <v>19.899999999999999</v>
      </c>
      <c r="BB1135" s="2">
        <v>564</v>
      </c>
      <c r="BC1135" s="2">
        <v>68</v>
      </c>
      <c r="BD1135" s="2">
        <v>1.5</v>
      </c>
      <c r="BE1135" s="2">
        <v>135</v>
      </c>
      <c r="BF1135" s="2">
        <v>0.8</v>
      </c>
      <c r="BG1135" s="2">
        <v>162</v>
      </c>
      <c r="BH1135" s="2">
        <v>9.1</v>
      </c>
      <c r="BI1135" s="2">
        <v>9.1999999999999993</v>
      </c>
      <c r="BJ1135" s="2">
        <v>18.3</v>
      </c>
      <c r="BK1135" s="2">
        <v>0.34</v>
      </c>
      <c r="BL1135" s="2">
        <v>7.3</v>
      </c>
      <c r="BM1135" s="2">
        <v>0.9</v>
      </c>
      <c r="BN1135" s="2">
        <v>7.5</v>
      </c>
      <c r="BO1135" s="2">
        <v>2.9</v>
      </c>
      <c r="BP1135" s="2">
        <f t="shared" si="34"/>
        <v>5.7574423997763704</v>
      </c>
      <c r="BQ1135" s="2">
        <f t="shared" si="35"/>
        <v>18.357289715128768</v>
      </c>
    </row>
    <row r="1136" spans="1:69" x14ac:dyDescent="0.2">
      <c r="A1136" s="2" t="s">
        <v>3723</v>
      </c>
      <c r="B1136" s="2" t="s">
        <v>47</v>
      </c>
      <c r="C1136" s="2" t="s">
        <v>3273</v>
      </c>
      <c r="D1136" s="2" t="s">
        <v>49</v>
      </c>
      <c r="E1136" s="2" t="s">
        <v>2787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89</v>
      </c>
      <c r="L1136" s="6" t="s">
        <v>90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3724</v>
      </c>
      <c r="R1136" s="2">
        <v>9677419.3550000004</v>
      </c>
      <c r="S1136" s="2">
        <v>0</v>
      </c>
      <c r="T1136" s="2" t="s">
        <v>54</v>
      </c>
      <c r="U1136" s="2" t="s">
        <v>55</v>
      </c>
      <c r="V1136" s="2" t="s">
        <v>56</v>
      </c>
      <c r="W1136" s="2" t="s">
        <v>57</v>
      </c>
      <c r="X1136" s="2" t="s">
        <v>58</v>
      </c>
      <c r="Y1136" s="2">
        <v>3.7433456862367098</v>
      </c>
      <c r="Z1136" s="2">
        <v>3743.3456862367102</v>
      </c>
      <c r="AA1136" s="2">
        <v>4.6584666666666701</v>
      </c>
      <c r="AB1136" s="2">
        <v>-74.083966666666697</v>
      </c>
      <c r="AC1136" s="2">
        <v>2552</v>
      </c>
      <c r="AD1136" s="2">
        <v>0</v>
      </c>
      <c r="AE1136" s="2" t="s">
        <v>59</v>
      </c>
      <c r="AF1136" s="2" t="s">
        <v>60</v>
      </c>
      <c r="AG1136" s="2" t="s">
        <v>61</v>
      </c>
      <c r="AH1136" s="2" t="s">
        <v>62</v>
      </c>
      <c r="AI1136" s="2" t="s">
        <v>321</v>
      </c>
      <c r="AJ1136" s="2">
        <v>0.12132357500667799</v>
      </c>
      <c r="AK1136" s="2">
        <v>3.1855307330283802</v>
      </c>
      <c r="AL1136" s="2">
        <v>0.92767828434477095</v>
      </c>
      <c r="AM1136" s="2">
        <v>0.14781688437906601</v>
      </c>
      <c r="AN1136" s="2">
        <v>2.3016478789939301</v>
      </c>
      <c r="AO1136" s="2">
        <v>0.376462743853124</v>
      </c>
      <c r="AP1136" s="2">
        <v>0.376462743853124</v>
      </c>
      <c r="AQ1136" s="2">
        <v>2</v>
      </c>
      <c r="AR1136" s="2">
        <v>5</v>
      </c>
      <c r="AS1136" s="2">
        <v>0</v>
      </c>
      <c r="AT1136" s="2">
        <v>0</v>
      </c>
      <c r="AU1136" s="2">
        <v>1</v>
      </c>
      <c r="AV1136" s="2">
        <v>146</v>
      </c>
      <c r="AW1136" s="2">
        <v>0</v>
      </c>
      <c r="AX1136" s="2">
        <v>0</v>
      </c>
      <c r="AZ1136" s="2">
        <v>6.8</v>
      </c>
      <c r="BA1136" s="2">
        <v>19.899999999999999</v>
      </c>
      <c r="BB1136" s="2">
        <v>564</v>
      </c>
      <c r="BC1136" s="2">
        <v>68</v>
      </c>
      <c r="BD1136" s="2">
        <v>1.5</v>
      </c>
      <c r="BE1136" s="2">
        <v>135</v>
      </c>
      <c r="BF1136" s="2">
        <v>0.8</v>
      </c>
      <c r="BG1136" s="2">
        <v>162</v>
      </c>
      <c r="BH1136" s="2">
        <v>9.1</v>
      </c>
      <c r="BI1136" s="2">
        <v>9.1999999999999993</v>
      </c>
      <c r="BJ1136" s="2">
        <v>18.3</v>
      </c>
      <c r="BK1136" s="2">
        <v>0.34</v>
      </c>
      <c r="BL1136" s="2">
        <v>7.3</v>
      </c>
      <c r="BM1136" s="2">
        <v>0.9</v>
      </c>
      <c r="BN1136" s="2">
        <v>7.5</v>
      </c>
      <c r="BO1136" s="2">
        <v>2.9</v>
      </c>
      <c r="BP1136" s="2">
        <f t="shared" si="34"/>
        <v>5.6498387261874639</v>
      </c>
      <c r="BQ1136" s="2">
        <f t="shared" si="35"/>
        <v>18.190135383775878</v>
      </c>
    </row>
    <row r="1137" spans="1:69" x14ac:dyDescent="0.2">
      <c r="A1137" s="2" t="s">
        <v>4109</v>
      </c>
      <c r="B1137" s="2" t="s">
        <v>47</v>
      </c>
      <c r="C1137" s="2" t="s">
        <v>3273</v>
      </c>
      <c r="D1137" s="2" t="s">
        <v>49</v>
      </c>
      <c r="E1137" s="2" t="s">
        <v>927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89</v>
      </c>
      <c r="L1137" s="6" t="s">
        <v>141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4110</v>
      </c>
      <c r="R1137" s="2">
        <v>9516129.0319999997</v>
      </c>
      <c r="S1137" s="2">
        <v>0</v>
      </c>
      <c r="T1137" s="2" t="s">
        <v>105</v>
      </c>
      <c r="U1137" s="2" t="s">
        <v>106</v>
      </c>
      <c r="V1137" s="2" t="s">
        <v>56</v>
      </c>
      <c r="W1137" s="2" t="s">
        <v>107</v>
      </c>
      <c r="X1137" s="2" t="s">
        <v>108</v>
      </c>
      <c r="Y1137" s="2">
        <v>1.1466023999197701</v>
      </c>
      <c r="Z1137" s="2">
        <v>1146.6023999197701</v>
      </c>
      <c r="AA1137" s="2">
        <v>4.6254861111111101</v>
      </c>
      <c r="AB1137" s="2">
        <v>-74.066980555555503</v>
      </c>
      <c r="AC1137" s="2">
        <v>2621</v>
      </c>
      <c r="AD1137" s="2">
        <v>15</v>
      </c>
      <c r="AE1137" s="2" t="s">
        <v>59</v>
      </c>
      <c r="AF1137" s="2" t="s">
        <v>60</v>
      </c>
      <c r="AG1137" s="2" t="s">
        <v>61</v>
      </c>
      <c r="AH1137" s="2" t="s">
        <v>62</v>
      </c>
      <c r="AI1137" s="2" t="s">
        <v>109</v>
      </c>
      <c r="AJ1137" s="2">
        <v>0.32311201017068197</v>
      </c>
      <c r="AK1137" s="2">
        <v>0.56556095559154196</v>
      </c>
      <c r="AL1137" s="2">
        <v>0.27669359119371101</v>
      </c>
      <c r="AM1137" s="2">
        <v>2.95361703437697E-3</v>
      </c>
      <c r="AN1137" s="2">
        <v>0.91337902888704803</v>
      </c>
      <c r="AO1137" s="2">
        <v>6.2563370171898405E-2</v>
      </c>
      <c r="AP1137" s="2">
        <v>6.2563370171898405E-2</v>
      </c>
      <c r="AQ1137" s="2">
        <v>2</v>
      </c>
      <c r="AR1137" s="2">
        <v>4</v>
      </c>
      <c r="AS1137" s="2">
        <v>0</v>
      </c>
      <c r="AT1137" s="2">
        <v>24</v>
      </c>
      <c r="AU1137" s="2">
        <v>11</v>
      </c>
      <c r="AV1137" s="2">
        <v>144</v>
      </c>
      <c r="AW1137" s="2">
        <v>2</v>
      </c>
      <c r="AX1137" s="2">
        <v>0</v>
      </c>
      <c r="AZ1137" s="2">
        <v>6.8</v>
      </c>
      <c r="BA1137" s="2">
        <v>19.899999999999999</v>
      </c>
      <c r="BB1137" s="2">
        <v>564</v>
      </c>
      <c r="BC1137" s="2">
        <v>68</v>
      </c>
      <c r="BD1137" s="2">
        <v>1.5</v>
      </c>
      <c r="BE1137" s="2">
        <v>135</v>
      </c>
      <c r="BF1137" s="2">
        <v>0.8</v>
      </c>
      <c r="BG1137" s="2">
        <v>162</v>
      </c>
      <c r="BH1137" s="2">
        <v>9.1</v>
      </c>
      <c r="BI1137" s="2">
        <v>9.1999999999999993</v>
      </c>
      <c r="BJ1137" s="2">
        <v>18.3</v>
      </c>
      <c r="BK1137" s="2">
        <v>0.34</v>
      </c>
      <c r="BL1137" s="2">
        <v>7.3</v>
      </c>
      <c r="BM1137" s="2">
        <v>0.9</v>
      </c>
      <c r="BN1137" s="2">
        <v>7.5</v>
      </c>
      <c r="BO1137" s="2">
        <v>2.9</v>
      </c>
      <c r="BP1137" s="2">
        <f t="shared" si="34"/>
        <v>6.4248018727903915</v>
      </c>
      <c r="BQ1137" s="2">
        <f t="shared" si="35"/>
        <v>19.359848843207196</v>
      </c>
    </row>
    <row r="1138" spans="1:69" x14ac:dyDescent="0.2">
      <c r="A1138" s="2" t="s">
        <v>4321</v>
      </c>
      <c r="B1138" s="2" t="s">
        <v>47</v>
      </c>
      <c r="C1138" s="2" t="s">
        <v>3273</v>
      </c>
      <c r="D1138" s="2" t="s">
        <v>49</v>
      </c>
      <c r="E1138" s="2" t="s">
        <v>1969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89</v>
      </c>
      <c r="L1138" s="6" t="s">
        <v>90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4322</v>
      </c>
      <c r="R1138" s="2">
        <v>8709677.4189999998</v>
      </c>
      <c r="S1138" s="2">
        <v>0</v>
      </c>
      <c r="T1138" s="2" t="s">
        <v>54</v>
      </c>
      <c r="U1138" s="2" t="s">
        <v>55</v>
      </c>
      <c r="V1138" s="2" t="s">
        <v>56</v>
      </c>
      <c r="W1138" s="2" t="s">
        <v>57</v>
      </c>
      <c r="X1138" s="2" t="s">
        <v>58</v>
      </c>
      <c r="Y1138" s="2">
        <v>4.5210602025830804</v>
      </c>
      <c r="Z1138" s="2">
        <v>4521.0602025830804</v>
      </c>
      <c r="AA1138" s="2">
        <v>4.6584666666666701</v>
      </c>
      <c r="AB1138" s="2">
        <v>-74.083966666666697</v>
      </c>
      <c r="AC1138" s="2">
        <v>2552</v>
      </c>
      <c r="AD1138" s="2">
        <v>0</v>
      </c>
      <c r="AE1138" s="2" t="s">
        <v>59</v>
      </c>
      <c r="AF1138" s="2" t="s">
        <v>60</v>
      </c>
      <c r="AG1138" s="2" t="s">
        <v>61</v>
      </c>
      <c r="AH1138" s="2" t="s">
        <v>62</v>
      </c>
      <c r="AI1138" s="2" t="s">
        <v>100</v>
      </c>
      <c r="AJ1138" s="2">
        <v>0.33278270808345201</v>
      </c>
      <c r="AK1138" s="2">
        <v>4.1095916439740598</v>
      </c>
      <c r="AL1138" s="2">
        <v>0.17472353726963</v>
      </c>
      <c r="AM1138" s="2">
        <v>9.3087353516690702E-2</v>
      </c>
      <c r="AN1138" s="2">
        <v>2.85678688274725</v>
      </c>
      <c r="AO1138" s="2">
        <v>4.0412247337270002E-2</v>
      </c>
      <c r="AP1138" s="2">
        <v>4.0412247337270002E-2</v>
      </c>
      <c r="AQ1138" s="2">
        <v>2</v>
      </c>
      <c r="AR1138" s="2">
        <v>2</v>
      </c>
      <c r="AS1138" s="2">
        <v>0</v>
      </c>
      <c r="AT1138" s="2">
        <v>0</v>
      </c>
      <c r="AU1138" s="2">
        <v>1</v>
      </c>
      <c r="AV1138" s="2">
        <v>55</v>
      </c>
      <c r="AW1138" s="2">
        <v>0</v>
      </c>
      <c r="AX1138" s="2">
        <v>0</v>
      </c>
      <c r="AZ1138" s="2">
        <v>6.8</v>
      </c>
      <c r="BA1138" s="2">
        <v>19.899999999999999</v>
      </c>
      <c r="BB1138" s="2">
        <v>564</v>
      </c>
      <c r="BC1138" s="2">
        <v>68</v>
      </c>
      <c r="BD1138" s="2">
        <v>1.5</v>
      </c>
      <c r="BE1138" s="2">
        <v>135</v>
      </c>
      <c r="BF1138" s="2">
        <v>0.8</v>
      </c>
      <c r="BG1138" s="2">
        <v>162</v>
      </c>
      <c r="BH1138" s="2">
        <v>9.1</v>
      </c>
      <c r="BI1138" s="2">
        <v>9.1999999999999993</v>
      </c>
      <c r="BJ1138" s="2">
        <v>18.3</v>
      </c>
      <c r="BK1138" s="2">
        <v>0.34</v>
      </c>
      <c r="BL1138" s="2">
        <v>7.3</v>
      </c>
      <c r="BM1138" s="2">
        <v>0.9</v>
      </c>
      <c r="BN1138" s="2">
        <v>7.5</v>
      </c>
      <c r="BO1138" s="2">
        <v>2.9</v>
      </c>
      <c r="BP1138" s="2">
        <f t="shared" si="34"/>
        <v>5.4364709729650578</v>
      </c>
      <c r="BQ1138" s="2">
        <f t="shared" si="35"/>
        <v>17.853762795318577</v>
      </c>
    </row>
    <row r="1139" spans="1:69" x14ac:dyDescent="0.2">
      <c r="A1139" s="2" t="s">
        <v>284</v>
      </c>
      <c r="B1139" s="2" t="s">
        <v>47</v>
      </c>
      <c r="C1139" s="2" t="s">
        <v>48</v>
      </c>
      <c r="D1139" s="2" t="s">
        <v>49</v>
      </c>
      <c r="E1139" s="2" t="s">
        <v>285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89</v>
      </c>
      <c r="L1139" s="6" t="s">
        <v>90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286</v>
      </c>
      <c r="R1139" s="2">
        <v>8322580.6449999996</v>
      </c>
      <c r="S1139" s="2">
        <v>0</v>
      </c>
      <c r="T1139" s="2" t="s">
        <v>105</v>
      </c>
      <c r="U1139" s="2" t="s">
        <v>106</v>
      </c>
      <c r="V1139" s="2" t="s">
        <v>56</v>
      </c>
      <c r="W1139" s="2" t="s">
        <v>107</v>
      </c>
      <c r="X1139" s="2" t="s">
        <v>108</v>
      </c>
      <c r="Y1139" s="2">
        <v>2.3044445185681499</v>
      </c>
      <c r="Z1139" s="2">
        <v>2304.4445185681502</v>
      </c>
      <c r="AA1139" s="2">
        <v>4.6254861111111101</v>
      </c>
      <c r="AB1139" s="2">
        <v>-74.066980555555503</v>
      </c>
      <c r="AC1139" s="2">
        <v>2621</v>
      </c>
      <c r="AD1139" s="2">
        <v>15</v>
      </c>
      <c r="AE1139" s="2" t="s">
        <v>59</v>
      </c>
      <c r="AF1139" s="2" t="s">
        <v>60</v>
      </c>
      <c r="AG1139" s="2" t="s">
        <v>61</v>
      </c>
      <c r="AH1139" s="2" t="s">
        <v>62</v>
      </c>
      <c r="AI1139" s="2" t="s">
        <v>287</v>
      </c>
      <c r="AJ1139" s="2">
        <v>0.58549642971714599</v>
      </c>
      <c r="AK1139" s="2">
        <v>2.30449899230624</v>
      </c>
      <c r="AL1139" s="2">
        <v>1.0436505085116701</v>
      </c>
      <c r="AM1139" s="2">
        <v>0.36032676370790701</v>
      </c>
      <c r="AN1139" s="2">
        <v>0.77453198726745198</v>
      </c>
      <c r="AO1139" s="2">
        <v>0.110601537129947</v>
      </c>
      <c r="AP1139" s="2">
        <v>0.110601537129947</v>
      </c>
      <c r="AQ1139" s="2">
        <v>0</v>
      </c>
      <c r="AR1139" s="2">
        <v>4</v>
      </c>
      <c r="AS1139" s="2">
        <v>0</v>
      </c>
      <c r="AT1139" s="2">
        <v>0</v>
      </c>
      <c r="AU1139" s="2">
        <v>0</v>
      </c>
      <c r="AV1139" s="2">
        <v>15</v>
      </c>
      <c r="AW1139" s="2">
        <v>1</v>
      </c>
      <c r="AX1139" s="2">
        <v>0</v>
      </c>
      <c r="AZ1139" s="2">
        <v>6.8</v>
      </c>
      <c r="BA1139" s="2">
        <v>19.899999999999999</v>
      </c>
      <c r="BB1139" s="2">
        <v>564</v>
      </c>
      <c r="BC1139" s="2">
        <v>68</v>
      </c>
      <c r="BD1139" s="2">
        <v>1.5</v>
      </c>
      <c r="BE1139" s="2">
        <v>135</v>
      </c>
      <c r="BF1139" s="2">
        <v>0.8</v>
      </c>
      <c r="BG1139" s="2">
        <v>162</v>
      </c>
      <c r="BH1139" s="2">
        <v>9.1</v>
      </c>
      <c r="BI1139" s="2">
        <v>9.1999999999999993</v>
      </c>
      <c r="BJ1139" s="2">
        <v>18.3</v>
      </c>
      <c r="BK1139" s="2">
        <v>0.34</v>
      </c>
      <c r="BL1139" s="2">
        <v>7.3</v>
      </c>
      <c r="BM1139" s="2">
        <v>0.9</v>
      </c>
      <c r="BN1139" s="2">
        <v>7.5</v>
      </c>
      <c r="BO1139" s="2">
        <v>2.9</v>
      </c>
      <c r="BP1139" s="2">
        <f t="shared" si="34"/>
        <v>6.0669293778177344</v>
      </c>
      <c r="BQ1139" s="2">
        <f t="shared" si="35"/>
        <v>18.829279212990301</v>
      </c>
    </row>
    <row r="1140" spans="1:69" x14ac:dyDescent="0.2">
      <c r="A1140" s="2" t="s">
        <v>4480</v>
      </c>
      <c r="B1140" s="2" t="s">
        <v>47</v>
      </c>
      <c r="C1140" s="2" t="s">
        <v>3273</v>
      </c>
      <c r="D1140" s="2" t="s">
        <v>49</v>
      </c>
      <c r="E1140" s="2" t="s">
        <v>285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89</v>
      </c>
      <c r="L1140" s="6" t="s">
        <v>90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4481</v>
      </c>
      <c r="R1140" s="2">
        <v>8064516.1289999997</v>
      </c>
      <c r="S1140" s="2">
        <v>0</v>
      </c>
      <c r="T1140" s="2" t="s">
        <v>105</v>
      </c>
      <c r="U1140" s="2" t="s">
        <v>106</v>
      </c>
      <c r="V1140" s="2" t="s">
        <v>56</v>
      </c>
      <c r="W1140" s="2" t="s">
        <v>107</v>
      </c>
      <c r="X1140" s="2" t="s">
        <v>108</v>
      </c>
      <c r="Y1140" s="2">
        <v>2.28049603526765</v>
      </c>
      <c r="Z1140" s="2">
        <v>2280.4960352676499</v>
      </c>
      <c r="AA1140" s="2">
        <v>4.6254861111111101</v>
      </c>
      <c r="AB1140" s="2">
        <v>-74.066980555555503</v>
      </c>
      <c r="AC1140" s="2">
        <v>2621</v>
      </c>
      <c r="AD1140" s="2">
        <v>15</v>
      </c>
      <c r="AE1140" s="2" t="s">
        <v>59</v>
      </c>
      <c r="AF1140" s="2" t="s">
        <v>60</v>
      </c>
      <c r="AG1140" s="2" t="s">
        <v>61</v>
      </c>
      <c r="AH1140" s="2" t="s">
        <v>62</v>
      </c>
      <c r="AI1140" s="2" t="s">
        <v>287</v>
      </c>
      <c r="AJ1140" s="2">
        <v>0.60146031743117101</v>
      </c>
      <c r="AK1140" s="2">
        <v>2.2829063847740598</v>
      </c>
      <c r="AL1140" s="2">
        <v>1.0471133717399399</v>
      </c>
      <c r="AM1140" s="2">
        <v>0.33634084896213701</v>
      </c>
      <c r="AN1140" s="2">
        <v>0.79521163920471405</v>
      </c>
      <c r="AO1140" s="2">
        <v>9.9807681957730501E-2</v>
      </c>
      <c r="AP1140" s="2">
        <v>9.9807681957730501E-2</v>
      </c>
      <c r="AQ1140" s="2">
        <v>0</v>
      </c>
      <c r="AR1140" s="2">
        <v>4</v>
      </c>
      <c r="AS1140" s="2">
        <v>0</v>
      </c>
      <c r="AT1140" s="2">
        <v>0</v>
      </c>
      <c r="AU1140" s="2">
        <v>0</v>
      </c>
      <c r="AV1140" s="2">
        <v>15</v>
      </c>
      <c r="AW1140" s="2">
        <v>1</v>
      </c>
      <c r="AX1140" s="2">
        <v>0</v>
      </c>
      <c r="AZ1140" s="2">
        <v>6.8</v>
      </c>
      <c r="BA1140" s="2">
        <v>19.899999999999999</v>
      </c>
      <c r="BB1140" s="2">
        <v>564</v>
      </c>
      <c r="BC1140" s="2">
        <v>68</v>
      </c>
      <c r="BD1140" s="2">
        <v>1.5</v>
      </c>
      <c r="BE1140" s="2">
        <v>135</v>
      </c>
      <c r="BF1140" s="2">
        <v>0.8</v>
      </c>
      <c r="BG1140" s="2">
        <v>162</v>
      </c>
      <c r="BH1140" s="2">
        <v>9.1</v>
      </c>
      <c r="BI1140" s="2">
        <v>9.1999999999999993</v>
      </c>
      <c r="BJ1140" s="2">
        <v>18.3</v>
      </c>
      <c r="BK1140" s="2">
        <v>0.34</v>
      </c>
      <c r="BL1140" s="2">
        <v>7.3</v>
      </c>
      <c r="BM1140" s="2">
        <v>0.9</v>
      </c>
      <c r="BN1140" s="2">
        <v>7.5</v>
      </c>
      <c r="BO1140" s="2">
        <v>2.9</v>
      </c>
      <c r="BP1140" s="2">
        <f t="shared" si="34"/>
        <v>6.0741256833709798</v>
      </c>
      <c r="BQ1140" s="2">
        <f t="shared" si="35"/>
        <v>18.840104708033557</v>
      </c>
    </row>
    <row r="1141" spans="1:69" x14ac:dyDescent="0.2">
      <c r="A1141" s="2" t="s">
        <v>4488</v>
      </c>
      <c r="B1141" s="2" t="s">
        <v>47</v>
      </c>
      <c r="C1141" s="2" t="s">
        <v>3273</v>
      </c>
      <c r="D1141" s="2" t="s">
        <v>49</v>
      </c>
      <c r="E1141" s="2" t="s">
        <v>285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89</v>
      </c>
      <c r="L1141" s="6" t="s">
        <v>90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4489</v>
      </c>
      <c r="R1141" s="2">
        <v>7741935.4840000002</v>
      </c>
      <c r="S1141" s="2">
        <v>0</v>
      </c>
      <c r="T1141" s="2" t="s">
        <v>105</v>
      </c>
      <c r="U1141" s="2" t="s">
        <v>106</v>
      </c>
      <c r="V1141" s="2" t="s">
        <v>56</v>
      </c>
      <c r="W1141" s="2" t="s">
        <v>107</v>
      </c>
      <c r="X1141" s="2" t="s">
        <v>108</v>
      </c>
      <c r="Y1141" s="2">
        <v>2.69005131175023</v>
      </c>
      <c r="Z1141" s="2">
        <v>2690.0513117502301</v>
      </c>
      <c r="AA1141" s="2">
        <v>4.6254861111111101</v>
      </c>
      <c r="AB1141" s="2">
        <v>-74.066980555555503</v>
      </c>
      <c r="AC1141" s="2">
        <v>2621</v>
      </c>
      <c r="AD1141" s="2">
        <v>15</v>
      </c>
      <c r="AE1141" s="2" t="s">
        <v>59</v>
      </c>
      <c r="AF1141" s="2" t="s">
        <v>60</v>
      </c>
      <c r="AG1141" s="2" t="s">
        <v>61</v>
      </c>
      <c r="AH1141" s="2" t="s">
        <v>62</v>
      </c>
      <c r="AI1141" s="2" t="s">
        <v>267</v>
      </c>
      <c r="AJ1141" s="2">
        <v>0.47366863694838102</v>
      </c>
      <c r="AK1141" s="2">
        <v>3.0650703605020402</v>
      </c>
      <c r="AL1141" s="2">
        <v>1.6633317857083101</v>
      </c>
      <c r="AM1141" s="2">
        <v>0.21274749354120101</v>
      </c>
      <c r="AN1141" s="2">
        <v>1.35795349751144</v>
      </c>
      <c r="AO1141" s="2">
        <v>0.67133862622526597</v>
      </c>
      <c r="AP1141" s="2">
        <v>0.67133862622526597</v>
      </c>
      <c r="AQ1141" s="2">
        <v>1</v>
      </c>
      <c r="AR1141" s="2">
        <v>5</v>
      </c>
      <c r="AS1141" s="2">
        <v>0</v>
      </c>
      <c r="AT1141" s="2">
        <v>0</v>
      </c>
      <c r="AU1141" s="2">
        <v>0</v>
      </c>
      <c r="AV1141" s="2">
        <v>13</v>
      </c>
      <c r="AW1141" s="2">
        <v>0</v>
      </c>
      <c r="AX1141" s="2">
        <v>0</v>
      </c>
      <c r="AZ1141" s="2">
        <v>6.8</v>
      </c>
      <c r="BA1141" s="2">
        <v>19.899999999999999</v>
      </c>
      <c r="BB1141" s="2">
        <v>564</v>
      </c>
      <c r="BC1141" s="2">
        <v>68</v>
      </c>
      <c r="BD1141" s="2">
        <v>1.5</v>
      </c>
      <c r="BE1141" s="2">
        <v>135</v>
      </c>
      <c r="BF1141" s="2">
        <v>0.8</v>
      </c>
      <c r="BG1141" s="2">
        <v>162</v>
      </c>
      <c r="BH1141" s="2">
        <v>9.1</v>
      </c>
      <c r="BI1141" s="2">
        <v>9.1999999999999993</v>
      </c>
      <c r="BJ1141" s="2">
        <v>18.3</v>
      </c>
      <c r="BK1141" s="2">
        <v>0.34</v>
      </c>
      <c r="BL1141" s="2">
        <v>7.3</v>
      </c>
      <c r="BM1141" s="2">
        <v>0.9</v>
      </c>
      <c r="BN1141" s="2">
        <v>7.5</v>
      </c>
      <c r="BO1141" s="2">
        <v>2.9</v>
      </c>
      <c r="BP1141" s="2">
        <f t="shared" si="34"/>
        <v>5.9522248393778563</v>
      </c>
      <c r="BQ1141" s="2">
        <f t="shared" si="35"/>
        <v>18.655826314947682</v>
      </c>
    </row>
    <row r="1142" spans="1:69" x14ac:dyDescent="0.2">
      <c r="A1142" s="2" t="s">
        <v>3967</v>
      </c>
      <c r="B1142" s="2" t="s">
        <v>47</v>
      </c>
      <c r="C1142" s="2" t="s">
        <v>3273</v>
      </c>
      <c r="D1142" s="2" t="s">
        <v>49</v>
      </c>
      <c r="E1142" s="2" t="s">
        <v>649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89</v>
      </c>
      <c r="L1142" s="6" t="s">
        <v>103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3968</v>
      </c>
      <c r="R1142" s="2">
        <v>6612903.2259999998</v>
      </c>
      <c r="S1142" s="2">
        <v>0</v>
      </c>
      <c r="T1142" s="2" t="s">
        <v>105</v>
      </c>
      <c r="U1142" s="2" t="s">
        <v>106</v>
      </c>
      <c r="V1142" s="2" t="s">
        <v>56</v>
      </c>
      <c r="W1142" s="2" t="s">
        <v>107</v>
      </c>
      <c r="X1142" s="2" t="s">
        <v>108</v>
      </c>
      <c r="Y1142" s="2">
        <v>2.0089816085161898</v>
      </c>
      <c r="Z1142" s="2">
        <v>2008.9816085161899</v>
      </c>
      <c r="AA1142" s="2">
        <v>4.6254861111111101</v>
      </c>
      <c r="AB1142" s="2">
        <v>-74.066980555555503</v>
      </c>
      <c r="AC1142" s="2">
        <v>2621</v>
      </c>
      <c r="AD1142" s="2">
        <v>15</v>
      </c>
      <c r="AE1142" s="2" t="s">
        <v>59</v>
      </c>
      <c r="AF1142" s="2" t="s">
        <v>60</v>
      </c>
      <c r="AG1142" s="2" t="s">
        <v>61</v>
      </c>
      <c r="AH1142" s="2" t="s">
        <v>62</v>
      </c>
      <c r="AI1142" s="2" t="s">
        <v>63</v>
      </c>
      <c r="AJ1142" s="2">
        <v>5.9718381335886202E-2</v>
      </c>
      <c r="AK1142" s="2">
        <v>0.975803894622991</v>
      </c>
      <c r="AL1142" s="2">
        <v>0.14923886348394599</v>
      </c>
      <c r="AM1142" s="2">
        <v>0.103361648629148</v>
      </c>
      <c r="AN1142" s="2">
        <v>0.86543130210669605</v>
      </c>
      <c r="AO1142" s="2">
        <v>0.31309207214416301</v>
      </c>
      <c r="AP1142" s="2">
        <v>0.31309207214416301</v>
      </c>
      <c r="AQ1142" s="2">
        <v>1</v>
      </c>
      <c r="AR1142" s="2">
        <v>4</v>
      </c>
      <c r="AS1142" s="2">
        <v>0</v>
      </c>
      <c r="AT1142" s="2">
        <v>1</v>
      </c>
      <c r="AU1142" s="2">
        <v>12</v>
      </c>
      <c r="AV1142" s="2">
        <v>157</v>
      </c>
      <c r="AW1142" s="2">
        <v>1</v>
      </c>
      <c r="AX1142" s="2">
        <v>0</v>
      </c>
      <c r="AZ1142" s="2">
        <v>6.8</v>
      </c>
      <c r="BA1142" s="2">
        <v>19.899999999999999</v>
      </c>
      <c r="BB1142" s="2">
        <v>564</v>
      </c>
      <c r="BC1142" s="2">
        <v>68</v>
      </c>
      <c r="BD1142" s="2">
        <v>1.5</v>
      </c>
      <c r="BE1142" s="2">
        <v>135</v>
      </c>
      <c r="BF1142" s="2">
        <v>0.8</v>
      </c>
      <c r="BG1142" s="2">
        <v>162</v>
      </c>
      <c r="BH1142" s="2">
        <v>9.1</v>
      </c>
      <c r="BI1142" s="2">
        <v>9.1999999999999993</v>
      </c>
      <c r="BJ1142" s="2">
        <v>18.3</v>
      </c>
      <c r="BK1142" s="2">
        <v>0.34</v>
      </c>
      <c r="BL1142" s="2">
        <v>7.3</v>
      </c>
      <c r="BM1142" s="2">
        <v>0.9</v>
      </c>
      <c r="BN1142" s="2">
        <v>7.5</v>
      </c>
      <c r="BO1142" s="2">
        <v>2.9</v>
      </c>
      <c r="BP1142" s="2">
        <f t="shared" si="34"/>
        <v>6.156312773275749</v>
      </c>
      <c r="BQ1142" s="2">
        <f t="shared" si="35"/>
        <v>18.963274225314915</v>
      </c>
    </row>
    <row r="1143" spans="1:69" x14ac:dyDescent="0.2">
      <c r="A1143" s="2" t="s">
        <v>4445</v>
      </c>
      <c r="B1143" s="2" t="s">
        <v>47</v>
      </c>
      <c r="C1143" s="2" t="s">
        <v>3273</v>
      </c>
      <c r="D1143" s="2" t="s">
        <v>49</v>
      </c>
      <c r="E1143" s="2" t="s">
        <v>649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89</v>
      </c>
      <c r="L1143" s="6" t="s">
        <v>103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4446</v>
      </c>
      <c r="R1143" s="2">
        <v>6612903.2259999998</v>
      </c>
      <c r="S1143" s="2">
        <v>0</v>
      </c>
      <c r="T1143" s="2" t="s">
        <v>105</v>
      </c>
      <c r="U1143" s="2" t="s">
        <v>106</v>
      </c>
      <c r="V1143" s="2" t="s">
        <v>56</v>
      </c>
      <c r="W1143" s="2" t="s">
        <v>107</v>
      </c>
      <c r="X1143" s="2" t="s">
        <v>108</v>
      </c>
      <c r="Y1143" s="2">
        <v>2.0089816085161898</v>
      </c>
      <c r="Z1143" s="2">
        <v>2008.9816085161899</v>
      </c>
      <c r="AA1143" s="2">
        <v>4.6254861111111101</v>
      </c>
      <c r="AB1143" s="2">
        <v>-74.066980555555503</v>
      </c>
      <c r="AC1143" s="2">
        <v>2621</v>
      </c>
      <c r="AD1143" s="2">
        <v>15</v>
      </c>
      <c r="AE1143" s="2" t="s">
        <v>59</v>
      </c>
      <c r="AF1143" s="2" t="s">
        <v>60</v>
      </c>
      <c r="AG1143" s="2" t="s">
        <v>61</v>
      </c>
      <c r="AH1143" s="2" t="s">
        <v>62</v>
      </c>
      <c r="AI1143" s="2" t="s">
        <v>63</v>
      </c>
      <c r="AJ1143" s="2">
        <v>5.9718381335886202E-2</v>
      </c>
      <c r="AK1143" s="2">
        <v>0.975803894622991</v>
      </c>
      <c r="AL1143" s="2">
        <v>0.14923886348394599</v>
      </c>
      <c r="AM1143" s="2">
        <v>0.103361648629148</v>
      </c>
      <c r="AN1143" s="2">
        <v>0.86543130210669605</v>
      </c>
      <c r="AO1143" s="2">
        <v>0.31309207214416301</v>
      </c>
      <c r="AP1143" s="2">
        <v>0.31309207214416301</v>
      </c>
      <c r="AQ1143" s="2">
        <v>1</v>
      </c>
      <c r="AR1143" s="2">
        <v>4</v>
      </c>
      <c r="AS1143" s="2">
        <v>0</v>
      </c>
      <c r="AT1143" s="2">
        <v>1</v>
      </c>
      <c r="AU1143" s="2">
        <v>12</v>
      </c>
      <c r="AV1143" s="2">
        <v>157</v>
      </c>
      <c r="AW1143" s="2">
        <v>1</v>
      </c>
      <c r="AX1143" s="2">
        <v>0</v>
      </c>
      <c r="AZ1143" s="2">
        <v>6.8</v>
      </c>
      <c r="BA1143" s="2">
        <v>19.899999999999999</v>
      </c>
      <c r="BB1143" s="2">
        <v>564</v>
      </c>
      <c r="BC1143" s="2">
        <v>68</v>
      </c>
      <c r="BD1143" s="2">
        <v>1.5</v>
      </c>
      <c r="BE1143" s="2">
        <v>135</v>
      </c>
      <c r="BF1143" s="2">
        <v>0.8</v>
      </c>
      <c r="BG1143" s="2">
        <v>162</v>
      </c>
      <c r="BH1143" s="2">
        <v>9.1</v>
      </c>
      <c r="BI1143" s="2">
        <v>9.1999999999999993</v>
      </c>
      <c r="BJ1143" s="2">
        <v>18.3</v>
      </c>
      <c r="BK1143" s="2">
        <v>0.34</v>
      </c>
      <c r="BL1143" s="2">
        <v>7.3</v>
      </c>
      <c r="BM1143" s="2">
        <v>0.9</v>
      </c>
      <c r="BN1143" s="2">
        <v>7.5</v>
      </c>
      <c r="BO1143" s="2">
        <v>2.9</v>
      </c>
      <c r="BP1143" s="2">
        <f t="shared" si="34"/>
        <v>6.156312773275749</v>
      </c>
      <c r="BQ1143" s="2">
        <f t="shared" si="35"/>
        <v>18.963274225314915</v>
      </c>
    </row>
    <row r="1144" spans="1:69" x14ac:dyDescent="0.2">
      <c r="A1144" s="2" t="s">
        <v>4556</v>
      </c>
      <c r="B1144" s="2" t="s">
        <v>47</v>
      </c>
      <c r="C1144" s="2" t="s">
        <v>3273</v>
      </c>
      <c r="D1144" s="2" t="s">
        <v>49</v>
      </c>
      <c r="E1144" s="2" t="s">
        <v>63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89</v>
      </c>
      <c r="L1144" s="6" t="s">
        <v>103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4557</v>
      </c>
      <c r="R1144" s="2">
        <v>6596774.1940000001</v>
      </c>
      <c r="S1144" s="2">
        <v>0</v>
      </c>
      <c r="T1144" s="2" t="s">
        <v>105</v>
      </c>
      <c r="U1144" s="2" t="s">
        <v>106</v>
      </c>
      <c r="V1144" s="2" t="s">
        <v>56</v>
      </c>
      <c r="W1144" s="2" t="s">
        <v>107</v>
      </c>
      <c r="X1144" s="2" t="s">
        <v>108</v>
      </c>
      <c r="Y1144" s="2">
        <v>2.0089971689017698</v>
      </c>
      <c r="Z1144" s="2">
        <v>2008.99716890177</v>
      </c>
      <c r="AA1144" s="2">
        <v>4.6254861111111101</v>
      </c>
      <c r="AB1144" s="2">
        <v>-74.066980555555503</v>
      </c>
      <c r="AC1144" s="2">
        <v>2621</v>
      </c>
      <c r="AD1144" s="2">
        <v>15</v>
      </c>
      <c r="AE1144" s="2" t="s">
        <v>59</v>
      </c>
      <c r="AF1144" s="2" t="s">
        <v>60</v>
      </c>
      <c r="AG1144" s="2" t="s">
        <v>61</v>
      </c>
      <c r="AH1144" s="2" t="s">
        <v>62</v>
      </c>
      <c r="AI1144" s="2" t="s">
        <v>63</v>
      </c>
      <c r="AJ1144" s="2">
        <v>5.9637515384078903E-2</v>
      </c>
      <c r="AK1144" s="2">
        <v>0.97550235785640704</v>
      </c>
      <c r="AL1144" s="2">
        <v>0.149365914739581</v>
      </c>
      <c r="AM1144" s="2">
        <v>0.10305359899319599</v>
      </c>
      <c r="AN1144" s="2">
        <v>0.86512410435461695</v>
      </c>
      <c r="AO1144" s="2">
        <v>0.313404422831354</v>
      </c>
      <c r="AP1144" s="2">
        <v>0.313404422831354</v>
      </c>
      <c r="AQ1144" s="2">
        <v>1</v>
      </c>
      <c r="AR1144" s="2">
        <v>4</v>
      </c>
      <c r="AS1144" s="2">
        <v>0</v>
      </c>
      <c r="AT1144" s="2">
        <v>1</v>
      </c>
      <c r="AU1144" s="2">
        <v>12</v>
      </c>
      <c r="AV1144" s="2">
        <v>157</v>
      </c>
      <c r="AW1144" s="2">
        <v>1</v>
      </c>
      <c r="AX1144" s="2">
        <v>0</v>
      </c>
      <c r="AZ1144" s="2">
        <v>6.8</v>
      </c>
      <c r="BA1144" s="2">
        <v>19.899999999999999</v>
      </c>
      <c r="BB1144" s="2">
        <v>564</v>
      </c>
      <c r="BC1144" s="2">
        <v>68</v>
      </c>
      <c r="BD1144" s="2">
        <v>1.5</v>
      </c>
      <c r="BE1144" s="2">
        <v>135</v>
      </c>
      <c r="BF1144" s="2">
        <v>0.8</v>
      </c>
      <c r="BG1144" s="2">
        <v>162</v>
      </c>
      <c r="BH1144" s="2">
        <v>9.1</v>
      </c>
      <c r="BI1144" s="2">
        <v>9.1999999999999993</v>
      </c>
      <c r="BJ1144" s="2">
        <v>18.3</v>
      </c>
      <c r="BK1144" s="2">
        <v>0.34</v>
      </c>
      <c r="BL1144" s="2">
        <v>7.3</v>
      </c>
      <c r="BM1144" s="2">
        <v>0.9</v>
      </c>
      <c r="BN1144" s="2">
        <v>7.5</v>
      </c>
      <c r="BO1144" s="2">
        <v>2.9</v>
      </c>
      <c r="BP1144" s="2">
        <f t="shared" si="34"/>
        <v>6.1563080314448504</v>
      </c>
      <c r="BQ1144" s="2">
        <f t="shared" si="35"/>
        <v>18.963267143495628</v>
      </c>
    </row>
    <row r="1145" spans="1:69" x14ac:dyDescent="0.2">
      <c r="A1145" s="2" t="s">
        <v>1618</v>
      </c>
      <c r="B1145" s="2" t="s">
        <v>47</v>
      </c>
      <c r="C1145" s="2" t="s">
        <v>48</v>
      </c>
      <c r="D1145" s="2" t="s">
        <v>49</v>
      </c>
      <c r="E1145" s="2" t="s">
        <v>1509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51</v>
      </c>
      <c r="L1145" s="6" t="s">
        <v>52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1619</v>
      </c>
      <c r="R1145" s="2">
        <v>11160364.289999999</v>
      </c>
      <c r="S1145" s="2">
        <v>0</v>
      </c>
      <c r="T1145" s="2" t="s">
        <v>105</v>
      </c>
      <c r="U1145" s="2" t="s">
        <v>106</v>
      </c>
      <c r="V1145" s="2" t="s">
        <v>56</v>
      </c>
      <c r="W1145" s="2" t="s">
        <v>107</v>
      </c>
      <c r="X1145" s="2" t="s">
        <v>108</v>
      </c>
      <c r="Y1145" s="2">
        <v>0.477297678444431</v>
      </c>
      <c r="Z1145" s="2">
        <v>477.29767844443103</v>
      </c>
      <c r="AA1145" s="2">
        <v>4.6254861111111101</v>
      </c>
      <c r="AB1145" s="2">
        <v>-74.066980555555503</v>
      </c>
      <c r="AC1145" s="2">
        <v>2621</v>
      </c>
      <c r="AD1145" s="2">
        <v>15</v>
      </c>
      <c r="AE1145" s="2" t="s">
        <v>59</v>
      </c>
      <c r="AF1145" s="2" t="s">
        <v>60</v>
      </c>
      <c r="AG1145" s="2" t="s">
        <v>61</v>
      </c>
      <c r="AH1145" s="2" t="s">
        <v>62</v>
      </c>
      <c r="AI1145" s="2" t="s">
        <v>117</v>
      </c>
      <c r="AJ1145" s="2">
        <v>5.6142650139799702E-2</v>
      </c>
      <c r="AK1145" s="2">
        <v>0.90372310585985105</v>
      </c>
      <c r="AL1145" s="2">
        <v>0.22218264720956099</v>
      </c>
      <c r="AM1145" s="2">
        <v>4.7684081077489601E-2</v>
      </c>
      <c r="AN1145" s="2">
        <v>0.68763354418564704</v>
      </c>
      <c r="AO1145" s="2">
        <v>0.19304280251591199</v>
      </c>
      <c r="AP1145" s="2">
        <v>0.19304280251591199</v>
      </c>
      <c r="AQ1145" s="2">
        <v>2</v>
      </c>
      <c r="AR1145" s="2">
        <v>6</v>
      </c>
      <c r="AS1145" s="2">
        <v>0</v>
      </c>
      <c r="AT1145" s="2">
        <v>3</v>
      </c>
      <c r="AU1145" s="2">
        <v>18</v>
      </c>
      <c r="AV1145" s="2">
        <v>98</v>
      </c>
      <c r="AW1145" s="2">
        <v>2</v>
      </c>
      <c r="AX1145" s="2">
        <v>1</v>
      </c>
      <c r="AZ1145" s="2">
        <v>6.8</v>
      </c>
      <c r="BA1145" s="2">
        <v>19.899999999999999</v>
      </c>
      <c r="BB1145" s="2">
        <v>564</v>
      </c>
      <c r="BC1145" s="2">
        <v>68</v>
      </c>
      <c r="BD1145" s="2">
        <v>1.5</v>
      </c>
      <c r="BE1145" s="2">
        <v>135</v>
      </c>
      <c r="BF1145" s="2">
        <v>0.8</v>
      </c>
      <c r="BG1145" s="2">
        <v>162</v>
      </c>
      <c r="BH1145" s="2">
        <v>9.1</v>
      </c>
      <c r="BI1145" s="2">
        <v>9.1999999999999993</v>
      </c>
      <c r="BJ1145" s="2">
        <v>18.3</v>
      </c>
      <c r="BK1145" s="2">
        <v>0.34</v>
      </c>
      <c r="BL1145" s="2">
        <v>7.3</v>
      </c>
      <c r="BM1145" s="2">
        <v>0.9</v>
      </c>
      <c r="BN1145" s="2">
        <v>7.5</v>
      </c>
      <c r="BO1145" s="2">
        <v>2.9</v>
      </c>
      <c r="BP1145" s="2">
        <f t="shared" si="34"/>
        <v>6.6412246192899369</v>
      </c>
      <c r="BQ1145" s="2">
        <f t="shared" si="35"/>
        <v>19.673343299868097</v>
      </c>
    </row>
    <row r="1146" spans="1:69" x14ac:dyDescent="0.2">
      <c r="A1146" s="2" t="s">
        <v>3949</v>
      </c>
      <c r="B1146" s="2" t="s">
        <v>47</v>
      </c>
      <c r="C1146" s="2" t="s">
        <v>3273</v>
      </c>
      <c r="D1146" s="2" t="s">
        <v>49</v>
      </c>
      <c r="E1146" s="2" t="s">
        <v>927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89</v>
      </c>
      <c r="L1146" s="6" t="s">
        <v>90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3950</v>
      </c>
      <c r="R1146" s="2">
        <v>11922672.720000001</v>
      </c>
      <c r="S1146" s="2">
        <v>0</v>
      </c>
      <c r="T1146" s="2" t="s">
        <v>105</v>
      </c>
      <c r="U1146" s="2" t="s">
        <v>106</v>
      </c>
      <c r="V1146" s="2" t="s">
        <v>56</v>
      </c>
      <c r="W1146" s="2" t="s">
        <v>107</v>
      </c>
      <c r="X1146" s="2" t="s">
        <v>108</v>
      </c>
      <c r="Y1146" s="2">
        <v>1.1015239179115</v>
      </c>
      <c r="Z1146" s="2">
        <v>1101.5239179114999</v>
      </c>
      <c r="AA1146" s="2">
        <v>4.6254861111111101</v>
      </c>
      <c r="AB1146" s="2">
        <v>-74.066980555555503</v>
      </c>
      <c r="AC1146" s="2">
        <v>2621</v>
      </c>
      <c r="AD1146" s="2">
        <v>15</v>
      </c>
      <c r="AE1146" s="2" t="s">
        <v>59</v>
      </c>
      <c r="AF1146" s="2" t="s">
        <v>60</v>
      </c>
      <c r="AG1146" s="2" t="s">
        <v>61</v>
      </c>
      <c r="AH1146" s="2" t="s">
        <v>62</v>
      </c>
      <c r="AI1146" s="2" t="s">
        <v>109</v>
      </c>
      <c r="AJ1146" s="2">
        <v>0.248270327741166</v>
      </c>
      <c r="AK1146" s="2">
        <v>0.731600878017301</v>
      </c>
      <c r="AL1146" s="2">
        <v>0.16345060226298599</v>
      </c>
      <c r="AM1146" s="2">
        <v>4.7015747432402298E-2</v>
      </c>
      <c r="AN1146" s="2">
        <v>0.86922477593762804</v>
      </c>
      <c r="AO1146" s="2">
        <v>0.106999019967031</v>
      </c>
      <c r="AP1146" s="2">
        <v>0.106999019967031</v>
      </c>
      <c r="AQ1146" s="2">
        <v>3</v>
      </c>
      <c r="AR1146" s="2">
        <v>5</v>
      </c>
      <c r="AS1146" s="2">
        <v>0</v>
      </c>
      <c r="AT1146" s="2">
        <v>12</v>
      </c>
      <c r="AU1146" s="2">
        <v>12</v>
      </c>
      <c r="AV1146" s="2">
        <v>176</v>
      </c>
      <c r="AW1146" s="2">
        <v>1</v>
      </c>
      <c r="AX1146" s="2">
        <v>0</v>
      </c>
      <c r="AZ1146" s="2">
        <v>6.8</v>
      </c>
      <c r="BA1146" s="2">
        <v>19.899999999999999</v>
      </c>
      <c r="BB1146" s="2">
        <v>564</v>
      </c>
      <c r="BC1146" s="2">
        <v>68</v>
      </c>
      <c r="BD1146" s="2">
        <v>1.5</v>
      </c>
      <c r="BE1146" s="2">
        <v>135</v>
      </c>
      <c r="BF1146" s="2">
        <v>0.8</v>
      </c>
      <c r="BG1146" s="2">
        <v>162</v>
      </c>
      <c r="BH1146" s="2">
        <v>9.1</v>
      </c>
      <c r="BI1146" s="2">
        <v>9.1999999999999993</v>
      </c>
      <c r="BJ1146" s="2">
        <v>18.3</v>
      </c>
      <c r="BK1146" s="2">
        <v>0.34</v>
      </c>
      <c r="BL1146" s="2">
        <v>7.3</v>
      </c>
      <c r="BM1146" s="2">
        <v>0.9</v>
      </c>
      <c r="BN1146" s="2">
        <v>7.5</v>
      </c>
      <c r="BO1146" s="2">
        <v>2.9</v>
      </c>
      <c r="BP1146" s="2">
        <f t="shared" si="34"/>
        <v>6.4391540851136133</v>
      </c>
      <c r="BQ1146" s="2">
        <f t="shared" si="35"/>
        <v>19.38080527972155</v>
      </c>
    </row>
    <row r="1147" spans="1:69" x14ac:dyDescent="0.2">
      <c r="A1147" s="2" t="s">
        <v>3621</v>
      </c>
      <c r="B1147" s="2" t="s">
        <v>47</v>
      </c>
      <c r="C1147" s="2" t="s">
        <v>3273</v>
      </c>
      <c r="D1147" s="2" t="s">
        <v>49</v>
      </c>
      <c r="E1147" s="2" t="s">
        <v>927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89</v>
      </c>
      <c r="L1147" s="6" t="s">
        <v>90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3622</v>
      </c>
      <c r="R1147" s="2">
        <v>11445767.109999999</v>
      </c>
      <c r="S1147" s="2">
        <v>0</v>
      </c>
      <c r="T1147" s="2" t="s">
        <v>105</v>
      </c>
      <c r="U1147" s="2" t="s">
        <v>106</v>
      </c>
      <c r="V1147" s="2" t="s">
        <v>56</v>
      </c>
      <c r="W1147" s="2" t="s">
        <v>107</v>
      </c>
      <c r="X1147" s="2" t="s">
        <v>108</v>
      </c>
      <c r="Y1147" s="2">
        <v>1.1015239179115</v>
      </c>
      <c r="Z1147" s="2">
        <v>1101.5239179114999</v>
      </c>
      <c r="AA1147" s="2">
        <v>4.6254861111111101</v>
      </c>
      <c r="AB1147" s="2">
        <v>-74.066980555555503</v>
      </c>
      <c r="AC1147" s="2">
        <v>2621</v>
      </c>
      <c r="AD1147" s="2">
        <v>15</v>
      </c>
      <c r="AE1147" s="2" t="s">
        <v>59</v>
      </c>
      <c r="AF1147" s="2" t="s">
        <v>60</v>
      </c>
      <c r="AG1147" s="2" t="s">
        <v>61</v>
      </c>
      <c r="AH1147" s="2" t="s">
        <v>62</v>
      </c>
      <c r="AI1147" s="2" t="s">
        <v>109</v>
      </c>
      <c r="AJ1147" s="2">
        <v>0.248270327741166</v>
      </c>
      <c r="AK1147" s="2">
        <v>0.731600878017301</v>
      </c>
      <c r="AL1147" s="2">
        <v>0.16345060226298599</v>
      </c>
      <c r="AM1147" s="2">
        <v>4.7015747432402298E-2</v>
      </c>
      <c r="AN1147" s="2">
        <v>0.86922477593762804</v>
      </c>
      <c r="AO1147" s="2">
        <v>0.106999019967031</v>
      </c>
      <c r="AP1147" s="2">
        <v>0.106999019967031</v>
      </c>
      <c r="AQ1147" s="2">
        <v>3</v>
      </c>
      <c r="AR1147" s="2">
        <v>5</v>
      </c>
      <c r="AS1147" s="2">
        <v>0</v>
      </c>
      <c r="AT1147" s="2">
        <v>12</v>
      </c>
      <c r="AU1147" s="2">
        <v>12</v>
      </c>
      <c r="AV1147" s="2">
        <v>176</v>
      </c>
      <c r="AW1147" s="2">
        <v>1</v>
      </c>
      <c r="AX1147" s="2">
        <v>0</v>
      </c>
      <c r="AZ1147" s="2">
        <v>6.8</v>
      </c>
      <c r="BA1147" s="2">
        <v>19.899999999999999</v>
      </c>
      <c r="BB1147" s="2">
        <v>564</v>
      </c>
      <c r="BC1147" s="2">
        <v>68</v>
      </c>
      <c r="BD1147" s="2">
        <v>1.5</v>
      </c>
      <c r="BE1147" s="2">
        <v>135</v>
      </c>
      <c r="BF1147" s="2">
        <v>0.8</v>
      </c>
      <c r="BG1147" s="2">
        <v>162</v>
      </c>
      <c r="BH1147" s="2">
        <v>9.1</v>
      </c>
      <c r="BI1147" s="2">
        <v>9.1999999999999993</v>
      </c>
      <c r="BJ1147" s="2">
        <v>18.3</v>
      </c>
      <c r="BK1147" s="2">
        <v>0.34</v>
      </c>
      <c r="BL1147" s="2">
        <v>7.3</v>
      </c>
      <c r="BM1147" s="2">
        <v>0.9</v>
      </c>
      <c r="BN1147" s="2">
        <v>7.5</v>
      </c>
      <c r="BO1147" s="2">
        <v>2.9</v>
      </c>
      <c r="BP1147" s="2">
        <f t="shared" si="34"/>
        <v>6.4391540851136133</v>
      </c>
      <c r="BQ1147" s="2">
        <f t="shared" si="35"/>
        <v>19.38080527972155</v>
      </c>
    </row>
    <row r="1148" spans="1:69" x14ac:dyDescent="0.2">
      <c r="A1148" s="2" t="s">
        <v>3603</v>
      </c>
      <c r="B1148" s="2" t="s">
        <v>47</v>
      </c>
      <c r="C1148" s="2" t="s">
        <v>3273</v>
      </c>
      <c r="D1148" s="2" t="s">
        <v>49</v>
      </c>
      <c r="E1148" s="2" t="s">
        <v>3604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89</v>
      </c>
      <c r="L1148" s="6" t="s">
        <v>90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3605</v>
      </c>
      <c r="R1148" s="2">
        <v>6858262.5729999999</v>
      </c>
      <c r="S1148" s="2">
        <v>0</v>
      </c>
      <c r="T1148" s="2" t="s">
        <v>1822</v>
      </c>
      <c r="U1148" s="2" t="s">
        <v>1823</v>
      </c>
      <c r="V1148" s="2" t="s">
        <v>56</v>
      </c>
      <c r="W1148" s="2" t="s">
        <v>1824</v>
      </c>
      <c r="X1148" s="2" t="s">
        <v>1825</v>
      </c>
      <c r="Y1148" s="2">
        <v>1.5185433069285099</v>
      </c>
      <c r="Z1148" s="2">
        <v>1518.54330692851</v>
      </c>
      <c r="AA1148" s="2">
        <v>4.576225</v>
      </c>
      <c r="AB1148" s="2">
        <v>-74.130955555555502</v>
      </c>
      <c r="AC1148" s="2">
        <v>2589</v>
      </c>
      <c r="AD1148" s="2">
        <v>0</v>
      </c>
      <c r="AE1148" s="2" t="s">
        <v>59</v>
      </c>
      <c r="AF1148" s="2" t="s">
        <v>86</v>
      </c>
      <c r="AG1148" s="2" t="s">
        <v>61</v>
      </c>
      <c r="AH1148" s="2" t="s">
        <v>62</v>
      </c>
      <c r="AI1148" s="2" t="s">
        <v>1826</v>
      </c>
      <c r="AJ1148" s="2">
        <v>0.616197145556173</v>
      </c>
      <c r="AK1148" s="2">
        <v>5.6876877128475698</v>
      </c>
      <c r="AL1148" s="2">
        <v>0.75526067598862301</v>
      </c>
      <c r="AM1148" s="2">
        <v>0.231431261696422</v>
      </c>
      <c r="AN1148" s="2">
        <v>1.0003001003041401</v>
      </c>
      <c r="AO1148" s="2">
        <v>0.23573997558851201</v>
      </c>
      <c r="AP1148" s="2">
        <v>0.23573997558851201</v>
      </c>
      <c r="AQ1148" s="2">
        <v>0</v>
      </c>
      <c r="AR1148" s="2">
        <v>2</v>
      </c>
      <c r="AS1148" s="2">
        <v>0</v>
      </c>
      <c r="AT1148" s="2">
        <v>0</v>
      </c>
      <c r="AU1148" s="2">
        <v>1</v>
      </c>
      <c r="AV1148" s="2">
        <v>26</v>
      </c>
      <c r="AW1148" s="2">
        <v>0</v>
      </c>
      <c r="AX1148" s="2">
        <v>0</v>
      </c>
      <c r="AZ1148" s="2">
        <v>6.8</v>
      </c>
      <c r="BA1148" s="2">
        <v>19.899999999999999</v>
      </c>
      <c r="BB1148" s="2">
        <v>564</v>
      </c>
      <c r="BC1148" s="2">
        <v>68</v>
      </c>
      <c r="BD1148" s="2">
        <v>1.5</v>
      </c>
      <c r="BE1148" s="2">
        <v>135</v>
      </c>
      <c r="BF1148" s="2">
        <v>0.8</v>
      </c>
      <c r="BG1148" s="2">
        <v>162</v>
      </c>
      <c r="BH1148" s="2">
        <v>9.1</v>
      </c>
      <c r="BI1148" s="2">
        <v>9.1999999999999993</v>
      </c>
      <c r="BJ1148" s="2">
        <v>18.3</v>
      </c>
      <c r="BK1148" s="2">
        <v>0.34</v>
      </c>
      <c r="BL1148" s="2">
        <v>7.3</v>
      </c>
      <c r="BM1148" s="2">
        <v>0.9</v>
      </c>
      <c r="BN1148" s="2">
        <v>7.5</v>
      </c>
      <c r="BO1148" s="2">
        <v>2.9</v>
      </c>
      <c r="BP1148" s="2">
        <f t="shared" si="34"/>
        <v>6.3075966124400233</v>
      </c>
      <c r="BQ1148" s="2">
        <f t="shared" si="35"/>
        <v>19.187800613238672</v>
      </c>
    </row>
    <row r="1149" spans="1:69" x14ac:dyDescent="0.2">
      <c r="A1149" s="2" t="s">
        <v>3515</v>
      </c>
      <c r="B1149" s="2" t="s">
        <v>47</v>
      </c>
      <c r="C1149" s="2" t="s">
        <v>3273</v>
      </c>
      <c r="D1149" s="2" t="s">
        <v>49</v>
      </c>
      <c r="E1149" s="2" t="s">
        <v>109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89</v>
      </c>
      <c r="L1149" s="6" t="s">
        <v>90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3516</v>
      </c>
      <c r="R1149" s="2">
        <v>9105960.2650000006</v>
      </c>
      <c r="S1149" s="2">
        <v>0</v>
      </c>
      <c r="T1149" s="2" t="s">
        <v>105</v>
      </c>
      <c r="U1149" s="2" t="s">
        <v>106</v>
      </c>
      <c r="V1149" s="2" t="s">
        <v>56</v>
      </c>
      <c r="W1149" s="2" t="s">
        <v>107</v>
      </c>
      <c r="X1149" s="2" t="s">
        <v>108</v>
      </c>
      <c r="Y1149" s="2">
        <v>2.5034583567811999</v>
      </c>
      <c r="Z1149" s="2">
        <v>2503.4583567812001</v>
      </c>
      <c r="AA1149" s="2">
        <v>4.6254861111111101</v>
      </c>
      <c r="AB1149" s="2">
        <v>-74.066980555555503</v>
      </c>
      <c r="AC1149" s="2">
        <v>2621</v>
      </c>
      <c r="AD1149" s="2">
        <v>15</v>
      </c>
      <c r="AE1149" s="2" t="s">
        <v>59</v>
      </c>
      <c r="AF1149" s="2" t="s">
        <v>60</v>
      </c>
      <c r="AG1149" s="2" t="s">
        <v>61</v>
      </c>
      <c r="AH1149" s="2" t="s">
        <v>62</v>
      </c>
      <c r="AI1149" s="2" t="s">
        <v>109</v>
      </c>
      <c r="AJ1149" s="2">
        <v>1.2017817000808899</v>
      </c>
      <c r="AK1149" s="2">
        <v>0.15041522717057601</v>
      </c>
      <c r="AL1149" s="2">
        <v>0.58559663119874805</v>
      </c>
      <c r="AM1149" s="2">
        <v>0.252845426258689</v>
      </c>
      <c r="AN1149" s="2">
        <v>0.50492234318658502</v>
      </c>
      <c r="AO1149" s="2">
        <v>0.33080019019658502</v>
      </c>
      <c r="AP1149" s="2">
        <v>0.33080019019658502</v>
      </c>
      <c r="AQ1149" s="2">
        <v>0</v>
      </c>
      <c r="AR1149" s="2">
        <v>0</v>
      </c>
      <c r="AS1149" s="2">
        <v>18</v>
      </c>
      <c r="AT1149" s="2">
        <v>56</v>
      </c>
      <c r="AU1149" s="2">
        <v>5</v>
      </c>
      <c r="AV1149" s="2">
        <v>23</v>
      </c>
      <c r="AW1149" s="2">
        <v>1</v>
      </c>
      <c r="AX1149" s="2">
        <v>0</v>
      </c>
      <c r="AZ1149" s="2">
        <v>6.8</v>
      </c>
      <c r="BA1149" s="2">
        <v>19.899999999999999</v>
      </c>
      <c r="BB1149" s="2">
        <v>564</v>
      </c>
      <c r="BC1149" s="2">
        <v>68</v>
      </c>
      <c r="BD1149" s="2">
        <v>1.5</v>
      </c>
      <c r="BE1149" s="2">
        <v>135</v>
      </c>
      <c r="BF1149" s="2">
        <v>0.8</v>
      </c>
      <c r="BG1149" s="2">
        <v>162</v>
      </c>
      <c r="BH1149" s="2">
        <v>9.1</v>
      </c>
      <c r="BI1149" s="2">
        <v>9.1999999999999993</v>
      </c>
      <c r="BJ1149" s="2">
        <v>18.3</v>
      </c>
      <c r="BK1149" s="2">
        <v>0.34</v>
      </c>
      <c r="BL1149" s="2">
        <v>7.3</v>
      </c>
      <c r="BM1149" s="2">
        <v>0.9</v>
      </c>
      <c r="BN1149" s="2">
        <v>7.5</v>
      </c>
      <c r="BO1149" s="2">
        <v>2.9</v>
      </c>
      <c r="BP1149" s="2">
        <f t="shared" si="34"/>
        <v>6.0074563550276681</v>
      </c>
      <c r="BQ1149" s="2">
        <f t="shared" si="35"/>
        <v>18.739558759852745</v>
      </c>
    </row>
    <row r="1150" spans="1:69" x14ac:dyDescent="0.2">
      <c r="A1150" s="2" t="s">
        <v>1728</v>
      </c>
      <c r="B1150" s="2" t="s">
        <v>47</v>
      </c>
      <c r="C1150" s="2" t="s">
        <v>48</v>
      </c>
      <c r="D1150" s="2" t="s">
        <v>49</v>
      </c>
      <c r="E1150" s="2" t="s">
        <v>1509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51</v>
      </c>
      <c r="L1150" s="6" t="s">
        <v>52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1729</v>
      </c>
      <c r="R1150" s="2">
        <v>11234796.25</v>
      </c>
      <c r="S1150" s="2">
        <v>0</v>
      </c>
      <c r="T1150" s="2" t="s">
        <v>105</v>
      </c>
      <c r="U1150" s="2" t="s">
        <v>106</v>
      </c>
      <c r="V1150" s="2" t="s">
        <v>56</v>
      </c>
      <c r="W1150" s="2" t="s">
        <v>107</v>
      </c>
      <c r="X1150" s="2" t="s">
        <v>108</v>
      </c>
      <c r="Y1150" s="2">
        <v>0.477297678444431</v>
      </c>
      <c r="Z1150" s="2">
        <v>477.29767844443103</v>
      </c>
      <c r="AA1150" s="2">
        <v>4.6254861111111101</v>
      </c>
      <c r="AB1150" s="2">
        <v>-74.066980555555503</v>
      </c>
      <c r="AC1150" s="2">
        <v>2621</v>
      </c>
      <c r="AD1150" s="2">
        <v>15</v>
      </c>
      <c r="AE1150" s="2" t="s">
        <v>59</v>
      </c>
      <c r="AF1150" s="2" t="s">
        <v>60</v>
      </c>
      <c r="AG1150" s="2" t="s">
        <v>61</v>
      </c>
      <c r="AH1150" s="2" t="s">
        <v>62</v>
      </c>
      <c r="AI1150" s="2" t="s">
        <v>117</v>
      </c>
      <c r="AJ1150" s="2">
        <v>5.6142650139799702E-2</v>
      </c>
      <c r="AK1150" s="2">
        <v>0.90372310585985105</v>
      </c>
      <c r="AL1150" s="2">
        <v>0.22218264720956099</v>
      </c>
      <c r="AM1150" s="2">
        <v>4.7684081077489601E-2</v>
      </c>
      <c r="AN1150" s="2">
        <v>0.68763354418564704</v>
      </c>
      <c r="AO1150" s="2">
        <v>0.19304280251591199</v>
      </c>
      <c r="AP1150" s="2">
        <v>0.19304280251591199</v>
      </c>
      <c r="AQ1150" s="2">
        <v>2</v>
      </c>
      <c r="AR1150" s="2">
        <v>6</v>
      </c>
      <c r="AS1150" s="2">
        <v>0</v>
      </c>
      <c r="AT1150" s="2">
        <v>3</v>
      </c>
      <c r="AU1150" s="2">
        <v>18</v>
      </c>
      <c r="AV1150" s="2">
        <v>98</v>
      </c>
      <c r="AW1150" s="2">
        <v>2</v>
      </c>
      <c r="AX1150" s="2">
        <v>1</v>
      </c>
      <c r="AZ1150" s="2">
        <v>6.8</v>
      </c>
      <c r="BA1150" s="2">
        <v>19.899999999999999</v>
      </c>
      <c r="BB1150" s="2">
        <v>564</v>
      </c>
      <c r="BC1150" s="2">
        <v>68</v>
      </c>
      <c r="BD1150" s="2">
        <v>1.5</v>
      </c>
      <c r="BE1150" s="2">
        <v>135</v>
      </c>
      <c r="BF1150" s="2">
        <v>0.8</v>
      </c>
      <c r="BG1150" s="2">
        <v>162</v>
      </c>
      <c r="BH1150" s="2">
        <v>9.1</v>
      </c>
      <c r="BI1150" s="2">
        <v>9.1999999999999993</v>
      </c>
      <c r="BJ1150" s="2">
        <v>18.3</v>
      </c>
      <c r="BK1150" s="2">
        <v>0.34</v>
      </c>
      <c r="BL1150" s="2">
        <v>7.3</v>
      </c>
      <c r="BM1150" s="2">
        <v>0.9</v>
      </c>
      <c r="BN1150" s="2">
        <v>7.5</v>
      </c>
      <c r="BO1150" s="2">
        <v>2.9</v>
      </c>
      <c r="BP1150" s="2">
        <f t="shared" si="34"/>
        <v>6.6412246192899369</v>
      </c>
      <c r="BQ1150" s="2">
        <f t="shared" si="35"/>
        <v>19.673343299868097</v>
      </c>
    </row>
    <row r="1151" spans="1:69" x14ac:dyDescent="0.2">
      <c r="A1151" s="2" t="s">
        <v>3742</v>
      </c>
      <c r="B1151" s="2" t="s">
        <v>47</v>
      </c>
      <c r="C1151" s="2" t="s">
        <v>3273</v>
      </c>
      <c r="D1151" s="2" t="s">
        <v>49</v>
      </c>
      <c r="E1151" s="2" t="s">
        <v>606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89</v>
      </c>
      <c r="L1151" s="6" t="s">
        <v>112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3743</v>
      </c>
      <c r="R1151" s="2">
        <v>6900000</v>
      </c>
      <c r="S1151" s="2">
        <v>0</v>
      </c>
      <c r="T1151" s="2" t="s">
        <v>398</v>
      </c>
      <c r="U1151" s="2" t="s">
        <v>399</v>
      </c>
      <c r="V1151" s="2" t="s">
        <v>56</v>
      </c>
      <c r="W1151" s="2" t="s">
        <v>57</v>
      </c>
      <c r="X1151" s="2" t="s">
        <v>400</v>
      </c>
      <c r="Y1151" s="2">
        <v>1.7524925789574299</v>
      </c>
      <c r="Z1151" s="2">
        <v>1752.4925789574299</v>
      </c>
      <c r="AA1151" s="2">
        <v>4.7358055555555598</v>
      </c>
      <c r="AB1151" s="2">
        <v>-74.125888888888895</v>
      </c>
      <c r="AC1151" s="2">
        <v>2574</v>
      </c>
      <c r="AD1151" s="2">
        <v>0</v>
      </c>
      <c r="AE1151" s="2" t="s">
        <v>133</v>
      </c>
      <c r="AF1151" s="2" t="s">
        <v>86</v>
      </c>
      <c r="AG1151" s="2" t="s">
        <v>61</v>
      </c>
      <c r="AH1151" s="2" t="s">
        <v>62</v>
      </c>
      <c r="AI1151" s="2" t="s">
        <v>391</v>
      </c>
      <c r="AJ1151" s="2">
        <v>3.3073623583344101</v>
      </c>
      <c r="AK1151" s="2">
        <v>0.110341110390017</v>
      </c>
      <c r="AL1151" s="2">
        <v>4.6835955212587903</v>
      </c>
      <c r="AM1151" s="2">
        <v>1.0768637000122101</v>
      </c>
      <c r="AN1151" s="2">
        <v>3.2916947682640898</v>
      </c>
      <c r="AO1151" s="2">
        <v>0.14174153864396499</v>
      </c>
      <c r="AP1151" s="2">
        <v>0.14174153864396499</v>
      </c>
      <c r="AQ1151" s="2">
        <v>0</v>
      </c>
      <c r="AR1151" s="2">
        <v>0</v>
      </c>
      <c r="AS1151" s="2">
        <v>8</v>
      </c>
      <c r="AT1151" s="2">
        <v>18</v>
      </c>
      <c r="AU1151" s="2">
        <v>0</v>
      </c>
      <c r="AV1151" s="2">
        <v>0</v>
      </c>
      <c r="AW1151" s="2">
        <v>0</v>
      </c>
      <c r="AX1151" s="2">
        <v>0</v>
      </c>
      <c r="AZ1151" s="2">
        <v>6.8</v>
      </c>
      <c r="BA1151" s="2">
        <v>19.899999999999999</v>
      </c>
      <c r="BB1151" s="2">
        <v>564</v>
      </c>
      <c r="BC1151" s="2">
        <v>68</v>
      </c>
      <c r="BD1151" s="2">
        <v>1.5</v>
      </c>
      <c r="BE1151" s="2">
        <v>135</v>
      </c>
      <c r="BF1151" s="2">
        <v>0.8</v>
      </c>
      <c r="BG1151" s="2">
        <v>162</v>
      </c>
      <c r="BH1151" s="2">
        <v>9.1</v>
      </c>
      <c r="BI1151" s="2">
        <v>9.1999999999999993</v>
      </c>
      <c r="BJ1151" s="2">
        <v>18.3</v>
      </c>
      <c r="BK1151" s="2">
        <v>0.34</v>
      </c>
      <c r="BL1151" s="2">
        <v>7.3</v>
      </c>
      <c r="BM1151" s="2">
        <v>0.9</v>
      </c>
      <c r="BN1151" s="2">
        <v>7.5</v>
      </c>
      <c r="BO1151" s="2">
        <v>2.9</v>
      </c>
      <c r="BP1151" s="2">
        <f t="shared" si="34"/>
        <v>6.2349728802510329</v>
      </c>
      <c r="BQ1151" s="2">
        <f t="shared" si="35"/>
        <v>19.080367175529371</v>
      </c>
    </row>
    <row r="1152" spans="1:69" x14ac:dyDescent="0.2">
      <c r="A1152" s="2" t="s">
        <v>4498</v>
      </c>
      <c r="B1152" s="2" t="s">
        <v>47</v>
      </c>
      <c r="C1152" s="2" t="s">
        <v>3273</v>
      </c>
      <c r="D1152" s="2" t="s">
        <v>49</v>
      </c>
      <c r="E1152" s="2" t="s">
        <v>115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89</v>
      </c>
      <c r="L1152" s="6" t="s">
        <v>90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4499</v>
      </c>
      <c r="R1152" s="2">
        <v>11000000</v>
      </c>
      <c r="S1152" s="2">
        <v>0</v>
      </c>
      <c r="T1152" s="2" t="s">
        <v>105</v>
      </c>
      <c r="U1152" s="2" t="s">
        <v>106</v>
      </c>
      <c r="V1152" s="2" t="s">
        <v>56</v>
      </c>
      <c r="W1152" s="2" t="s">
        <v>107</v>
      </c>
      <c r="X1152" s="2" t="s">
        <v>108</v>
      </c>
      <c r="Y1152" s="2">
        <v>0.48223358546770301</v>
      </c>
      <c r="Z1152" s="2">
        <v>482.23358546770299</v>
      </c>
      <c r="AA1152" s="2">
        <v>4.6254861111111101</v>
      </c>
      <c r="AB1152" s="2">
        <v>-74.066980555555503</v>
      </c>
      <c r="AC1152" s="2">
        <v>2621</v>
      </c>
      <c r="AD1152" s="2">
        <v>15</v>
      </c>
      <c r="AE1152" s="2" t="s">
        <v>59</v>
      </c>
      <c r="AF1152" s="2" t="s">
        <v>60</v>
      </c>
      <c r="AG1152" s="2" t="s">
        <v>61</v>
      </c>
      <c r="AH1152" s="2" t="s">
        <v>62</v>
      </c>
      <c r="AI1152" s="2" t="s">
        <v>117</v>
      </c>
      <c r="AJ1152" s="2">
        <v>5.2721842452662801E-2</v>
      </c>
      <c r="AK1152" s="2">
        <v>0.90329993622719795</v>
      </c>
      <c r="AL1152" s="2">
        <v>0.226179852982476</v>
      </c>
      <c r="AM1152" s="2">
        <v>4.3319566646475703E-2</v>
      </c>
      <c r="AN1152" s="2">
        <v>0.69288320367224399</v>
      </c>
      <c r="AO1152" s="2">
        <v>0.18836316657674701</v>
      </c>
      <c r="AP1152" s="2">
        <v>0.18836316657674701</v>
      </c>
      <c r="AQ1152" s="2">
        <v>2</v>
      </c>
      <c r="AR1152" s="2">
        <v>6</v>
      </c>
      <c r="AS1152" s="2">
        <v>0</v>
      </c>
      <c r="AT1152" s="2">
        <v>3</v>
      </c>
      <c r="AU1152" s="2">
        <v>18</v>
      </c>
      <c r="AV1152" s="2">
        <v>98</v>
      </c>
      <c r="AW1152" s="2">
        <v>2</v>
      </c>
      <c r="AX1152" s="2">
        <v>1</v>
      </c>
      <c r="AZ1152" s="2">
        <v>6.8</v>
      </c>
      <c r="BA1152" s="2">
        <v>19.899999999999999</v>
      </c>
      <c r="BB1152" s="2">
        <v>564</v>
      </c>
      <c r="BC1152" s="2">
        <v>68</v>
      </c>
      <c r="BD1152" s="2">
        <v>1.5</v>
      </c>
      <c r="BE1152" s="2">
        <v>135</v>
      </c>
      <c r="BF1152" s="2">
        <v>0.8</v>
      </c>
      <c r="BG1152" s="2">
        <v>162</v>
      </c>
      <c r="BH1152" s="2">
        <v>9.1</v>
      </c>
      <c r="BI1152" s="2">
        <v>9.1999999999999993</v>
      </c>
      <c r="BJ1152" s="2">
        <v>18.3</v>
      </c>
      <c r="BK1152" s="2">
        <v>0.34</v>
      </c>
      <c r="BL1152" s="2">
        <v>7.3</v>
      </c>
      <c r="BM1152" s="2">
        <v>0.9</v>
      </c>
      <c r="BN1152" s="2">
        <v>7.5</v>
      </c>
      <c r="BO1152" s="2">
        <v>2.9</v>
      </c>
      <c r="BP1152" s="2">
        <f t="shared" si="34"/>
        <v>6.6396021843722055</v>
      </c>
      <c r="BQ1152" s="2">
        <f t="shared" si="35"/>
        <v>19.671012898861775</v>
      </c>
    </row>
    <row r="1153" spans="1:69" x14ac:dyDescent="0.2">
      <c r="A1153" s="2" t="s">
        <v>3439</v>
      </c>
      <c r="B1153" s="2" t="s">
        <v>47</v>
      </c>
      <c r="C1153" s="2" t="s">
        <v>3273</v>
      </c>
      <c r="D1153" s="2" t="s">
        <v>49</v>
      </c>
      <c r="E1153" s="2" t="s">
        <v>2500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89</v>
      </c>
      <c r="L1153" s="6" t="s">
        <v>90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3440</v>
      </c>
      <c r="R1153" s="2">
        <v>10333333.33</v>
      </c>
      <c r="S1153" s="2">
        <v>0</v>
      </c>
      <c r="T1153" s="2" t="s">
        <v>54</v>
      </c>
      <c r="U1153" s="2" t="s">
        <v>55</v>
      </c>
      <c r="V1153" s="2" t="s">
        <v>56</v>
      </c>
      <c r="W1153" s="2" t="s">
        <v>57</v>
      </c>
      <c r="X1153" s="2" t="s">
        <v>58</v>
      </c>
      <c r="Y1153" s="2">
        <v>3.35754895549637</v>
      </c>
      <c r="Z1153" s="2">
        <v>3357.5489554963701</v>
      </c>
      <c r="AA1153" s="2">
        <v>4.6584666666666701</v>
      </c>
      <c r="AB1153" s="2">
        <v>-74.083966666666697</v>
      </c>
      <c r="AC1153" s="2">
        <v>2552</v>
      </c>
      <c r="AD1153" s="2">
        <v>0</v>
      </c>
      <c r="AE1153" s="2" t="s">
        <v>59</v>
      </c>
      <c r="AF1153" s="2" t="s">
        <v>60</v>
      </c>
      <c r="AG1153" s="2" t="s">
        <v>61</v>
      </c>
      <c r="AH1153" s="2" t="s">
        <v>62</v>
      </c>
      <c r="AI1153" s="2" t="s">
        <v>321</v>
      </c>
      <c r="AJ1153" s="2">
        <v>0.18343993801799599</v>
      </c>
      <c r="AK1153" s="2">
        <v>2.12071390569852</v>
      </c>
      <c r="AL1153" s="2">
        <v>0.26935233367577999</v>
      </c>
      <c r="AM1153" s="2">
        <v>3.8144404175971099E-2</v>
      </c>
      <c r="AN1153" s="2">
        <v>2.42897129735772</v>
      </c>
      <c r="AO1153" s="2">
        <v>0.37353912656826499</v>
      </c>
      <c r="AP1153" s="2">
        <v>0.37353912656826499</v>
      </c>
      <c r="AQ1153" s="2">
        <v>2</v>
      </c>
      <c r="AR1153" s="2">
        <v>9</v>
      </c>
      <c r="AS1153" s="2">
        <v>0</v>
      </c>
      <c r="AT1153" s="2">
        <v>0</v>
      </c>
      <c r="AU1153" s="2">
        <v>1</v>
      </c>
      <c r="AV1153" s="2">
        <v>299</v>
      </c>
      <c r="AW1153" s="2">
        <v>0</v>
      </c>
      <c r="AX1153" s="2">
        <v>0</v>
      </c>
      <c r="AZ1153" s="2">
        <v>6.8</v>
      </c>
      <c r="BA1153" s="2">
        <v>19.899999999999999</v>
      </c>
      <c r="BB1153" s="2">
        <v>564</v>
      </c>
      <c r="BC1153" s="2">
        <v>68</v>
      </c>
      <c r="BD1153" s="2">
        <v>1.5</v>
      </c>
      <c r="BE1153" s="2">
        <v>135</v>
      </c>
      <c r="BF1153" s="2">
        <v>0.8</v>
      </c>
      <c r="BG1153" s="2">
        <v>162</v>
      </c>
      <c r="BH1153" s="2">
        <v>9.1</v>
      </c>
      <c r="BI1153" s="2">
        <v>9.1999999999999993</v>
      </c>
      <c r="BJ1153" s="2">
        <v>18.3</v>
      </c>
      <c r="BK1153" s="2">
        <v>0.34</v>
      </c>
      <c r="BL1153" s="2">
        <v>7.3</v>
      </c>
      <c r="BM1153" s="2">
        <v>0.9</v>
      </c>
      <c r="BN1153" s="2">
        <v>7.5</v>
      </c>
      <c r="BO1153" s="2">
        <v>2.9</v>
      </c>
      <c r="BP1153" s="2">
        <f t="shared" si="34"/>
        <v>5.7587701649722094</v>
      </c>
      <c r="BQ1153" s="2">
        <f t="shared" si="35"/>
        <v>18.359342202473623</v>
      </c>
    </row>
    <row r="1154" spans="1:69" x14ac:dyDescent="0.2">
      <c r="A1154" s="2" t="s">
        <v>4343</v>
      </c>
      <c r="B1154" s="2" t="s">
        <v>47</v>
      </c>
      <c r="C1154" s="2" t="s">
        <v>3273</v>
      </c>
      <c r="D1154" s="2" t="s">
        <v>49</v>
      </c>
      <c r="E1154" s="2" t="s">
        <v>52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89</v>
      </c>
      <c r="L1154" s="6" t="s">
        <v>112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4344</v>
      </c>
      <c r="R1154" s="2">
        <v>9333333.3330000006</v>
      </c>
      <c r="S1154" s="2">
        <v>0</v>
      </c>
      <c r="T1154" s="2" t="s">
        <v>54</v>
      </c>
      <c r="U1154" s="2" t="s">
        <v>55</v>
      </c>
      <c r="V1154" s="2" t="s">
        <v>56</v>
      </c>
      <c r="W1154" s="2" t="s">
        <v>57</v>
      </c>
      <c r="X1154" s="2" t="s">
        <v>58</v>
      </c>
      <c r="Y1154" s="2">
        <v>2.2750565846743398</v>
      </c>
      <c r="Z1154" s="2">
        <v>2275.0565846743398</v>
      </c>
      <c r="AA1154" s="2">
        <v>4.6584666666666701</v>
      </c>
      <c r="AB1154" s="2">
        <v>-74.083966666666697</v>
      </c>
      <c r="AC1154" s="2">
        <v>2552</v>
      </c>
      <c r="AD1154" s="2">
        <v>0</v>
      </c>
      <c r="AE1154" s="2" t="s">
        <v>59</v>
      </c>
      <c r="AF1154" s="2" t="s">
        <v>60</v>
      </c>
      <c r="AG1154" s="2" t="s">
        <v>61</v>
      </c>
      <c r="AH1154" s="2" t="s">
        <v>62</v>
      </c>
      <c r="AI1154" s="2" t="s">
        <v>63</v>
      </c>
      <c r="AJ1154" s="2">
        <v>0.39212266538408203</v>
      </c>
      <c r="AK1154" s="2">
        <v>1.26215438443646</v>
      </c>
      <c r="AL1154" s="2">
        <v>0.19333355936312499</v>
      </c>
      <c r="AM1154" s="2">
        <v>9.2645351859851996E-2</v>
      </c>
      <c r="AN1154" s="2">
        <v>1.1436077933409501</v>
      </c>
      <c r="AO1154" s="2">
        <v>6.9651924134253002E-2</v>
      </c>
      <c r="AP1154" s="2">
        <v>6.9651924134253002E-2</v>
      </c>
      <c r="AQ1154" s="2">
        <v>2</v>
      </c>
      <c r="AR1154" s="2">
        <v>4</v>
      </c>
      <c r="AS1154" s="2">
        <v>0</v>
      </c>
      <c r="AT1154" s="2">
        <v>0</v>
      </c>
      <c r="AU1154" s="2">
        <v>13</v>
      </c>
      <c r="AV1154" s="2">
        <v>121</v>
      </c>
      <c r="AW1154" s="2">
        <v>0</v>
      </c>
      <c r="AX1154" s="2">
        <v>0</v>
      </c>
      <c r="AZ1154" s="2">
        <v>6.8</v>
      </c>
      <c r="BA1154" s="2">
        <v>19.899999999999999</v>
      </c>
      <c r="BB1154" s="2">
        <v>564</v>
      </c>
      <c r="BC1154" s="2">
        <v>68</v>
      </c>
      <c r="BD1154" s="2">
        <v>1.5</v>
      </c>
      <c r="BE1154" s="2">
        <v>135</v>
      </c>
      <c r="BF1154" s="2">
        <v>0.8</v>
      </c>
      <c r="BG1154" s="2">
        <v>162</v>
      </c>
      <c r="BH1154" s="2">
        <v>9.1</v>
      </c>
      <c r="BI1154" s="2">
        <v>9.1999999999999993</v>
      </c>
      <c r="BJ1154" s="2">
        <v>18.3</v>
      </c>
      <c r="BK1154" s="2">
        <v>0.34</v>
      </c>
      <c r="BL1154" s="2">
        <v>7.3</v>
      </c>
      <c r="BM1154" s="2">
        <v>0.9</v>
      </c>
      <c r="BN1154" s="2">
        <v>7.5</v>
      </c>
      <c r="BO1154" s="2">
        <v>2.9</v>
      </c>
      <c r="BP1154" s="2">
        <f t="shared" ref="BP1154:BP1217" si="36">+AZ1154*EXP(-0.0495*Y1154)</f>
        <v>6.0757613789432439</v>
      </c>
      <c r="BQ1154" s="2">
        <f t="shared" ref="BQ1154:BQ1217" si="37">+BA1154*EXP(-0.024*Y1154)</f>
        <v>18.842564384231078</v>
      </c>
    </row>
    <row r="1155" spans="1:69" x14ac:dyDescent="0.2">
      <c r="A1155" s="2" t="s">
        <v>3630</v>
      </c>
      <c r="B1155" s="2" t="s">
        <v>47</v>
      </c>
      <c r="C1155" s="2" t="s">
        <v>3273</v>
      </c>
      <c r="D1155" s="2" t="s">
        <v>49</v>
      </c>
      <c r="E1155" s="2" t="s">
        <v>3631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89</v>
      </c>
      <c r="L1155" s="6" t="s">
        <v>90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3632</v>
      </c>
      <c r="R1155" s="2">
        <v>9333333.3330000006</v>
      </c>
      <c r="S1155" s="2">
        <v>0</v>
      </c>
      <c r="T1155" s="2" t="s">
        <v>105</v>
      </c>
      <c r="U1155" s="2" t="s">
        <v>106</v>
      </c>
      <c r="V1155" s="2" t="s">
        <v>56</v>
      </c>
      <c r="W1155" s="2" t="s">
        <v>107</v>
      </c>
      <c r="X1155" s="2" t="s">
        <v>108</v>
      </c>
      <c r="Y1155" s="2">
        <v>1.27197604734682</v>
      </c>
      <c r="Z1155" s="2">
        <v>1271.97604734682</v>
      </c>
      <c r="AA1155" s="2">
        <v>4.6254861111111101</v>
      </c>
      <c r="AB1155" s="2">
        <v>-74.066980555555503</v>
      </c>
      <c r="AC1155" s="2">
        <v>2621</v>
      </c>
      <c r="AD1155" s="2">
        <v>15</v>
      </c>
      <c r="AE1155" s="2" t="s">
        <v>59</v>
      </c>
      <c r="AF1155" s="2" t="s">
        <v>60</v>
      </c>
      <c r="AG1155" s="2" t="s">
        <v>61</v>
      </c>
      <c r="AH1155" s="2" t="s">
        <v>62</v>
      </c>
      <c r="AI1155" s="2" t="s">
        <v>117</v>
      </c>
      <c r="AJ1155" s="2">
        <v>0.46232666883041301</v>
      </c>
      <c r="AK1155" s="2">
        <v>0.13882543005643799</v>
      </c>
      <c r="AL1155" s="2">
        <v>0.415681217613871</v>
      </c>
      <c r="AM1155" s="2">
        <v>0.426270848172626</v>
      </c>
      <c r="AN1155" s="2">
        <v>0.17684158889575599</v>
      </c>
      <c r="AO1155" s="2">
        <v>0.18518585171906299</v>
      </c>
      <c r="AP1155" s="2">
        <v>0.18518585171906299</v>
      </c>
      <c r="AQ1155" s="2">
        <v>1</v>
      </c>
      <c r="AR1155" s="2">
        <v>4</v>
      </c>
      <c r="AS1155" s="2">
        <v>1</v>
      </c>
      <c r="AT1155" s="2">
        <v>29</v>
      </c>
      <c r="AU1155" s="2">
        <v>8</v>
      </c>
      <c r="AV1155" s="2">
        <v>27</v>
      </c>
      <c r="AW1155" s="2">
        <v>1</v>
      </c>
      <c r="AX1155" s="2">
        <v>4</v>
      </c>
      <c r="AZ1155" s="2">
        <v>6.8</v>
      </c>
      <c r="BA1155" s="2">
        <v>19.899999999999999</v>
      </c>
      <c r="BB1155" s="2">
        <v>564</v>
      </c>
      <c r="BC1155" s="2">
        <v>68</v>
      </c>
      <c r="BD1155" s="2">
        <v>1.5</v>
      </c>
      <c r="BE1155" s="2">
        <v>135</v>
      </c>
      <c r="BF1155" s="2">
        <v>0.8</v>
      </c>
      <c r="BG1155" s="2">
        <v>162</v>
      </c>
      <c r="BH1155" s="2">
        <v>9.1</v>
      </c>
      <c r="BI1155" s="2">
        <v>9.1999999999999993</v>
      </c>
      <c r="BJ1155" s="2">
        <v>18.3</v>
      </c>
      <c r="BK1155" s="2">
        <v>0.34</v>
      </c>
      <c r="BL1155" s="2">
        <v>7.3</v>
      </c>
      <c r="BM1155" s="2">
        <v>0.9</v>
      </c>
      <c r="BN1155" s="2">
        <v>7.5</v>
      </c>
      <c r="BO1155" s="2">
        <v>2.9</v>
      </c>
      <c r="BP1155" s="2">
        <f t="shared" si="36"/>
        <v>6.3850530490599677</v>
      </c>
      <c r="BQ1155" s="2">
        <f t="shared" si="37"/>
        <v>19.301683239584534</v>
      </c>
    </row>
    <row r="1156" spans="1:69" x14ac:dyDescent="0.2">
      <c r="A1156" s="2" t="s">
        <v>4544</v>
      </c>
      <c r="B1156" s="2" t="s">
        <v>47</v>
      </c>
      <c r="C1156" s="2" t="s">
        <v>3273</v>
      </c>
      <c r="D1156" s="2" t="s">
        <v>49</v>
      </c>
      <c r="E1156" s="2" t="s">
        <v>1288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89</v>
      </c>
      <c r="L1156" s="6" t="s">
        <v>90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4545</v>
      </c>
      <c r="R1156" s="2">
        <v>9000000</v>
      </c>
      <c r="S1156" s="2">
        <v>0</v>
      </c>
      <c r="T1156" s="2" t="s">
        <v>105</v>
      </c>
      <c r="U1156" s="2" t="s">
        <v>106</v>
      </c>
      <c r="V1156" s="2" t="s">
        <v>56</v>
      </c>
      <c r="W1156" s="2" t="s">
        <v>107</v>
      </c>
      <c r="X1156" s="2" t="s">
        <v>108</v>
      </c>
      <c r="Y1156" s="2">
        <v>2.5069337428835001</v>
      </c>
      <c r="Z1156" s="2">
        <v>2506.9337428835001</v>
      </c>
      <c r="AA1156" s="2">
        <v>4.6254861111111101</v>
      </c>
      <c r="AB1156" s="2">
        <v>-74.066980555555503</v>
      </c>
      <c r="AC1156" s="2">
        <v>2621</v>
      </c>
      <c r="AD1156" s="2">
        <v>15</v>
      </c>
      <c r="AE1156" s="2" t="s">
        <v>59</v>
      </c>
      <c r="AF1156" s="2" t="s">
        <v>60</v>
      </c>
      <c r="AG1156" s="2" t="s">
        <v>61</v>
      </c>
      <c r="AH1156" s="2" t="s">
        <v>62</v>
      </c>
      <c r="AI1156" s="2" t="s">
        <v>109</v>
      </c>
      <c r="AJ1156" s="2">
        <v>1.20157227317285</v>
      </c>
      <c r="AK1156" s="2">
        <v>0.150025381320052</v>
      </c>
      <c r="AL1156" s="2">
        <v>0.58442837611808096</v>
      </c>
      <c r="AM1156" s="2">
        <v>0.25639616209487898</v>
      </c>
      <c r="AN1156" s="2">
        <v>0.50788020141396595</v>
      </c>
      <c r="AO1156" s="2">
        <v>0.33075191316838398</v>
      </c>
      <c r="AP1156" s="2">
        <v>0.33075191316838398</v>
      </c>
      <c r="AQ1156" s="2">
        <v>0</v>
      </c>
      <c r="AR1156" s="2">
        <v>0</v>
      </c>
      <c r="AS1156" s="2">
        <v>19</v>
      </c>
      <c r="AT1156" s="2">
        <v>56</v>
      </c>
      <c r="AU1156" s="2">
        <v>5</v>
      </c>
      <c r="AV1156" s="2">
        <v>23</v>
      </c>
      <c r="AW1156" s="2">
        <v>1</v>
      </c>
      <c r="AX1156" s="2">
        <v>0</v>
      </c>
      <c r="AZ1156" s="2">
        <v>6.8</v>
      </c>
      <c r="BA1156" s="2">
        <v>19.899999999999999</v>
      </c>
      <c r="BB1156" s="2">
        <v>564</v>
      </c>
      <c r="BC1156" s="2">
        <v>68</v>
      </c>
      <c r="BD1156" s="2">
        <v>1.5</v>
      </c>
      <c r="BE1156" s="2">
        <v>135</v>
      </c>
      <c r="BF1156" s="2">
        <v>0.8</v>
      </c>
      <c r="BG1156" s="2">
        <v>162</v>
      </c>
      <c r="BH1156" s="2">
        <v>9.1</v>
      </c>
      <c r="BI1156" s="2">
        <v>9.1999999999999993</v>
      </c>
      <c r="BJ1156" s="2">
        <v>18.3</v>
      </c>
      <c r="BK1156" s="2">
        <v>0.34</v>
      </c>
      <c r="BL1156" s="2">
        <v>7.3</v>
      </c>
      <c r="BM1156" s="2">
        <v>0.9</v>
      </c>
      <c r="BN1156" s="2">
        <v>7.5</v>
      </c>
      <c r="BO1156" s="2">
        <v>2.9</v>
      </c>
      <c r="BP1156" s="2">
        <f t="shared" si="36"/>
        <v>6.0064229715163737</v>
      </c>
      <c r="BQ1156" s="2">
        <f t="shared" si="37"/>
        <v>18.737995772187624</v>
      </c>
    </row>
    <row r="1157" spans="1:69" x14ac:dyDescent="0.2">
      <c r="A1157" s="2" t="s">
        <v>3611</v>
      </c>
      <c r="B1157" s="2" t="s">
        <v>47</v>
      </c>
      <c r="C1157" s="2" t="s">
        <v>3273</v>
      </c>
      <c r="D1157" s="2" t="s">
        <v>49</v>
      </c>
      <c r="E1157" s="2" t="s">
        <v>1288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89</v>
      </c>
      <c r="L1157" s="6" t="s">
        <v>90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3612</v>
      </c>
      <c r="R1157" s="2">
        <v>8966666.6669999994</v>
      </c>
      <c r="S1157" s="2">
        <v>0</v>
      </c>
      <c r="T1157" s="2" t="s">
        <v>105</v>
      </c>
      <c r="U1157" s="2" t="s">
        <v>106</v>
      </c>
      <c r="V1157" s="2" t="s">
        <v>56</v>
      </c>
      <c r="W1157" s="2" t="s">
        <v>107</v>
      </c>
      <c r="X1157" s="2" t="s">
        <v>108</v>
      </c>
      <c r="Y1157" s="2">
        <v>2.5069337428835001</v>
      </c>
      <c r="Z1157" s="2">
        <v>2506.9337428835001</v>
      </c>
      <c r="AA1157" s="2">
        <v>4.6254861111111101</v>
      </c>
      <c r="AB1157" s="2">
        <v>-74.066980555555503</v>
      </c>
      <c r="AC1157" s="2">
        <v>2621</v>
      </c>
      <c r="AD1157" s="2">
        <v>15</v>
      </c>
      <c r="AE1157" s="2" t="s">
        <v>59</v>
      </c>
      <c r="AF1157" s="2" t="s">
        <v>60</v>
      </c>
      <c r="AG1157" s="2" t="s">
        <v>61</v>
      </c>
      <c r="AH1157" s="2" t="s">
        <v>62</v>
      </c>
      <c r="AI1157" s="2" t="s">
        <v>109</v>
      </c>
      <c r="AJ1157" s="2">
        <v>1.20157227317285</v>
      </c>
      <c r="AK1157" s="2">
        <v>0.150025381320052</v>
      </c>
      <c r="AL1157" s="2">
        <v>0.58442837611808096</v>
      </c>
      <c r="AM1157" s="2">
        <v>0.25639616209487898</v>
      </c>
      <c r="AN1157" s="2">
        <v>0.50788020141396595</v>
      </c>
      <c r="AO1157" s="2">
        <v>0.33075191316838398</v>
      </c>
      <c r="AP1157" s="2">
        <v>0.33075191316838398</v>
      </c>
      <c r="AQ1157" s="2">
        <v>0</v>
      </c>
      <c r="AR1157" s="2">
        <v>0</v>
      </c>
      <c r="AS1157" s="2">
        <v>19</v>
      </c>
      <c r="AT1157" s="2">
        <v>56</v>
      </c>
      <c r="AU1157" s="2">
        <v>5</v>
      </c>
      <c r="AV1157" s="2">
        <v>23</v>
      </c>
      <c r="AW1157" s="2">
        <v>1</v>
      </c>
      <c r="AX1157" s="2">
        <v>0</v>
      </c>
      <c r="AZ1157" s="2">
        <v>6.8</v>
      </c>
      <c r="BA1157" s="2">
        <v>19.899999999999999</v>
      </c>
      <c r="BB1157" s="2">
        <v>564</v>
      </c>
      <c r="BC1157" s="2">
        <v>68</v>
      </c>
      <c r="BD1157" s="2">
        <v>1.5</v>
      </c>
      <c r="BE1157" s="2">
        <v>135</v>
      </c>
      <c r="BF1157" s="2">
        <v>0.8</v>
      </c>
      <c r="BG1157" s="2">
        <v>162</v>
      </c>
      <c r="BH1157" s="2">
        <v>9.1</v>
      </c>
      <c r="BI1157" s="2">
        <v>9.1999999999999993</v>
      </c>
      <c r="BJ1157" s="2">
        <v>18.3</v>
      </c>
      <c r="BK1157" s="2">
        <v>0.34</v>
      </c>
      <c r="BL1157" s="2">
        <v>7.3</v>
      </c>
      <c r="BM1157" s="2">
        <v>0.9</v>
      </c>
      <c r="BN1157" s="2">
        <v>7.5</v>
      </c>
      <c r="BO1157" s="2">
        <v>2.9</v>
      </c>
      <c r="BP1157" s="2">
        <f t="shared" si="36"/>
        <v>6.0064229715163737</v>
      </c>
      <c r="BQ1157" s="2">
        <f t="shared" si="37"/>
        <v>18.737995772187624</v>
      </c>
    </row>
    <row r="1158" spans="1:69" x14ac:dyDescent="0.2">
      <c r="A1158" s="2" t="s">
        <v>4051</v>
      </c>
      <c r="B1158" s="2" t="s">
        <v>47</v>
      </c>
      <c r="C1158" s="2" t="s">
        <v>3273</v>
      </c>
      <c r="D1158" s="2" t="s">
        <v>49</v>
      </c>
      <c r="E1158" s="2" t="s">
        <v>1270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89</v>
      </c>
      <c r="L1158" s="6" t="s">
        <v>90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4052</v>
      </c>
      <c r="R1158" s="2">
        <v>8833333.3330000006</v>
      </c>
      <c r="S1158" s="2">
        <v>0</v>
      </c>
      <c r="T1158" s="2" t="s">
        <v>105</v>
      </c>
      <c r="U1158" s="2" t="s">
        <v>106</v>
      </c>
      <c r="V1158" s="2" t="s">
        <v>56</v>
      </c>
      <c r="W1158" s="2" t="s">
        <v>107</v>
      </c>
      <c r="X1158" s="2" t="s">
        <v>108</v>
      </c>
      <c r="Y1158" s="2">
        <v>2.5369470335492199</v>
      </c>
      <c r="Z1158" s="2">
        <v>2536.9470335492201</v>
      </c>
      <c r="AA1158" s="2">
        <v>4.6254861111111101</v>
      </c>
      <c r="AB1158" s="2">
        <v>-74.066980555555503</v>
      </c>
      <c r="AC1158" s="2">
        <v>2621</v>
      </c>
      <c r="AD1158" s="2">
        <v>15</v>
      </c>
      <c r="AE1158" s="2" t="s">
        <v>59</v>
      </c>
      <c r="AF1158" s="2" t="s">
        <v>60</v>
      </c>
      <c r="AG1158" s="2" t="s">
        <v>61</v>
      </c>
      <c r="AH1158" s="2" t="s">
        <v>62</v>
      </c>
      <c r="AI1158" s="2" t="s">
        <v>109</v>
      </c>
      <c r="AJ1158" s="2">
        <v>1.25481606266867</v>
      </c>
      <c r="AK1158" s="2">
        <v>9.5207316814099302E-2</v>
      </c>
      <c r="AL1158" s="2">
        <v>0.61815004059380996</v>
      </c>
      <c r="AM1158" s="2">
        <v>0.28308492129235602</v>
      </c>
      <c r="AN1158" s="2">
        <v>0.55288554306955395</v>
      </c>
      <c r="AO1158" s="2">
        <v>0.38510791537348299</v>
      </c>
      <c r="AP1158" s="2">
        <v>0.38510791537348299</v>
      </c>
      <c r="AQ1158" s="2">
        <v>0</v>
      </c>
      <c r="AR1158" s="2">
        <v>0</v>
      </c>
      <c r="AS1158" s="2">
        <v>22</v>
      </c>
      <c r="AT1158" s="2">
        <v>57</v>
      </c>
      <c r="AU1158" s="2">
        <v>4</v>
      </c>
      <c r="AV1158" s="2">
        <v>22</v>
      </c>
      <c r="AW1158" s="2">
        <v>1</v>
      </c>
      <c r="AX1158" s="2">
        <v>0</v>
      </c>
      <c r="AZ1158" s="2">
        <v>6.8</v>
      </c>
      <c r="BA1158" s="2">
        <v>19.899999999999999</v>
      </c>
      <c r="BB1158" s="2">
        <v>564</v>
      </c>
      <c r="BC1158" s="2">
        <v>68</v>
      </c>
      <c r="BD1158" s="2">
        <v>1.5</v>
      </c>
      <c r="BE1158" s="2">
        <v>135</v>
      </c>
      <c r="BF1158" s="2">
        <v>0.8</v>
      </c>
      <c r="BG1158" s="2">
        <v>162</v>
      </c>
      <c r="BH1158" s="2">
        <v>9.1</v>
      </c>
      <c r="BI1158" s="2">
        <v>9.1999999999999993</v>
      </c>
      <c r="BJ1158" s="2">
        <v>18.3</v>
      </c>
      <c r="BK1158" s="2">
        <v>0.34</v>
      </c>
      <c r="BL1158" s="2">
        <v>7.3</v>
      </c>
      <c r="BM1158" s="2">
        <v>0.9</v>
      </c>
      <c r="BN1158" s="2">
        <v>7.5</v>
      </c>
      <c r="BO1158" s="2">
        <v>2.9</v>
      </c>
      <c r="BP1158" s="2">
        <f t="shared" si="36"/>
        <v>5.997506107195357</v>
      </c>
      <c r="BQ1158" s="2">
        <f t="shared" si="37"/>
        <v>18.724503298287019</v>
      </c>
    </row>
    <row r="1159" spans="1:69" x14ac:dyDescent="0.2">
      <c r="A1159" s="2" t="s">
        <v>3283</v>
      </c>
      <c r="B1159" s="2" t="s">
        <v>47</v>
      </c>
      <c r="C1159" s="2" t="s">
        <v>3273</v>
      </c>
      <c r="D1159" s="2" t="s">
        <v>49</v>
      </c>
      <c r="E1159" s="2" t="s">
        <v>3284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89</v>
      </c>
      <c r="L1159" s="6" t="s">
        <v>90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3285</v>
      </c>
      <c r="R1159" s="2">
        <v>7480000</v>
      </c>
      <c r="S1159" s="2">
        <v>0</v>
      </c>
      <c r="T1159" s="2" t="s">
        <v>398</v>
      </c>
      <c r="U1159" s="2" t="s">
        <v>399</v>
      </c>
      <c r="V1159" s="2" t="s">
        <v>56</v>
      </c>
      <c r="W1159" s="2" t="s">
        <v>57</v>
      </c>
      <c r="X1159" s="2" t="s">
        <v>400</v>
      </c>
      <c r="Y1159" s="2">
        <v>4.29820642793515</v>
      </c>
      <c r="Z1159" s="2">
        <v>4298.2064279351498</v>
      </c>
      <c r="AA1159" s="2">
        <v>4.7358055555555598</v>
      </c>
      <c r="AB1159" s="2">
        <v>-74.125888888888895</v>
      </c>
      <c r="AC1159" s="2">
        <v>2574</v>
      </c>
      <c r="AD1159" s="2">
        <v>0</v>
      </c>
      <c r="AE1159" s="2" t="s">
        <v>133</v>
      </c>
      <c r="AF1159" s="2" t="s">
        <v>86</v>
      </c>
      <c r="AG1159" s="2" t="s">
        <v>61</v>
      </c>
      <c r="AH1159" s="2" t="s">
        <v>62</v>
      </c>
      <c r="AI1159" s="2" t="s">
        <v>391</v>
      </c>
      <c r="AJ1159" s="2">
        <v>0.50711242884296504</v>
      </c>
      <c r="AK1159" s="2">
        <v>3.2784408724479199</v>
      </c>
      <c r="AL1159" s="2">
        <v>1.00531690778489</v>
      </c>
      <c r="AM1159" s="2">
        <v>0.399947429690581</v>
      </c>
      <c r="AN1159" s="2">
        <v>1.40614530012164</v>
      </c>
      <c r="AO1159" s="2">
        <v>3.2059648451517798E-2</v>
      </c>
      <c r="AP1159" s="2">
        <v>3.2059648451517798E-2</v>
      </c>
      <c r="AQ1159" s="2">
        <v>0</v>
      </c>
      <c r="AR1159" s="2">
        <v>4</v>
      </c>
      <c r="AS1159" s="2">
        <v>0</v>
      </c>
      <c r="AT1159" s="2">
        <v>0</v>
      </c>
      <c r="AU1159" s="2">
        <v>0</v>
      </c>
      <c r="AV1159" s="2">
        <v>36</v>
      </c>
      <c r="AW1159" s="2">
        <v>0</v>
      </c>
      <c r="AX1159" s="2">
        <v>0</v>
      </c>
      <c r="AZ1159" s="2">
        <v>6.8</v>
      </c>
      <c r="BA1159" s="2">
        <v>19.899999999999999</v>
      </c>
      <c r="BB1159" s="2">
        <v>564</v>
      </c>
      <c r="BC1159" s="2">
        <v>68</v>
      </c>
      <c r="BD1159" s="2">
        <v>1.5</v>
      </c>
      <c r="BE1159" s="2">
        <v>135</v>
      </c>
      <c r="BF1159" s="2">
        <v>0.8</v>
      </c>
      <c r="BG1159" s="2">
        <v>162</v>
      </c>
      <c r="BH1159" s="2">
        <v>9.1</v>
      </c>
      <c r="BI1159" s="2">
        <v>9.1999999999999993</v>
      </c>
      <c r="BJ1159" s="2">
        <v>18.3</v>
      </c>
      <c r="BK1159" s="2">
        <v>0.34</v>
      </c>
      <c r="BL1159" s="2">
        <v>7.3</v>
      </c>
      <c r="BM1159" s="2">
        <v>0.9</v>
      </c>
      <c r="BN1159" s="2">
        <v>7.5</v>
      </c>
      <c r="BO1159" s="2">
        <v>2.9</v>
      </c>
      <c r="BP1159" s="2">
        <f t="shared" si="36"/>
        <v>5.4967741060903235</v>
      </c>
      <c r="BQ1159" s="2">
        <f t="shared" si="37"/>
        <v>17.949509299043882</v>
      </c>
    </row>
    <row r="1160" spans="1:69" x14ac:dyDescent="0.2">
      <c r="A1160" s="2" t="s">
        <v>3366</v>
      </c>
      <c r="B1160" s="2" t="s">
        <v>47</v>
      </c>
      <c r="C1160" s="2" t="s">
        <v>3273</v>
      </c>
      <c r="D1160" s="2" t="s">
        <v>49</v>
      </c>
      <c r="E1160" s="2" t="s">
        <v>1288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89</v>
      </c>
      <c r="L1160" s="6" t="s">
        <v>90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3367</v>
      </c>
      <c r="R1160" s="2">
        <v>8666666.6669999994</v>
      </c>
      <c r="S1160" s="2">
        <v>0</v>
      </c>
      <c r="T1160" s="2" t="s">
        <v>105</v>
      </c>
      <c r="U1160" s="2" t="s">
        <v>106</v>
      </c>
      <c r="V1160" s="2" t="s">
        <v>56</v>
      </c>
      <c r="W1160" s="2" t="s">
        <v>107</v>
      </c>
      <c r="X1160" s="2" t="s">
        <v>108</v>
      </c>
      <c r="Y1160" s="2">
        <v>2.4935452320537799</v>
      </c>
      <c r="Z1160" s="2">
        <v>2493.5452320537802</v>
      </c>
      <c r="AA1160" s="2">
        <v>4.6254861111111101</v>
      </c>
      <c r="AB1160" s="2">
        <v>-74.066980555555503</v>
      </c>
      <c r="AC1160" s="2">
        <v>2621</v>
      </c>
      <c r="AD1160" s="2">
        <v>15</v>
      </c>
      <c r="AE1160" s="2" t="s">
        <v>59</v>
      </c>
      <c r="AF1160" s="2" t="s">
        <v>60</v>
      </c>
      <c r="AG1160" s="2" t="s">
        <v>61</v>
      </c>
      <c r="AH1160" s="2" t="s">
        <v>62</v>
      </c>
      <c r="AI1160" s="2" t="s">
        <v>109</v>
      </c>
      <c r="AJ1160" s="2">
        <v>1.1681848572302</v>
      </c>
      <c r="AK1160" s="2">
        <v>0.18415593219535401</v>
      </c>
      <c r="AL1160" s="2">
        <v>0.55253449907653496</v>
      </c>
      <c r="AM1160" s="2">
        <v>0.24992540301235799</v>
      </c>
      <c r="AN1160" s="2">
        <v>0.48530590083936498</v>
      </c>
      <c r="AO1160" s="2">
        <v>0.297081149293562</v>
      </c>
      <c r="AP1160" s="2">
        <v>0.297081149293562</v>
      </c>
      <c r="AQ1160" s="2">
        <v>0</v>
      </c>
      <c r="AR1160" s="2">
        <v>0</v>
      </c>
      <c r="AS1160" s="2">
        <v>16</v>
      </c>
      <c r="AT1160" s="2">
        <v>55</v>
      </c>
      <c r="AU1160" s="2">
        <v>5</v>
      </c>
      <c r="AV1160" s="2">
        <v>28</v>
      </c>
      <c r="AW1160" s="2">
        <v>1</v>
      </c>
      <c r="AX1160" s="2">
        <v>0</v>
      </c>
      <c r="AZ1160" s="2">
        <v>6.8</v>
      </c>
      <c r="BA1160" s="2">
        <v>19.899999999999999</v>
      </c>
      <c r="BB1160" s="2">
        <v>564</v>
      </c>
      <c r="BC1160" s="2">
        <v>68</v>
      </c>
      <c r="BD1160" s="2">
        <v>1.5</v>
      </c>
      <c r="BE1160" s="2">
        <v>135</v>
      </c>
      <c r="BF1160" s="2">
        <v>0.8</v>
      </c>
      <c r="BG1160" s="2">
        <v>162</v>
      </c>
      <c r="BH1160" s="2">
        <v>9.1</v>
      </c>
      <c r="BI1160" s="2">
        <v>9.1999999999999993</v>
      </c>
      <c r="BJ1160" s="2">
        <v>18.3</v>
      </c>
      <c r="BK1160" s="2">
        <v>0.34</v>
      </c>
      <c r="BL1160" s="2">
        <v>7.3</v>
      </c>
      <c r="BM1160" s="2">
        <v>0.9</v>
      </c>
      <c r="BN1160" s="2">
        <v>7.5</v>
      </c>
      <c r="BO1160" s="2">
        <v>2.9</v>
      </c>
      <c r="BP1160" s="2">
        <f t="shared" si="36"/>
        <v>6.0104049352772115</v>
      </c>
      <c r="BQ1160" s="2">
        <f t="shared" si="37"/>
        <v>18.744017712257286</v>
      </c>
    </row>
    <row r="1161" spans="1:69" x14ac:dyDescent="0.2">
      <c r="A1161" s="2" t="s">
        <v>4537</v>
      </c>
      <c r="B1161" s="2" t="s">
        <v>47</v>
      </c>
      <c r="C1161" s="2" t="s">
        <v>3273</v>
      </c>
      <c r="D1161" s="2" t="s">
        <v>49</v>
      </c>
      <c r="E1161" s="2" t="s">
        <v>1270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89</v>
      </c>
      <c r="L1161" s="6" t="s">
        <v>90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4538</v>
      </c>
      <c r="R1161" s="2">
        <v>8633333.3330000006</v>
      </c>
      <c r="S1161" s="2">
        <v>0</v>
      </c>
      <c r="T1161" s="2" t="s">
        <v>105</v>
      </c>
      <c r="U1161" s="2" t="s">
        <v>106</v>
      </c>
      <c r="V1161" s="2" t="s">
        <v>56</v>
      </c>
      <c r="W1161" s="2" t="s">
        <v>107</v>
      </c>
      <c r="X1161" s="2" t="s">
        <v>108</v>
      </c>
      <c r="Y1161" s="2">
        <v>2.5225460450050599</v>
      </c>
      <c r="Z1161" s="2">
        <v>2522.54604500506</v>
      </c>
      <c r="AA1161" s="2">
        <v>4.6254861111111101</v>
      </c>
      <c r="AB1161" s="2">
        <v>-74.066980555555503</v>
      </c>
      <c r="AC1161" s="2">
        <v>2621</v>
      </c>
      <c r="AD1161" s="2">
        <v>15</v>
      </c>
      <c r="AE1161" s="2" t="s">
        <v>59</v>
      </c>
      <c r="AF1161" s="2" t="s">
        <v>60</v>
      </c>
      <c r="AG1161" s="2" t="s">
        <v>61</v>
      </c>
      <c r="AH1161" s="2" t="s">
        <v>62</v>
      </c>
      <c r="AI1161" s="2" t="s">
        <v>109</v>
      </c>
      <c r="AJ1161" s="2">
        <v>1.26378694360799</v>
      </c>
      <c r="AK1161" s="2">
        <v>8.8379404242702797E-2</v>
      </c>
      <c r="AL1161" s="2">
        <v>0.63463681079020395</v>
      </c>
      <c r="AM1161" s="2">
        <v>0.26923077998385297</v>
      </c>
      <c r="AN1161" s="2">
        <v>0.54453588724488999</v>
      </c>
      <c r="AO1161" s="2">
        <v>0.393028265791664</v>
      </c>
      <c r="AP1161" s="2">
        <v>0.393028265791664</v>
      </c>
      <c r="AQ1161" s="2">
        <v>0</v>
      </c>
      <c r="AR1161" s="2">
        <v>0</v>
      </c>
      <c r="AS1161" s="2">
        <v>22</v>
      </c>
      <c r="AT1161" s="2">
        <v>58</v>
      </c>
      <c r="AU1161" s="2">
        <v>4</v>
      </c>
      <c r="AV1161" s="2">
        <v>20</v>
      </c>
      <c r="AW1161" s="2">
        <v>1</v>
      </c>
      <c r="AX1161" s="2">
        <v>0</v>
      </c>
      <c r="AZ1161" s="2">
        <v>6.8</v>
      </c>
      <c r="BA1161" s="2">
        <v>19.899999999999999</v>
      </c>
      <c r="BB1161" s="2">
        <v>564</v>
      </c>
      <c r="BC1161" s="2">
        <v>68</v>
      </c>
      <c r="BD1161" s="2">
        <v>1.5</v>
      </c>
      <c r="BE1161" s="2">
        <v>135</v>
      </c>
      <c r="BF1161" s="2">
        <v>0.8</v>
      </c>
      <c r="BG1161" s="2">
        <v>162</v>
      </c>
      <c r="BH1161" s="2">
        <v>9.1</v>
      </c>
      <c r="BI1161" s="2">
        <v>9.1999999999999993</v>
      </c>
      <c r="BJ1161" s="2">
        <v>18.3</v>
      </c>
      <c r="BK1161" s="2">
        <v>0.34</v>
      </c>
      <c r="BL1161" s="2">
        <v>7.3</v>
      </c>
      <c r="BM1161" s="2">
        <v>0.9</v>
      </c>
      <c r="BN1161" s="2">
        <v>7.5</v>
      </c>
      <c r="BO1161" s="2">
        <v>2.9</v>
      </c>
      <c r="BP1161" s="2">
        <f t="shared" si="36"/>
        <v>6.0017829472134618</v>
      </c>
      <c r="BQ1161" s="2">
        <f t="shared" si="37"/>
        <v>18.730976049370604</v>
      </c>
    </row>
    <row r="1162" spans="1:69" x14ac:dyDescent="0.2">
      <c r="A1162" s="2" t="s">
        <v>3433</v>
      </c>
      <c r="B1162" s="2" t="s">
        <v>47</v>
      </c>
      <c r="C1162" s="2" t="s">
        <v>3273</v>
      </c>
      <c r="D1162" s="2" t="s">
        <v>49</v>
      </c>
      <c r="E1162" s="2" t="s">
        <v>2271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89</v>
      </c>
      <c r="L1162" s="6" t="s">
        <v>90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3434</v>
      </c>
      <c r="R1162" s="2">
        <v>7333333.3329999996</v>
      </c>
      <c r="S1162" s="2">
        <v>0</v>
      </c>
      <c r="T1162" s="2" t="s">
        <v>105</v>
      </c>
      <c r="U1162" s="2" t="s">
        <v>106</v>
      </c>
      <c r="V1162" s="2" t="s">
        <v>56</v>
      </c>
      <c r="W1162" s="2" t="s">
        <v>107</v>
      </c>
      <c r="X1162" s="2" t="s">
        <v>108</v>
      </c>
      <c r="Y1162" s="2">
        <v>0.54922672707338205</v>
      </c>
      <c r="Z1162" s="2">
        <v>549.22672707338199</v>
      </c>
      <c r="AA1162" s="2">
        <v>4.6254861111111101</v>
      </c>
      <c r="AB1162" s="2">
        <v>-74.066980555555503</v>
      </c>
      <c r="AC1162" s="2">
        <v>2621</v>
      </c>
      <c r="AD1162" s="2">
        <v>15</v>
      </c>
      <c r="AE1162" s="2" t="s">
        <v>59</v>
      </c>
      <c r="AF1162" s="2" t="s">
        <v>60</v>
      </c>
      <c r="AG1162" s="2" t="s">
        <v>61</v>
      </c>
      <c r="AH1162" s="2" t="s">
        <v>62</v>
      </c>
      <c r="AI1162" s="2" t="s">
        <v>117</v>
      </c>
      <c r="AJ1162" s="2">
        <v>0.38703205569758098</v>
      </c>
      <c r="AK1162" s="2">
        <v>0.57639128591139999</v>
      </c>
      <c r="AL1162" s="2">
        <v>4.4418592757160501E-2</v>
      </c>
      <c r="AM1162" s="2">
        <v>0.11636813478164</v>
      </c>
      <c r="AN1162" s="2">
        <v>0.58648836408707405</v>
      </c>
      <c r="AO1162" s="2">
        <v>2.9641849110330801E-2</v>
      </c>
      <c r="AP1162" s="2">
        <v>2.9641849110330801E-2</v>
      </c>
      <c r="AQ1162" s="2">
        <v>1</v>
      </c>
      <c r="AR1162" s="2">
        <v>5</v>
      </c>
      <c r="AS1162" s="2">
        <v>0</v>
      </c>
      <c r="AT1162" s="2">
        <v>16</v>
      </c>
      <c r="AU1162" s="2">
        <v>13</v>
      </c>
      <c r="AV1162" s="2">
        <v>77</v>
      </c>
      <c r="AW1162" s="2">
        <v>2</v>
      </c>
      <c r="AX1162" s="2">
        <v>1</v>
      </c>
      <c r="AZ1162" s="2">
        <v>6.8</v>
      </c>
      <c r="BA1162" s="2">
        <v>19.899999999999999</v>
      </c>
      <c r="BB1162" s="2">
        <v>564</v>
      </c>
      <c r="BC1162" s="2">
        <v>68</v>
      </c>
      <c r="BD1162" s="2">
        <v>1.5</v>
      </c>
      <c r="BE1162" s="2">
        <v>135</v>
      </c>
      <c r="BF1162" s="2">
        <v>0.8</v>
      </c>
      <c r="BG1162" s="2">
        <v>162</v>
      </c>
      <c r="BH1162" s="2">
        <v>9.1</v>
      </c>
      <c r="BI1162" s="2">
        <v>9.1999999999999993</v>
      </c>
      <c r="BJ1162" s="2">
        <v>18.3</v>
      </c>
      <c r="BK1162" s="2">
        <v>0.34</v>
      </c>
      <c r="BL1162" s="2">
        <v>7.3</v>
      </c>
      <c r="BM1162" s="2">
        <v>0.9</v>
      </c>
      <c r="BN1162" s="2">
        <v>7.5</v>
      </c>
      <c r="BO1162" s="2">
        <v>2.9</v>
      </c>
      <c r="BP1162" s="2">
        <f t="shared" si="36"/>
        <v>6.6176206650769203</v>
      </c>
      <c r="BQ1162" s="2">
        <f t="shared" si="37"/>
        <v>19.639410560485107</v>
      </c>
    </row>
    <row r="1163" spans="1:69" x14ac:dyDescent="0.2">
      <c r="A1163" s="2" t="s">
        <v>3679</v>
      </c>
      <c r="B1163" s="2" t="s">
        <v>47</v>
      </c>
      <c r="C1163" s="2" t="s">
        <v>3273</v>
      </c>
      <c r="D1163" s="2" t="s">
        <v>49</v>
      </c>
      <c r="E1163" s="2" t="s">
        <v>3680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89</v>
      </c>
      <c r="L1163" s="6" t="s">
        <v>90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3681</v>
      </c>
      <c r="R1163" s="2">
        <v>6166666.6670000004</v>
      </c>
      <c r="S1163" s="2">
        <v>0</v>
      </c>
      <c r="T1163" s="2" t="s">
        <v>54</v>
      </c>
      <c r="U1163" s="2" t="s">
        <v>55</v>
      </c>
      <c r="V1163" s="2" t="s">
        <v>56</v>
      </c>
      <c r="W1163" s="2" t="s">
        <v>57</v>
      </c>
      <c r="X1163" s="2" t="s">
        <v>58</v>
      </c>
      <c r="Y1163" s="2">
        <v>1.9950581952814199</v>
      </c>
      <c r="Z1163" s="2">
        <v>1995.05819528142</v>
      </c>
      <c r="AA1163" s="2">
        <v>4.6584666666666701</v>
      </c>
      <c r="AB1163" s="2">
        <v>-74.083966666666697</v>
      </c>
      <c r="AC1163" s="2">
        <v>2552</v>
      </c>
      <c r="AD1163" s="2">
        <v>0</v>
      </c>
      <c r="AE1163" s="2" t="s">
        <v>59</v>
      </c>
      <c r="AF1163" s="2" t="s">
        <v>60</v>
      </c>
      <c r="AG1163" s="2" t="s">
        <v>61</v>
      </c>
      <c r="AH1163" s="2" t="s">
        <v>62</v>
      </c>
      <c r="AI1163" s="2" t="s">
        <v>321</v>
      </c>
      <c r="AJ1163" s="2">
        <v>0.53044475919828704</v>
      </c>
      <c r="AK1163" s="2">
        <v>3.73518719581954</v>
      </c>
      <c r="AL1163" s="2">
        <v>1.3100437185348801</v>
      </c>
      <c r="AM1163" s="2">
        <v>7.9582812902045094E-2</v>
      </c>
      <c r="AN1163" s="2">
        <v>0.532644840361996</v>
      </c>
      <c r="AO1163" s="2">
        <v>6.5380032345988298E-2</v>
      </c>
      <c r="AP1163" s="2">
        <v>6.5380032345988298E-2</v>
      </c>
      <c r="AQ1163" s="2">
        <v>0</v>
      </c>
      <c r="AR1163" s="2">
        <v>4</v>
      </c>
      <c r="AS1163" s="2">
        <v>0</v>
      </c>
      <c r="AT1163" s="2">
        <v>0</v>
      </c>
      <c r="AU1163" s="2">
        <v>0</v>
      </c>
      <c r="AV1163" s="2">
        <v>12</v>
      </c>
      <c r="AW1163" s="2">
        <v>1</v>
      </c>
      <c r="AX1163" s="2">
        <v>0</v>
      </c>
      <c r="AZ1163" s="2">
        <v>6.8</v>
      </c>
      <c r="BA1163" s="2">
        <v>19.899999999999999</v>
      </c>
      <c r="BB1163" s="2">
        <v>564</v>
      </c>
      <c r="BC1163" s="2">
        <v>68</v>
      </c>
      <c r="BD1163" s="2">
        <v>1.5</v>
      </c>
      <c r="BE1163" s="2">
        <v>135</v>
      </c>
      <c r="BF1163" s="2">
        <v>0.8</v>
      </c>
      <c r="BG1163" s="2">
        <v>162</v>
      </c>
      <c r="BH1163" s="2">
        <v>9.1</v>
      </c>
      <c r="BI1163" s="2">
        <v>9.1999999999999993</v>
      </c>
      <c r="BJ1163" s="2">
        <v>18.3</v>
      </c>
      <c r="BK1163" s="2">
        <v>0.34</v>
      </c>
      <c r="BL1163" s="2">
        <v>7.3</v>
      </c>
      <c r="BM1163" s="2">
        <v>0.9</v>
      </c>
      <c r="BN1163" s="2">
        <v>7.5</v>
      </c>
      <c r="BO1163" s="2">
        <v>2.9</v>
      </c>
      <c r="BP1163" s="2">
        <f t="shared" si="36"/>
        <v>6.1605572216575215</v>
      </c>
      <c r="BQ1163" s="2">
        <f t="shared" si="37"/>
        <v>18.969612088271919</v>
      </c>
    </row>
    <row r="1164" spans="1:69" x14ac:dyDescent="0.2">
      <c r="A1164" s="2" t="s">
        <v>3590</v>
      </c>
      <c r="B1164" s="2" t="s">
        <v>47</v>
      </c>
      <c r="C1164" s="2" t="s">
        <v>3273</v>
      </c>
      <c r="D1164" s="2" t="s">
        <v>49</v>
      </c>
      <c r="E1164" s="2" t="s">
        <v>790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89</v>
      </c>
      <c r="L1164" s="6" t="s">
        <v>141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3591</v>
      </c>
      <c r="R1164" s="2">
        <v>11000000</v>
      </c>
      <c r="S1164" s="2">
        <v>0</v>
      </c>
      <c r="T1164" s="2" t="s">
        <v>105</v>
      </c>
      <c r="U1164" s="2" t="s">
        <v>106</v>
      </c>
      <c r="V1164" s="2" t="s">
        <v>56</v>
      </c>
      <c r="W1164" s="2" t="s">
        <v>107</v>
      </c>
      <c r="X1164" s="2" t="s">
        <v>108</v>
      </c>
      <c r="Y1164" s="2">
        <v>2.57826800060251</v>
      </c>
      <c r="Z1164" s="2">
        <v>2578.2680006025098</v>
      </c>
      <c r="AA1164" s="2">
        <v>4.6254861111111101</v>
      </c>
      <c r="AB1164" s="2">
        <v>-74.066980555555503</v>
      </c>
      <c r="AC1164" s="2">
        <v>2621</v>
      </c>
      <c r="AD1164" s="2">
        <v>15</v>
      </c>
      <c r="AE1164" s="2" t="s">
        <v>59</v>
      </c>
      <c r="AF1164" s="2" t="s">
        <v>60</v>
      </c>
      <c r="AG1164" s="2" t="s">
        <v>61</v>
      </c>
      <c r="AH1164" s="2" t="s">
        <v>62</v>
      </c>
      <c r="AI1164" s="2" t="s">
        <v>109</v>
      </c>
      <c r="AJ1164" s="2">
        <v>0.56849067648222895</v>
      </c>
      <c r="AK1164" s="2">
        <v>0.73734148311672199</v>
      </c>
      <c r="AL1164" s="2">
        <v>0.192841274729603</v>
      </c>
      <c r="AM1164" s="2">
        <v>0.16255868724338701</v>
      </c>
      <c r="AN1164" s="2">
        <v>0.67180115101908999</v>
      </c>
      <c r="AO1164" s="2">
        <v>0.25058642058473601</v>
      </c>
      <c r="AP1164" s="2">
        <v>0.25058642058473601</v>
      </c>
      <c r="AQ1164" s="2">
        <v>0</v>
      </c>
      <c r="AR1164" s="2">
        <v>3</v>
      </c>
      <c r="AS1164" s="2">
        <v>0</v>
      </c>
      <c r="AT1164" s="2">
        <v>16</v>
      </c>
      <c r="AU1164" s="2">
        <v>13</v>
      </c>
      <c r="AV1164" s="2">
        <v>72</v>
      </c>
      <c r="AW1164" s="2">
        <v>1</v>
      </c>
      <c r="AX1164" s="2">
        <v>0</v>
      </c>
      <c r="AZ1164" s="2">
        <v>6.8</v>
      </c>
      <c r="BA1164" s="2">
        <v>19.899999999999999</v>
      </c>
      <c r="BB1164" s="2">
        <v>564</v>
      </c>
      <c r="BC1164" s="2">
        <v>68</v>
      </c>
      <c r="BD1164" s="2">
        <v>1.5</v>
      </c>
      <c r="BE1164" s="2">
        <v>135</v>
      </c>
      <c r="BF1164" s="2">
        <v>0.8</v>
      </c>
      <c r="BG1164" s="2">
        <v>162</v>
      </c>
      <c r="BH1164" s="2">
        <v>9.1</v>
      </c>
      <c r="BI1164" s="2">
        <v>9.1999999999999993</v>
      </c>
      <c r="BJ1164" s="2">
        <v>18.3</v>
      </c>
      <c r="BK1164" s="2">
        <v>0.34</v>
      </c>
      <c r="BL1164" s="2">
        <v>7.3</v>
      </c>
      <c r="BM1164" s="2">
        <v>0.9</v>
      </c>
      <c r="BN1164" s="2">
        <v>7.5</v>
      </c>
      <c r="BO1164" s="2">
        <v>2.9</v>
      </c>
      <c r="BP1164" s="2">
        <f t="shared" si="36"/>
        <v>5.9852514180273069</v>
      </c>
      <c r="BQ1164" s="2">
        <f t="shared" si="37"/>
        <v>18.705943352773822</v>
      </c>
    </row>
    <row r="1165" spans="1:69" x14ac:dyDescent="0.2">
      <c r="A1165" s="2" t="s">
        <v>46</v>
      </c>
      <c r="B1165" s="2" t="s">
        <v>47</v>
      </c>
      <c r="C1165" s="2" t="s">
        <v>48</v>
      </c>
      <c r="D1165" s="2" t="s">
        <v>49</v>
      </c>
      <c r="E1165" s="2" t="s">
        <v>50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51</v>
      </c>
      <c r="L1165" s="6" t="s">
        <v>52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53</v>
      </c>
      <c r="R1165" s="2">
        <v>8179546.9910000004</v>
      </c>
      <c r="S1165" s="2">
        <v>0</v>
      </c>
      <c r="T1165" s="2" t="s">
        <v>54</v>
      </c>
      <c r="U1165" s="2" t="s">
        <v>55</v>
      </c>
      <c r="V1165" s="2" t="s">
        <v>56</v>
      </c>
      <c r="W1165" s="2" t="s">
        <v>57</v>
      </c>
      <c r="X1165" s="2" t="s">
        <v>58</v>
      </c>
      <c r="Y1165" s="2">
        <v>2.0566160241458</v>
      </c>
      <c r="Z1165" s="2">
        <v>2056.6160241458001</v>
      </c>
      <c r="AA1165" s="2">
        <v>4.6584666666666701</v>
      </c>
      <c r="AB1165" s="2">
        <v>-74.083966666666697</v>
      </c>
      <c r="AC1165" s="2">
        <v>2552</v>
      </c>
      <c r="AD1165" s="2">
        <v>0</v>
      </c>
      <c r="AE1165" s="2" t="s">
        <v>59</v>
      </c>
      <c r="AF1165" s="2" t="s">
        <v>60</v>
      </c>
      <c r="AG1165" s="2" t="s">
        <v>61</v>
      </c>
      <c r="AH1165" s="2" t="s">
        <v>62</v>
      </c>
      <c r="AI1165" s="2" t="s">
        <v>63</v>
      </c>
      <c r="AJ1165" s="2">
        <v>0.69668438249942499</v>
      </c>
      <c r="AK1165" s="2">
        <v>1.64165379517924</v>
      </c>
      <c r="AL1165" s="2">
        <v>0.10918898860987</v>
      </c>
      <c r="AM1165" s="2">
        <v>3.6981298402529603E-2</v>
      </c>
      <c r="AN1165" s="2">
        <v>1.5348211707463799</v>
      </c>
      <c r="AO1165" s="2">
        <v>0.28743956610268701</v>
      </c>
      <c r="AP1165" s="2">
        <v>0.28743956610268701</v>
      </c>
      <c r="AQ1165" s="2">
        <v>0</v>
      </c>
      <c r="AR1165" s="2">
        <v>6</v>
      </c>
      <c r="AS1165" s="2">
        <v>0</v>
      </c>
      <c r="AT1165" s="2">
        <v>0</v>
      </c>
      <c r="AU1165" s="2">
        <v>6</v>
      </c>
      <c r="AV1165" s="2">
        <v>111</v>
      </c>
      <c r="AW1165" s="2">
        <v>0</v>
      </c>
      <c r="AX1165" s="2">
        <v>0</v>
      </c>
      <c r="AZ1165" s="2">
        <v>6.8</v>
      </c>
      <c r="BA1165" s="2">
        <v>19.899999999999999</v>
      </c>
      <c r="BB1165" s="2">
        <v>564</v>
      </c>
      <c r="BC1165" s="2">
        <v>68</v>
      </c>
      <c r="BD1165" s="2">
        <v>1.5</v>
      </c>
      <c r="BE1165" s="2">
        <v>135</v>
      </c>
      <c r="BF1165" s="2">
        <v>0.8</v>
      </c>
      <c r="BG1165" s="2">
        <v>162</v>
      </c>
      <c r="BH1165" s="2">
        <v>9.1</v>
      </c>
      <c r="BI1165" s="2">
        <v>9.1999999999999993</v>
      </c>
      <c r="BJ1165" s="2">
        <v>18.3</v>
      </c>
      <c r="BK1165" s="2">
        <v>0.34</v>
      </c>
      <c r="BL1165" s="2">
        <v>7.3</v>
      </c>
      <c r="BM1165" s="2">
        <v>0.9</v>
      </c>
      <c r="BN1165" s="2">
        <v>7.5</v>
      </c>
      <c r="BO1165" s="2">
        <v>2.9</v>
      </c>
      <c r="BP1165" s="2">
        <f t="shared" si="36"/>
        <v>6.1418138815987557</v>
      </c>
      <c r="BQ1165" s="2">
        <f t="shared" si="37"/>
        <v>18.941607305100209</v>
      </c>
    </row>
    <row r="1166" spans="1:69" x14ac:dyDescent="0.2">
      <c r="A1166" s="2" t="s">
        <v>4111</v>
      </c>
      <c r="B1166" s="2" t="s">
        <v>47</v>
      </c>
      <c r="C1166" s="2" t="s">
        <v>3273</v>
      </c>
      <c r="D1166" s="2" t="s">
        <v>49</v>
      </c>
      <c r="E1166" s="2" t="s">
        <v>1270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89</v>
      </c>
      <c r="L1166" s="6" t="s">
        <v>141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4112</v>
      </c>
      <c r="R1166" s="2">
        <v>11000000</v>
      </c>
      <c r="S1166" s="2">
        <v>0</v>
      </c>
      <c r="T1166" s="2" t="s">
        <v>105</v>
      </c>
      <c r="U1166" s="2" t="s">
        <v>106</v>
      </c>
      <c r="V1166" s="2" t="s">
        <v>56</v>
      </c>
      <c r="W1166" s="2" t="s">
        <v>107</v>
      </c>
      <c r="X1166" s="2" t="s">
        <v>108</v>
      </c>
      <c r="Y1166" s="2">
        <v>2.57826800060251</v>
      </c>
      <c r="Z1166" s="2">
        <v>2578.2680006025098</v>
      </c>
      <c r="AA1166" s="2">
        <v>4.6254861111111101</v>
      </c>
      <c r="AB1166" s="2">
        <v>-74.066980555555503</v>
      </c>
      <c r="AC1166" s="2">
        <v>2621</v>
      </c>
      <c r="AD1166" s="2">
        <v>15</v>
      </c>
      <c r="AE1166" s="2" t="s">
        <v>59</v>
      </c>
      <c r="AF1166" s="2" t="s">
        <v>60</v>
      </c>
      <c r="AG1166" s="2" t="s">
        <v>61</v>
      </c>
      <c r="AH1166" s="2" t="s">
        <v>62</v>
      </c>
      <c r="AI1166" s="2" t="s">
        <v>109</v>
      </c>
      <c r="AJ1166" s="2">
        <v>0.56849067648222895</v>
      </c>
      <c r="AK1166" s="2">
        <v>0.73734148311672199</v>
      </c>
      <c r="AL1166" s="2">
        <v>0.192841274729603</v>
      </c>
      <c r="AM1166" s="2">
        <v>0.16255868724338701</v>
      </c>
      <c r="AN1166" s="2">
        <v>0.67180115101908999</v>
      </c>
      <c r="AO1166" s="2">
        <v>0.25058642058473601</v>
      </c>
      <c r="AP1166" s="2">
        <v>0.25058642058473601</v>
      </c>
      <c r="AQ1166" s="2">
        <v>0</v>
      </c>
      <c r="AR1166" s="2">
        <v>3</v>
      </c>
      <c r="AS1166" s="2">
        <v>0</v>
      </c>
      <c r="AT1166" s="2">
        <v>16</v>
      </c>
      <c r="AU1166" s="2">
        <v>13</v>
      </c>
      <c r="AV1166" s="2">
        <v>72</v>
      </c>
      <c r="AW1166" s="2">
        <v>1</v>
      </c>
      <c r="AX1166" s="2">
        <v>0</v>
      </c>
      <c r="AZ1166" s="2">
        <v>6.8</v>
      </c>
      <c r="BA1166" s="2">
        <v>19.899999999999999</v>
      </c>
      <c r="BB1166" s="2">
        <v>564</v>
      </c>
      <c r="BC1166" s="2">
        <v>68</v>
      </c>
      <c r="BD1166" s="2">
        <v>1.5</v>
      </c>
      <c r="BE1166" s="2">
        <v>135</v>
      </c>
      <c r="BF1166" s="2">
        <v>0.8</v>
      </c>
      <c r="BG1166" s="2">
        <v>162</v>
      </c>
      <c r="BH1166" s="2">
        <v>9.1</v>
      </c>
      <c r="BI1166" s="2">
        <v>9.1999999999999993</v>
      </c>
      <c r="BJ1166" s="2">
        <v>18.3</v>
      </c>
      <c r="BK1166" s="2">
        <v>0.34</v>
      </c>
      <c r="BL1166" s="2">
        <v>7.3</v>
      </c>
      <c r="BM1166" s="2">
        <v>0.9</v>
      </c>
      <c r="BN1166" s="2">
        <v>7.5</v>
      </c>
      <c r="BO1166" s="2">
        <v>2.9</v>
      </c>
      <c r="BP1166" s="2">
        <f t="shared" si="36"/>
        <v>5.9852514180273069</v>
      </c>
      <c r="BQ1166" s="2">
        <f t="shared" si="37"/>
        <v>18.705943352773822</v>
      </c>
    </row>
    <row r="1167" spans="1:69" x14ac:dyDescent="0.2">
      <c r="A1167" s="2" t="s">
        <v>4315</v>
      </c>
      <c r="B1167" s="2" t="s">
        <v>47</v>
      </c>
      <c r="C1167" s="2" t="s">
        <v>3273</v>
      </c>
      <c r="D1167" s="2" t="s">
        <v>49</v>
      </c>
      <c r="E1167" s="2" t="s">
        <v>1270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89</v>
      </c>
      <c r="L1167" s="6" t="s">
        <v>141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4316</v>
      </c>
      <c r="R1167" s="2">
        <v>11440747.029999999</v>
      </c>
      <c r="S1167" s="2">
        <v>0</v>
      </c>
      <c r="T1167" s="2" t="s">
        <v>105</v>
      </c>
      <c r="U1167" s="2" t="s">
        <v>106</v>
      </c>
      <c r="V1167" s="2" t="s">
        <v>56</v>
      </c>
      <c r="W1167" s="2" t="s">
        <v>107</v>
      </c>
      <c r="X1167" s="2" t="s">
        <v>108</v>
      </c>
      <c r="Y1167" s="2">
        <v>2.57826800060251</v>
      </c>
      <c r="Z1167" s="2">
        <v>2578.2680006025098</v>
      </c>
      <c r="AA1167" s="2">
        <v>4.6254861111111101</v>
      </c>
      <c r="AB1167" s="2">
        <v>-74.066980555555503</v>
      </c>
      <c r="AC1167" s="2">
        <v>2621</v>
      </c>
      <c r="AD1167" s="2">
        <v>15</v>
      </c>
      <c r="AE1167" s="2" t="s">
        <v>59</v>
      </c>
      <c r="AF1167" s="2" t="s">
        <v>60</v>
      </c>
      <c r="AG1167" s="2" t="s">
        <v>61</v>
      </c>
      <c r="AH1167" s="2" t="s">
        <v>62</v>
      </c>
      <c r="AI1167" s="2" t="s">
        <v>109</v>
      </c>
      <c r="AJ1167" s="2">
        <v>0.56849067648222895</v>
      </c>
      <c r="AK1167" s="2">
        <v>0.73734148311672199</v>
      </c>
      <c r="AL1167" s="2">
        <v>0.192841274729603</v>
      </c>
      <c r="AM1167" s="2">
        <v>0.16255868724338701</v>
      </c>
      <c r="AN1167" s="2">
        <v>0.67180115101908999</v>
      </c>
      <c r="AO1167" s="2">
        <v>0.25058642058473601</v>
      </c>
      <c r="AP1167" s="2">
        <v>0.25058642058473601</v>
      </c>
      <c r="AQ1167" s="2">
        <v>0</v>
      </c>
      <c r="AR1167" s="2">
        <v>3</v>
      </c>
      <c r="AS1167" s="2">
        <v>0</v>
      </c>
      <c r="AT1167" s="2">
        <v>16</v>
      </c>
      <c r="AU1167" s="2">
        <v>13</v>
      </c>
      <c r="AV1167" s="2">
        <v>72</v>
      </c>
      <c r="AW1167" s="2">
        <v>1</v>
      </c>
      <c r="AX1167" s="2">
        <v>0</v>
      </c>
      <c r="AZ1167" s="2">
        <v>6.8</v>
      </c>
      <c r="BA1167" s="2">
        <v>19.899999999999999</v>
      </c>
      <c r="BB1167" s="2">
        <v>564</v>
      </c>
      <c r="BC1167" s="2">
        <v>68</v>
      </c>
      <c r="BD1167" s="2">
        <v>1.5</v>
      </c>
      <c r="BE1167" s="2">
        <v>135</v>
      </c>
      <c r="BF1167" s="2">
        <v>0.8</v>
      </c>
      <c r="BG1167" s="2">
        <v>162</v>
      </c>
      <c r="BH1167" s="2">
        <v>9.1</v>
      </c>
      <c r="BI1167" s="2">
        <v>9.1999999999999993</v>
      </c>
      <c r="BJ1167" s="2">
        <v>18.3</v>
      </c>
      <c r="BK1167" s="2">
        <v>0.34</v>
      </c>
      <c r="BL1167" s="2">
        <v>7.3</v>
      </c>
      <c r="BM1167" s="2">
        <v>0.9</v>
      </c>
      <c r="BN1167" s="2">
        <v>7.5</v>
      </c>
      <c r="BO1167" s="2">
        <v>2.9</v>
      </c>
      <c r="BP1167" s="2">
        <f t="shared" si="36"/>
        <v>5.9852514180273069</v>
      </c>
      <c r="BQ1167" s="2">
        <f t="shared" si="37"/>
        <v>18.705943352773822</v>
      </c>
    </row>
    <row r="1168" spans="1:69" x14ac:dyDescent="0.2">
      <c r="A1168" s="2" t="s">
        <v>4420</v>
      </c>
      <c r="B1168" s="2" t="s">
        <v>47</v>
      </c>
      <c r="C1168" s="2" t="s">
        <v>3273</v>
      </c>
      <c r="D1168" s="2" t="s">
        <v>49</v>
      </c>
      <c r="E1168" s="2" t="s">
        <v>1270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89</v>
      </c>
      <c r="L1168" s="6" t="s">
        <v>141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4421</v>
      </c>
      <c r="R1168" s="2">
        <v>11440747.029999999</v>
      </c>
      <c r="S1168" s="2">
        <v>0</v>
      </c>
      <c r="T1168" s="2" t="s">
        <v>105</v>
      </c>
      <c r="U1168" s="2" t="s">
        <v>106</v>
      </c>
      <c r="V1168" s="2" t="s">
        <v>56</v>
      </c>
      <c r="W1168" s="2" t="s">
        <v>107</v>
      </c>
      <c r="X1168" s="2" t="s">
        <v>108</v>
      </c>
      <c r="Y1168" s="2">
        <v>2.57826800060251</v>
      </c>
      <c r="Z1168" s="2">
        <v>2578.2680006025098</v>
      </c>
      <c r="AA1168" s="2">
        <v>4.6254861111111101</v>
      </c>
      <c r="AB1168" s="2">
        <v>-74.066980555555503</v>
      </c>
      <c r="AC1168" s="2">
        <v>2621</v>
      </c>
      <c r="AD1168" s="2">
        <v>15</v>
      </c>
      <c r="AE1168" s="2" t="s">
        <v>59</v>
      </c>
      <c r="AF1168" s="2" t="s">
        <v>60</v>
      </c>
      <c r="AG1168" s="2" t="s">
        <v>61</v>
      </c>
      <c r="AH1168" s="2" t="s">
        <v>62</v>
      </c>
      <c r="AI1168" s="2" t="s">
        <v>109</v>
      </c>
      <c r="AJ1168" s="2">
        <v>0.56849067648222895</v>
      </c>
      <c r="AK1168" s="2">
        <v>0.73734148311672199</v>
      </c>
      <c r="AL1168" s="2">
        <v>0.192841274729603</v>
      </c>
      <c r="AM1168" s="2">
        <v>0.16255868724338701</v>
      </c>
      <c r="AN1168" s="2">
        <v>0.67180115101908999</v>
      </c>
      <c r="AO1168" s="2">
        <v>0.25058642058473601</v>
      </c>
      <c r="AP1168" s="2">
        <v>0.25058642058473601</v>
      </c>
      <c r="AQ1168" s="2">
        <v>0</v>
      </c>
      <c r="AR1168" s="2">
        <v>3</v>
      </c>
      <c r="AS1168" s="2">
        <v>0</v>
      </c>
      <c r="AT1168" s="2">
        <v>16</v>
      </c>
      <c r="AU1168" s="2">
        <v>13</v>
      </c>
      <c r="AV1168" s="2">
        <v>72</v>
      </c>
      <c r="AW1168" s="2">
        <v>1</v>
      </c>
      <c r="AX1168" s="2">
        <v>0</v>
      </c>
      <c r="AZ1168" s="2">
        <v>6.8</v>
      </c>
      <c r="BA1168" s="2">
        <v>19.899999999999999</v>
      </c>
      <c r="BB1168" s="2">
        <v>564</v>
      </c>
      <c r="BC1168" s="2">
        <v>68</v>
      </c>
      <c r="BD1168" s="2">
        <v>1.5</v>
      </c>
      <c r="BE1168" s="2">
        <v>135</v>
      </c>
      <c r="BF1168" s="2">
        <v>0.8</v>
      </c>
      <c r="BG1168" s="2">
        <v>162</v>
      </c>
      <c r="BH1168" s="2">
        <v>9.1</v>
      </c>
      <c r="BI1168" s="2">
        <v>9.1999999999999993</v>
      </c>
      <c r="BJ1168" s="2">
        <v>18.3</v>
      </c>
      <c r="BK1168" s="2">
        <v>0.34</v>
      </c>
      <c r="BL1168" s="2">
        <v>7.3</v>
      </c>
      <c r="BM1168" s="2">
        <v>0.9</v>
      </c>
      <c r="BN1168" s="2">
        <v>7.5</v>
      </c>
      <c r="BO1168" s="2">
        <v>2.9</v>
      </c>
      <c r="BP1168" s="2">
        <f t="shared" si="36"/>
        <v>5.9852514180273069</v>
      </c>
      <c r="BQ1168" s="2">
        <f t="shared" si="37"/>
        <v>18.705943352773822</v>
      </c>
    </row>
    <row r="1169" spans="1:69" x14ac:dyDescent="0.2">
      <c r="A1169" s="2" t="s">
        <v>3318</v>
      </c>
      <c r="B1169" s="2" t="s">
        <v>47</v>
      </c>
      <c r="C1169" s="2" t="s">
        <v>3273</v>
      </c>
      <c r="D1169" s="2" t="s">
        <v>49</v>
      </c>
      <c r="E1169" s="2" t="s">
        <v>790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89</v>
      </c>
      <c r="L1169" s="6" t="s">
        <v>90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3319</v>
      </c>
      <c r="R1169" s="2">
        <v>11440747.029999999</v>
      </c>
      <c r="S1169" s="2">
        <v>0</v>
      </c>
      <c r="T1169" s="2" t="s">
        <v>105</v>
      </c>
      <c r="U1169" s="2" t="s">
        <v>106</v>
      </c>
      <c r="V1169" s="2" t="s">
        <v>56</v>
      </c>
      <c r="W1169" s="2" t="s">
        <v>107</v>
      </c>
      <c r="X1169" s="2" t="s">
        <v>108</v>
      </c>
      <c r="Y1169" s="2">
        <v>1.91922838807675</v>
      </c>
      <c r="Z1169" s="2">
        <v>1919.22838807675</v>
      </c>
      <c r="AA1169" s="2">
        <v>4.6254861111111101</v>
      </c>
      <c r="AB1169" s="2">
        <v>-74.066980555555503</v>
      </c>
      <c r="AC1169" s="2">
        <v>2621</v>
      </c>
      <c r="AD1169" s="2">
        <v>15</v>
      </c>
      <c r="AE1169" s="2" t="s">
        <v>59</v>
      </c>
      <c r="AF1169" s="2" t="s">
        <v>60</v>
      </c>
      <c r="AG1169" s="2" t="s">
        <v>61</v>
      </c>
      <c r="AH1169" s="2" t="s">
        <v>62</v>
      </c>
      <c r="AI1169" s="2" t="s">
        <v>109</v>
      </c>
      <c r="AJ1169" s="2">
        <v>0.36688709197208902</v>
      </c>
      <c r="AK1169" s="2">
        <v>0.57830557945604999</v>
      </c>
      <c r="AL1169" s="2">
        <v>0.40083768395434699</v>
      </c>
      <c r="AM1169" s="2">
        <v>5.1942815949417701E-2</v>
      </c>
      <c r="AN1169" s="2">
        <v>0.47304396293589801</v>
      </c>
      <c r="AO1169" s="2">
        <v>0.25878570025696601</v>
      </c>
      <c r="AP1169" s="2">
        <v>0.25878570025696601</v>
      </c>
      <c r="AQ1169" s="2">
        <v>1</v>
      </c>
      <c r="AR1169" s="2">
        <v>4</v>
      </c>
      <c r="AS1169" s="2">
        <v>0</v>
      </c>
      <c r="AT1169" s="2">
        <v>21</v>
      </c>
      <c r="AU1169" s="2">
        <v>6</v>
      </c>
      <c r="AV1169" s="2">
        <v>131</v>
      </c>
      <c r="AW1169" s="2">
        <v>1</v>
      </c>
      <c r="AX1169" s="2">
        <v>0</v>
      </c>
      <c r="AZ1169" s="2">
        <v>6.8</v>
      </c>
      <c r="BA1169" s="2">
        <v>19.899999999999999</v>
      </c>
      <c r="BB1169" s="2">
        <v>564</v>
      </c>
      <c r="BC1169" s="2">
        <v>68</v>
      </c>
      <c r="BD1169" s="2">
        <v>1.5</v>
      </c>
      <c r="BE1169" s="2">
        <v>135</v>
      </c>
      <c r="BF1169" s="2">
        <v>0.8</v>
      </c>
      <c r="BG1169" s="2">
        <v>162</v>
      </c>
      <c r="BH1169" s="2">
        <v>9.1</v>
      </c>
      <c r="BI1169" s="2">
        <v>9.1999999999999993</v>
      </c>
      <c r="BJ1169" s="2">
        <v>18.3</v>
      </c>
      <c r="BK1169" s="2">
        <v>0.34</v>
      </c>
      <c r="BL1169" s="2">
        <v>7.3</v>
      </c>
      <c r="BM1169" s="2">
        <v>0.9</v>
      </c>
      <c r="BN1169" s="2">
        <v>7.5</v>
      </c>
      <c r="BO1169" s="2">
        <v>2.9</v>
      </c>
      <c r="BP1169" s="2">
        <f t="shared" si="36"/>
        <v>6.1837247914533089</v>
      </c>
      <c r="BQ1169" s="2">
        <f t="shared" si="37"/>
        <v>19.004166610545376</v>
      </c>
    </row>
    <row r="1170" spans="1:69" x14ac:dyDescent="0.2">
      <c r="A1170" s="2" t="s">
        <v>3588</v>
      </c>
      <c r="B1170" s="2" t="s">
        <v>47</v>
      </c>
      <c r="C1170" s="2" t="s">
        <v>3273</v>
      </c>
      <c r="D1170" s="2" t="s">
        <v>49</v>
      </c>
      <c r="E1170" s="2" t="s">
        <v>790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89</v>
      </c>
      <c r="L1170" s="6" t="s">
        <v>141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3589</v>
      </c>
      <c r="R1170" s="2">
        <v>11000000</v>
      </c>
      <c r="S1170" s="2">
        <v>0</v>
      </c>
      <c r="T1170" s="2" t="s">
        <v>105</v>
      </c>
      <c r="U1170" s="2" t="s">
        <v>106</v>
      </c>
      <c r="V1170" s="2" t="s">
        <v>56</v>
      </c>
      <c r="W1170" s="2" t="s">
        <v>107</v>
      </c>
      <c r="X1170" s="2" t="s">
        <v>108</v>
      </c>
      <c r="Y1170" s="2">
        <v>2.57826800060251</v>
      </c>
      <c r="Z1170" s="2">
        <v>2578.2680006025098</v>
      </c>
      <c r="AA1170" s="2">
        <v>4.6254861111111101</v>
      </c>
      <c r="AB1170" s="2">
        <v>-74.066980555555503</v>
      </c>
      <c r="AC1170" s="2">
        <v>2621</v>
      </c>
      <c r="AD1170" s="2">
        <v>15</v>
      </c>
      <c r="AE1170" s="2" t="s">
        <v>59</v>
      </c>
      <c r="AF1170" s="2" t="s">
        <v>60</v>
      </c>
      <c r="AG1170" s="2" t="s">
        <v>61</v>
      </c>
      <c r="AH1170" s="2" t="s">
        <v>62</v>
      </c>
      <c r="AI1170" s="2" t="s">
        <v>109</v>
      </c>
      <c r="AJ1170" s="2">
        <v>0.56849067648222895</v>
      </c>
      <c r="AK1170" s="2">
        <v>0.73734148311672199</v>
      </c>
      <c r="AL1170" s="2">
        <v>0.192841274729603</v>
      </c>
      <c r="AM1170" s="2">
        <v>0.16255868724338701</v>
      </c>
      <c r="AN1170" s="2">
        <v>0.67180115101908999</v>
      </c>
      <c r="AO1170" s="2">
        <v>0.25058642058473601</v>
      </c>
      <c r="AP1170" s="2">
        <v>0.25058642058473601</v>
      </c>
      <c r="AQ1170" s="2">
        <v>0</v>
      </c>
      <c r="AR1170" s="2">
        <v>3</v>
      </c>
      <c r="AS1170" s="2">
        <v>0</v>
      </c>
      <c r="AT1170" s="2">
        <v>16</v>
      </c>
      <c r="AU1170" s="2">
        <v>13</v>
      </c>
      <c r="AV1170" s="2">
        <v>72</v>
      </c>
      <c r="AW1170" s="2">
        <v>1</v>
      </c>
      <c r="AX1170" s="2">
        <v>0</v>
      </c>
      <c r="AZ1170" s="2">
        <v>6.8</v>
      </c>
      <c r="BA1170" s="2">
        <v>19.899999999999999</v>
      </c>
      <c r="BB1170" s="2">
        <v>564</v>
      </c>
      <c r="BC1170" s="2">
        <v>68</v>
      </c>
      <c r="BD1170" s="2">
        <v>1.5</v>
      </c>
      <c r="BE1170" s="2">
        <v>135</v>
      </c>
      <c r="BF1170" s="2">
        <v>0.8</v>
      </c>
      <c r="BG1170" s="2">
        <v>162</v>
      </c>
      <c r="BH1170" s="2">
        <v>9.1</v>
      </c>
      <c r="BI1170" s="2">
        <v>9.1999999999999993</v>
      </c>
      <c r="BJ1170" s="2">
        <v>18.3</v>
      </c>
      <c r="BK1170" s="2">
        <v>0.34</v>
      </c>
      <c r="BL1170" s="2">
        <v>7.3</v>
      </c>
      <c r="BM1170" s="2">
        <v>0.9</v>
      </c>
      <c r="BN1170" s="2">
        <v>7.5</v>
      </c>
      <c r="BO1170" s="2">
        <v>2.9</v>
      </c>
      <c r="BP1170" s="2">
        <f t="shared" si="36"/>
        <v>5.9852514180273069</v>
      </c>
      <c r="BQ1170" s="2">
        <f t="shared" si="37"/>
        <v>18.705943352773822</v>
      </c>
    </row>
    <row r="1171" spans="1:69" x14ac:dyDescent="0.2">
      <c r="A1171" s="2" t="s">
        <v>4534</v>
      </c>
      <c r="B1171" s="2" t="s">
        <v>47</v>
      </c>
      <c r="C1171" s="2" t="s">
        <v>3273</v>
      </c>
      <c r="D1171" s="2" t="s">
        <v>49</v>
      </c>
      <c r="E1171" s="2" t="s">
        <v>4535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89</v>
      </c>
      <c r="L1171" s="6" t="s">
        <v>90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4536</v>
      </c>
      <c r="R1171" s="2">
        <v>7300509.3380000005</v>
      </c>
      <c r="S1171" s="2">
        <v>0</v>
      </c>
      <c r="T1171" s="2" t="s">
        <v>54</v>
      </c>
      <c r="U1171" s="2" t="s">
        <v>55</v>
      </c>
      <c r="V1171" s="2" t="s">
        <v>56</v>
      </c>
      <c r="W1171" s="2" t="s">
        <v>57</v>
      </c>
      <c r="X1171" s="2" t="s">
        <v>58</v>
      </c>
      <c r="Y1171" s="2">
        <v>2.1944574662193701</v>
      </c>
      <c r="Z1171" s="2">
        <v>2194.45746621937</v>
      </c>
      <c r="AA1171" s="2">
        <v>4.6584666666666701</v>
      </c>
      <c r="AB1171" s="2">
        <v>-74.083966666666697</v>
      </c>
      <c r="AC1171" s="2">
        <v>2552</v>
      </c>
      <c r="AD1171" s="2">
        <v>0</v>
      </c>
      <c r="AE1171" s="2" t="s">
        <v>59</v>
      </c>
      <c r="AF1171" s="2" t="s">
        <v>60</v>
      </c>
      <c r="AG1171" s="2" t="s">
        <v>61</v>
      </c>
      <c r="AH1171" s="2" t="s">
        <v>62</v>
      </c>
      <c r="AI1171" s="2" t="s">
        <v>391</v>
      </c>
      <c r="AJ1171" s="2">
        <v>1.2555950397656499</v>
      </c>
      <c r="AK1171" s="2">
        <v>5.0000398909721602</v>
      </c>
      <c r="AL1171" s="2">
        <v>1.7896435313804</v>
      </c>
      <c r="AM1171" s="2">
        <v>0.239874523296179</v>
      </c>
      <c r="AN1171" s="2">
        <v>0.83914199077683904</v>
      </c>
      <c r="AO1171" s="2">
        <v>0.22703550711000001</v>
      </c>
      <c r="AP1171" s="2">
        <v>0.22703550711000001</v>
      </c>
      <c r="AQ1171" s="2">
        <v>0</v>
      </c>
      <c r="AR1171" s="2">
        <v>0</v>
      </c>
      <c r="AS1171" s="2">
        <v>0</v>
      </c>
      <c r="AT1171" s="2">
        <v>0</v>
      </c>
      <c r="AU1171" s="2">
        <v>0</v>
      </c>
      <c r="AV1171" s="2">
        <v>22</v>
      </c>
      <c r="AW1171" s="2">
        <v>1</v>
      </c>
      <c r="AX1171" s="2">
        <v>0</v>
      </c>
      <c r="AZ1171" s="2">
        <v>6.8</v>
      </c>
      <c r="BA1171" s="2">
        <v>19.899999999999999</v>
      </c>
      <c r="BB1171" s="2">
        <v>564</v>
      </c>
      <c r="BC1171" s="2">
        <v>68</v>
      </c>
      <c r="BD1171" s="2">
        <v>1.5</v>
      </c>
      <c r="BE1171" s="2">
        <v>135</v>
      </c>
      <c r="BF1171" s="2">
        <v>0.8</v>
      </c>
      <c r="BG1171" s="2">
        <v>162</v>
      </c>
      <c r="BH1171" s="2">
        <v>9.1</v>
      </c>
      <c r="BI1171" s="2">
        <v>9.1999999999999993</v>
      </c>
      <c r="BJ1171" s="2">
        <v>18.3</v>
      </c>
      <c r="BK1171" s="2">
        <v>0.34</v>
      </c>
      <c r="BL1171" s="2">
        <v>7.3</v>
      </c>
      <c r="BM1171" s="2">
        <v>0.9</v>
      </c>
      <c r="BN1171" s="2">
        <v>7.5</v>
      </c>
      <c r="BO1171" s="2">
        <v>2.9</v>
      </c>
      <c r="BP1171" s="2">
        <f t="shared" si="36"/>
        <v>6.1000499983970178</v>
      </c>
      <c r="BQ1171" s="2">
        <f t="shared" si="37"/>
        <v>18.879048317620345</v>
      </c>
    </row>
    <row r="1172" spans="1:69" x14ac:dyDescent="0.2">
      <c r="A1172" s="2" t="s">
        <v>4030</v>
      </c>
      <c r="B1172" s="2" t="s">
        <v>47</v>
      </c>
      <c r="C1172" s="2" t="s">
        <v>3273</v>
      </c>
      <c r="D1172" s="2" t="s">
        <v>49</v>
      </c>
      <c r="E1172" s="2" t="s">
        <v>3755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89</v>
      </c>
      <c r="L1172" s="6" t="s">
        <v>90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4031</v>
      </c>
      <c r="R1172" s="2">
        <v>11379310.34</v>
      </c>
      <c r="S1172" s="2">
        <v>0</v>
      </c>
      <c r="T1172" s="2" t="s">
        <v>105</v>
      </c>
      <c r="U1172" s="2" t="s">
        <v>106</v>
      </c>
      <c r="V1172" s="2" t="s">
        <v>56</v>
      </c>
      <c r="W1172" s="2" t="s">
        <v>107</v>
      </c>
      <c r="X1172" s="2" t="s">
        <v>108</v>
      </c>
      <c r="Y1172" s="2">
        <v>1.0378094850252599</v>
      </c>
      <c r="Z1172" s="2">
        <v>1037.8094850252601</v>
      </c>
      <c r="AA1172" s="2">
        <v>4.6254861111111101</v>
      </c>
      <c r="AB1172" s="2">
        <v>-74.066980555555503</v>
      </c>
      <c r="AC1172" s="2">
        <v>2621</v>
      </c>
      <c r="AD1172" s="2">
        <v>15</v>
      </c>
      <c r="AE1172" s="2" t="s">
        <v>59</v>
      </c>
      <c r="AF1172" s="2" t="s">
        <v>60</v>
      </c>
      <c r="AG1172" s="2" t="s">
        <v>61</v>
      </c>
      <c r="AH1172" s="2" t="s">
        <v>62</v>
      </c>
      <c r="AI1172" s="2" t="s">
        <v>63</v>
      </c>
      <c r="AJ1172" s="2">
        <v>0.104087267774247</v>
      </c>
      <c r="AK1172" s="2">
        <v>0.94612825159584002</v>
      </c>
      <c r="AL1172" s="2">
        <v>0.37704699037030698</v>
      </c>
      <c r="AM1172" s="2">
        <v>9.9160182203619301E-2</v>
      </c>
      <c r="AN1172" s="2">
        <v>0.66334022933139802</v>
      </c>
      <c r="AO1172" s="2">
        <v>0.32341150256688</v>
      </c>
      <c r="AP1172" s="2">
        <v>0.32341150256688</v>
      </c>
      <c r="AQ1172" s="2">
        <v>2</v>
      </c>
      <c r="AR1172" s="2">
        <v>7</v>
      </c>
      <c r="AS1172" s="2">
        <v>0</v>
      </c>
      <c r="AT1172" s="2">
        <v>1</v>
      </c>
      <c r="AU1172" s="2">
        <v>13</v>
      </c>
      <c r="AV1172" s="2">
        <v>71</v>
      </c>
      <c r="AW1172" s="2">
        <v>1</v>
      </c>
      <c r="AX1172" s="2">
        <v>3</v>
      </c>
      <c r="AZ1172" s="2">
        <v>6.8</v>
      </c>
      <c r="BA1172" s="2">
        <v>19.899999999999999</v>
      </c>
      <c r="BB1172" s="2">
        <v>564</v>
      </c>
      <c r="BC1172" s="2">
        <v>68</v>
      </c>
      <c r="BD1172" s="2">
        <v>1.5</v>
      </c>
      <c r="BE1172" s="2">
        <v>135</v>
      </c>
      <c r="BF1172" s="2">
        <v>0.8</v>
      </c>
      <c r="BG1172" s="2">
        <v>162</v>
      </c>
      <c r="BH1172" s="2">
        <v>9.1</v>
      </c>
      <c r="BI1172" s="2">
        <v>9.1999999999999993</v>
      </c>
      <c r="BJ1172" s="2">
        <v>18.3</v>
      </c>
      <c r="BK1172" s="2">
        <v>0.34</v>
      </c>
      <c r="BL1172" s="2">
        <v>7.3</v>
      </c>
      <c r="BM1172" s="2">
        <v>0.9</v>
      </c>
      <c r="BN1172" s="2">
        <v>7.5</v>
      </c>
      <c r="BO1172" s="2">
        <v>2.9</v>
      </c>
      <c r="BP1172" s="2">
        <f t="shared" si="36"/>
        <v>6.4594943625067245</v>
      </c>
      <c r="BQ1172" s="2">
        <f t="shared" si="37"/>
        <v>19.41046403864901</v>
      </c>
    </row>
    <row r="1173" spans="1:69" x14ac:dyDescent="0.2">
      <c r="A1173" s="2" t="s">
        <v>4578</v>
      </c>
      <c r="B1173" s="2" t="s">
        <v>47</v>
      </c>
      <c r="C1173" s="2" t="s">
        <v>3273</v>
      </c>
      <c r="D1173" s="2" t="s">
        <v>49</v>
      </c>
      <c r="E1173" s="2" t="s">
        <v>4579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89</v>
      </c>
      <c r="L1173" s="6" t="s">
        <v>90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4580</v>
      </c>
      <c r="R1173" s="2">
        <v>10000000</v>
      </c>
      <c r="S1173" s="2">
        <v>0</v>
      </c>
      <c r="T1173" s="2" t="s">
        <v>54</v>
      </c>
      <c r="U1173" s="2" t="s">
        <v>55</v>
      </c>
      <c r="V1173" s="2" t="s">
        <v>56</v>
      </c>
      <c r="W1173" s="2" t="s">
        <v>57</v>
      </c>
      <c r="X1173" s="2" t="s">
        <v>58</v>
      </c>
      <c r="Y1173" s="2">
        <v>1.7921731417286899</v>
      </c>
      <c r="Z1173" s="2">
        <v>1792.1731417286901</v>
      </c>
      <c r="AA1173" s="2">
        <v>4.6584666666666701</v>
      </c>
      <c r="AB1173" s="2">
        <v>-74.083966666666697</v>
      </c>
      <c r="AC1173" s="2">
        <v>2552</v>
      </c>
      <c r="AD1173" s="2">
        <v>0</v>
      </c>
      <c r="AE1173" s="2" t="s">
        <v>59</v>
      </c>
      <c r="AF1173" s="2" t="s">
        <v>60</v>
      </c>
      <c r="AG1173" s="2" t="s">
        <v>61</v>
      </c>
      <c r="AH1173" s="2" t="s">
        <v>62</v>
      </c>
      <c r="AI1173" s="2" t="s">
        <v>321</v>
      </c>
      <c r="AJ1173" s="2">
        <v>0.62624492558576805</v>
      </c>
      <c r="AK1173" s="2">
        <v>2.1044855512899199</v>
      </c>
      <c r="AL1173" s="2">
        <v>0.45082389281891599</v>
      </c>
      <c r="AM1173" s="2">
        <v>0.25469440401538801</v>
      </c>
      <c r="AN1173" s="2">
        <v>2.0783448932178499</v>
      </c>
      <c r="AO1173" s="2">
        <v>0.17978854013884199</v>
      </c>
      <c r="AP1173" s="2">
        <v>0.17978854013884199</v>
      </c>
      <c r="AQ1173" s="2">
        <v>0</v>
      </c>
      <c r="AR1173" s="2">
        <v>3</v>
      </c>
      <c r="AS1173" s="2">
        <v>0</v>
      </c>
      <c r="AT1173" s="2">
        <v>0</v>
      </c>
      <c r="AU1173" s="2">
        <v>18</v>
      </c>
      <c r="AV1173" s="2">
        <v>64</v>
      </c>
      <c r="AW1173" s="2">
        <v>0</v>
      </c>
      <c r="AX1173" s="2">
        <v>0</v>
      </c>
      <c r="AZ1173" s="2">
        <v>6.8</v>
      </c>
      <c r="BA1173" s="2">
        <v>19.899999999999999</v>
      </c>
      <c r="BB1173" s="2">
        <v>564</v>
      </c>
      <c r="BC1173" s="2">
        <v>68</v>
      </c>
      <c r="BD1173" s="2">
        <v>1.5</v>
      </c>
      <c r="BE1173" s="2">
        <v>135</v>
      </c>
      <c r="BF1173" s="2">
        <v>0.8</v>
      </c>
      <c r="BG1173" s="2">
        <v>162</v>
      </c>
      <c r="BH1173" s="2">
        <v>9.1</v>
      </c>
      <c r="BI1173" s="2">
        <v>9.1999999999999993</v>
      </c>
      <c r="BJ1173" s="2">
        <v>18.3</v>
      </c>
      <c r="BK1173" s="2">
        <v>0.34</v>
      </c>
      <c r="BL1173" s="2">
        <v>7.3</v>
      </c>
      <c r="BM1173" s="2">
        <v>0.9</v>
      </c>
      <c r="BN1173" s="2">
        <v>7.5</v>
      </c>
      <c r="BO1173" s="2">
        <v>2.9</v>
      </c>
      <c r="BP1173" s="2">
        <f t="shared" si="36"/>
        <v>6.2227382417274963</v>
      </c>
      <c r="BQ1173" s="2">
        <f t="shared" si="37"/>
        <v>19.062204952171196</v>
      </c>
    </row>
    <row r="1174" spans="1:69" x14ac:dyDescent="0.2">
      <c r="A1174" s="2" t="s">
        <v>4575</v>
      </c>
      <c r="B1174" s="2" t="s">
        <v>47</v>
      </c>
      <c r="C1174" s="2" t="s">
        <v>3273</v>
      </c>
      <c r="D1174" s="2" t="s">
        <v>49</v>
      </c>
      <c r="E1174" s="2" t="s">
        <v>4576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89</v>
      </c>
      <c r="L1174" s="6" t="s">
        <v>112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4577</v>
      </c>
      <c r="R1174" s="2">
        <v>9655172.4140000008</v>
      </c>
      <c r="S1174" s="2">
        <v>0</v>
      </c>
      <c r="T1174" s="2" t="s">
        <v>54</v>
      </c>
      <c r="U1174" s="2" t="s">
        <v>55</v>
      </c>
      <c r="V1174" s="2" t="s">
        <v>56</v>
      </c>
      <c r="W1174" s="2" t="s">
        <v>57</v>
      </c>
      <c r="X1174" s="2" t="s">
        <v>58</v>
      </c>
      <c r="Y1174" s="2">
        <v>1.5147208603591999</v>
      </c>
      <c r="Z1174" s="2">
        <v>1514.7208603592001</v>
      </c>
      <c r="AA1174" s="2">
        <v>4.6584666666666701</v>
      </c>
      <c r="AB1174" s="2">
        <v>-74.083966666666697</v>
      </c>
      <c r="AC1174" s="2">
        <v>2552</v>
      </c>
      <c r="AD1174" s="2">
        <v>0</v>
      </c>
      <c r="AE1174" s="2" t="s">
        <v>59</v>
      </c>
      <c r="AF1174" s="2" t="s">
        <v>60</v>
      </c>
      <c r="AG1174" s="2" t="s">
        <v>61</v>
      </c>
      <c r="AH1174" s="2" t="s">
        <v>62</v>
      </c>
      <c r="AI1174" s="2" t="s">
        <v>63</v>
      </c>
      <c r="AJ1174" s="2">
        <v>0.58391280504443799</v>
      </c>
      <c r="AK1174" s="2">
        <v>2.0095416792069098</v>
      </c>
      <c r="AL1174" s="2">
        <v>0.16931749752906899</v>
      </c>
      <c r="AM1174" s="2">
        <v>5.7111840206613099E-2</v>
      </c>
      <c r="AN1174" s="2">
        <v>1.88876103629396</v>
      </c>
      <c r="AO1174" s="2">
        <v>0.348005981273381</v>
      </c>
      <c r="AP1174" s="2">
        <v>0.348005981273381</v>
      </c>
      <c r="AQ1174" s="2">
        <v>0</v>
      </c>
      <c r="AR1174" s="2">
        <v>4</v>
      </c>
      <c r="AS1174" s="2">
        <v>0</v>
      </c>
      <c r="AT1174" s="2">
        <v>0</v>
      </c>
      <c r="AU1174" s="2">
        <v>6</v>
      </c>
      <c r="AV1174" s="2">
        <v>68</v>
      </c>
      <c r="AW1174" s="2">
        <v>0</v>
      </c>
      <c r="AX1174" s="2">
        <v>0</v>
      </c>
      <c r="AZ1174" s="2">
        <v>6.8</v>
      </c>
      <c r="BA1174" s="2">
        <v>19.899999999999999</v>
      </c>
      <c r="BB1174" s="2">
        <v>564</v>
      </c>
      <c r="BC1174" s="2">
        <v>68</v>
      </c>
      <c r="BD1174" s="2">
        <v>1.5</v>
      </c>
      <c r="BE1174" s="2">
        <v>135</v>
      </c>
      <c r="BF1174" s="2">
        <v>0.8</v>
      </c>
      <c r="BG1174" s="2">
        <v>162</v>
      </c>
      <c r="BH1174" s="2">
        <v>9.1</v>
      </c>
      <c r="BI1174" s="2">
        <v>9.1999999999999993</v>
      </c>
      <c r="BJ1174" s="2">
        <v>18.3</v>
      </c>
      <c r="BK1174" s="2">
        <v>0.34</v>
      </c>
      <c r="BL1174" s="2">
        <v>7.3</v>
      </c>
      <c r="BM1174" s="2">
        <v>0.9</v>
      </c>
      <c r="BN1174" s="2">
        <v>7.5</v>
      </c>
      <c r="BO1174" s="2">
        <v>2.9</v>
      </c>
      <c r="BP1174" s="2">
        <f t="shared" si="36"/>
        <v>6.3087901926818564</v>
      </c>
      <c r="BQ1174" s="2">
        <f t="shared" si="37"/>
        <v>19.189560958206375</v>
      </c>
    </row>
    <row r="1175" spans="1:69" x14ac:dyDescent="0.2">
      <c r="A1175" s="2" t="s">
        <v>4339</v>
      </c>
      <c r="B1175" s="2" t="s">
        <v>47</v>
      </c>
      <c r="C1175" s="2" t="s">
        <v>3273</v>
      </c>
      <c r="D1175" s="2" t="s">
        <v>49</v>
      </c>
      <c r="E1175" s="2" t="s">
        <v>1899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89</v>
      </c>
      <c r="L1175" s="6" t="s">
        <v>90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4340</v>
      </c>
      <c r="R1175" s="2">
        <v>8620689.6549999993</v>
      </c>
      <c r="S1175" s="2">
        <v>0</v>
      </c>
      <c r="T1175" s="2" t="s">
        <v>105</v>
      </c>
      <c r="U1175" s="2" t="s">
        <v>106</v>
      </c>
      <c r="V1175" s="2" t="s">
        <v>56</v>
      </c>
      <c r="W1175" s="2" t="s">
        <v>107</v>
      </c>
      <c r="X1175" s="2" t="s">
        <v>108</v>
      </c>
      <c r="Y1175" s="2">
        <v>1.7422325234375</v>
      </c>
      <c r="Z1175" s="2">
        <v>1742.2325234375</v>
      </c>
      <c r="AA1175" s="2">
        <v>4.6254861111111101</v>
      </c>
      <c r="AB1175" s="2">
        <v>-74.066980555555503</v>
      </c>
      <c r="AC1175" s="2">
        <v>2621</v>
      </c>
      <c r="AD1175" s="2">
        <v>15</v>
      </c>
      <c r="AE1175" s="2" t="s">
        <v>59</v>
      </c>
      <c r="AF1175" s="2" t="s">
        <v>60</v>
      </c>
      <c r="AG1175" s="2" t="s">
        <v>61</v>
      </c>
      <c r="AH1175" s="2" t="s">
        <v>62</v>
      </c>
      <c r="AI1175" s="2" t="s">
        <v>63</v>
      </c>
      <c r="AJ1175" s="2">
        <v>0.40981709902563801</v>
      </c>
      <c r="AK1175" s="2">
        <v>1.8396917563758499</v>
      </c>
      <c r="AL1175" s="2">
        <v>0.25120461628216101</v>
      </c>
      <c r="AM1175" s="2">
        <v>9.5186537926169296E-2</v>
      </c>
      <c r="AN1175" s="2">
        <v>1.5790799078028199</v>
      </c>
      <c r="AO1175" s="2">
        <v>0.37265415008887598</v>
      </c>
      <c r="AP1175" s="2">
        <v>0.37265415008887598</v>
      </c>
      <c r="AQ1175" s="2">
        <v>1</v>
      </c>
      <c r="AR1175" s="2">
        <v>3</v>
      </c>
      <c r="AS1175" s="2">
        <v>0</v>
      </c>
      <c r="AT1175" s="2">
        <v>0</v>
      </c>
      <c r="AU1175" s="2">
        <v>6</v>
      </c>
      <c r="AV1175" s="2">
        <v>112</v>
      </c>
      <c r="AW1175" s="2">
        <v>0</v>
      </c>
      <c r="AX1175" s="2">
        <v>0</v>
      </c>
      <c r="AZ1175" s="2">
        <v>6.8</v>
      </c>
      <c r="BA1175" s="2">
        <v>19.899999999999999</v>
      </c>
      <c r="BB1175" s="2">
        <v>564</v>
      </c>
      <c r="BC1175" s="2">
        <v>68</v>
      </c>
      <c r="BD1175" s="2">
        <v>1.5</v>
      </c>
      <c r="BE1175" s="2">
        <v>135</v>
      </c>
      <c r="BF1175" s="2">
        <v>0.8</v>
      </c>
      <c r="BG1175" s="2">
        <v>162</v>
      </c>
      <c r="BH1175" s="2">
        <v>9.1</v>
      </c>
      <c r="BI1175" s="2">
        <v>9.1999999999999993</v>
      </c>
      <c r="BJ1175" s="2">
        <v>18.3</v>
      </c>
      <c r="BK1175" s="2">
        <v>0.34</v>
      </c>
      <c r="BL1175" s="2">
        <v>7.3</v>
      </c>
      <c r="BM1175" s="2">
        <v>0.9</v>
      </c>
      <c r="BN1175" s="2">
        <v>7.5</v>
      </c>
      <c r="BO1175" s="2">
        <v>2.9</v>
      </c>
      <c r="BP1175" s="2">
        <f t="shared" si="36"/>
        <v>6.2381402573070694</v>
      </c>
      <c r="BQ1175" s="2">
        <f t="shared" si="37"/>
        <v>19.085066129081401</v>
      </c>
    </row>
    <row r="1176" spans="1:69" x14ac:dyDescent="0.2">
      <c r="A1176" s="2" t="s">
        <v>3812</v>
      </c>
      <c r="B1176" s="2" t="s">
        <v>47</v>
      </c>
      <c r="C1176" s="2" t="s">
        <v>3273</v>
      </c>
      <c r="D1176" s="2" t="s">
        <v>49</v>
      </c>
      <c r="E1176" s="2" t="s">
        <v>1625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89</v>
      </c>
      <c r="L1176" s="6" t="s">
        <v>90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3813</v>
      </c>
      <c r="R1176" s="2">
        <v>10812696.199999999</v>
      </c>
      <c r="S1176" s="2">
        <v>0</v>
      </c>
      <c r="T1176" s="2" t="s">
        <v>105</v>
      </c>
      <c r="U1176" s="2" t="s">
        <v>106</v>
      </c>
      <c r="V1176" s="2" t="s">
        <v>56</v>
      </c>
      <c r="W1176" s="2" t="s">
        <v>107</v>
      </c>
      <c r="X1176" s="2" t="s">
        <v>108</v>
      </c>
      <c r="Y1176" s="2">
        <v>1.6701803479913799</v>
      </c>
      <c r="Z1176" s="2">
        <v>1670.1803479913799</v>
      </c>
      <c r="AA1176" s="2">
        <v>4.6254861111111101</v>
      </c>
      <c r="AB1176" s="2">
        <v>-74.066980555555503</v>
      </c>
      <c r="AC1176" s="2">
        <v>2621</v>
      </c>
      <c r="AD1176" s="2">
        <v>15</v>
      </c>
      <c r="AE1176" s="2" t="s">
        <v>59</v>
      </c>
      <c r="AF1176" s="2" t="s">
        <v>60</v>
      </c>
      <c r="AG1176" s="2" t="s">
        <v>61</v>
      </c>
      <c r="AH1176" s="2" t="s">
        <v>62</v>
      </c>
      <c r="AI1176" s="2" t="s">
        <v>117</v>
      </c>
      <c r="AJ1176" s="2">
        <v>0.152171584704172</v>
      </c>
      <c r="AK1176" s="2">
        <v>0.62893358527237297</v>
      </c>
      <c r="AL1176" s="2">
        <v>0.27521620825673698</v>
      </c>
      <c r="AM1176" s="2">
        <v>0.33092285654416997</v>
      </c>
      <c r="AN1176" s="2">
        <v>0.64673907868714897</v>
      </c>
      <c r="AO1176" s="2">
        <v>4.9164984995367998E-2</v>
      </c>
      <c r="AP1176" s="2">
        <v>4.9164984995367998E-2</v>
      </c>
      <c r="AQ1176" s="2">
        <v>1</v>
      </c>
      <c r="AR1176" s="2">
        <v>8</v>
      </c>
      <c r="AS1176" s="2">
        <v>0</v>
      </c>
      <c r="AT1176" s="2">
        <v>23</v>
      </c>
      <c r="AU1176" s="2">
        <v>9</v>
      </c>
      <c r="AV1176" s="2">
        <v>62</v>
      </c>
      <c r="AW1176" s="2">
        <v>1</v>
      </c>
      <c r="AX1176" s="2">
        <v>5</v>
      </c>
      <c r="AZ1176" s="2">
        <v>6.8</v>
      </c>
      <c r="BA1176" s="2">
        <v>19.899999999999999</v>
      </c>
      <c r="BB1176" s="2">
        <v>564</v>
      </c>
      <c r="BC1176" s="2">
        <v>68</v>
      </c>
      <c r="BD1176" s="2">
        <v>1.5</v>
      </c>
      <c r="BE1176" s="2">
        <v>135</v>
      </c>
      <c r="BF1176" s="2">
        <v>0.8</v>
      </c>
      <c r="BG1176" s="2">
        <v>162</v>
      </c>
      <c r="BH1176" s="2">
        <v>9.1</v>
      </c>
      <c r="BI1176" s="2">
        <v>9.1999999999999993</v>
      </c>
      <c r="BJ1176" s="2">
        <v>18.3</v>
      </c>
      <c r="BK1176" s="2">
        <v>0.34</v>
      </c>
      <c r="BL1176" s="2">
        <v>7.3</v>
      </c>
      <c r="BM1176" s="2">
        <v>0.9</v>
      </c>
      <c r="BN1176" s="2">
        <v>7.5</v>
      </c>
      <c r="BO1176" s="2">
        <v>2.9</v>
      </c>
      <c r="BP1176" s="2">
        <f t="shared" si="36"/>
        <v>6.2604288237134593</v>
      </c>
      <c r="BQ1176" s="2">
        <f t="shared" si="37"/>
        <v>19.118097573494541</v>
      </c>
    </row>
    <row r="1177" spans="1:69" x14ac:dyDescent="0.2">
      <c r="A1177" s="2" t="s">
        <v>4361</v>
      </c>
      <c r="B1177" s="2" t="s">
        <v>47</v>
      </c>
      <c r="C1177" s="2" t="s">
        <v>3273</v>
      </c>
      <c r="D1177" s="2" t="s">
        <v>49</v>
      </c>
      <c r="E1177" s="2" t="s">
        <v>3538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89</v>
      </c>
      <c r="L1177" s="6" t="s">
        <v>90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4362</v>
      </c>
      <c r="R1177" s="2">
        <v>10115102.9</v>
      </c>
      <c r="S1177" s="2">
        <v>0</v>
      </c>
      <c r="T1177" s="2" t="s">
        <v>105</v>
      </c>
      <c r="U1177" s="2" t="s">
        <v>106</v>
      </c>
      <c r="V1177" s="2" t="s">
        <v>56</v>
      </c>
      <c r="W1177" s="2" t="s">
        <v>107</v>
      </c>
      <c r="X1177" s="2" t="s">
        <v>108</v>
      </c>
      <c r="Y1177" s="2">
        <v>1.73016869515159</v>
      </c>
      <c r="Z1177" s="2">
        <v>1730.1686951515901</v>
      </c>
      <c r="AA1177" s="2">
        <v>4.6254861111111101</v>
      </c>
      <c r="AB1177" s="2">
        <v>-74.066980555555503</v>
      </c>
      <c r="AC1177" s="2">
        <v>2621</v>
      </c>
      <c r="AD1177" s="2">
        <v>15</v>
      </c>
      <c r="AE1177" s="2" t="s">
        <v>59</v>
      </c>
      <c r="AF1177" s="2" t="s">
        <v>60</v>
      </c>
      <c r="AG1177" s="2" t="s">
        <v>61</v>
      </c>
      <c r="AH1177" s="2" t="s">
        <v>62</v>
      </c>
      <c r="AI1177" s="2" t="s">
        <v>117</v>
      </c>
      <c r="AJ1177" s="2">
        <v>0.14863813906381901</v>
      </c>
      <c r="AK1177" s="2">
        <v>0.63136889955848396</v>
      </c>
      <c r="AL1177" s="2">
        <v>0.28046374973949001</v>
      </c>
      <c r="AM1177" s="2">
        <v>0.27109003560582401</v>
      </c>
      <c r="AN1177" s="2">
        <v>0.70267866686443203</v>
      </c>
      <c r="AO1177" s="2">
        <v>6.12402926326596E-2</v>
      </c>
      <c r="AP1177" s="2">
        <v>6.12402926326596E-2</v>
      </c>
      <c r="AQ1177" s="2">
        <v>1</v>
      </c>
      <c r="AR1177" s="2">
        <v>8</v>
      </c>
      <c r="AS1177" s="2">
        <v>0</v>
      </c>
      <c r="AT1177" s="2">
        <v>24</v>
      </c>
      <c r="AU1177" s="2">
        <v>9</v>
      </c>
      <c r="AV1177" s="2">
        <v>63</v>
      </c>
      <c r="AW1177" s="2">
        <v>1</v>
      </c>
      <c r="AX1177" s="2">
        <v>6</v>
      </c>
      <c r="AZ1177" s="2">
        <v>6.8</v>
      </c>
      <c r="BA1177" s="2">
        <v>19.899999999999999</v>
      </c>
      <c r="BB1177" s="2">
        <v>564</v>
      </c>
      <c r="BC1177" s="2">
        <v>68</v>
      </c>
      <c r="BD1177" s="2">
        <v>1.5</v>
      </c>
      <c r="BE1177" s="2">
        <v>135</v>
      </c>
      <c r="BF1177" s="2">
        <v>0.8</v>
      </c>
      <c r="BG1177" s="2">
        <v>162</v>
      </c>
      <c r="BH1177" s="2">
        <v>9.1</v>
      </c>
      <c r="BI1177" s="2">
        <v>9.1999999999999993</v>
      </c>
      <c r="BJ1177" s="2">
        <v>18.3</v>
      </c>
      <c r="BK1177" s="2">
        <v>0.34</v>
      </c>
      <c r="BL1177" s="2">
        <v>7.3</v>
      </c>
      <c r="BM1177" s="2">
        <v>0.9</v>
      </c>
      <c r="BN1177" s="2">
        <v>7.5</v>
      </c>
      <c r="BO1177" s="2">
        <v>2.9</v>
      </c>
      <c r="BP1177" s="2">
        <f t="shared" si="36"/>
        <v>6.2418665345051867</v>
      </c>
      <c r="BQ1177" s="2">
        <f t="shared" si="37"/>
        <v>19.090592664151391</v>
      </c>
    </row>
    <row r="1178" spans="1:69" x14ac:dyDescent="0.2">
      <c r="A1178" s="2" t="s">
        <v>1620</v>
      </c>
      <c r="B1178" s="2" t="s">
        <v>47</v>
      </c>
      <c r="C1178" s="2" t="s">
        <v>48</v>
      </c>
      <c r="D1178" s="2" t="s">
        <v>49</v>
      </c>
      <c r="E1178" s="2" t="s">
        <v>1509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51</v>
      </c>
      <c r="L1178" s="6" t="s">
        <v>52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1621</v>
      </c>
      <c r="R1178" s="2">
        <v>11226712.359999999</v>
      </c>
      <c r="S1178" s="2">
        <v>0</v>
      </c>
      <c r="T1178" s="2" t="s">
        <v>105</v>
      </c>
      <c r="U1178" s="2" t="s">
        <v>106</v>
      </c>
      <c r="V1178" s="2" t="s">
        <v>56</v>
      </c>
      <c r="W1178" s="2" t="s">
        <v>107</v>
      </c>
      <c r="X1178" s="2" t="s">
        <v>108</v>
      </c>
      <c r="Y1178" s="2">
        <v>0.477297678444431</v>
      </c>
      <c r="Z1178" s="2">
        <v>477.29767844443103</v>
      </c>
      <c r="AA1178" s="2">
        <v>4.6254861111111101</v>
      </c>
      <c r="AB1178" s="2">
        <v>-74.066980555555503</v>
      </c>
      <c r="AC1178" s="2">
        <v>2621</v>
      </c>
      <c r="AD1178" s="2">
        <v>15</v>
      </c>
      <c r="AE1178" s="2" t="s">
        <v>59</v>
      </c>
      <c r="AF1178" s="2" t="s">
        <v>60</v>
      </c>
      <c r="AG1178" s="2" t="s">
        <v>61</v>
      </c>
      <c r="AH1178" s="2" t="s">
        <v>62</v>
      </c>
      <c r="AI1178" s="2" t="s">
        <v>117</v>
      </c>
      <c r="AJ1178" s="2">
        <v>5.6142650139799702E-2</v>
      </c>
      <c r="AK1178" s="2">
        <v>0.90372310585985105</v>
      </c>
      <c r="AL1178" s="2">
        <v>0.22218264720956099</v>
      </c>
      <c r="AM1178" s="2">
        <v>4.7684081077489601E-2</v>
      </c>
      <c r="AN1178" s="2">
        <v>0.68763354418564704</v>
      </c>
      <c r="AO1178" s="2">
        <v>0.19304280251591199</v>
      </c>
      <c r="AP1178" s="2">
        <v>0.19304280251591199</v>
      </c>
      <c r="AQ1178" s="2">
        <v>2</v>
      </c>
      <c r="AR1178" s="2">
        <v>6</v>
      </c>
      <c r="AS1178" s="2">
        <v>0</v>
      </c>
      <c r="AT1178" s="2">
        <v>3</v>
      </c>
      <c r="AU1178" s="2">
        <v>18</v>
      </c>
      <c r="AV1178" s="2">
        <v>98</v>
      </c>
      <c r="AW1178" s="2">
        <v>2</v>
      </c>
      <c r="AX1178" s="2">
        <v>1</v>
      </c>
      <c r="AZ1178" s="2">
        <v>6.8</v>
      </c>
      <c r="BA1178" s="2">
        <v>19.899999999999999</v>
      </c>
      <c r="BB1178" s="2">
        <v>564</v>
      </c>
      <c r="BC1178" s="2">
        <v>68</v>
      </c>
      <c r="BD1178" s="2">
        <v>1.5</v>
      </c>
      <c r="BE1178" s="2">
        <v>135</v>
      </c>
      <c r="BF1178" s="2">
        <v>0.8</v>
      </c>
      <c r="BG1178" s="2">
        <v>162</v>
      </c>
      <c r="BH1178" s="2">
        <v>9.1</v>
      </c>
      <c r="BI1178" s="2">
        <v>9.1999999999999993</v>
      </c>
      <c r="BJ1178" s="2">
        <v>18.3</v>
      </c>
      <c r="BK1178" s="2">
        <v>0.34</v>
      </c>
      <c r="BL1178" s="2">
        <v>7.3</v>
      </c>
      <c r="BM1178" s="2">
        <v>0.9</v>
      </c>
      <c r="BN1178" s="2">
        <v>7.5</v>
      </c>
      <c r="BO1178" s="2">
        <v>2.9</v>
      </c>
      <c r="BP1178" s="2">
        <f t="shared" si="36"/>
        <v>6.6412246192899369</v>
      </c>
      <c r="BQ1178" s="2">
        <f t="shared" si="37"/>
        <v>19.673343299868097</v>
      </c>
    </row>
    <row r="1179" spans="1:69" x14ac:dyDescent="0.2">
      <c r="A1179" s="2" t="s">
        <v>4066</v>
      </c>
      <c r="B1179" s="2" t="s">
        <v>47</v>
      </c>
      <c r="C1179" s="2" t="s">
        <v>3273</v>
      </c>
      <c r="D1179" s="2" t="s">
        <v>49</v>
      </c>
      <c r="E1179" s="2" t="s">
        <v>3538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89</v>
      </c>
      <c r="L1179" s="6" t="s">
        <v>90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4067</v>
      </c>
      <c r="R1179" s="2">
        <v>12237263.98</v>
      </c>
      <c r="S1179" s="2">
        <v>0</v>
      </c>
      <c r="T1179" s="2" t="s">
        <v>105</v>
      </c>
      <c r="U1179" s="2" t="s">
        <v>106</v>
      </c>
      <c r="V1179" s="2" t="s">
        <v>56</v>
      </c>
      <c r="W1179" s="2" t="s">
        <v>107</v>
      </c>
      <c r="X1179" s="2" t="s">
        <v>108</v>
      </c>
      <c r="Y1179" s="2">
        <v>0.77784895064422999</v>
      </c>
      <c r="Z1179" s="2">
        <v>777.84895064422994</v>
      </c>
      <c r="AA1179" s="2">
        <v>4.6254861111111101</v>
      </c>
      <c r="AB1179" s="2">
        <v>-74.066980555555503</v>
      </c>
      <c r="AC1179" s="2">
        <v>2621</v>
      </c>
      <c r="AD1179" s="2">
        <v>15</v>
      </c>
      <c r="AE1179" s="2" t="s">
        <v>59</v>
      </c>
      <c r="AF1179" s="2" t="s">
        <v>60</v>
      </c>
      <c r="AG1179" s="2" t="s">
        <v>61</v>
      </c>
      <c r="AH1179" s="2" t="s">
        <v>62</v>
      </c>
      <c r="AI1179" s="2" t="s">
        <v>109</v>
      </c>
      <c r="AJ1179" s="2">
        <v>0.43295064725290799</v>
      </c>
      <c r="AK1179" s="2">
        <v>0.45973649605725903</v>
      </c>
      <c r="AL1179" s="2">
        <v>0.18318921822877199</v>
      </c>
      <c r="AM1179" s="2">
        <v>0.103482540603006</v>
      </c>
      <c r="AN1179" s="2">
        <v>0.55940715793662998</v>
      </c>
      <c r="AO1179" s="2">
        <v>7.6124657875659002E-2</v>
      </c>
      <c r="AP1179" s="2">
        <v>7.6124657875659002E-2</v>
      </c>
      <c r="AQ1179" s="2">
        <v>1</v>
      </c>
      <c r="AR1179" s="2">
        <v>5</v>
      </c>
      <c r="AS1179" s="2">
        <v>4</v>
      </c>
      <c r="AT1179" s="2">
        <v>41</v>
      </c>
      <c r="AU1179" s="2">
        <v>11</v>
      </c>
      <c r="AV1179" s="2">
        <v>125</v>
      </c>
      <c r="AW1179" s="2">
        <v>1</v>
      </c>
      <c r="AX1179" s="2">
        <v>1</v>
      </c>
      <c r="AZ1179" s="2">
        <v>6.8</v>
      </c>
      <c r="BA1179" s="2">
        <v>19.899999999999999</v>
      </c>
      <c r="BB1179" s="2">
        <v>564</v>
      </c>
      <c r="BC1179" s="2">
        <v>68</v>
      </c>
      <c r="BD1179" s="2">
        <v>1.5</v>
      </c>
      <c r="BE1179" s="2">
        <v>135</v>
      </c>
      <c r="BF1179" s="2">
        <v>0.8</v>
      </c>
      <c r="BG1179" s="2">
        <v>162</v>
      </c>
      <c r="BH1179" s="2">
        <v>9.1</v>
      </c>
      <c r="BI1179" s="2">
        <v>9.1999999999999993</v>
      </c>
      <c r="BJ1179" s="2">
        <v>18.3</v>
      </c>
      <c r="BK1179" s="2">
        <v>0.34</v>
      </c>
      <c r="BL1179" s="2">
        <v>7.3</v>
      </c>
      <c r="BM1179" s="2">
        <v>0.9</v>
      </c>
      <c r="BN1179" s="2">
        <v>7.5</v>
      </c>
      <c r="BO1179" s="2">
        <v>2.9</v>
      </c>
      <c r="BP1179" s="2">
        <f t="shared" si="36"/>
        <v>6.5431525402915165</v>
      </c>
      <c r="BQ1179" s="2">
        <f t="shared" si="37"/>
        <v>19.53194551977252</v>
      </c>
    </row>
    <row r="1180" spans="1:69" x14ac:dyDescent="0.2">
      <c r="A1180" s="2" t="s">
        <v>3580</v>
      </c>
      <c r="B1180" s="2" t="s">
        <v>47</v>
      </c>
      <c r="C1180" s="2" t="s">
        <v>3273</v>
      </c>
      <c r="D1180" s="2" t="s">
        <v>49</v>
      </c>
      <c r="E1180" s="2" t="s">
        <v>3465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89</v>
      </c>
      <c r="L1180" s="6" t="s">
        <v>90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3581</v>
      </c>
      <c r="R1180" s="2">
        <v>12857142.859999999</v>
      </c>
      <c r="S1180" s="2">
        <v>0</v>
      </c>
      <c r="T1180" s="2" t="s">
        <v>105</v>
      </c>
      <c r="U1180" s="2" t="s">
        <v>106</v>
      </c>
      <c r="V1180" s="2" t="s">
        <v>56</v>
      </c>
      <c r="W1180" s="2" t="s">
        <v>107</v>
      </c>
      <c r="X1180" s="2" t="s">
        <v>108</v>
      </c>
      <c r="Y1180" s="2">
        <v>2.1245171124844502</v>
      </c>
      <c r="Z1180" s="2">
        <v>2124.5171124844501</v>
      </c>
      <c r="AA1180" s="2">
        <v>4.6254861111111101</v>
      </c>
      <c r="AB1180" s="2">
        <v>-74.066980555555503</v>
      </c>
      <c r="AC1180" s="2">
        <v>2621</v>
      </c>
      <c r="AD1180" s="2">
        <v>15</v>
      </c>
      <c r="AE1180" s="2" t="s">
        <v>59</v>
      </c>
      <c r="AF1180" s="2" t="s">
        <v>60</v>
      </c>
      <c r="AG1180" s="2" t="s">
        <v>61</v>
      </c>
      <c r="AH1180" s="2" t="s">
        <v>62</v>
      </c>
      <c r="AI1180" s="2" t="s">
        <v>63</v>
      </c>
      <c r="AJ1180" s="2">
        <v>0.36035865627563901</v>
      </c>
      <c r="AK1180" s="2">
        <v>2.7637126742206899</v>
      </c>
      <c r="AL1180" s="2">
        <v>0.685125481214933</v>
      </c>
      <c r="AM1180" s="2">
        <v>0.267194372774544</v>
      </c>
      <c r="AN1180" s="2">
        <v>2.1354241146323498</v>
      </c>
      <c r="AO1180" s="2">
        <v>3.09214848177491E-2</v>
      </c>
      <c r="AP1180" s="2">
        <v>3.09214848177491E-2</v>
      </c>
      <c r="AQ1180" s="2">
        <v>1</v>
      </c>
      <c r="AR1180" s="2">
        <v>5</v>
      </c>
      <c r="AS1180" s="2">
        <v>0</v>
      </c>
      <c r="AT1180" s="2">
        <v>0</v>
      </c>
      <c r="AU1180" s="2">
        <v>2</v>
      </c>
      <c r="AV1180" s="2">
        <v>27</v>
      </c>
      <c r="AW1180" s="2">
        <v>0</v>
      </c>
      <c r="AX1180" s="2">
        <v>0</v>
      </c>
      <c r="AZ1180" s="2">
        <v>6.8</v>
      </c>
      <c r="BA1180" s="2">
        <v>19.899999999999999</v>
      </c>
      <c r="BB1180" s="2">
        <v>564</v>
      </c>
      <c r="BC1180" s="2">
        <v>68</v>
      </c>
      <c r="BD1180" s="2">
        <v>1.5</v>
      </c>
      <c r="BE1180" s="2">
        <v>135</v>
      </c>
      <c r="BF1180" s="2">
        <v>0.8</v>
      </c>
      <c r="BG1180" s="2">
        <v>162</v>
      </c>
      <c r="BH1180" s="2">
        <v>9.1</v>
      </c>
      <c r="BI1180" s="2">
        <v>9.1999999999999993</v>
      </c>
      <c r="BJ1180" s="2">
        <v>18.3</v>
      </c>
      <c r="BK1180" s="2">
        <v>0.34</v>
      </c>
      <c r="BL1180" s="2">
        <v>7.3</v>
      </c>
      <c r="BM1180" s="2">
        <v>0.9</v>
      </c>
      <c r="BN1180" s="2">
        <v>7.5</v>
      </c>
      <c r="BO1180" s="2">
        <v>2.9</v>
      </c>
      <c r="BP1180" s="2">
        <f t="shared" si="36"/>
        <v>6.1212052604350555</v>
      </c>
      <c r="BQ1180" s="2">
        <f t="shared" si="37"/>
        <v>18.91076470485778</v>
      </c>
    </row>
    <row r="1181" spans="1:69" x14ac:dyDescent="0.2">
      <c r="A1181" s="2" t="s">
        <v>4268</v>
      </c>
      <c r="B1181" s="2" t="s">
        <v>47</v>
      </c>
      <c r="C1181" s="2" t="s">
        <v>3273</v>
      </c>
      <c r="D1181" s="2" t="s">
        <v>49</v>
      </c>
      <c r="E1181" s="2" t="s">
        <v>3538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89</v>
      </c>
      <c r="L1181" s="6" t="s">
        <v>90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4269</v>
      </c>
      <c r="R1181" s="2">
        <v>12500000</v>
      </c>
      <c r="S1181" s="2">
        <v>0</v>
      </c>
      <c r="T1181" s="2" t="s">
        <v>105</v>
      </c>
      <c r="U1181" s="2" t="s">
        <v>106</v>
      </c>
      <c r="V1181" s="2" t="s">
        <v>56</v>
      </c>
      <c r="W1181" s="2" t="s">
        <v>107</v>
      </c>
      <c r="X1181" s="2" t="s">
        <v>108</v>
      </c>
      <c r="Y1181" s="2">
        <v>1.3767554048533599</v>
      </c>
      <c r="Z1181" s="2">
        <v>1376.75540485336</v>
      </c>
      <c r="AA1181" s="2">
        <v>4.6254861111111101</v>
      </c>
      <c r="AB1181" s="2">
        <v>-74.066980555555503</v>
      </c>
      <c r="AC1181" s="2">
        <v>2621</v>
      </c>
      <c r="AD1181" s="2">
        <v>15</v>
      </c>
      <c r="AE1181" s="2" t="s">
        <v>59</v>
      </c>
      <c r="AF1181" s="2" t="s">
        <v>60</v>
      </c>
      <c r="AG1181" s="2" t="s">
        <v>61</v>
      </c>
      <c r="AH1181" s="2" t="s">
        <v>62</v>
      </c>
      <c r="AI1181" s="2" t="s">
        <v>117</v>
      </c>
      <c r="AJ1181" s="2">
        <v>0.20859495229956401</v>
      </c>
      <c r="AK1181" s="2">
        <v>0.63537759075358202</v>
      </c>
      <c r="AL1181" s="2">
        <v>0.19026566687762</v>
      </c>
      <c r="AM1181" s="2">
        <v>9.3815307045673396E-2</v>
      </c>
      <c r="AN1181" s="2">
        <v>0.414600482625401</v>
      </c>
      <c r="AO1181" s="2">
        <v>1.06945947541207E-2</v>
      </c>
      <c r="AP1181" s="2">
        <v>1.06945947541207E-2</v>
      </c>
      <c r="AQ1181" s="2">
        <v>3</v>
      </c>
      <c r="AR1181" s="2">
        <v>7</v>
      </c>
      <c r="AS1181" s="2">
        <v>0</v>
      </c>
      <c r="AT1181" s="2">
        <v>18</v>
      </c>
      <c r="AU1181" s="2">
        <v>9</v>
      </c>
      <c r="AV1181" s="2">
        <v>66</v>
      </c>
      <c r="AW1181" s="2">
        <v>1</v>
      </c>
      <c r="AX1181" s="2">
        <v>4</v>
      </c>
      <c r="AZ1181" s="2">
        <v>6.8</v>
      </c>
      <c r="BA1181" s="2">
        <v>19.899999999999999</v>
      </c>
      <c r="BB1181" s="2">
        <v>564</v>
      </c>
      <c r="BC1181" s="2">
        <v>68</v>
      </c>
      <c r="BD1181" s="2">
        <v>1.5</v>
      </c>
      <c r="BE1181" s="2">
        <v>135</v>
      </c>
      <c r="BF1181" s="2">
        <v>0.8</v>
      </c>
      <c r="BG1181" s="2">
        <v>162</v>
      </c>
      <c r="BH1181" s="2">
        <v>9.1</v>
      </c>
      <c r="BI1181" s="2">
        <v>9.1999999999999993</v>
      </c>
      <c r="BJ1181" s="2">
        <v>18.3</v>
      </c>
      <c r="BK1181" s="2">
        <v>0.34</v>
      </c>
      <c r="BL1181" s="2">
        <v>7.3</v>
      </c>
      <c r="BM1181" s="2">
        <v>0.9</v>
      </c>
      <c r="BN1181" s="2">
        <v>7.5</v>
      </c>
      <c r="BO1181" s="2">
        <v>2.9</v>
      </c>
      <c r="BP1181" s="2">
        <f t="shared" si="36"/>
        <v>6.3520222047060599</v>
      </c>
      <c r="BQ1181" s="2">
        <f t="shared" si="37"/>
        <v>19.253206186617128</v>
      </c>
    </row>
    <row r="1182" spans="1:69" x14ac:dyDescent="0.2">
      <c r="A1182" s="2" t="s">
        <v>4569</v>
      </c>
      <c r="B1182" s="2" t="s">
        <v>47</v>
      </c>
      <c r="C1182" s="2" t="s">
        <v>3273</v>
      </c>
      <c r="D1182" s="2" t="s">
        <v>49</v>
      </c>
      <c r="E1182" s="2" t="s">
        <v>1077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89</v>
      </c>
      <c r="L1182" s="6" t="s">
        <v>90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4570</v>
      </c>
      <c r="R1182" s="2">
        <v>12142857.140000001</v>
      </c>
      <c r="S1182" s="2">
        <v>0</v>
      </c>
      <c r="T1182" s="2" t="s">
        <v>105</v>
      </c>
      <c r="U1182" s="2" t="s">
        <v>106</v>
      </c>
      <c r="V1182" s="2" t="s">
        <v>56</v>
      </c>
      <c r="W1182" s="2" t="s">
        <v>107</v>
      </c>
      <c r="X1182" s="2" t="s">
        <v>108</v>
      </c>
      <c r="Y1182" s="2">
        <v>1.7303375746377301</v>
      </c>
      <c r="Z1182" s="2">
        <v>1730.3375746377301</v>
      </c>
      <c r="AA1182" s="2">
        <v>4.6254861111111101</v>
      </c>
      <c r="AB1182" s="2">
        <v>-74.066980555555503</v>
      </c>
      <c r="AC1182" s="2">
        <v>2621</v>
      </c>
      <c r="AD1182" s="2">
        <v>15</v>
      </c>
      <c r="AE1182" s="2" t="s">
        <v>59</v>
      </c>
      <c r="AF1182" s="2" t="s">
        <v>60</v>
      </c>
      <c r="AG1182" s="2" t="s">
        <v>61</v>
      </c>
      <c r="AH1182" s="2" t="s">
        <v>62</v>
      </c>
      <c r="AI1182" s="2" t="s">
        <v>117</v>
      </c>
      <c r="AJ1182" s="2">
        <v>0.14889056018687899</v>
      </c>
      <c r="AK1182" s="2">
        <v>0.63114810933434495</v>
      </c>
      <c r="AL1182" s="2">
        <v>0.28072151144425</v>
      </c>
      <c r="AM1182" s="2">
        <v>0.270932764878279</v>
      </c>
      <c r="AN1182" s="2">
        <v>0.70273306351493803</v>
      </c>
      <c r="AO1182" s="2">
        <v>6.1498804287053697E-2</v>
      </c>
      <c r="AP1182" s="2">
        <v>6.1498804287053697E-2</v>
      </c>
      <c r="AQ1182" s="2">
        <v>1</v>
      </c>
      <c r="AR1182" s="2">
        <v>8</v>
      </c>
      <c r="AS1182" s="2">
        <v>0</v>
      </c>
      <c r="AT1182" s="2">
        <v>24</v>
      </c>
      <c r="AU1182" s="2">
        <v>9</v>
      </c>
      <c r="AV1182" s="2">
        <v>63</v>
      </c>
      <c r="AW1182" s="2">
        <v>1</v>
      </c>
      <c r="AX1182" s="2">
        <v>6</v>
      </c>
      <c r="AZ1182" s="2">
        <v>6.8</v>
      </c>
      <c r="BA1182" s="2">
        <v>19.899999999999999</v>
      </c>
      <c r="BB1182" s="2">
        <v>564</v>
      </c>
      <c r="BC1182" s="2">
        <v>68</v>
      </c>
      <c r="BD1182" s="2">
        <v>1.5</v>
      </c>
      <c r="BE1182" s="2">
        <v>135</v>
      </c>
      <c r="BF1182" s="2">
        <v>0.8</v>
      </c>
      <c r="BG1182" s="2">
        <v>162</v>
      </c>
      <c r="BH1182" s="2">
        <v>9.1</v>
      </c>
      <c r="BI1182" s="2">
        <v>9.1999999999999993</v>
      </c>
      <c r="BJ1182" s="2">
        <v>18.3</v>
      </c>
      <c r="BK1182" s="2">
        <v>0.34</v>
      </c>
      <c r="BL1182" s="2">
        <v>7.3</v>
      </c>
      <c r="BM1182" s="2">
        <v>0.9</v>
      </c>
      <c r="BN1182" s="2">
        <v>7.5</v>
      </c>
      <c r="BO1182" s="2">
        <v>2.9</v>
      </c>
      <c r="BP1182" s="2">
        <f t="shared" si="36"/>
        <v>6.2418143556242436</v>
      </c>
      <c r="BQ1182" s="2">
        <f t="shared" si="37"/>
        <v>19.090515288080695</v>
      </c>
    </row>
    <row r="1183" spans="1:69" x14ac:dyDescent="0.2">
      <c r="A1183" s="2" t="s">
        <v>4583</v>
      </c>
      <c r="B1183" s="2" t="s">
        <v>47</v>
      </c>
      <c r="C1183" s="2" t="s">
        <v>3273</v>
      </c>
      <c r="D1183" s="2" t="s">
        <v>49</v>
      </c>
      <c r="E1183" s="2" t="s">
        <v>1625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89</v>
      </c>
      <c r="L1183" s="6" t="s">
        <v>90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4584</v>
      </c>
      <c r="R1183" s="2">
        <v>11428571.43</v>
      </c>
      <c r="S1183" s="2">
        <v>0</v>
      </c>
      <c r="T1183" s="2" t="s">
        <v>105</v>
      </c>
      <c r="U1183" s="2" t="s">
        <v>106</v>
      </c>
      <c r="V1183" s="2" t="s">
        <v>56</v>
      </c>
      <c r="W1183" s="2" t="s">
        <v>107</v>
      </c>
      <c r="X1183" s="2" t="s">
        <v>108</v>
      </c>
      <c r="Y1183" s="2">
        <v>1.7303375746377301</v>
      </c>
      <c r="Z1183" s="2">
        <v>1730.3375746377301</v>
      </c>
      <c r="AA1183" s="2">
        <v>4.6254861111111101</v>
      </c>
      <c r="AB1183" s="2">
        <v>-74.066980555555503</v>
      </c>
      <c r="AC1183" s="2">
        <v>2621</v>
      </c>
      <c r="AD1183" s="2">
        <v>15</v>
      </c>
      <c r="AE1183" s="2" t="s">
        <v>59</v>
      </c>
      <c r="AF1183" s="2" t="s">
        <v>60</v>
      </c>
      <c r="AG1183" s="2" t="s">
        <v>61</v>
      </c>
      <c r="AH1183" s="2" t="s">
        <v>62</v>
      </c>
      <c r="AI1183" s="2" t="s">
        <v>117</v>
      </c>
      <c r="AJ1183" s="2">
        <v>0.14889056018687899</v>
      </c>
      <c r="AK1183" s="2">
        <v>0.63114810933434495</v>
      </c>
      <c r="AL1183" s="2">
        <v>0.28072151144425</v>
      </c>
      <c r="AM1183" s="2">
        <v>0.270932764878279</v>
      </c>
      <c r="AN1183" s="2">
        <v>0.70273306351493803</v>
      </c>
      <c r="AO1183" s="2">
        <v>6.1498804287053697E-2</v>
      </c>
      <c r="AP1183" s="2">
        <v>6.1498804287053697E-2</v>
      </c>
      <c r="AQ1183" s="2">
        <v>1</v>
      </c>
      <c r="AR1183" s="2">
        <v>8</v>
      </c>
      <c r="AS1183" s="2">
        <v>0</v>
      </c>
      <c r="AT1183" s="2">
        <v>24</v>
      </c>
      <c r="AU1183" s="2">
        <v>9</v>
      </c>
      <c r="AV1183" s="2">
        <v>63</v>
      </c>
      <c r="AW1183" s="2">
        <v>1</v>
      </c>
      <c r="AX1183" s="2">
        <v>6</v>
      </c>
      <c r="AZ1183" s="2">
        <v>6.8</v>
      </c>
      <c r="BA1183" s="2">
        <v>19.899999999999999</v>
      </c>
      <c r="BB1183" s="2">
        <v>564</v>
      </c>
      <c r="BC1183" s="2">
        <v>68</v>
      </c>
      <c r="BD1183" s="2">
        <v>1.5</v>
      </c>
      <c r="BE1183" s="2">
        <v>135</v>
      </c>
      <c r="BF1183" s="2">
        <v>0.8</v>
      </c>
      <c r="BG1183" s="2">
        <v>162</v>
      </c>
      <c r="BH1183" s="2">
        <v>9.1</v>
      </c>
      <c r="BI1183" s="2">
        <v>9.1999999999999993</v>
      </c>
      <c r="BJ1183" s="2">
        <v>18.3</v>
      </c>
      <c r="BK1183" s="2">
        <v>0.34</v>
      </c>
      <c r="BL1183" s="2">
        <v>7.3</v>
      </c>
      <c r="BM1183" s="2">
        <v>0.9</v>
      </c>
      <c r="BN1183" s="2">
        <v>7.5</v>
      </c>
      <c r="BO1183" s="2">
        <v>2.9</v>
      </c>
      <c r="BP1183" s="2">
        <f t="shared" si="36"/>
        <v>6.2418143556242436</v>
      </c>
      <c r="BQ1183" s="2">
        <f t="shared" si="37"/>
        <v>19.090515288080695</v>
      </c>
    </row>
    <row r="1184" spans="1:69" x14ac:dyDescent="0.2">
      <c r="A1184" s="2" t="s">
        <v>4530</v>
      </c>
      <c r="B1184" s="2" t="s">
        <v>47</v>
      </c>
      <c r="C1184" s="2" t="s">
        <v>3273</v>
      </c>
      <c r="D1184" s="2" t="s">
        <v>49</v>
      </c>
      <c r="E1184" s="2" t="s">
        <v>3538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89</v>
      </c>
      <c r="L1184" s="6" t="s">
        <v>90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4531</v>
      </c>
      <c r="R1184" s="2">
        <v>11428571.43</v>
      </c>
      <c r="S1184" s="2">
        <v>0</v>
      </c>
      <c r="T1184" s="2" t="s">
        <v>105</v>
      </c>
      <c r="U1184" s="2" t="s">
        <v>106</v>
      </c>
      <c r="V1184" s="2" t="s">
        <v>56</v>
      </c>
      <c r="W1184" s="2" t="s">
        <v>107</v>
      </c>
      <c r="X1184" s="2" t="s">
        <v>108</v>
      </c>
      <c r="Y1184" s="2">
        <v>0.61896355962907001</v>
      </c>
      <c r="Z1184" s="2">
        <v>618.96355962907001</v>
      </c>
      <c r="AA1184" s="2">
        <v>4.6254861111111101</v>
      </c>
      <c r="AB1184" s="2">
        <v>-74.066980555555503</v>
      </c>
      <c r="AC1184" s="2">
        <v>2621</v>
      </c>
      <c r="AD1184" s="2">
        <v>15</v>
      </c>
      <c r="AE1184" s="2" t="s">
        <v>59</v>
      </c>
      <c r="AF1184" s="2" t="s">
        <v>60</v>
      </c>
      <c r="AG1184" s="2" t="s">
        <v>61</v>
      </c>
      <c r="AH1184" s="2" t="s">
        <v>62</v>
      </c>
      <c r="AI1184" s="2" t="s">
        <v>63</v>
      </c>
      <c r="AJ1184" s="2">
        <v>8.7833549809609904E-2</v>
      </c>
      <c r="AK1184" s="2">
        <v>0.94048365361414599</v>
      </c>
      <c r="AL1184" s="2">
        <v>0.27396478629899601</v>
      </c>
      <c r="AM1184" s="2">
        <v>6.2837241780012904E-2</v>
      </c>
      <c r="AN1184" s="2">
        <v>0.746615025325018</v>
      </c>
      <c r="AO1184" s="2">
        <v>5.2060812331275998E-2</v>
      </c>
      <c r="AP1184" s="2">
        <v>5.2060812331275998E-2</v>
      </c>
      <c r="AQ1184" s="2">
        <v>1</v>
      </c>
      <c r="AR1184" s="2">
        <v>6</v>
      </c>
      <c r="AS1184" s="2">
        <v>0</v>
      </c>
      <c r="AT1184" s="2">
        <v>2</v>
      </c>
      <c r="AU1184" s="2">
        <v>17</v>
      </c>
      <c r="AV1184" s="2">
        <v>92</v>
      </c>
      <c r="AW1184" s="2">
        <v>2</v>
      </c>
      <c r="AX1184" s="2">
        <v>1</v>
      </c>
      <c r="AZ1184" s="2">
        <v>6.8</v>
      </c>
      <c r="BA1184" s="2">
        <v>19.899999999999999</v>
      </c>
      <c r="BB1184" s="2">
        <v>564</v>
      </c>
      <c r="BC1184" s="2">
        <v>68</v>
      </c>
      <c r="BD1184" s="2">
        <v>1.5</v>
      </c>
      <c r="BE1184" s="2">
        <v>135</v>
      </c>
      <c r="BF1184" s="2">
        <v>0.8</v>
      </c>
      <c r="BG1184" s="2">
        <v>162</v>
      </c>
      <c r="BH1184" s="2">
        <v>9.1</v>
      </c>
      <c r="BI1184" s="2">
        <v>9.1999999999999993</v>
      </c>
      <c r="BJ1184" s="2">
        <v>18.3</v>
      </c>
      <c r="BK1184" s="2">
        <v>0.34</v>
      </c>
      <c r="BL1184" s="2">
        <v>7.3</v>
      </c>
      <c r="BM1184" s="2">
        <v>0.9</v>
      </c>
      <c r="BN1184" s="2">
        <v>7.5</v>
      </c>
      <c r="BO1184" s="2">
        <v>2.9</v>
      </c>
      <c r="BP1184" s="2">
        <f t="shared" si="36"/>
        <v>6.5948161986657965</v>
      </c>
      <c r="BQ1184" s="2">
        <f t="shared" si="37"/>
        <v>19.606567885423331</v>
      </c>
    </row>
    <row r="1185" spans="1:69" x14ac:dyDescent="0.2">
      <c r="A1185" s="2" t="s">
        <v>3497</v>
      </c>
      <c r="B1185" s="2" t="s">
        <v>47</v>
      </c>
      <c r="C1185" s="2" t="s">
        <v>3273</v>
      </c>
      <c r="D1185" s="2" t="s">
        <v>49</v>
      </c>
      <c r="E1185" s="2" t="s">
        <v>3465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89</v>
      </c>
      <c r="L1185" s="6" t="s">
        <v>90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3498</v>
      </c>
      <c r="R1185" s="2">
        <v>10178571.43</v>
      </c>
      <c r="S1185" s="2">
        <v>0</v>
      </c>
      <c r="T1185" s="2" t="s">
        <v>105</v>
      </c>
      <c r="U1185" s="2" t="s">
        <v>106</v>
      </c>
      <c r="V1185" s="2" t="s">
        <v>56</v>
      </c>
      <c r="W1185" s="2" t="s">
        <v>107</v>
      </c>
      <c r="X1185" s="2" t="s">
        <v>108</v>
      </c>
      <c r="Y1185" s="2">
        <v>2.1028981716062001</v>
      </c>
      <c r="Z1185" s="2">
        <v>2102.8981716061999</v>
      </c>
      <c r="AA1185" s="2">
        <v>4.6254861111111101</v>
      </c>
      <c r="AB1185" s="2">
        <v>-74.066980555555503</v>
      </c>
      <c r="AC1185" s="2">
        <v>2621</v>
      </c>
      <c r="AD1185" s="2">
        <v>15</v>
      </c>
      <c r="AE1185" s="2" t="s">
        <v>59</v>
      </c>
      <c r="AF1185" s="2" t="s">
        <v>60</v>
      </c>
      <c r="AG1185" s="2" t="s">
        <v>61</v>
      </c>
      <c r="AH1185" s="2" t="s">
        <v>62</v>
      </c>
      <c r="AI1185" s="2" t="s">
        <v>63</v>
      </c>
      <c r="AJ1185" s="2">
        <v>0.36131715156067201</v>
      </c>
      <c r="AK1185" s="2">
        <v>2.74533267347236</v>
      </c>
      <c r="AL1185" s="2">
        <v>0.68245242345756996</v>
      </c>
      <c r="AM1185" s="2">
        <v>0.24040570764153599</v>
      </c>
      <c r="AN1185" s="2">
        <v>2.11569451414569</v>
      </c>
      <c r="AO1185" s="2">
        <v>4.5197172594674097E-3</v>
      </c>
      <c r="AP1185" s="2">
        <v>4.5197172594674097E-3</v>
      </c>
      <c r="AQ1185" s="2">
        <v>1</v>
      </c>
      <c r="AR1185" s="2">
        <v>5</v>
      </c>
      <c r="AS1185" s="2">
        <v>0</v>
      </c>
      <c r="AT1185" s="2">
        <v>0</v>
      </c>
      <c r="AU1185" s="2">
        <v>2</v>
      </c>
      <c r="AV1185" s="2">
        <v>28</v>
      </c>
      <c r="AW1185" s="2">
        <v>0</v>
      </c>
      <c r="AX1185" s="2">
        <v>0</v>
      </c>
      <c r="AZ1185" s="2">
        <v>6.8</v>
      </c>
      <c r="BA1185" s="2">
        <v>19.899999999999999</v>
      </c>
      <c r="BB1185" s="2">
        <v>564</v>
      </c>
      <c r="BC1185" s="2">
        <v>68</v>
      </c>
      <c r="BD1185" s="2">
        <v>1.5</v>
      </c>
      <c r="BE1185" s="2">
        <v>135</v>
      </c>
      <c r="BF1185" s="2">
        <v>0.8</v>
      </c>
      <c r="BG1185" s="2">
        <v>162</v>
      </c>
      <c r="BH1185" s="2">
        <v>9.1</v>
      </c>
      <c r="BI1185" s="2">
        <v>9.1999999999999993</v>
      </c>
      <c r="BJ1185" s="2">
        <v>18.3</v>
      </c>
      <c r="BK1185" s="2">
        <v>0.34</v>
      </c>
      <c r="BL1185" s="2">
        <v>7.3</v>
      </c>
      <c r="BM1185" s="2">
        <v>0.9</v>
      </c>
      <c r="BN1185" s="2">
        <v>7.5</v>
      </c>
      <c r="BO1185" s="2">
        <v>2.9</v>
      </c>
      <c r="BP1185" s="2">
        <f t="shared" si="36"/>
        <v>6.127759298414869</v>
      </c>
      <c r="BQ1185" s="2">
        <f t="shared" si="37"/>
        <v>18.920579187681092</v>
      </c>
    </row>
    <row r="1186" spans="1:69" x14ac:dyDescent="0.2">
      <c r="A1186" s="2" t="s">
        <v>3569</v>
      </c>
      <c r="B1186" s="2" t="s">
        <v>47</v>
      </c>
      <c r="C1186" s="2" t="s">
        <v>3273</v>
      </c>
      <c r="D1186" s="2" t="s">
        <v>49</v>
      </c>
      <c r="E1186" s="2" t="s">
        <v>1288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89</v>
      </c>
      <c r="L1186" s="6" t="s">
        <v>90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3570</v>
      </c>
      <c r="R1186" s="2">
        <v>10000000</v>
      </c>
      <c r="S1186" s="2">
        <v>0</v>
      </c>
      <c r="T1186" s="2" t="s">
        <v>105</v>
      </c>
      <c r="U1186" s="2" t="s">
        <v>106</v>
      </c>
      <c r="V1186" s="2" t="s">
        <v>56</v>
      </c>
      <c r="W1186" s="2" t="s">
        <v>107</v>
      </c>
      <c r="X1186" s="2" t="s">
        <v>108</v>
      </c>
      <c r="Y1186" s="2">
        <v>2.4947220498855098</v>
      </c>
      <c r="Z1186" s="2">
        <v>2494.7220498855099</v>
      </c>
      <c r="AA1186" s="2">
        <v>4.6254861111111101</v>
      </c>
      <c r="AB1186" s="2">
        <v>-74.066980555555503</v>
      </c>
      <c r="AC1186" s="2">
        <v>2621</v>
      </c>
      <c r="AD1186" s="2">
        <v>15</v>
      </c>
      <c r="AE1186" s="2" t="s">
        <v>59</v>
      </c>
      <c r="AF1186" s="2" t="s">
        <v>60</v>
      </c>
      <c r="AG1186" s="2" t="s">
        <v>61</v>
      </c>
      <c r="AH1186" s="2" t="s">
        <v>62</v>
      </c>
      <c r="AI1186" s="2" t="s">
        <v>109</v>
      </c>
      <c r="AJ1186" s="2">
        <v>1.1657166022590799</v>
      </c>
      <c r="AK1186" s="2">
        <v>0.18632239684627599</v>
      </c>
      <c r="AL1186" s="2">
        <v>0.550732057438302</v>
      </c>
      <c r="AM1186" s="2">
        <v>0.25178737052865402</v>
      </c>
      <c r="AN1186" s="2">
        <v>0.48562496787155401</v>
      </c>
      <c r="AO1186" s="2">
        <v>0.29467782700002199</v>
      </c>
      <c r="AP1186" s="2">
        <v>0.29467782700002199</v>
      </c>
      <c r="AQ1186" s="2">
        <v>0</v>
      </c>
      <c r="AR1186" s="2">
        <v>0</v>
      </c>
      <c r="AS1186" s="2">
        <v>16</v>
      </c>
      <c r="AT1186" s="2">
        <v>55</v>
      </c>
      <c r="AU1186" s="2">
        <v>5</v>
      </c>
      <c r="AV1186" s="2">
        <v>28</v>
      </c>
      <c r="AW1186" s="2">
        <v>1</v>
      </c>
      <c r="AX1186" s="2">
        <v>0</v>
      </c>
      <c r="AZ1186" s="2">
        <v>6.8</v>
      </c>
      <c r="BA1186" s="2">
        <v>19.899999999999999</v>
      </c>
      <c r="BB1186" s="2">
        <v>564</v>
      </c>
      <c r="BC1186" s="2">
        <v>68</v>
      </c>
      <c r="BD1186" s="2">
        <v>1.5</v>
      </c>
      <c r="BE1186" s="2">
        <v>135</v>
      </c>
      <c r="BF1186" s="2">
        <v>0.8</v>
      </c>
      <c r="BG1186" s="2">
        <v>162</v>
      </c>
      <c r="BH1186" s="2">
        <v>9.1</v>
      </c>
      <c r="BI1186" s="2">
        <v>9.1999999999999993</v>
      </c>
      <c r="BJ1186" s="2">
        <v>18.3</v>
      </c>
      <c r="BK1186" s="2">
        <v>0.34</v>
      </c>
      <c r="BL1186" s="2">
        <v>7.3</v>
      </c>
      <c r="BM1186" s="2">
        <v>0.9</v>
      </c>
      <c r="BN1186" s="2">
        <v>7.5</v>
      </c>
      <c r="BO1186" s="2">
        <v>2.9</v>
      </c>
      <c r="BP1186" s="2">
        <f t="shared" si="36"/>
        <v>6.0100548244653869</v>
      </c>
      <c r="BQ1186" s="2">
        <f t="shared" si="37"/>
        <v>18.743488320670522</v>
      </c>
    </row>
    <row r="1187" spans="1:69" x14ac:dyDescent="0.2">
      <c r="A1187" s="2" t="s">
        <v>3899</v>
      </c>
      <c r="B1187" s="2" t="s">
        <v>47</v>
      </c>
      <c r="C1187" s="2" t="s">
        <v>3273</v>
      </c>
      <c r="D1187" s="2" t="s">
        <v>49</v>
      </c>
      <c r="E1187" s="2" t="s">
        <v>102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89</v>
      </c>
      <c r="L1187" s="6" t="s">
        <v>90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3900</v>
      </c>
      <c r="R1187" s="2">
        <v>9642857.1429999992</v>
      </c>
      <c r="S1187" s="2">
        <v>0</v>
      </c>
      <c r="T1187" s="2" t="s">
        <v>105</v>
      </c>
      <c r="U1187" s="2" t="s">
        <v>106</v>
      </c>
      <c r="V1187" s="2" t="s">
        <v>56</v>
      </c>
      <c r="W1187" s="2" t="s">
        <v>107</v>
      </c>
      <c r="X1187" s="2" t="s">
        <v>108</v>
      </c>
      <c r="Y1187" s="2">
        <v>2.1908953056558902</v>
      </c>
      <c r="Z1187" s="2">
        <v>2190.8953056558898</v>
      </c>
      <c r="AA1187" s="2">
        <v>4.6254861111111101</v>
      </c>
      <c r="AB1187" s="2">
        <v>-74.066980555555503</v>
      </c>
      <c r="AC1187" s="2">
        <v>2621</v>
      </c>
      <c r="AD1187" s="2">
        <v>15</v>
      </c>
      <c r="AE1187" s="2" t="s">
        <v>59</v>
      </c>
      <c r="AF1187" s="2" t="s">
        <v>60</v>
      </c>
      <c r="AG1187" s="2" t="s">
        <v>61</v>
      </c>
      <c r="AH1187" s="2" t="s">
        <v>62</v>
      </c>
      <c r="AI1187" s="2" t="s">
        <v>109</v>
      </c>
      <c r="AJ1187" s="2">
        <v>0.40663326196583</v>
      </c>
      <c r="AK1187" s="2">
        <v>0.69521114586403798</v>
      </c>
      <c r="AL1187" s="2">
        <v>0.27826797994408897</v>
      </c>
      <c r="AM1187" s="2">
        <v>0.170145770123345</v>
      </c>
      <c r="AN1187" s="2">
        <v>0.57355198912748395</v>
      </c>
      <c r="AO1187" s="2">
        <v>0.34651480415778102</v>
      </c>
      <c r="AP1187" s="2">
        <v>0.34651480415778102</v>
      </c>
      <c r="AQ1187" s="2">
        <v>2</v>
      </c>
      <c r="AR1187" s="2">
        <v>4</v>
      </c>
      <c r="AS1187" s="2">
        <v>0</v>
      </c>
      <c r="AT1187" s="2">
        <v>11</v>
      </c>
      <c r="AU1187" s="2">
        <v>11</v>
      </c>
      <c r="AV1187" s="2">
        <v>122</v>
      </c>
      <c r="AW1187" s="2">
        <v>1</v>
      </c>
      <c r="AX1187" s="2">
        <v>0</v>
      </c>
      <c r="AZ1187" s="2">
        <v>6.8</v>
      </c>
      <c r="BA1187" s="2">
        <v>19.899999999999999</v>
      </c>
      <c r="BB1187" s="2">
        <v>564</v>
      </c>
      <c r="BC1187" s="2">
        <v>68</v>
      </c>
      <c r="BD1187" s="2">
        <v>1.5</v>
      </c>
      <c r="BE1187" s="2">
        <v>135</v>
      </c>
      <c r="BF1187" s="2">
        <v>0.8</v>
      </c>
      <c r="BG1187" s="2">
        <v>162</v>
      </c>
      <c r="BH1187" s="2">
        <v>9.1</v>
      </c>
      <c r="BI1187" s="2">
        <v>9.1999999999999993</v>
      </c>
      <c r="BJ1187" s="2">
        <v>18.3</v>
      </c>
      <c r="BK1187" s="2">
        <v>0.34</v>
      </c>
      <c r="BL1187" s="2">
        <v>7.3</v>
      </c>
      <c r="BM1187" s="2">
        <v>0.9</v>
      </c>
      <c r="BN1187" s="2">
        <v>7.5</v>
      </c>
      <c r="BO1187" s="2">
        <v>2.9</v>
      </c>
      <c r="BP1187" s="2">
        <f t="shared" si="36"/>
        <v>6.1011256964297127</v>
      </c>
      <c r="BQ1187" s="2">
        <f t="shared" si="37"/>
        <v>18.880662391447878</v>
      </c>
    </row>
    <row r="1188" spans="1:69" x14ac:dyDescent="0.2">
      <c r="A1188" s="2" t="s">
        <v>4630</v>
      </c>
      <c r="B1188" s="2" t="s">
        <v>47</v>
      </c>
      <c r="C1188" s="2" t="s">
        <v>3273</v>
      </c>
      <c r="D1188" s="2" t="s">
        <v>49</v>
      </c>
      <c r="E1188" s="2" t="s">
        <v>1270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89</v>
      </c>
      <c r="L1188" s="6" t="s">
        <v>94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4631</v>
      </c>
      <c r="R1188" s="2">
        <v>9464285.7139999997</v>
      </c>
      <c r="S1188" s="2">
        <v>0</v>
      </c>
      <c r="T1188" s="2" t="s">
        <v>105</v>
      </c>
      <c r="U1188" s="2" t="s">
        <v>106</v>
      </c>
      <c r="V1188" s="2" t="s">
        <v>56</v>
      </c>
      <c r="W1188" s="2" t="s">
        <v>107</v>
      </c>
      <c r="X1188" s="2" t="s">
        <v>108</v>
      </c>
      <c r="Y1188" s="2">
        <v>2.4931835351758398</v>
      </c>
      <c r="Z1188" s="2">
        <v>2493.18353517584</v>
      </c>
      <c r="AA1188" s="2">
        <v>4.6254861111111101</v>
      </c>
      <c r="AB1188" s="2">
        <v>-74.066980555555503</v>
      </c>
      <c r="AC1188" s="2">
        <v>2621</v>
      </c>
      <c r="AD1188" s="2">
        <v>15</v>
      </c>
      <c r="AE1188" s="2" t="s">
        <v>59</v>
      </c>
      <c r="AF1188" s="2" t="s">
        <v>60</v>
      </c>
      <c r="AG1188" s="2" t="s">
        <v>61</v>
      </c>
      <c r="AH1188" s="2" t="s">
        <v>62</v>
      </c>
      <c r="AI1188" s="2" t="s">
        <v>109</v>
      </c>
      <c r="AJ1188" s="2">
        <v>1.1676004444752801</v>
      </c>
      <c r="AK1188" s="2">
        <v>0.184776560153708</v>
      </c>
      <c r="AL1188" s="2">
        <v>0.55189673021987495</v>
      </c>
      <c r="AM1188" s="2">
        <v>0.249720817413813</v>
      </c>
      <c r="AN1188" s="2">
        <v>0.48480522344336202</v>
      </c>
      <c r="AO1188" s="2">
        <v>0.29648762524665101</v>
      </c>
      <c r="AP1188" s="2">
        <v>0.29648762524665101</v>
      </c>
      <c r="AQ1188" s="2">
        <v>0</v>
      </c>
      <c r="AR1188" s="2">
        <v>0</v>
      </c>
      <c r="AS1188" s="2">
        <v>16</v>
      </c>
      <c r="AT1188" s="2">
        <v>55</v>
      </c>
      <c r="AU1188" s="2">
        <v>5</v>
      </c>
      <c r="AV1188" s="2">
        <v>28</v>
      </c>
      <c r="AW1188" s="2">
        <v>1</v>
      </c>
      <c r="AX1188" s="2">
        <v>0</v>
      </c>
      <c r="AZ1188" s="2">
        <v>6.8</v>
      </c>
      <c r="BA1188" s="2">
        <v>19.899999999999999</v>
      </c>
      <c r="BB1188" s="2">
        <v>564</v>
      </c>
      <c r="BC1188" s="2">
        <v>68</v>
      </c>
      <c r="BD1188" s="2">
        <v>1.5</v>
      </c>
      <c r="BE1188" s="2">
        <v>135</v>
      </c>
      <c r="BF1188" s="2">
        <v>0.8</v>
      </c>
      <c r="BG1188" s="2">
        <v>162</v>
      </c>
      <c r="BH1188" s="2">
        <v>9.1</v>
      </c>
      <c r="BI1188" s="2">
        <v>9.1999999999999993</v>
      </c>
      <c r="BJ1188" s="2">
        <v>18.3</v>
      </c>
      <c r="BK1188" s="2">
        <v>0.34</v>
      </c>
      <c r="BL1188" s="2">
        <v>7.3</v>
      </c>
      <c r="BM1188" s="2">
        <v>0.9</v>
      </c>
      <c r="BN1188" s="2">
        <v>7.5</v>
      </c>
      <c r="BO1188" s="2">
        <v>2.9</v>
      </c>
      <c r="BP1188" s="2">
        <f t="shared" si="36"/>
        <v>6.0105125465032065</v>
      </c>
      <c r="BQ1188" s="2">
        <f t="shared" si="37"/>
        <v>18.744180424627995</v>
      </c>
    </row>
    <row r="1189" spans="1:69" x14ac:dyDescent="0.2">
      <c r="A1189" s="2" t="s">
        <v>3412</v>
      </c>
      <c r="B1189" s="2" t="s">
        <v>47</v>
      </c>
      <c r="C1189" s="2" t="s">
        <v>3273</v>
      </c>
      <c r="D1189" s="2" t="s">
        <v>49</v>
      </c>
      <c r="E1189" s="2" t="s">
        <v>109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89</v>
      </c>
      <c r="L1189" s="6" t="s">
        <v>103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3413</v>
      </c>
      <c r="R1189" s="2">
        <v>7725476.1050000004</v>
      </c>
      <c r="S1189" s="2">
        <v>0</v>
      </c>
      <c r="T1189" s="2" t="s">
        <v>105</v>
      </c>
      <c r="U1189" s="2" t="s">
        <v>106</v>
      </c>
      <c r="V1189" s="2" t="s">
        <v>56</v>
      </c>
      <c r="W1189" s="2" t="s">
        <v>107</v>
      </c>
      <c r="X1189" s="2" t="s">
        <v>108</v>
      </c>
      <c r="Y1189" s="2">
        <v>2.277705104591</v>
      </c>
      <c r="Z1189" s="2">
        <v>2277.7051045909998</v>
      </c>
      <c r="AA1189" s="2">
        <v>4.6254861111111101</v>
      </c>
      <c r="AB1189" s="2">
        <v>-74.066980555555503</v>
      </c>
      <c r="AC1189" s="2">
        <v>2621</v>
      </c>
      <c r="AD1189" s="2">
        <v>15</v>
      </c>
      <c r="AE1189" s="2" t="s">
        <v>59</v>
      </c>
      <c r="AF1189" s="2" t="s">
        <v>60</v>
      </c>
      <c r="AG1189" s="2" t="s">
        <v>61</v>
      </c>
      <c r="AH1189" s="2" t="s">
        <v>62</v>
      </c>
      <c r="AI1189" s="2" t="s">
        <v>109</v>
      </c>
      <c r="AJ1189" s="2">
        <v>0.48254336151400501</v>
      </c>
      <c r="AK1189" s="2">
        <v>0.67461500054604695</v>
      </c>
      <c r="AL1189" s="2">
        <v>0.20453264397811999</v>
      </c>
      <c r="AM1189" s="2">
        <v>0.12713968777851201</v>
      </c>
      <c r="AN1189" s="2">
        <v>0.55658162518299303</v>
      </c>
      <c r="AO1189" s="2">
        <v>0.31914250286318202</v>
      </c>
      <c r="AP1189" s="2">
        <v>0.31914250286318202</v>
      </c>
      <c r="AQ1189" s="2">
        <v>1</v>
      </c>
      <c r="AR1189" s="2">
        <v>2</v>
      </c>
      <c r="AS1189" s="2">
        <v>0</v>
      </c>
      <c r="AT1189" s="2">
        <v>14</v>
      </c>
      <c r="AU1189" s="2">
        <v>12</v>
      </c>
      <c r="AV1189" s="2">
        <v>104</v>
      </c>
      <c r="AW1189" s="2">
        <v>1</v>
      </c>
      <c r="AX1189" s="2">
        <v>0</v>
      </c>
      <c r="AZ1189" s="2">
        <v>6.8</v>
      </c>
      <c r="BA1189" s="2">
        <v>19.899999999999999</v>
      </c>
      <c r="BB1189" s="2">
        <v>564</v>
      </c>
      <c r="BC1189" s="2">
        <v>68</v>
      </c>
      <c r="BD1189" s="2">
        <v>1.5</v>
      </c>
      <c r="BE1189" s="2">
        <v>135</v>
      </c>
      <c r="BF1189" s="2">
        <v>0.8</v>
      </c>
      <c r="BG1189" s="2">
        <v>162</v>
      </c>
      <c r="BH1189" s="2">
        <v>9.1</v>
      </c>
      <c r="BI1189" s="2">
        <v>9.1999999999999993</v>
      </c>
      <c r="BJ1189" s="2">
        <v>18.3</v>
      </c>
      <c r="BK1189" s="2">
        <v>0.34</v>
      </c>
      <c r="BL1189" s="2">
        <v>7.3</v>
      </c>
      <c r="BM1189" s="2">
        <v>0.9</v>
      </c>
      <c r="BN1189" s="2">
        <v>7.5</v>
      </c>
      <c r="BO1189" s="2">
        <v>2.9</v>
      </c>
      <c r="BP1189" s="2">
        <f t="shared" si="36"/>
        <v>6.0749648882914986</v>
      </c>
      <c r="BQ1189" s="2">
        <f t="shared" si="37"/>
        <v>18.841366704527164</v>
      </c>
    </row>
    <row r="1190" spans="1:69" x14ac:dyDescent="0.2">
      <c r="A1190" s="2" t="s">
        <v>3988</v>
      </c>
      <c r="B1190" s="2" t="s">
        <v>47</v>
      </c>
      <c r="C1190" s="2" t="s">
        <v>3273</v>
      </c>
      <c r="D1190" s="2" t="s">
        <v>49</v>
      </c>
      <c r="E1190" s="2" t="s">
        <v>3897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89</v>
      </c>
      <c r="L1190" s="6" t="s">
        <v>90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3989</v>
      </c>
      <c r="R1190" s="2">
        <v>9892163.9110000003</v>
      </c>
      <c r="S1190" s="2">
        <v>0</v>
      </c>
      <c r="T1190" s="2" t="s">
        <v>105</v>
      </c>
      <c r="U1190" s="2" t="s">
        <v>106</v>
      </c>
      <c r="V1190" s="2" t="s">
        <v>56</v>
      </c>
      <c r="W1190" s="2" t="s">
        <v>107</v>
      </c>
      <c r="X1190" s="2" t="s">
        <v>108</v>
      </c>
      <c r="Y1190" s="2">
        <v>1.8032820478801099</v>
      </c>
      <c r="Z1190" s="2">
        <v>1803.28204788011</v>
      </c>
      <c r="AA1190" s="2">
        <v>4.6254861111111101</v>
      </c>
      <c r="AB1190" s="2">
        <v>-74.066980555555503</v>
      </c>
      <c r="AC1190" s="2">
        <v>2621</v>
      </c>
      <c r="AD1190" s="2">
        <v>15</v>
      </c>
      <c r="AE1190" s="2" t="s">
        <v>59</v>
      </c>
      <c r="AF1190" s="2" t="s">
        <v>60</v>
      </c>
      <c r="AG1190" s="2" t="s">
        <v>61</v>
      </c>
      <c r="AH1190" s="2" t="s">
        <v>62</v>
      </c>
      <c r="AI1190" s="2" t="s">
        <v>63</v>
      </c>
      <c r="AJ1190" s="2">
        <v>0.73982396616865598</v>
      </c>
      <c r="AK1190" s="2">
        <v>1.61363396553261</v>
      </c>
      <c r="AL1190" s="2">
        <v>6.3616362337869603E-2</v>
      </c>
      <c r="AM1190" s="2">
        <v>9.3025974772218203E-2</v>
      </c>
      <c r="AN1190" s="2">
        <v>1.59125488242741</v>
      </c>
      <c r="AO1190" s="2">
        <v>0.29193096675896901</v>
      </c>
      <c r="AP1190" s="2">
        <v>0.29193096675896901</v>
      </c>
      <c r="AQ1190" s="2">
        <v>0</v>
      </c>
      <c r="AR1190" s="2">
        <v>5</v>
      </c>
      <c r="AS1190" s="2">
        <v>0</v>
      </c>
      <c r="AT1190" s="2">
        <v>0</v>
      </c>
      <c r="AU1190" s="2">
        <v>8</v>
      </c>
      <c r="AV1190" s="2">
        <v>149</v>
      </c>
      <c r="AW1190" s="2">
        <v>0</v>
      </c>
      <c r="AX1190" s="2">
        <v>0</v>
      </c>
      <c r="AZ1190" s="2">
        <v>6.8</v>
      </c>
      <c r="BA1190" s="2">
        <v>19.899999999999999</v>
      </c>
      <c r="BB1190" s="2">
        <v>564</v>
      </c>
      <c r="BC1190" s="2">
        <v>68</v>
      </c>
      <c r="BD1190" s="2">
        <v>1.5</v>
      </c>
      <c r="BE1190" s="2">
        <v>135</v>
      </c>
      <c r="BF1190" s="2">
        <v>0.8</v>
      </c>
      <c r="BG1190" s="2">
        <v>162</v>
      </c>
      <c r="BH1190" s="2">
        <v>9.1</v>
      </c>
      <c r="BI1190" s="2">
        <v>9.1999999999999993</v>
      </c>
      <c r="BJ1190" s="2">
        <v>18.3</v>
      </c>
      <c r="BK1190" s="2">
        <v>0.34</v>
      </c>
      <c r="BL1190" s="2">
        <v>7.3</v>
      </c>
      <c r="BM1190" s="2">
        <v>0.9</v>
      </c>
      <c r="BN1190" s="2">
        <v>7.5</v>
      </c>
      <c r="BO1190" s="2">
        <v>2.9</v>
      </c>
      <c r="BP1190" s="2">
        <f t="shared" si="36"/>
        <v>6.2193173555216728</v>
      </c>
      <c r="BQ1190" s="2">
        <f t="shared" si="37"/>
        <v>19.057123383708838</v>
      </c>
    </row>
    <row r="1191" spans="1:69" x14ac:dyDescent="0.2">
      <c r="A1191" s="2" t="s">
        <v>1374</v>
      </c>
      <c r="B1191" s="2" t="s">
        <v>47</v>
      </c>
      <c r="C1191" s="2" t="s">
        <v>48</v>
      </c>
      <c r="D1191" s="2" t="s">
        <v>49</v>
      </c>
      <c r="E1191" s="2" t="s">
        <v>1225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51</v>
      </c>
      <c r="L1191" s="6" t="s">
        <v>52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1375</v>
      </c>
      <c r="R1191" s="2">
        <v>16327272.73</v>
      </c>
      <c r="S1191" s="2">
        <v>0</v>
      </c>
      <c r="T1191" s="2" t="s">
        <v>54</v>
      </c>
      <c r="U1191" s="2" t="s">
        <v>55</v>
      </c>
      <c r="V1191" s="2" t="s">
        <v>56</v>
      </c>
      <c r="W1191" s="2" t="s">
        <v>57</v>
      </c>
      <c r="X1191" s="2" t="s">
        <v>58</v>
      </c>
      <c r="Y1191" s="2">
        <v>3.2434729711424199</v>
      </c>
      <c r="Z1191" s="2">
        <v>3243.4729711424202</v>
      </c>
      <c r="AA1191" s="2">
        <v>4.6584666666666701</v>
      </c>
      <c r="AB1191" s="2">
        <v>-74.083966666666697</v>
      </c>
      <c r="AC1191" s="2">
        <v>2552</v>
      </c>
      <c r="AD1191" s="2">
        <v>0</v>
      </c>
      <c r="AE1191" s="2" t="s">
        <v>59</v>
      </c>
      <c r="AF1191" s="2" t="s">
        <v>60</v>
      </c>
      <c r="AG1191" s="2" t="s">
        <v>61</v>
      </c>
      <c r="AH1191" s="2" t="s">
        <v>62</v>
      </c>
      <c r="AI1191" s="2" t="s">
        <v>109</v>
      </c>
      <c r="AJ1191" s="2">
        <v>0.159125330979347</v>
      </c>
      <c r="AK1191" s="2">
        <v>1.6714273734279199</v>
      </c>
      <c r="AL1191" s="2">
        <v>0.485889339747969</v>
      </c>
      <c r="AM1191" s="2">
        <v>5.4385552229093997E-2</v>
      </c>
      <c r="AN1191" s="2">
        <v>2.6282578442396698</v>
      </c>
      <c r="AO1191" s="2">
        <v>0.79239885688924305</v>
      </c>
      <c r="AP1191" s="2">
        <v>0.79239885688924305</v>
      </c>
      <c r="AQ1191" s="2">
        <v>2</v>
      </c>
      <c r="AR1191" s="2">
        <v>5</v>
      </c>
      <c r="AS1191" s="2">
        <v>0</v>
      </c>
      <c r="AT1191" s="2">
        <v>0</v>
      </c>
      <c r="AU1191" s="2">
        <v>7</v>
      </c>
      <c r="AV1191" s="2">
        <v>286</v>
      </c>
      <c r="AW1191" s="2">
        <v>0</v>
      </c>
      <c r="AX1191" s="2">
        <v>0</v>
      </c>
      <c r="AZ1191" s="2">
        <v>6.8</v>
      </c>
      <c r="BA1191" s="2">
        <v>19.899999999999999</v>
      </c>
      <c r="BB1191" s="2">
        <v>564</v>
      </c>
      <c r="BC1191" s="2">
        <v>68</v>
      </c>
      <c r="BD1191" s="2">
        <v>1.5</v>
      </c>
      <c r="BE1191" s="2">
        <v>135</v>
      </c>
      <c r="BF1191" s="2">
        <v>0.8</v>
      </c>
      <c r="BG1191" s="2">
        <v>162</v>
      </c>
      <c r="BH1191" s="2">
        <v>9.1</v>
      </c>
      <c r="BI1191" s="2">
        <v>9.1999999999999993</v>
      </c>
      <c r="BJ1191" s="2">
        <v>18.3</v>
      </c>
      <c r="BK1191" s="2">
        <v>0.34</v>
      </c>
      <c r="BL1191" s="2">
        <v>7.3</v>
      </c>
      <c r="BM1191" s="2">
        <v>0.9</v>
      </c>
      <c r="BN1191" s="2">
        <v>7.5</v>
      </c>
      <c r="BO1191" s="2">
        <v>2.9</v>
      </c>
      <c r="BP1191" s="2">
        <f t="shared" si="36"/>
        <v>5.7913805499241633</v>
      </c>
      <c r="BQ1191" s="2">
        <f t="shared" si="37"/>
        <v>18.409675713983884</v>
      </c>
    </row>
    <row r="1192" spans="1:69" x14ac:dyDescent="0.2">
      <c r="A1192" s="2" t="s">
        <v>3349</v>
      </c>
      <c r="B1192" s="2" t="s">
        <v>47</v>
      </c>
      <c r="C1192" s="2" t="s">
        <v>3273</v>
      </c>
      <c r="D1192" s="2" t="s">
        <v>49</v>
      </c>
      <c r="E1192" s="2" t="s">
        <v>115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89</v>
      </c>
      <c r="L1192" s="6" t="s">
        <v>90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3350</v>
      </c>
      <c r="R1192" s="2">
        <v>13114754.1</v>
      </c>
      <c r="S1192" s="2">
        <v>0</v>
      </c>
      <c r="T1192" s="2" t="s">
        <v>105</v>
      </c>
      <c r="U1192" s="2" t="s">
        <v>106</v>
      </c>
      <c r="V1192" s="2" t="s">
        <v>56</v>
      </c>
      <c r="W1192" s="2" t="s">
        <v>107</v>
      </c>
      <c r="X1192" s="2" t="s">
        <v>108</v>
      </c>
      <c r="Y1192" s="2">
        <v>0.65014241261012795</v>
      </c>
      <c r="Z1192" s="2">
        <v>650.14241261012796</v>
      </c>
      <c r="AA1192" s="2">
        <v>4.6254861111111101</v>
      </c>
      <c r="AB1192" s="2">
        <v>-74.066980555555503</v>
      </c>
      <c r="AC1192" s="2">
        <v>2621</v>
      </c>
      <c r="AD1192" s="2">
        <v>15</v>
      </c>
      <c r="AE1192" s="2" t="s">
        <v>59</v>
      </c>
      <c r="AF1192" s="2" t="s">
        <v>60</v>
      </c>
      <c r="AG1192" s="2" t="s">
        <v>61</v>
      </c>
      <c r="AH1192" s="2" t="s">
        <v>62</v>
      </c>
      <c r="AI1192" s="2" t="s">
        <v>117</v>
      </c>
      <c r="AJ1192" s="2">
        <v>0.13720579165720401</v>
      </c>
      <c r="AK1192" s="2">
        <v>0.87071666130195202</v>
      </c>
      <c r="AL1192" s="2">
        <v>0.34510880768399999</v>
      </c>
      <c r="AM1192" s="2">
        <v>4.11443730616032E-2</v>
      </c>
      <c r="AN1192" s="2">
        <v>0.67214491497680795</v>
      </c>
      <c r="AO1192" s="2">
        <v>2.9003813943615401E-2</v>
      </c>
      <c r="AP1192" s="2">
        <v>2.9003813943615401E-2</v>
      </c>
      <c r="AQ1192" s="2">
        <v>2</v>
      </c>
      <c r="AR1192" s="2">
        <v>6</v>
      </c>
      <c r="AS1192" s="2">
        <v>0</v>
      </c>
      <c r="AT1192" s="2">
        <v>3</v>
      </c>
      <c r="AU1192" s="2">
        <v>17</v>
      </c>
      <c r="AV1192" s="2">
        <v>90</v>
      </c>
      <c r="AW1192" s="2">
        <v>2</v>
      </c>
      <c r="AX1192" s="2">
        <v>1</v>
      </c>
      <c r="AZ1192" s="2">
        <v>6.8</v>
      </c>
      <c r="BA1192" s="2">
        <v>19.899999999999999</v>
      </c>
      <c r="BB1192" s="2">
        <v>564</v>
      </c>
      <c r="BC1192" s="2">
        <v>68</v>
      </c>
      <c r="BD1192" s="2">
        <v>1.5</v>
      </c>
      <c r="BE1192" s="2">
        <v>135</v>
      </c>
      <c r="BF1192" s="2">
        <v>0.8</v>
      </c>
      <c r="BG1192" s="2">
        <v>162</v>
      </c>
      <c r="BH1192" s="2">
        <v>9.1</v>
      </c>
      <c r="BI1192" s="2">
        <v>9.1999999999999993</v>
      </c>
      <c r="BJ1192" s="2">
        <v>18.3</v>
      </c>
      <c r="BK1192" s="2">
        <v>0.34</v>
      </c>
      <c r="BL1192" s="2">
        <v>7.3</v>
      </c>
      <c r="BM1192" s="2">
        <v>0.9</v>
      </c>
      <c r="BN1192" s="2">
        <v>7.5</v>
      </c>
      <c r="BO1192" s="2">
        <v>2.9</v>
      </c>
      <c r="BP1192" s="2">
        <f t="shared" si="36"/>
        <v>6.5846459180198327</v>
      </c>
      <c r="BQ1192" s="2">
        <f t="shared" si="37"/>
        <v>19.591901926179613</v>
      </c>
    </row>
    <row r="1193" spans="1:69" x14ac:dyDescent="0.2">
      <c r="A1193" s="2" t="s">
        <v>3594</v>
      </c>
      <c r="B1193" s="2" t="s">
        <v>47</v>
      </c>
      <c r="C1193" s="2" t="s">
        <v>3273</v>
      </c>
      <c r="D1193" s="2" t="s">
        <v>49</v>
      </c>
      <c r="E1193" s="2" t="s">
        <v>1288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89</v>
      </c>
      <c r="L1193" s="6" t="s">
        <v>90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3595</v>
      </c>
      <c r="R1193" s="2">
        <v>10218978.1</v>
      </c>
      <c r="S1193" s="2">
        <v>0</v>
      </c>
      <c r="T1193" s="2" t="s">
        <v>105</v>
      </c>
      <c r="U1193" s="2" t="s">
        <v>106</v>
      </c>
      <c r="V1193" s="2" t="s">
        <v>56</v>
      </c>
      <c r="W1193" s="2" t="s">
        <v>107</v>
      </c>
      <c r="X1193" s="2" t="s">
        <v>108</v>
      </c>
      <c r="Y1193" s="2">
        <v>2.5231929581694099</v>
      </c>
      <c r="Z1193" s="2">
        <v>2523.1929581694098</v>
      </c>
      <c r="AA1193" s="2">
        <v>4.6254861111111101</v>
      </c>
      <c r="AB1193" s="2">
        <v>-74.066980555555503</v>
      </c>
      <c r="AC1193" s="2">
        <v>2621</v>
      </c>
      <c r="AD1193" s="2">
        <v>15</v>
      </c>
      <c r="AE1193" s="2" t="s">
        <v>59</v>
      </c>
      <c r="AF1193" s="2" t="s">
        <v>60</v>
      </c>
      <c r="AG1193" s="2" t="s">
        <v>61</v>
      </c>
      <c r="AH1193" s="2" t="s">
        <v>62</v>
      </c>
      <c r="AI1193" s="2" t="s">
        <v>109</v>
      </c>
      <c r="AJ1193" s="2">
        <v>1.2763206417194599</v>
      </c>
      <c r="AK1193" s="2">
        <v>7.6833166125395605E-2</v>
      </c>
      <c r="AL1193" s="2">
        <v>0.64643170480862</v>
      </c>
      <c r="AM1193" s="2">
        <v>0.27087838865604302</v>
      </c>
      <c r="AN1193" s="2">
        <v>0.550306536010431</v>
      </c>
      <c r="AO1193" s="2">
        <v>0.40545503965880197</v>
      </c>
      <c r="AP1193" s="2">
        <v>0.40545503965880197</v>
      </c>
      <c r="AQ1193" s="2">
        <v>0</v>
      </c>
      <c r="AR1193" s="2">
        <v>0</v>
      </c>
      <c r="AS1193" s="2">
        <v>22</v>
      </c>
      <c r="AT1193" s="2">
        <v>58</v>
      </c>
      <c r="AU1193" s="2">
        <v>4</v>
      </c>
      <c r="AV1193" s="2">
        <v>19</v>
      </c>
      <c r="AW1193" s="2">
        <v>1</v>
      </c>
      <c r="AX1193" s="2">
        <v>0</v>
      </c>
      <c r="AZ1193" s="2">
        <v>6.8</v>
      </c>
      <c r="BA1193" s="2">
        <v>19.899999999999999</v>
      </c>
      <c r="BB1193" s="2">
        <v>564</v>
      </c>
      <c r="BC1193" s="2">
        <v>68</v>
      </c>
      <c r="BD1193" s="2">
        <v>1.5</v>
      </c>
      <c r="BE1193" s="2">
        <v>135</v>
      </c>
      <c r="BF1193" s="2">
        <v>0.8</v>
      </c>
      <c r="BG1193" s="2">
        <v>162</v>
      </c>
      <c r="BH1193" s="2">
        <v>9.1</v>
      </c>
      <c r="BI1193" s="2">
        <v>9.1999999999999993</v>
      </c>
      <c r="BJ1193" s="2">
        <v>18.3</v>
      </c>
      <c r="BK1193" s="2">
        <v>0.34</v>
      </c>
      <c r="BL1193" s="2">
        <v>7.3</v>
      </c>
      <c r="BM1193" s="2">
        <v>0.9</v>
      </c>
      <c r="BN1193" s="2">
        <v>7.5</v>
      </c>
      <c r="BO1193" s="2">
        <v>2.9</v>
      </c>
      <c r="BP1193" s="2">
        <f t="shared" si="36"/>
        <v>6.0015907599869003</v>
      </c>
      <c r="BQ1193" s="2">
        <f t="shared" si="37"/>
        <v>18.730685236068481</v>
      </c>
    </row>
    <row r="1194" spans="1:69" x14ac:dyDescent="0.2">
      <c r="A1194" s="2" t="s">
        <v>3416</v>
      </c>
      <c r="B1194" s="2" t="s">
        <v>47</v>
      </c>
      <c r="C1194" s="2" t="s">
        <v>3273</v>
      </c>
      <c r="D1194" s="2" t="s">
        <v>49</v>
      </c>
      <c r="E1194" s="2" t="s">
        <v>1270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89</v>
      </c>
      <c r="L1194" s="6" t="s">
        <v>90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3417</v>
      </c>
      <c r="R1194" s="2">
        <v>10036496.35</v>
      </c>
      <c r="S1194" s="2">
        <v>0</v>
      </c>
      <c r="T1194" s="2" t="s">
        <v>105</v>
      </c>
      <c r="U1194" s="2" t="s">
        <v>106</v>
      </c>
      <c r="V1194" s="2" t="s">
        <v>56</v>
      </c>
      <c r="W1194" s="2" t="s">
        <v>107</v>
      </c>
      <c r="X1194" s="2" t="s">
        <v>108</v>
      </c>
      <c r="Y1194" s="2">
        <v>2.5034583567811999</v>
      </c>
      <c r="Z1194" s="2">
        <v>2503.4583567812001</v>
      </c>
      <c r="AA1194" s="2">
        <v>4.6254861111111101</v>
      </c>
      <c r="AB1194" s="2">
        <v>-74.066980555555503</v>
      </c>
      <c r="AC1194" s="2">
        <v>2621</v>
      </c>
      <c r="AD1194" s="2">
        <v>15</v>
      </c>
      <c r="AE1194" s="2" t="s">
        <v>59</v>
      </c>
      <c r="AF1194" s="2" t="s">
        <v>60</v>
      </c>
      <c r="AG1194" s="2" t="s">
        <v>61</v>
      </c>
      <c r="AH1194" s="2" t="s">
        <v>62</v>
      </c>
      <c r="AI1194" s="2" t="s">
        <v>109</v>
      </c>
      <c r="AJ1194" s="2">
        <v>1.2017817000808899</v>
      </c>
      <c r="AK1194" s="2">
        <v>0.15041522717057601</v>
      </c>
      <c r="AL1194" s="2">
        <v>0.58559663119874805</v>
      </c>
      <c r="AM1194" s="2">
        <v>0.252845426258689</v>
      </c>
      <c r="AN1194" s="2">
        <v>0.50492234318658502</v>
      </c>
      <c r="AO1194" s="2">
        <v>0.33080019019658502</v>
      </c>
      <c r="AP1194" s="2">
        <v>0.33080019019658502</v>
      </c>
      <c r="AQ1194" s="2">
        <v>0</v>
      </c>
      <c r="AR1194" s="2">
        <v>0</v>
      </c>
      <c r="AS1194" s="2">
        <v>18</v>
      </c>
      <c r="AT1194" s="2">
        <v>56</v>
      </c>
      <c r="AU1194" s="2">
        <v>5</v>
      </c>
      <c r="AV1194" s="2">
        <v>23</v>
      </c>
      <c r="AW1194" s="2">
        <v>1</v>
      </c>
      <c r="AX1194" s="2">
        <v>0</v>
      </c>
      <c r="AZ1194" s="2">
        <v>6.8</v>
      </c>
      <c r="BA1194" s="2">
        <v>19.899999999999999</v>
      </c>
      <c r="BB1194" s="2">
        <v>564</v>
      </c>
      <c r="BC1194" s="2">
        <v>68</v>
      </c>
      <c r="BD1194" s="2">
        <v>1.5</v>
      </c>
      <c r="BE1194" s="2">
        <v>135</v>
      </c>
      <c r="BF1194" s="2">
        <v>0.8</v>
      </c>
      <c r="BG1194" s="2">
        <v>162</v>
      </c>
      <c r="BH1194" s="2">
        <v>9.1</v>
      </c>
      <c r="BI1194" s="2">
        <v>9.1999999999999993</v>
      </c>
      <c r="BJ1194" s="2">
        <v>18.3</v>
      </c>
      <c r="BK1194" s="2">
        <v>0.34</v>
      </c>
      <c r="BL1194" s="2">
        <v>7.3</v>
      </c>
      <c r="BM1194" s="2">
        <v>0.9</v>
      </c>
      <c r="BN1194" s="2">
        <v>7.5</v>
      </c>
      <c r="BO1194" s="2">
        <v>2.9</v>
      </c>
      <c r="BP1194" s="2">
        <f t="shared" si="36"/>
        <v>6.0074563550276681</v>
      </c>
      <c r="BQ1194" s="2">
        <f t="shared" si="37"/>
        <v>18.739558759852745</v>
      </c>
    </row>
    <row r="1195" spans="1:69" x14ac:dyDescent="0.2">
      <c r="A1195" s="2" t="s">
        <v>3544</v>
      </c>
      <c r="B1195" s="2" t="s">
        <v>47</v>
      </c>
      <c r="C1195" s="2" t="s">
        <v>3273</v>
      </c>
      <c r="D1195" s="2" t="s">
        <v>49</v>
      </c>
      <c r="E1195" s="2" t="s">
        <v>3545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89</v>
      </c>
      <c r="L1195" s="6" t="s">
        <v>90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3546</v>
      </c>
      <c r="R1195" s="2">
        <v>13294160.85</v>
      </c>
      <c r="S1195" s="2">
        <v>0</v>
      </c>
      <c r="T1195" s="2" t="s">
        <v>105</v>
      </c>
      <c r="U1195" s="2" t="s">
        <v>106</v>
      </c>
      <c r="V1195" s="2" t="s">
        <v>56</v>
      </c>
      <c r="W1195" s="2" t="s">
        <v>107</v>
      </c>
      <c r="X1195" s="2" t="s">
        <v>108</v>
      </c>
      <c r="Y1195" s="2">
        <v>0.98223353801940205</v>
      </c>
      <c r="Z1195" s="2">
        <v>982.23353801940198</v>
      </c>
      <c r="AA1195" s="2">
        <v>4.6254861111111101</v>
      </c>
      <c r="AB1195" s="2">
        <v>-74.066980555555503</v>
      </c>
      <c r="AC1195" s="2">
        <v>2621</v>
      </c>
      <c r="AD1195" s="2">
        <v>15</v>
      </c>
      <c r="AE1195" s="2" t="s">
        <v>59</v>
      </c>
      <c r="AF1195" s="2" t="s">
        <v>60</v>
      </c>
      <c r="AG1195" s="2" t="s">
        <v>61</v>
      </c>
      <c r="AH1195" s="2" t="s">
        <v>62</v>
      </c>
      <c r="AI1195" s="2" t="s">
        <v>117</v>
      </c>
      <c r="AJ1195" s="2">
        <v>0.20704464562475</v>
      </c>
      <c r="AK1195" s="2">
        <v>0.78742712534808401</v>
      </c>
      <c r="AL1195" s="2">
        <v>0.26393443088864899</v>
      </c>
      <c r="AM1195" s="2">
        <v>8.3380222805574999E-2</v>
      </c>
      <c r="AN1195" s="2">
        <v>0.50594680052449104</v>
      </c>
      <c r="AO1195" s="2">
        <v>0.17837450320187501</v>
      </c>
      <c r="AP1195" s="2">
        <v>0.17837450320187501</v>
      </c>
      <c r="AQ1195" s="2">
        <v>3</v>
      </c>
      <c r="AR1195" s="2">
        <v>7</v>
      </c>
      <c r="AS1195" s="2">
        <v>0</v>
      </c>
      <c r="AT1195" s="2">
        <v>1</v>
      </c>
      <c r="AU1195" s="2">
        <v>12</v>
      </c>
      <c r="AV1195" s="2">
        <v>70</v>
      </c>
      <c r="AW1195" s="2">
        <v>1</v>
      </c>
      <c r="AX1195" s="2">
        <v>5</v>
      </c>
      <c r="AZ1195" s="2">
        <v>6.8</v>
      </c>
      <c r="BA1195" s="2">
        <v>19.899999999999999</v>
      </c>
      <c r="BB1195" s="2">
        <v>564</v>
      </c>
      <c r="BC1195" s="2">
        <v>68</v>
      </c>
      <c r="BD1195" s="2">
        <v>1.5</v>
      </c>
      <c r="BE1195" s="2">
        <v>135</v>
      </c>
      <c r="BF1195" s="2">
        <v>0.8</v>
      </c>
      <c r="BG1195" s="2">
        <v>162</v>
      </c>
      <c r="BH1195" s="2">
        <v>9.1</v>
      </c>
      <c r="BI1195" s="2">
        <v>9.1999999999999993</v>
      </c>
      <c r="BJ1195" s="2">
        <v>18.3</v>
      </c>
      <c r="BK1195" s="2">
        <v>0.34</v>
      </c>
      <c r="BL1195" s="2">
        <v>7.3</v>
      </c>
      <c r="BM1195" s="2">
        <v>0.9</v>
      </c>
      <c r="BN1195" s="2">
        <v>7.5</v>
      </c>
      <c r="BO1195" s="2">
        <v>2.9</v>
      </c>
      <c r="BP1195" s="2">
        <f t="shared" si="36"/>
        <v>6.4772889573934629</v>
      </c>
      <c r="BQ1195" s="2">
        <f t="shared" si="37"/>
        <v>19.436371430840833</v>
      </c>
    </row>
    <row r="1196" spans="1:69" x14ac:dyDescent="0.2">
      <c r="A1196" s="2" t="s">
        <v>3732</v>
      </c>
      <c r="B1196" s="2" t="s">
        <v>47</v>
      </c>
      <c r="C1196" s="2" t="s">
        <v>3273</v>
      </c>
      <c r="D1196" s="2" t="s">
        <v>49</v>
      </c>
      <c r="E1196" s="2" t="s">
        <v>63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89</v>
      </c>
      <c r="L1196" s="6" t="s">
        <v>90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3733</v>
      </c>
      <c r="R1196" s="2">
        <v>13230429.99</v>
      </c>
      <c r="S1196" s="2">
        <v>0</v>
      </c>
      <c r="T1196" s="2" t="s">
        <v>105</v>
      </c>
      <c r="U1196" s="2" t="s">
        <v>106</v>
      </c>
      <c r="V1196" s="2" t="s">
        <v>56</v>
      </c>
      <c r="W1196" s="2" t="s">
        <v>107</v>
      </c>
      <c r="X1196" s="2" t="s">
        <v>108</v>
      </c>
      <c r="Y1196" s="2">
        <v>1.0327961996380799</v>
      </c>
      <c r="Z1196" s="2">
        <v>1032.79619963808</v>
      </c>
      <c r="AA1196" s="2">
        <v>4.6254861111111101</v>
      </c>
      <c r="AB1196" s="2">
        <v>-74.066980555555503</v>
      </c>
      <c r="AC1196" s="2">
        <v>2621</v>
      </c>
      <c r="AD1196" s="2">
        <v>15</v>
      </c>
      <c r="AE1196" s="2" t="s">
        <v>59</v>
      </c>
      <c r="AF1196" s="2" t="s">
        <v>60</v>
      </c>
      <c r="AG1196" s="2" t="s">
        <v>61</v>
      </c>
      <c r="AH1196" s="2" t="s">
        <v>62</v>
      </c>
      <c r="AI1196" s="2" t="s">
        <v>63</v>
      </c>
      <c r="AJ1196" s="2">
        <v>0.10972985600465</v>
      </c>
      <c r="AK1196" s="2">
        <v>0.94828536010518805</v>
      </c>
      <c r="AL1196" s="2">
        <v>0.37155732940323399</v>
      </c>
      <c r="AM1196" s="2">
        <v>9.3474478767834698E-2</v>
      </c>
      <c r="AN1196" s="2">
        <v>0.66558124828017395</v>
      </c>
      <c r="AO1196" s="2">
        <v>0.32126983629466899</v>
      </c>
      <c r="AP1196" s="2">
        <v>0.32126983629466899</v>
      </c>
      <c r="AQ1196" s="2">
        <v>2</v>
      </c>
      <c r="AR1196" s="2">
        <v>7</v>
      </c>
      <c r="AS1196" s="2">
        <v>0</v>
      </c>
      <c r="AT1196" s="2">
        <v>1</v>
      </c>
      <c r="AU1196" s="2">
        <v>13</v>
      </c>
      <c r="AV1196" s="2">
        <v>71</v>
      </c>
      <c r="AW1196" s="2">
        <v>1</v>
      </c>
      <c r="AX1196" s="2">
        <v>3</v>
      </c>
      <c r="AZ1196" s="2">
        <v>6.8</v>
      </c>
      <c r="BA1196" s="2">
        <v>19.899999999999999</v>
      </c>
      <c r="BB1196" s="2">
        <v>564</v>
      </c>
      <c r="BC1196" s="2">
        <v>68</v>
      </c>
      <c r="BD1196" s="2">
        <v>1.5</v>
      </c>
      <c r="BE1196" s="2">
        <v>135</v>
      </c>
      <c r="BF1196" s="2">
        <v>0.8</v>
      </c>
      <c r="BG1196" s="2">
        <v>162</v>
      </c>
      <c r="BH1196" s="2">
        <v>9.1</v>
      </c>
      <c r="BI1196" s="2">
        <v>9.1999999999999993</v>
      </c>
      <c r="BJ1196" s="2">
        <v>18.3</v>
      </c>
      <c r="BK1196" s="2">
        <v>0.34</v>
      </c>
      <c r="BL1196" s="2">
        <v>7.3</v>
      </c>
      <c r="BM1196" s="2">
        <v>0.9</v>
      </c>
      <c r="BN1196" s="2">
        <v>7.5</v>
      </c>
      <c r="BO1196" s="2">
        <v>2.9</v>
      </c>
      <c r="BP1196" s="2">
        <f t="shared" si="36"/>
        <v>6.4610975342085988</v>
      </c>
      <c r="BQ1196" s="2">
        <f t="shared" si="37"/>
        <v>19.412799623851015</v>
      </c>
    </row>
    <row r="1197" spans="1:69" x14ac:dyDescent="0.2">
      <c r="A1197" s="2" t="s">
        <v>4395</v>
      </c>
      <c r="B1197" s="2" t="s">
        <v>47</v>
      </c>
      <c r="C1197" s="2" t="s">
        <v>3273</v>
      </c>
      <c r="D1197" s="2" t="s">
        <v>49</v>
      </c>
      <c r="E1197" s="2" t="s">
        <v>3538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89</v>
      </c>
      <c r="L1197" s="6" t="s">
        <v>90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4396</v>
      </c>
      <c r="R1197" s="2">
        <v>12163656.470000001</v>
      </c>
      <c r="S1197" s="2">
        <v>0</v>
      </c>
      <c r="T1197" s="2" t="s">
        <v>105</v>
      </c>
      <c r="U1197" s="2" t="s">
        <v>106</v>
      </c>
      <c r="V1197" s="2" t="s">
        <v>56</v>
      </c>
      <c r="W1197" s="2" t="s">
        <v>107</v>
      </c>
      <c r="X1197" s="2" t="s">
        <v>108</v>
      </c>
      <c r="Y1197" s="2">
        <v>0.71451354539833001</v>
      </c>
      <c r="Z1197" s="2">
        <v>714.51354539833005</v>
      </c>
      <c r="AA1197" s="2">
        <v>4.6254861111111101</v>
      </c>
      <c r="AB1197" s="2">
        <v>-74.066980555555503</v>
      </c>
      <c r="AC1197" s="2">
        <v>2621</v>
      </c>
      <c r="AD1197" s="2">
        <v>15</v>
      </c>
      <c r="AE1197" s="2" t="s">
        <v>59</v>
      </c>
      <c r="AF1197" s="2" t="s">
        <v>60</v>
      </c>
      <c r="AG1197" s="2" t="s">
        <v>61</v>
      </c>
      <c r="AH1197" s="2" t="s">
        <v>62</v>
      </c>
      <c r="AI1197" s="2" t="s">
        <v>117</v>
      </c>
      <c r="AJ1197" s="2">
        <v>0.226129041416258</v>
      </c>
      <c r="AK1197" s="2">
        <v>0.79521948094735695</v>
      </c>
      <c r="AL1197" s="2">
        <v>0.393892350464079</v>
      </c>
      <c r="AM1197" s="2">
        <v>0.113901348766456</v>
      </c>
      <c r="AN1197" s="2">
        <v>0.58134267016077101</v>
      </c>
      <c r="AO1197" s="2">
        <v>1.76685858881161E-3</v>
      </c>
      <c r="AP1197" s="2">
        <v>1.76685858881161E-3</v>
      </c>
      <c r="AQ1197" s="2">
        <v>3</v>
      </c>
      <c r="AR1197" s="2">
        <v>7</v>
      </c>
      <c r="AS1197" s="2">
        <v>0</v>
      </c>
      <c r="AT1197" s="2">
        <v>3</v>
      </c>
      <c r="AU1197" s="2">
        <v>13</v>
      </c>
      <c r="AV1197" s="2">
        <v>83</v>
      </c>
      <c r="AW1197" s="2">
        <v>2</v>
      </c>
      <c r="AX1197" s="2">
        <v>2</v>
      </c>
      <c r="AZ1197" s="2">
        <v>6.8</v>
      </c>
      <c r="BA1197" s="2">
        <v>19.899999999999999</v>
      </c>
      <c r="BB1197" s="2">
        <v>564</v>
      </c>
      <c r="BC1197" s="2">
        <v>68</v>
      </c>
      <c r="BD1197" s="2">
        <v>1.5</v>
      </c>
      <c r="BE1197" s="2">
        <v>135</v>
      </c>
      <c r="BF1197" s="2">
        <v>0.8</v>
      </c>
      <c r="BG1197" s="2">
        <v>162</v>
      </c>
      <c r="BH1197" s="2">
        <v>9.1</v>
      </c>
      <c r="BI1197" s="2">
        <v>9.1999999999999993</v>
      </c>
      <c r="BJ1197" s="2">
        <v>18.3</v>
      </c>
      <c r="BK1197" s="2">
        <v>0.34</v>
      </c>
      <c r="BL1197" s="2">
        <v>7.3</v>
      </c>
      <c r="BM1197" s="2">
        <v>0.9</v>
      </c>
      <c r="BN1197" s="2">
        <v>7.5</v>
      </c>
      <c r="BO1197" s="2">
        <v>2.9</v>
      </c>
      <c r="BP1197" s="2">
        <f t="shared" si="36"/>
        <v>6.5636981840907769</v>
      </c>
      <c r="BQ1197" s="2">
        <f t="shared" si="37"/>
        <v>19.561657624423496</v>
      </c>
    </row>
    <row r="1198" spans="1:69" x14ac:dyDescent="0.2">
      <c r="A1198" s="2" t="s">
        <v>3410</v>
      </c>
      <c r="B1198" s="2" t="s">
        <v>47</v>
      </c>
      <c r="C1198" s="2" t="s">
        <v>3273</v>
      </c>
      <c r="D1198" s="2" t="s">
        <v>49</v>
      </c>
      <c r="E1198" s="2" t="s">
        <v>109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89</v>
      </c>
      <c r="L1198" s="6" t="s">
        <v>90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3411</v>
      </c>
      <c r="R1198" s="2">
        <v>11851851.85</v>
      </c>
      <c r="S1198" s="2">
        <v>0</v>
      </c>
      <c r="T1198" s="2" t="s">
        <v>105</v>
      </c>
      <c r="U1198" s="2" t="s">
        <v>106</v>
      </c>
      <c r="V1198" s="2" t="s">
        <v>56</v>
      </c>
      <c r="W1198" s="2" t="s">
        <v>107</v>
      </c>
      <c r="X1198" s="2" t="s">
        <v>108</v>
      </c>
      <c r="Y1198" s="2">
        <v>1.92228418014633</v>
      </c>
      <c r="Z1198" s="2">
        <v>1922.2841801463301</v>
      </c>
      <c r="AA1198" s="2">
        <v>4.6254861111111101</v>
      </c>
      <c r="AB1198" s="2">
        <v>-74.066980555555503</v>
      </c>
      <c r="AC1198" s="2">
        <v>2621</v>
      </c>
      <c r="AD1198" s="2">
        <v>15</v>
      </c>
      <c r="AE1198" s="2" t="s">
        <v>59</v>
      </c>
      <c r="AF1198" s="2" t="s">
        <v>60</v>
      </c>
      <c r="AG1198" s="2" t="s">
        <v>61</v>
      </c>
      <c r="AH1198" s="2" t="s">
        <v>62</v>
      </c>
      <c r="AI1198" s="2" t="s">
        <v>109</v>
      </c>
      <c r="AJ1198" s="2">
        <v>0.36779400701085901</v>
      </c>
      <c r="AK1198" s="2">
        <v>0.57747214030441896</v>
      </c>
      <c r="AL1198" s="2">
        <v>0.39778000992044699</v>
      </c>
      <c r="AM1198" s="2">
        <v>5.1588213277125997E-2</v>
      </c>
      <c r="AN1198" s="2">
        <v>0.47181267144988998</v>
      </c>
      <c r="AO1198" s="2">
        <v>0.25807732996056598</v>
      </c>
      <c r="AP1198" s="2">
        <v>0.25807732996056598</v>
      </c>
      <c r="AQ1198" s="2">
        <v>1</v>
      </c>
      <c r="AR1198" s="2">
        <v>4</v>
      </c>
      <c r="AS1198" s="2">
        <v>0</v>
      </c>
      <c r="AT1198" s="2">
        <v>21</v>
      </c>
      <c r="AU1198" s="2">
        <v>6</v>
      </c>
      <c r="AV1198" s="2">
        <v>131</v>
      </c>
      <c r="AW1198" s="2">
        <v>1</v>
      </c>
      <c r="AX1198" s="2">
        <v>0</v>
      </c>
      <c r="AZ1198" s="2">
        <v>6.8</v>
      </c>
      <c r="BA1198" s="2">
        <v>19.899999999999999</v>
      </c>
      <c r="BB1198" s="2">
        <v>564</v>
      </c>
      <c r="BC1198" s="2">
        <v>68</v>
      </c>
      <c r="BD1198" s="2">
        <v>1.5</v>
      </c>
      <c r="BE1198" s="2">
        <v>135</v>
      </c>
      <c r="BF1198" s="2">
        <v>0.8</v>
      </c>
      <c r="BG1198" s="2">
        <v>162</v>
      </c>
      <c r="BH1198" s="2">
        <v>9.1</v>
      </c>
      <c r="BI1198" s="2">
        <v>9.1999999999999993</v>
      </c>
      <c r="BJ1198" s="2">
        <v>18.3</v>
      </c>
      <c r="BK1198" s="2">
        <v>0.34</v>
      </c>
      <c r="BL1198" s="2">
        <v>7.3</v>
      </c>
      <c r="BM1198" s="2">
        <v>0.9</v>
      </c>
      <c r="BN1198" s="2">
        <v>7.5</v>
      </c>
      <c r="BO1198" s="2">
        <v>2.9</v>
      </c>
      <c r="BP1198" s="2">
        <f t="shared" si="36"/>
        <v>6.1827895014215564</v>
      </c>
      <c r="BQ1198" s="2">
        <f t="shared" si="37"/>
        <v>19.00277291489331</v>
      </c>
    </row>
    <row r="1199" spans="1:69" x14ac:dyDescent="0.2">
      <c r="A1199" s="2" t="s">
        <v>3576</v>
      </c>
      <c r="B1199" s="2" t="s">
        <v>47</v>
      </c>
      <c r="C1199" s="2" t="s">
        <v>3273</v>
      </c>
      <c r="D1199" s="2" t="s">
        <v>49</v>
      </c>
      <c r="E1199" s="2" t="s">
        <v>663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89</v>
      </c>
      <c r="L1199" s="6" t="s">
        <v>90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3577</v>
      </c>
      <c r="R1199" s="2">
        <v>11666666.67</v>
      </c>
      <c r="S1199" s="2">
        <v>0</v>
      </c>
      <c r="T1199" s="2" t="s">
        <v>54</v>
      </c>
      <c r="U1199" s="2" t="s">
        <v>55</v>
      </c>
      <c r="V1199" s="2" t="s">
        <v>56</v>
      </c>
      <c r="W1199" s="2" t="s">
        <v>57</v>
      </c>
      <c r="X1199" s="2" t="s">
        <v>58</v>
      </c>
      <c r="Y1199" s="2">
        <v>3.7201502736668299</v>
      </c>
      <c r="Z1199" s="2">
        <v>3720.1502736668299</v>
      </c>
      <c r="AA1199" s="2">
        <v>4.6584666666666701</v>
      </c>
      <c r="AB1199" s="2">
        <v>-74.083966666666697</v>
      </c>
      <c r="AC1199" s="2">
        <v>2552</v>
      </c>
      <c r="AD1199" s="2">
        <v>0</v>
      </c>
      <c r="AE1199" s="2" t="s">
        <v>59</v>
      </c>
      <c r="AF1199" s="2" t="s">
        <v>60</v>
      </c>
      <c r="AG1199" s="2" t="s">
        <v>61</v>
      </c>
      <c r="AH1199" s="2" t="s">
        <v>62</v>
      </c>
      <c r="AI1199" s="2" t="s">
        <v>321</v>
      </c>
      <c r="AJ1199" s="2">
        <v>0.34587266877892497</v>
      </c>
      <c r="AK1199" s="2">
        <v>2.4024577575369901</v>
      </c>
      <c r="AL1199" s="2">
        <v>0.35207398162009501</v>
      </c>
      <c r="AM1199" s="2">
        <v>4.72882752515634E-2</v>
      </c>
      <c r="AN1199" s="2">
        <v>2.5734506220957098</v>
      </c>
      <c r="AO1199" s="2">
        <v>0.15216010680202099</v>
      </c>
      <c r="AP1199" s="2">
        <v>0.15216010680202099</v>
      </c>
      <c r="AQ1199" s="2">
        <v>2</v>
      </c>
      <c r="AR1199" s="2">
        <v>7</v>
      </c>
      <c r="AS1199" s="2">
        <v>0</v>
      </c>
      <c r="AT1199" s="2">
        <v>0</v>
      </c>
      <c r="AU1199" s="2">
        <v>2</v>
      </c>
      <c r="AV1199" s="2">
        <v>204</v>
      </c>
      <c r="AW1199" s="2">
        <v>0</v>
      </c>
      <c r="AX1199" s="2">
        <v>0</v>
      </c>
      <c r="AZ1199" s="2">
        <v>6.8</v>
      </c>
      <c r="BA1199" s="2">
        <v>19.899999999999999</v>
      </c>
      <c r="BB1199" s="2">
        <v>564</v>
      </c>
      <c r="BC1199" s="2">
        <v>68</v>
      </c>
      <c r="BD1199" s="2">
        <v>1.5</v>
      </c>
      <c r="BE1199" s="2">
        <v>135</v>
      </c>
      <c r="BF1199" s="2">
        <v>0.8</v>
      </c>
      <c r="BG1199" s="2">
        <v>162</v>
      </c>
      <c r="BH1199" s="2">
        <v>9.1</v>
      </c>
      <c r="BI1199" s="2">
        <v>9.1999999999999993</v>
      </c>
      <c r="BJ1199" s="2">
        <v>18.3</v>
      </c>
      <c r="BK1199" s="2">
        <v>0.34</v>
      </c>
      <c r="BL1199" s="2">
        <v>7.3</v>
      </c>
      <c r="BM1199" s="2">
        <v>0.9</v>
      </c>
      <c r="BN1199" s="2">
        <v>7.5</v>
      </c>
      <c r="BO1199" s="2">
        <v>2.9</v>
      </c>
      <c r="BP1199" s="2">
        <f t="shared" si="36"/>
        <v>5.6563294435476204</v>
      </c>
      <c r="BQ1199" s="2">
        <f t="shared" si="37"/>
        <v>18.200264467571909</v>
      </c>
    </row>
    <row r="1200" spans="1:69" x14ac:dyDescent="0.2">
      <c r="A1200" s="2" t="s">
        <v>4462</v>
      </c>
      <c r="B1200" s="2" t="s">
        <v>47</v>
      </c>
      <c r="C1200" s="2" t="s">
        <v>3273</v>
      </c>
      <c r="D1200" s="2" t="s">
        <v>49</v>
      </c>
      <c r="E1200" s="2" t="s">
        <v>3552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89</v>
      </c>
      <c r="L1200" s="6" t="s">
        <v>90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4463</v>
      </c>
      <c r="R1200" s="2">
        <v>10740740.74</v>
      </c>
      <c r="S1200" s="2">
        <v>79629.629629999996</v>
      </c>
      <c r="T1200" s="2" t="s">
        <v>105</v>
      </c>
      <c r="U1200" s="2" t="s">
        <v>106</v>
      </c>
      <c r="V1200" s="2" t="s">
        <v>56</v>
      </c>
      <c r="W1200" s="2" t="s">
        <v>107</v>
      </c>
      <c r="X1200" s="2" t="s">
        <v>108</v>
      </c>
      <c r="Y1200" s="2">
        <v>2.5703348875502599</v>
      </c>
      <c r="Z1200" s="2">
        <v>2570.3348875502602</v>
      </c>
      <c r="AA1200" s="2">
        <v>4.6254861111111101</v>
      </c>
      <c r="AB1200" s="2">
        <v>-74.066980555555503</v>
      </c>
      <c r="AC1200" s="2">
        <v>2621</v>
      </c>
      <c r="AD1200" s="2">
        <v>15</v>
      </c>
      <c r="AE1200" s="2" t="s">
        <v>59</v>
      </c>
      <c r="AF1200" s="2" t="s">
        <v>60</v>
      </c>
      <c r="AG1200" s="2" t="s">
        <v>61</v>
      </c>
      <c r="AH1200" s="2" t="s">
        <v>62</v>
      </c>
      <c r="AI1200" s="2" t="s">
        <v>117</v>
      </c>
      <c r="AJ1200" s="2">
        <v>6.1822755343333403E-2</v>
      </c>
      <c r="AK1200" s="2">
        <v>0.56536290912041898</v>
      </c>
      <c r="AL1200" s="2">
        <v>0.118797344164446</v>
      </c>
      <c r="AM1200" s="2">
        <v>0.13251561716663801</v>
      </c>
      <c r="AN1200" s="2">
        <v>1.4436557314135201</v>
      </c>
      <c r="AO1200" s="2">
        <v>0.21116693836901401</v>
      </c>
      <c r="AP1200" s="2">
        <v>0.21116693836901401</v>
      </c>
      <c r="AQ1200" s="2">
        <v>3</v>
      </c>
      <c r="AR1200" s="2">
        <v>6</v>
      </c>
      <c r="AS1200" s="2">
        <v>0</v>
      </c>
      <c r="AT1200" s="2">
        <v>56</v>
      </c>
      <c r="AU1200" s="2">
        <v>13</v>
      </c>
      <c r="AV1200" s="2">
        <v>49</v>
      </c>
      <c r="AW1200" s="2">
        <v>0</v>
      </c>
      <c r="AX1200" s="2">
        <v>8</v>
      </c>
      <c r="AZ1200" s="2">
        <v>6.8</v>
      </c>
      <c r="BA1200" s="2">
        <v>19.899999999999999</v>
      </c>
      <c r="BB1200" s="2">
        <v>564</v>
      </c>
      <c r="BC1200" s="2">
        <v>68</v>
      </c>
      <c r="BD1200" s="2">
        <v>1.5</v>
      </c>
      <c r="BE1200" s="2">
        <v>135</v>
      </c>
      <c r="BF1200" s="2">
        <v>0.8</v>
      </c>
      <c r="BG1200" s="2">
        <v>162</v>
      </c>
      <c r="BH1200" s="2">
        <v>9.1</v>
      </c>
      <c r="BI1200" s="2">
        <v>9.1999999999999993</v>
      </c>
      <c r="BJ1200" s="2">
        <v>18.3</v>
      </c>
      <c r="BK1200" s="2">
        <v>0.34</v>
      </c>
      <c r="BL1200" s="2">
        <v>7.3</v>
      </c>
      <c r="BM1200" s="2">
        <v>0.9</v>
      </c>
      <c r="BN1200" s="2">
        <v>7.5</v>
      </c>
      <c r="BO1200" s="2">
        <v>2.9</v>
      </c>
      <c r="BP1200" s="2">
        <f t="shared" si="36"/>
        <v>5.9876022225339405</v>
      </c>
      <c r="BQ1200" s="2">
        <f t="shared" si="37"/>
        <v>18.709505204562735</v>
      </c>
    </row>
    <row r="1201" spans="1:69" x14ac:dyDescent="0.2">
      <c r="A1201" s="2" t="s">
        <v>3330</v>
      </c>
      <c r="B1201" s="2" t="s">
        <v>47</v>
      </c>
      <c r="C1201" s="2" t="s">
        <v>3273</v>
      </c>
      <c r="D1201" s="2" t="s">
        <v>49</v>
      </c>
      <c r="E1201" s="2" t="s">
        <v>1288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89</v>
      </c>
      <c r="L1201" s="6" t="s">
        <v>90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3331</v>
      </c>
      <c r="R1201" s="2">
        <v>10370370.369999999</v>
      </c>
      <c r="S1201" s="2">
        <v>0</v>
      </c>
      <c r="T1201" s="2" t="s">
        <v>105</v>
      </c>
      <c r="U1201" s="2" t="s">
        <v>106</v>
      </c>
      <c r="V1201" s="2" t="s">
        <v>56</v>
      </c>
      <c r="W1201" s="2" t="s">
        <v>107</v>
      </c>
      <c r="X1201" s="2" t="s">
        <v>108</v>
      </c>
      <c r="Y1201" s="2">
        <v>2.5068699937411298</v>
      </c>
      <c r="Z1201" s="2">
        <v>2506.8699937411302</v>
      </c>
      <c r="AA1201" s="2">
        <v>4.6254861111111101</v>
      </c>
      <c r="AB1201" s="2">
        <v>-74.066980555555503</v>
      </c>
      <c r="AC1201" s="2">
        <v>2621</v>
      </c>
      <c r="AD1201" s="2">
        <v>15</v>
      </c>
      <c r="AE1201" s="2" t="s">
        <v>59</v>
      </c>
      <c r="AF1201" s="2" t="s">
        <v>60</v>
      </c>
      <c r="AG1201" s="2" t="s">
        <v>61</v>
      </c>
      <c r="AH1201" s="2" t="s">
        <v>62</v>
      </c>
      <c r="AI1201" s="2" t="s">
        <v>109</v>
      </c>
      <c r="AJ1201" s="2">
        <v>1.20145776476549</v>
      </c>
      <c r="AK1201" s="2">
        <v>0.15014501464350699</v>
      </c>
      <c r="AL1201" s="2">
        <v>0.58435946466575495</v>
      </c>
      <c r="AM1201" s="2">
        <v>0.25634907655609701</v>
      </c>
      <c r="AN1201" s="2">
        <v>0.507785624587762</v>
      </c>
      <c r="AO1201" s="2">
        <v>0.33063547817967298</v>
      </c>
      <c r="AP1201" s="2">
        <v>0.33063547817967298</v>
      </c>
      <c r="AQ1201" s="2">
        <v>0</v>
      </c>
      <c r="AR1201" s="2">
        <v>0</v>
      </c>
      <c r="AS1201" s="2">
        <v>19</v>
      </c>
      <c r="AT1201" s="2">
        <v>56</v>
      </c>
      <c r="AU1201" s="2">
        <v>5</v>
      </c>
      <c r="AV1201" s="2">
        <v>23</v>
      </c>
      <c r="AW1201" s="2">
        <v>1</v>
      </c>
      <c r="AX1201" s="2">
        <v>0</v>
      </c>
      <c r="AZ1201" s="2">
        <v>6.8</v>
      </c>
      <c r="BA1201" s="2">
        <v>19.899999999999999</v>
      </c>
      <c r="BB1201" s="2">
        <v>564</v>
      </c>
      <c r="BC1201" s="2">
        <v>68</v>
      </c>
      <c r="BD1201" s="2">
        <v>1.5</v>
      </c>
      <c r="BE1201" s="2">
        <v>135</v>
      </c>
      <c r="BF1201" s="2">
        <v>0.8</v>
      </c>
      <c r="BG1201" s="2">
        <v>162</v>
      </c>
      <c r="BH1201" s="2">
        <v>9.1</v>
      </c>
      <c r="BI1201" s="2">
        <v>9.1999999999999993</v>
      </c>
      <c r="BJ1201" s="2">
        <v>18.3</v>
      </c>
      <c r="BK1201" s="2">
        <v>0.34</v>
      </c>
      <c r="BL1201" s="2">
        <v>7.3</v>
      </c>
      <c r="BM1201" s="2">
        <v>0.9</v>
      </c>
      <c r="BN1201" s="2">
        <v>7.5</v>
      </c>
      <c r="BO1201" s="2">
        <v>2.9</v>
      </c>
      <c r="BP1201" s="2">
        <f t="shared" si="36"/>
        <v>6.0064419253097787</v>
      </c>
      <c r="BQ1201" s="2">
        <f t="shared" si="37"/>
        <v>18.7380244409574</v>
      </c>
    </row>
    <row r="1202" spans="1:69" x14ac:dyDescent="0.2">
      <c r="A1202" s="2" t="s">
        <v>4407</v>
      </c>
      <c r="B1202" s="2" t="s">
        <v>47</v>
      </c>
      <c r="C1202" s="2" t="s">
        <v>3273</v>
      </c>
      <c r="D1202" s="2" t="s">
        <v>49</v>
      </c>
      <c r="E1202" s="2" t="s">
        <v>4408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89</v>
      </c>
      <c r="L1202" s="6" t="s">
        <v>90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4409</v>
      </c>
      <c r="R1202" s="2">
        <v>10277777.779999999</v>
      </c>
      <c r="S1202" s="2">
        <v>0</v>
      </c>
      <c r="T1202" s="2" t="s">
        <v>105</v>
      </c>
      <c r="U1202" s="2" t="s">
        <v>106</v>
      </c>
      <c r="V1202" s="2" t="s">
        <v>56</v>
      </c>
      <c r="W1202" s="2" t="s">
        <v>107</v>
      </c>
      <c r="X1202" s="2" t="s">
        <v>108</v>
      </c>
      <c r="Y1202" s="2">
        <v>2.5653612606682401</v>
      </c>
      <c r="Z1202" s="2">
        <v>2565.36126066824</v>
      </c>
      <c r="AA1202" s="2">
        <v>4.6254861111111101</v>
      </c>
      <c r="AB1202" s="2">
        <v>-74.066980555555503</v>
      </c>
      <c r="AC1202" s="2">
        <v>2621</v>
      </c>
      <c r="AD1202" s="2">
        <v>15</v>
      </c>
      <c r="AE1202" s="2" t="s">
        <v>59</v>
      </c>
      <c r="AF1202" s="2" t="s">
        <v>60</v>
      </c>
      <c r="AG1202" s="2" t="s">
        <v>61</v>
      </c>
      <c r="AH1202" s="2" t="s">
        <v>62</v>
      </c>
      <c r="AI1202" s="2" t="s">
        <v>117</v>
      </c>
      <c r="AJ1202" s="2">
        <v>6.0050996090324098E-2</v>
      </c>
      <c r="AK1202" s="2">
        <v>0.56295732149286803</v>
      </c>
      <c r="AL1202" s="2">
        <v>0.117346809666504</v>
      </c>
      <c r="AM1202" s="2">
        <v>0.127641106683269</v>
      </c>
      <c r="AN1202" s="2">
        <v>1.4386720210549999</v>
      </c>
      <c r="AO1202" s="2">
        <v>0.21012248847772799</v>
      </c>
      <c r="AP1202" s="2">
        <v>0.21012248847772799</v>
      </c>
      <c r="AQ1202" s="2">
        <v>3</v>
      </c>
      <c r="AR1202" s="2">
        <v>6</v>
      </c>
      <c r="AS1202" s="2">
        <v>0</v>
      </c>
      <c r="AT1202" s="2">
        <v>56</v>
      </c>
      <c r="AU1202" s="2">
        <v>13</v>
      </c>
      <c r="AV1202" s="2">
        <v>49</v>
      </c>
      <c r="AW1202" s="2">
        <v>0</v>
      </c>
      <c r="AX1202" s="2">
        <v>8</v>
      </c>
      <c r="AZ1202" s="2">
        <v>6.8</v>
      </c>
      <c r="BA1202" s="2">
        <v>19.899999999999999</v>
      </c>
      <c r="BB1202" s="2">
        <v>564</v>
      </c>
      <c r="BC1202" s="2">
        <v>68</v>
      </c>
      <c r="BD1202" s="2">
        <v>1.5</v>
      </c>
      <c r="BE1202" s="2">
        <v>135</v>
      </c>
      <c r="BF1202" s="2">
        <v>0.8</v>
      </c>
      <c r="BG1202" s="2">
        <v>162</v>
      </c>
      <c r="BH1202" s="2">
        <v>9.1</v>
      </c>
      <c r="BI1202" s="2">
        <v>9.1999999999999993</v>
      </c>
      <c r="BJ1202" s="2">
        <v>18.3</v>
      </c>
      <c r="BK1202" s="2">
        <v>0.34</v>
      </c>
      <c r="BL1202" s="2">
        <v>7.3</v>
      </c>
      <c r="BM1202" s="2">
        <v>0.9</v>
      </c>
      <c r="BN1202" s="2">
        <v>7.5</v>
      </c>
      <c r="BO1202" s="2">
        <v>2.9</v>
      </c>
      <c r="BP1202" s="2">
        <f t="shared" si="36"/>
        <v>5.9890765189273036</v>
      </c>
      <c r="BQ1202" s="2">
        <f t="shared" si="37"/>
        <v>18.711738636211983</v>
      </c>
    </row>
    <row r="1203" spans="1:69" x14ac:dyDescent="0.2">
      <c r="A1203" s="2" t="s">
        <v>3578</v>
      </c>
      <c r="B1203" s="2" t="s">
        <v>47</v>
      </c>
      <c r="C1203" s="2" t="s">
        <v>3273</v>
      </c>
      <c r="D1203" s="2" t="s">
        <v>49</v>
      </c>
      <c r="E1203" s="2" t="s">
        <v>109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89</v>
      </c>
      <c r="L1203" s="6" t="s">
        <v>90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3579</v>
      </c>
      <c r="R1203" s="2">
        <v>9814814.8149999995</v>
      </c>
      <c r="S1203" s="2">
        <v>0</v>
      </c>
      <c r="T1203" s="2" t="s">
        <v>105</v>
      </c>
      <c r="U1203" s="2" t="s">
        <v>106</v>
      </c>
      <c r="V1203" s="2" t="s">
        <v>56</v>
      </c>
      <c r="W1203" s="2" t="s">
        <v>107</v>
      </c>
      <c r="X1203" s="2" t="s">
        <v>108</v>
      </c>
      <c r="Y1203" s="2">
        <v>2.4566322664124001</v>
      </c>
      <c r="Z1203" s="2">
        <v>2456.6322664124</v>
      </c>
      <c r="AA1203" s="2">
        <v>4.6254861111111101</v>
      </c>
      <c r="AB1203" s="2">
        <v>-74.066980555555503</v>
      </c>
      <c r="AC1203" s="2">
        <v>2621</v>
      </c>
      <c r="AD1203" s="2">
        <v>15</v>
      </c>
      <c r="AE1203" s="2" t="s">
        <v>59</v>
      </c>
      <c r="AF1203" s="2" t="s">
        <v>60</v>
      </c>
      <c r="AG1203" s="2" t="s">
        <v>61</v>
      </c>
      <c r="AH1203" s="2" t="s">
        <v>62</v>
      </c>
      <c r="AI1203" s="2" t="s">
        <v>109</v>
      </c>
      <c r="AJ1203" s="2">
        <v>1.21944510811881</v>
      </c>
      <c r="AK1203" s="2">
        <v>0.150148544424757</v>
      </c>
      <c r="AL1203" s="2">
        <v>0.58806273918228102</v>
      </c>
      <c r="AM1203" s="2">
        <v>0.20365372575238599</v>
      </c>
      <c r="AN1203" s="2">
        <v>0.47142862890273701</v>
      </c>
      <c r="AO1203" s="2">
        <v>0.349005166854648</v>
      </c>
      <c r="AP1203" s="2">
        <v>0.349005166854648</v>
      </c>
      <c r="AQ1203" s="2">
        <v>0</v>
      </c>
      <c r="AR1203" s="2">
        <v>0</v>
      </c>
      <c r="AS1203" s="2">
        <v>19</v>
      </c>
      <c r="AT1203" s="2">
        <v>56</v>
      </c>
      <c r="AU1203" s="2">
        <v>4</v>
      </c>
      <c r="AV1203" s="2">
        <v>22</v>
      </c>
      <c r="AW1203" s="2">
        <v>1</v>
      </c>
      <c r="AX1203" s="2">
        <v>0</v>
      </c>
      <c r="AZ1203" s="2">
        <v>6.8</v>
      </c>
      <c r="BA1203" s="2">
        <v>19.899999999999999</v>
      </c>
      <c r="BB1203" s="2">
        <v>564</v>
      </c>
      <c r="BC1203" s="2">
        <v>68</v>
      </c>
      <c r="BD1203" s="2">
        <v>1.5</v>
      </c>
      <c r="BE1203" s="2">
        <v>135</v>
      </c>
      <c r="BF1203" s="2">
        <v>0.8</v>
      </c>
      <c r="BG1203" s="2">
        <v>162</v>
      </c>
      <c r="BH1203" s="2">
        <v>9.1</v>
      </c>
      <c r="BI1203" s="2">
        <v>9.1999999999999993</v>
      </c>
      <c r="BJ1203" s="2">
        <v>18.3</v>
      </c>
      <c r="BK1203" s="2">
        <v>0.34</v>
      </c>
      <c r="BL1203" s="2">
        <v>7.3</v>
      </c>
      <c r="BM1203" s="2">
        <v>0.9</v>
      </c>
      <c r="BN1203" s="2">
        <v>7.5</v>
      </c>
      <c r="BO1203" s="2">
        <v>2.9</v>
      </c>
      <c r="BP1203" s="2">
        <f t="shared" si="36"/>
        <v>6.0213971372575275</v>
      </c>
      <c r="BQ1203" s="2">
        <f t="shared" si="37"/>
        <v>18.760630604707345</v>
      </c>
    </row>
    <row r="1204" spans="1:69" x14ac:dyDescent="0.2">
      <c r="A1204" s="2" t="s">
        <v>3414</v>
      </c>
      <c r="B1204" s="2" t="s">
        <v>47</v>
      </c>
      <c r="C1204" s="2" t="s">
        <v>3273</v>
      </c>
      <c r="D1204" s="2" t="s">
        <v>49</v>
      </c>
      <c r="E1204" s="2" t="s">
        <v>1077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89</v>
      </c>
      <c r="L1204" s="6" t="s">
        <v>90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3415</v>
      </c>
      <c r="R1204" s="2">
        <v>9407407.4069999997</v>
      </c>
      <c r="S1204" s="2">
        <v>0</v>
      </c>
      <c r="T1204" s="2" t="s">
        <v>105</v>
      </c>
      <c r="U1204" s="2" t="s">
        <v>106</v>
      </c>
      <c r="V1204" s="2" t="s">
        <v>56</v>
      </c>
      <c r="W1204" s="2" t="s">
        <v>107</v>
      </c>
      <c r="X1204" s="2" t="s">
        <v>108</v>
      </c>
      <c r="Y1204" s="2">
        <v>1.6861349831747201</v>
      </c>
      <c r="Z1204" s="2">
        <v>1686.13498317472</v>
      </c>
      <c r="AA1204" s="2">
        <v>4.6254861111111101</v>
      </c>
      <c r="AB1204" s="2">
        <v>-74.066980555555503</v>
      </c>
      <c r="AC1204" s="2">
        <v>2621</v>
      </c>
      <c r="AD1204" s="2">
        <v>15</v>
      </c>
      <c r="AE1204" s="2" t="s">
        <v>59</v>
      </c>
      <c r="AF1204" s="2" t="s">
        <v>60</v>
      </c>
      <c r="AG1204" s="2" t="s">
        <v>61</v>
      </c>
      <c r="AH1204" s="2" t="s">
        <v>62</v>
      </c>
      <c r="AI1204" s="2" t="s">
        <v>117</v>
      </c>
      <c r="AJ1204" s="2">
        <v>2.7412834686535398E-2</v>
      </c>
      <c r="AK1204" s="2">
        <v>0.75273406931437203</v>
      </c>
      <c r="AL1204" s="2">
        <v>0.15284068796981101</v>
      </c>
      <c r="AM1204" s="2">
        <v>0.33604796087546401</v>
      </c>
      <c r="AN1204" s="2">
        <v>0.72366353519718496</v>
      </c>
      <c r="AO1204" s="2">
        <v>5.1275955074568502E-2</v>
      </c>
      <c r="AP1204" s="2">
        <v>5.1275955074568502E-2</v>
      </c>
      <c r="AQ1204" s="2">
        <v>2</v>
      </c>
      <c r="AR1204" s="2">
        <v>8</v>
      </c>
      <c r="AS1204" s="2">
        <v>0</v>
      </c>
      <c r="AT1204" s="2">
        <v>23</v>
      </c>
      <c r="AU1204" s="2">
        <v>9</v>
      </c>
      <c r="AV1204" s="2">
        <v>64</v>
      </c>
      <c r="AW1204" s="2">
        <v>1</v>
      </c>
      <c r="AX1204" s="2">
        <v>6</v>
      </c>
      <c r="AZ1204" s="2">
        <v>6.8</v>
      </c>
      <c r="BA1204" s="2">
        <v>19.899999999999999</v>
      </c>
      <c r="BB1204" s="2">
        <v>564</v>
      </c>
      <c r="BC1204" s="2">
        <v>68</v>
      </c>
      <c r="BD1204" s="2">
        <v>1.5</v>
      </c>
      <c r="BE1204" s="2">
        <v>135</v>
      </c>
      <c r="BF1204" s="2">
        <v>0.8</v>
      </c>
      <c r="BG1204" s="2">
        <v>162</v>
      </c>
      <c r="BH1204" s="2">
        <v>9.1</v>
      </c>
      <c r="BI1204" s="2">
        <v>9.1999999999999993</v>
      </c>
      <c r="BJ1204" s="2">
        <v>18.3</v>
      </c>
      <c r="BK1204" s="2">
        <v>0.34</v>
      </c>
      <c r="BL1204" s="2">
        <v>7.3</v>
      </c>
      <c r="BM1204" s="2">
        <v>0.9</v>
      </c>
      <c r="BN1204" s="2">
        <v>7.5</v>
      </c>
      <c r="BO1204" s="2">
        <v>2.9</v>
      </c>
      <c r="BP1204" s="2">
        <f t="shared" si="36"/>
        <v>6.2554865740824424</v>
      </c>
      <c r="BQ1204" s="2">
        <f t="shared" si="37"/>
        <v>19.110778440340731</v>
      </c>
    </row>
    <row r="1205" spans="1:69" x14ac:dyDescent="0.2">
      <c r="A1205" s="2" t="s">
        <v>1287</v>
      </c>
      <c r="B1205" s="2" t="s">
        <v>47</v>
      </c>
      <c r="C1205" s="2" t="s">
        <v>48</v>
      </c>
      <c r="D1205" s="2" t="s">
        <v>49</v>
      </c>
      <c r="E1205" s="2" t="s">
        <v>1288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89</v>
      </c>
      <c r="L1205" s="6" t="s">
        <v>90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1289</v>
      </c>
      <c r="R1205" s="2">
        <v>9259259.2589999996</v>
      </c>
      <c r="S1205" s="2">
        <v>0</v>
      </c>
      <c r="T1205" s="2" t="s">
        <v>105</v>
      </c>
      <c r="U1205" s="2" t="s">
        <v>106</v>
      </c>
      <c r="V1205" s="2" t="s">
        <v>56</v>
      </c>
      <c r="W1205" s="2" t="s">
        <v>107</v>
      </c>
      <c r="X1205" s="2" t="s">
        <v>108</v>
      </c>
      <c r="Y1205" s="2">
        <v>2.5068699937411298</v>
      </c>
      <c r="Z1205" s="2">
        <v>2506.8699937411302</v>
      </c>
      <c r="AA1205" s="2">
        <v>4.6254861111111101</v>
      </c>
      <c r="AB1205" s="2">
        <v>-74.066980555555503</v>
      </c>
      <c r="AC1205" s="2">
        <v>2621</v>
      </c>
      <c r="AD1205" s="2">
        <v>15</v>
      </c>
      <c r="AE1205" s="2" t="s">
        <v>59</v>
      </c>
      <c r="AF1205" s="2" t="s">
        <v>60</v>
      </c>
      <c r="AG1205" s="2" t="s">
        <v>61</v>
      </c>
      <c r="AH1205" s="2" t="s">
        <v>62</v>
      </c>
      <c r="AI1205" s="2" t="s">
        <v>109</v>
      </c>
      <c r="AJ1205" s="2">
        <v>1.20145776476549</v>
      </c>
      <c r="AK1205" s="2">
        <v>0.15014501464350699</v>
      </c>
      <c r="AL1205" s="2">
        <v>0.58435946466575495</v>
      </c>
      <c r="AM1205" s="2">
        <v>0.25634907655609701</v>
      </c>
      <c r="AN1205" s="2">
        <v>0.507785624587762</v>
      </c>
      <c r="AO1205" s="2">
        <v>0.33063547817967298</v>
      </c>
      <c r="AP1205" s="2">
        <v>0.33063547817967298</v>
      </c>
      <c r="AQ1205" s="2">
        <v>0</v>
      </c>
      <c r="AR1205" s="2">
        <v>0</v>
      </c>
      <c r="AS1205" s="2">
        <v>19</v>
      </c>
      <c r="AT1205" s="2">
        <v>56</v>
      </c>
      <c r="AU1205" s="2">
        <v>5</v>
      </c>
      <c r="AV1205" s="2">
        <v>23</v>
      </c>
      <c r="AW1205" s="2">
        <v>1</v>
      </c>
      <c r="AX1205" s="2">
        <v>0</v>
      </c>
      <c r="AZ1205" s="2">
        <v>6.8</v>
      </c>
      <c r="BA1205" s="2">
        <v>19.899999999999999</v>
      </c>
      <c r="BB1205" s="2">
        <v>564</v>
      </c>
      <c r="BC1205" s="2">
        <v>68</v>
      </c>
      <c r="BD1205" s="2">
        <v>1.5</v>
      </c>
      <c r="BE1205" s="2">
        <v>135</v>
      </c>
      <c r="BF1205" s="2">
        <v>0.8</v>
      </c>
      <c r="BG1205" s="2">
        <v>162</v>
      </c>
      <c r="BH1205" s="2">
        <v>9.1</v>
      </c>
      <c r="BI1205" s="2">
        <v>9.1999999999999993</v>
      </c>
      <c r="BJ1205" s="2">
        <v>18.3</v>
      </c>
      <c r="BK1205" s="2">
        <v>0.34</v>
      </c>
      <c r="BL1205" s="2">
        <v>7.3</v>
      </c>
      <c r="BM1205" s="2">
        <v>0.9</v>
      </c>
      <c r="BN1205" s="2">
        <v>7.5</v>
      </c>
      <c r="BO1205" s="2">
        <v>2.9</v>
      </c>
      <c r="BP1205" s="2">
        <f t="shared" si="36"/>
        <v>6.0064419253097787</v>
      </c>
      <c r="BQ1205" s="2">
        <f t="shared" si="37"/>
        <v>18.7380244409574</v>
      </c>
    </row>
    <row r="1206" spans="1:69" x14ac:dyDescent="0.2">
      <c r="A1206" s="2" t="s">
        <v>4150</v>
      </c>
      <c r="B1206" s="2" t="s">
        <v>47</v>
      </c>
      <c r="C1206" s="2" t="s">
        <v>3273</v>
      </c>
      <c r="D1206" s="2" t="s">
        <v>49</v>
      </c>
      <c r="E1206" s="2" t="s">
        <v>1899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89</v>
      </c>
      <c r="L1206" s="6" t="s">
        <v>112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4151</v>
      </c>
      <c r="R1206" s="2">
        <v>8703703.7039999999</v>
      </c>
      <c r="S1206" s="2">
        <v>0</v>
      </c>
      <c r="T1206" s="2" t="s">
        <v>105</v>
      </c>
      <c r="U1206" s="2" t="s">
        <v>106</v>
      </c>
      <c r="V1206" s="2" t="s">
        <v>56</v>
      </c>
      <c r="W1206" s="2" t="s">
        <v>107</v>
      </c>
      <c r="X1206" s="2" t="s">
        <v>108</v>
      </c>
      <c r="Y1206" s="2">
        <v>1.72961090926757</v>
      </c>
      <c r="Z1206" s="2">
        <v>1729.6109092675699</v>
      </c>
      <c r="AA1206" s="2">
        <v>4.6254861111111101</v>
      </c>
      <c r="AB1206" s="2">
        <v>-74.066980555555503</v>
      </c>
      <c r="AC1206" s="2">
        <v>2621</v>
      </c>
      <c r="AD1206" s="2">
        <v>15</v>
      </c>
      <c r="AE1206" s="2" t="s">
        <v>59</v>
      </c>
      <c r="AF1206" s="2" t="s">
        <v>60</v>
      </c>
      <c r="AG1206" s="2" t="s">
        <v>61</v>
      </c>
      <c r="AH1206" s="2" t="s">
        <v>62</v>
      </c>
      <c r="AI1206" s="2" t="s">
        <v>63</v>
      </c>
      <c r="AJ1206" s="2">
        <v>0.27201392614980002</v>
      </c>
      <c r="AK1206" s="2">
        <v>1.07085652280223</v>
      </c>
      <c r="AL1206" s="2">
        <v>0.42150503857328597</v>
      </c>
      <c r="AM1206" s="2">
        <v>9.3626563413766295E-2</v>
      </c>
      <c r="AN1206" s="2">
        <v>0.99124565131708997</v>
      </c>
      <c r="AO1206" s="2">
        <v>0.21464860799265501</v>
      </c>
      <c r="AP1206" s="2">
        <v>0.21464860799265501</v>
      </c>
      <c r="AQ1206" s="2">
        <v>3</v>
      </c>
      <c r="AR1206" s="2">
        <v>4</v>
      </c>
      <c r="AS1206" s="2">
        <v>0</v>
      </c>
      <c r="AT1206" s="2">
        <v>0</v>
      </c>
      <c r="AU1206" s="2">
        <v>10</v>
      </c>
      <c r="AV1206" s="2">
        <v>185</v>
      </c>
      <c r="AW1206" s="2">
        <v>1</v>
      </c>
      <c r="AX1206" s="2">
        <v>0</v>
      </c>
      <c r="AZ1206" s="2">
        <v>6.8</v>
      </c>
      <c r="BA1206" s="2">
        <v>19.899999999999999</v>
      </c>
      <c r="BB1206" s="2">
        <v>564</v>
      </c>
      <c r="BC1206" s="2">
        <v>68</v>
      </c>
      <c r="BD1206" s="2">
        <v>1.5</v>
      </c>
      <c r="BE1206" s="2">
        <v>135</v>
      </c>
      <c r="BF1206" s="2">
        <v>0.8</v>
      </c>
      <c r="BG1206" s="2">
        <v>162</v>
      </c>
      <c r="BH1206" s="2">
        <v>9.1</v>
      </c>
      <c r="BI1206" s="2">
        <v>9.1999999999999993</v>
      </c>
      <c r="BJ1206" s="2">
        <v>18.3</v>
      </c>
      <c r="BK1206" s="2">
        <v>0.34</v>
      </c>
      <c r="BL1206" s="2">
        <v>7.3</v>
      </c>
      <c r="BM1206" s="2">
        <v>0.9</v>
      </c>
      <c r="BN1206" s="2">
        <v>7.5</v>
      </c>
      <c r="BO1206" s="2">
        <v>2.9</v>
      </c>
      <c r="BP1206" s="2">
        <f t="shared" si="36"/>
        <v>6.2420388773240258</v>
      </c>
      <c r="BQ1206" s="2">
        <f t="shared" si="37"/>
        <v>19.090848228976526</v>
      </c>
    </row>
    <row r="1207" spans="1:69" x14ac:dyDescent="0.2">
      <c r="A1207" s="2" t="s">
        <v>4113</v>
      </c>
      <c r="B1207" s="2" t="s">
        <v>47</v>
      </c>
      <c r="C1207" s="2" t="s">
        <v>3273</v>
      </c>
      <c r="D1207" s="2" t="s">
        <v>49</v>
      </c>
      <c r="E1207" s="2" t="s">
        <v>3552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89</v>
      </c>
      <c r="L1207" s="6" t="s">
        <v>90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4114</v>
      </c>
      <c r="R1207" s="2">
        <v>7962962.9630000005</v>
      </c>
      <c r="S1207" s="2">
        <v>0</v>
      </c>
      <c r="T1207" s="2" t="s">
        <v>105</v>
      </c>
      <c r="U1207" s="2" t="s">
        <v>106</v>
      </c>
      <c r="V1207" s="2" t="s">
        <v>56</v>
      </c>
      <c r="W1207" s="2" t="s">
        <v>107</v>
      </c>
      <c r="X1207" s="2" t="s">
        <v>108</v>
      </c>
      <c r="Y1207" s="2">
        <v>2.62464905266684</v>
      </c>
      <c r="Z1207" s="2">
        <v>2624.6490526668399</v>
      </c>
      <c r="AA1207" s="2">
        <v>4.6254861111111101</v>
      </c>
      <c r="AB1207" s="2">
        <v>-74.066980555555503</v>
      </c>
      <c r="AC1207" s="2">
        <v>2621</v>
      </c>
      <c r="AD1207" s="2">
        <v>15</v>
      </c>
      <c r="AE1207" s="2" t="s">
        <v>59</v>
      </c>
      <c r="AF1207" s="2" t="s">
        <v>60</v>
      </c>
      <c r="AG1207" s="2" t="s">
        <v>61</v>
      </c>
      <c r="AH1207" s="2" t="s">
        <v>62</v>
      </c>
      <c r="AI1207" s="2" t="s">
        <v>117</v>
      </c>
      <c r="AJ1207" s="2">
        <v>0.24341301346566699</v>
      </c>
      <c r="AK1207" s="2">
        <v>0.746241704632153</v>
      </c>
      <c r="AL1207" s="2">
        <v>0.30009552510182502</v>
      </c>
      <c r="AM1207" s="2">
        <v>0.13673465698249901</v>
      </c>
      <c r="AN1207" s="2">
        <v>1.5076131548542</v>
      </c>
      <c r="AO1207" s="2">
        <v>6.1467964696571203E-2</v>
      </c>
      <c r="AP1207" s="2">
        <v>6.1467964696571203E-2</v>
      </c>
      <c r="AQ1207" s="2">
        <v>3</v>
      </c>
      <c r="AR1207" s="2">
        <v>8</v>
      </c>
      <c r="AS1207" s="2">
        <v>0</v>
      </c>
      <c r="AT1207" s="2">
        <v>41</v>
      </c>
      <c r="AU1207" s="2">
        <v>15</v>
      </c>
      <c r="AV1207" s="2">
        <v>50</v>
      </c>
      <c r="AW1207" s="2">
        <v>0</v>
      </c>
      <c r="AX1207" s="2">
        <v>8</v>
      </c>
      <c r="AZ1207" s="2">
        <v>6.8</v>
      </c>
      <c r="BA1207" s="2">
        <v>19.899999999999999</v>
      </c>
      <c r="BB1207" s="2">
        <v>564</v>
      </c>
      <c r="BC1207" s="2">
        <v>68</v>
      </c>
      <c r="BD1207" s="2">
        <v>1.5</v>
      </c>
      <c r="BE1207" s="2">
        <v>135</v>
      </c>
      <c r="BF1207" s="2">
        <v>0.8</v>
      </c>
      <c r="BG1207" s="2">
        <v>162</v>
      </c>
      <c r="BH1207" s="2">
        <v>9.1</v>
      </c>
      <c r="BI1207" s="2">
        <v>9.1999999999999993</v>
      </c>
      <c r="BJ1207" s="2">
        <v>18.3</v>
      </c>
      <c r="BK1207" s="2">
        <v>0.34</v>
      </c>
      <c r="BL1207" s="2">
        <v>7.3</v>
      </c>
      <c r="BM1207" s="2">
        <v>0.9</v>
      </c>
      <c r="BN1207" s="2">
        <v>7.5</v>
      </c>
      <c r="BO1207" s="2">
        <v>2.9</v>
      </c>
      <c r="BP1207" s="2">
        <f t="shared" si="36"/>
        <v>5.9715258682877383</v>
      </c>
      <c r="BQ1207" s="2">
        <f t="shared" si="37"/>
        <v>18.685132505689111</v>
      </c>
    </row>
    <row r="1208" spans="1:69" x14ac:dyDescent="0.2">
      <c r="A1208" s="2" t="s">
        <v>4354</v>
      </c>
      <c r="B1208" s="2" t="s">
        <v>47</v>
      </c>
      <c r="C1208" s="2" t="s">
        <v>3273</v>
      </c>
      <c r="D1208" s="2" t="s">
        <v>49</v>
      </c>
      <c r="E1208" s="2" t="s">
        <v>4355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89</v>
      </c>
      <c r="L1208" s="6" t="s">
        <v>90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4356</v>
      </c>
      <c r="R1208" s="2">
        <v>7333333.3329999996</v>
      </c>
      <c r="S1208" s="2">
        <v>0</v>
      </c>
      <c r="T1208" s="2" t="s">
        <v>54</v>
      </c>
      <c r="U1208" s="2" t="s">
        <v>55</v>
      </c>
      <c r="V1208" s="2" t="s">
        <v>56</v>
      </c>
      <c r="W1208" s="2" t="s">
        <v>57</v>
      </c>
      <c r="X1208" s="2" t="s">
        <v>58</v>
      </c>
      <c r="Y1208" s="2">
        <v>1.90288009435997</v>
      </c>
      <c r="Z1208" s="2">
        <v>1902.8800943599699</v>
      </c>
      <c r="AA1208" s="2">
        <v>4.6584666666666701</v>
      </c>
      <c r="AB1208" s="2">
        <v>-74.083966666666697</v>
      </c>
      <c r="AC1208" s="2">
        <v>2552</v>
      </c>
      <c r="AD1208" s="2">
        <v>0</v>
      </c>
      <c r="AE1208" s="2" t="s">
        <v>59</v>
      </c>
      <c r="AF1208" s="2" t="s">
        <v>60</v>
      </c>
      <c r="AG1208" s="2" t="s">
        <v>61</v>
      </c>
      <c r="AH1208" s="2" t="s">
        <v>62</v>
      </c>
      <c r="AI1208" s="2" t="s">
        <v>321</v>
      </c>
      <c r="AJ1208" s="2">
        <v>0.82730567763525797</v>
      </c>
      <c r="AK1208" s="2">
        <v>4.1603634542597803</v>
      </c>
      <c r="AL1208" s="2">
        <v>1.4336426087470699</v>
      </c>
      <c r="AM1208" s="2">
        <v>0.16715372192469299</v>
      </c>
      <c r="AN1208" s="2">
        <v>0.184664163074373</v>
      </c>
      <c r="AO1208" s="2">
        <v>8.1272822290410301E-2</v>
      </c>
      <c r="AP1208" s="2">
        <v>8.1272822290410301E-2</v>
      </c>
      <c r="AQ1208" s="2">
        <v>0</v>
      </c>
      <c r="AR1208" s="2">
        <v>2</v>
      </c>
      <c r="AS1208" s="2">
        <v>0</v>
      </c>
      <c r="AT1208" s="2">
        <v>0</v>
      </c>
      <c r="AU1208" s="2">
        <v>0</v>
      </c>
      <c r="AV1208" s="2">
        <v>15</v>
      </c>
      <c r="AW1208" s="2">
        <v>1</v>
      </c>
      <c r="AX1208" s="2">
        <v>0</v>
      </c>
      <c r="AZ1208" s="2">
        <v>6.8</v>
      </c>
      <c r="BA1208" s="2">
        <v>19.899999999999999</v>
      </c>
      <c r="BB1208" s="2">
        <v>564</v>
      </c>
      <c r="BC1208" s="2">
        <v>68</v>
      </c>
      <c r="BD1208" s="2">
        <v>1.5</v>
      </c>
      <c r="BE1208" s="2">
        <v>135</v>
      </c>
      <c r="BF1208" s="2">
        <v>0.8</v>
      </c>
      <c r="BG1208" s="2">
        <v>162</v>
      </c>
      <c r="BH1208" s="2">
        <v>9.1</v>
      </c>
      <c r="BI1208" s="2">
        <v>9.1999999999999993</v>
      </c>
      <c r="BJ1208" s="2">
        <v>18.3</v>
      </c>
      <c r="BK1208" s="2">
        <v>0.34</v>
      </c>
      <c r="BL1208" s="2">
        <v>7.3</v>
      </c>
      <c r="BM1208" s="2">
        <v>0.9</v>
      </c>
      <c r="BN1208" s="2">
        <v>7.5</v>
      </c>
      <c r="BO1208" s="2">
        <v>2.9</v>
      </c>
      <c r="BP1208" s="2">
        <f t="shared" si="36"/>
        <v>6.1887309375514379</v>
      </c>
      <c r="BQ1208" s="2">
        <f t="shared" si="37"/>
        <v>19.011624530283051</v>
      </c>
    </row>
    <row r="1209" spans="1:69" x14ac:dyDescent="0.2">
      <c r="A1209" s="2" t="s">
        <v>4558</v>
      </c>
      <c r="B1209" s="2" t="s">
        <v>47</v>
      </c>
      <c r="C1209" s="2" t="s">
        <v>3273</v>
      </c>
      <c r="D1209" s="2" t="s">
        <v>49</v>
      </c>
      <c r="E1209" s="2" t="s">
        <v>3897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89</v>
      </c>
      <c r="L1209" s="6" t="s">
        <v>141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4559</v>
      </c>
      <c r="R1209" s="2">
        <v>8955223.8809999991</v>
      </c>
      <c r="S1209" s="2">
        <v>0</v>
      </c>
      <c r="T1209" s="2" t="s">
        <v>54</v>
      </c>
      <c r="U1209" s="2" t="s">
        <v>55</v>
      </c>
      <c r="V1209" s="2" t="s">
        <v>56</v>
      </c>
      <c r="W1209" s="2" t="s">
        <v>57</v>
      </c>
      <c r="X1209" s="2" t="s">
        <v>58</v>
      </c>
      <c r="Y1209" s="2">
        <v>1.85769002628036</v>
      </c>
      <c r="Z1209" s="2">
        <v>1857.6900262803599</v>
      </c>
      <c r="AA1209" s="2">
        <v>4.6584666666666701</v>
      </c>
      <c r="AB1209" s="2">
        <v>-74.083966666666697</v>
      </c>
      <c r="AC1209" s="2">
        <v>2552</v>
      </c>
      <c r="AD1209" s="2">
        <v>0</v>
      </c>
      <c r="AE1209" s="2" t="s">
        <v>59</v>
      </c>
      <c r="AF1209" s="2" t="s">
        <v>60</v>
      </c>
      <c r="AG1209" s="2" t="s">
        <v>61</v>
      </c>
      <c r="AH1209" s="2" t="s">
        <v>62</v>
      </c>
      <c r="AI1209" s="2" t="s">
        <v>63</v>
      </c>
      <c r="AJ1209" s="2">
        <v>0.35703850497298001</v>
      </c>
      <c r="AK1209" s="2">
        <v>2.05453812574887</v>
      </c>
      <c r="AL1209" s="2">
        <v>0.45553833342630601</v>
      </c>
      <c r="AM1209" s="2">
        <v>4.7928314638535599E-2</v>
      </c>
      <c r="AN1209" s="2">
        <v>1.95533872860935</v>
      </c>
      <c r="AO1209" s="2">
        <v>0.70500320790027804</v>
      </c>
      <c r="AP1209" s="2">
        <v>0.70500320790027804</v>
      </c>
      <c r="AQ1209" s="2">
        <v>1</v>
      </c>
      <c r="AR1209" s="2">
        <v>3</v>
      </c>
      <c r="AS1209" s="2">
        <v>0</v>
      </c>
      <c r="AT1209" s="2">
        <v>0</v>
      </c>
      <c r="AU1209" s="2">
        <v>6</v>
      </c>
      <c r="AV1209" s="2">
        <v>92</v>
      </c>
      <c r="AW1209" s="2">
        <v>0</v>
      </c>
      <c r="AX1209" s="2">
        <v>0</v>
      </c>
      <c r="AZ1209" s="2">
        <v>6.8</v>
      </c>
      <c r="BA1209" s="2">
        <v>19.899999999999999</v>
      </c>
      <c r="BB1209" s="2">
        <v>564</v>
      </c>
      <c r="BC1209" s="2">
        <v>68</v>
      </c>
      <c r="BD1209" s="2">
        <v>1.5</v>
      </c>
      <c r="BE1209" s="2">
        <v>135</v>
      </c>
      <c r="BF1209" s="2">
        <v>0.8</v>
      </c>
      <c r="BG1209" s="2">
        <v>162</v>
      </c>
      <c r="BH1209" s="2">
        <v>9.1</v>
      </c>
      <c r="BI1209" s="2">
        <v>9.1999999999999993</v>
      </c>
      <c r="BJ1209" s="2">
        <v>18.3</v>
      </c>
      <c r="BK1209" s="2">
        <v>0.34</v>
      </c>
      <c r="BL1209" s="2">
        <v>7.3</v>
      </c>
      <c r="BM1209" s="2">
        <v>0.9</v>
      </c>
      <c r="BN1209" s="2">
        <v>7.5</v>
      </c>
      <c r="BO1209" s="2">
        <v>2.9</v>
      </c>
      <c r="BP1209" s="2">
        <f t="shared" si="36"/>
        <v>6.2025900565956782</v>
      </c>
      <c r="BQ1209" s="2">
        <f t="shared" si="37"/>
        <v>19.032254994329552</v>
      </c>
    </row>
    <row r="1210" spans="1:69" x14ac:dyDescent="0.2">
      <c r="A1210" s="2" t="s">
        <v>3766</v>
      </c>
      <c r="B1210" s="2" t="s">
        <v>47</v>
      </c>
      <c r="C1210" s="2" t="s">
        <v>3273</v>
      </c>
      <c r="D1210" s="2" t="s">
        <v>49</v>
      </c>
      <c r="E1210" s="2" t="s">
        <v>3538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89</v>
      </c>
      <c r="L1210" s="6" t="s">
        <v>90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3767</v>
      </c>
      <c r="R1210" s="2">
        <v>15037593.98</v>
      </c>
      <c r="S1210" s="2">
        <v>0</v>
      </c>
      <c r="T1210" s="2" t="s">
        <v>105</v>
      </c>
      <c r="U1210" s="2" t="s">
        <v>106</v>
      </c>
      <c r="V1210" s="2" t="s">
        <v>56</v>
      </c>
      <c r="W1210" s="2" t="s">
        <v>107</v>
      </c>
      <c r="X1210" s="2" t="s">
        <v>108</v>
      </c>
      <c r="Y1210" s="2">
        <v>1.0350483678901501</v>
      </c>
      <c r="Z1210" s="2">
        <v>1035.0483678901501</v>
      </c>
      <c r="AA1210" s="2">
        <v>4.6254861111111101</v>
      </c>
      <c r="AB1210" s="2">
        <v>-74.066980555555503</v>
      </c>
      <c r="AC1210" s="2">
        <v>2621</v>
      </c>
      <c r="AD1210" s="2">
        <v>15</v>
      </c>
      <c r="AE1210" s="2" t="s">
        <v>59</v>
      </c>
      <c r="AF1210" s="2" t="s">
        <v>60</v>
      </c>
      <c r="AG1210" s="2" t="s">
        <v>61</v>
      </c>
      <c r="AH1210" s="2" t="s">
        <v>62</v>
      </c>
      <c r="AI1210" s="2" t="s">
        <v>63</v>
      </c>
      <c r="AJ1210" s="2">
        <v>0.10683676434970001</v>
      </c>
      <c r="AK1210" s="2">
        <v>0.946029473851972</v>
      </c>
      <c r="AL1210" s="2">
        <v>0.375050983051466</v>
      </c>
      <c r="AM1210" s="2">
        <v>9.6961456818564204E-2</v>
      </c>
      <c r="AN1210" s="2">
        <v>0.66328270760684704</v>
      </c>
      <c r="AO1210" s="2">
        <v>0.32144997734523201</v>
      </c>
      <c r="AP1210" s="2">
        <v>0.32144997734523201</v>
      </c>
      <c r="AQ1210" s="2">
        <v>2</v>
      </c>
      <c r="AR1210" s="2">
        <v>7</v>
      </c>
      <c r="AS1210" s="2">
        <v>0</v>
      </c>
      <c r="AT1210" s="2">
        <v>1</v>
      </c>
      <c r="AU1210" s="2">
        <v>13</v>
      </c>
      <c r="AV1210" s="2">
        <v>71</v>
      </c>
      <c r="AW1210" s="2">
        <v>1</v>
      </c>
      <c r="AX1210" s="2">
        <v>3</v>
      </c>
      <c r="AZ1210" s="2">
        <v>6.8</v>
      </c>
      <c r="BA1210" s="2">
        <v>19.899999999999999</v>
      </c>
      <c r="BB1210" s="2">
        <v>564</v>
      </c>
      <c r="BC1210" s="2">
        <v>68</v>
      </c>
      <c r="BD1210" s="2">
        <v>1.5</v>
      </c>
      <c r="BE1210" s="2">
        <v>135</v>
      </c>
      <c r="BF1210" s="2">
        <v>0.8</v>
      </c>
      <c r="BG1210" s="2">
        <v>162</v>
      </c>
      <c r="BH1210" s="2">
        <v>9.1</v>
      </c>
      <c r="BI1210" s="2">
        <v>9.1999999999999993</v>
      </c>
      <c r="BJ1210" s="2">
        <v>18.3</v>
      </c>
      <c r="BK1210" s="2">
        <v>0.34</v>
      </c>
      <c r="BL1210" s="2">
        <v>7.3</v>
      </c>
      <c r="BM1210" s="2">
        <v>0.9</v>
      </c>
      <c r="BN1210" s="2">
        <v>7.5</v>
      </c>
      <c r="BO1210" s="2">
        <v>2.9</v>
      </c>
      <c r="BP1210" s="2">
        <f t="shared" si="36"/>
        <v>6.4603772761597336</v>
      </c>
      <c r="BQ1210" s="2">
        <f t="shared" si="37"/>
        <v>19.411750350825024</v>
      </c>
    </row>
    <row r="1211" spans="1:69" x14ac:dyDescent="0.2">
      <c r="A1211" s="2" t="s">
        <v>3601</v>
      </c>
      <c r="B1211" s="2" t="s">
        <v>47</v>
      </c>
      <c r="C1211" s="2" t="s">
        <v>3273</v>
      </c>
      <c r="D1211" s="2" t="s">
        <v>49</v>
      </c>
      <c r="E1211" s="2" t="s">
        <v>102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89</v>
      </c>
      <c r="L1211" s="6" t="s">
        <v>90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3602</v>
      </c>
      <c r="R1211" s="2">
        <v>11039208.220000001</v>
      </c>
      <c r="S1211" s="2">
        <v>0</v>
      </c>
      <c r="T1211" s="2" t="s">
        <v>105</v>
      </c>
      <c r="U1211" s="2" t="s">
        <v>106</v>
      </c>
      <c r="V1211" s="2" t="s">
        <v>56</v>
      </c>
      <c r="W1211" s="2" t="s">
        <v>107</v>
      </c>
      <c r="X1211" s="2" t="s">
        <v>108</v>
      </c>
      <c r="Y1211" s="2">
        <v>2.0684518483558998</v>
      </c>
      <c r="Z1211" s="2">
        <v>2068.4518483559</v>
      </c>
      <c r="AA1211" s="2">
        <v>4.6254861111111101</v>
      </c>
      <c r="AB1211" s="2">
        <v>-74.066980555555503</v>
      </c>
      <c r="AC1211" s="2">
        <v>2621</v>
      </c>
      <c r="AD1211" s="2">
        <v>15</v>
      </c>
      <c r="AE1211" s="2" t="s">
        <v>59</v>
      </c>
      <c r="AF1211" s="2" t="s">
        <v>60</v>
      </c>
      <c r="AG1211" s="2" t="s">
        <v>61</v>
      </c>
      <c r="AH1211" s="2" t="s">
        <v>62</v>
      </c>
      <c r="AI1211" s="2" t="s">
        <v>109</v>
      </c>
      <c r="AJ1211" s="2">
        <v>0.33530205799346802</v>
      </c>
      <c r="AK1211" s="2">
        <v>0.662089042632513</v>
      </c>
      <c r="AL1211" s="2">
        <v>0.33522814157397501</v>
      </c>
      <c r="AM1211" s="2">
        <v>0.14840382070050101</v>
      </c>
      <c r="AN1211" s="2">
        <v>0.54357095421907098</v>
      </c>
      <c r="AO1211" s="2">
        <v>0.33356605628388297</v>
      </c>
      <c r="AP1211" s="2">
        <v>0.33356605628388297</v>
      </c>
      <c r="AQ1211" s="2">
        <v>1</v>
      </c>
      <c r="AR1211" s="2">
        <v>4</v>
      </c>
      <c r="AS1211" s="2">
        <v>0</v>
      </c>
      <c r="AT1211" s="2">
        <v>14</v>
      </c>
      <c r="AU1211" s="2">
        <v>12</v>
      </c>
      <c r="AV1211" s="2">
        <v>141</v>
      </c>
      <c r="AW1211" s="2">
        <v>1</v>
      </c>
      <c r="AX1211" s="2">
        <v>0</v>
      </c>
      <c r="AZ1211" s="2">
        <v>6.8</v>
      </c>
      <c r="BA1211" s="2">
        <v>19.899999999999999</v>
      </c>
      <c r="BB1211" s="2">
        <v>564</v>
      </c>
      <c r="BC1211" s="2">
        <v>68</v>
      </c>
      <c r="BD1211" s="2">
        <v>1.5</v>
      </c>
      <c r="BE1211" s="2">
        <v>135</v>
      </c>
      <c r="BF1211" s="2">
        <v>0.8</v>
      </c>
      <c r="BG1211" s="2">
        <v>162</v>
      </c>
      <c r="BH1211" s="2">
        <v>9.1</v>
      </c>
      <c r="BI1211" s="2">
        <v>9.1999999999999993</v>
      </c>
      <c r="BJ1211" s="2">
        <v>18.3</v>
      </c>
      <c r="BK1211" s="2">
        <v>0.34</v>
      </c>
      <c r="BL1211" s="2">
        <v>7.3</v>
      </c>
      <c r="BM1211" s="2">
        <v>0.9</v>
      </c>
      <c r="BN1211" s="2">
        <v>7.5</v>
      </c>
      <c r="BO1211" s="2">
        <v>2.9</v>
      </c>
      <c r="BP1211" s="2">
        <f t="shared" si="36"/>
        <v>6.1382166107171594</v>
      </c>
      <c r="BQ1211" s="2">
        <f t="shared" si="37"/>
        <v>18.936227520402941</v>
      </c>
    </row>
    <row r="1212" spans="1:69" x14ac:dyDescent="0.2">
      <c r="A1212" s="2" t="s">
        <v>4089</v>
      </c>
      <c r="B1212" s="2" t="s">
        <v>47</v>
      </c>
      <c r="C1212" s="2" t="s">
        <v>3273</v>
      </c>
      <c r="D1212" s="2" t="s">
        <v>49</v>
      </c>
      <c r="E1212" s="2" t="s">
        <v>383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89</v>
      </c>
      <c r="L1212" s="6" t="s">
        <v>90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4090</v>
      </c>
      <c r="R1212" s="2">
        <v>18076923.079999998</v>
      </c>
      <c r="S1212" s="2">
        <v>0</v>
      </c>
      <c r="T1212" s="2" t="s">
        <v>54</v>
      </c>
      <c r="U1212" s="2" t="s">
        <v>55</v>
      </c>
      <c r="V1212" s="2" t="s">
        <v>56</v>
      </c>
      <c r="W1212" s="2" t="s">
        <v>57</v>
      </c>
      <c r="X1212" s="2" t="s">
        <v>58</v>
      </c>
      <c r="Y1212" s="2">
        <v>3.3619179468485099</v>
      </c>
      <c r="Z1212" s="2">
        <v>3361.9179468485099</v>
      </c>
      <c r="AA1212" s="2">
        <v>4.6584666666666701</v>
      </c>
      <c r="AB1212" s="2">
        <v>-74.083966666666697</v>
      </c>
      <c r="AC1212" s="2">
        <v>2552</v>
      </c>
      <c r="AD1212" s="2">
        <v>0</v>
      </c>
      <c r="AE1212" s="2" t="s">
        <v>59</v>
      </c>
      <c r="AF1212" s="2" t="s">
        <v>60</v>
      </c>
      <c r="AG1212" s="2" t="s">
        <v>61</v>
      </c>
      <c r="AH1212" s="2" t="s">
        <v>62</v>
      </c>
      <c r="AI1212" s="2" t="s">
        <v>109</v>
      </c>
      <c r="AJ1212" s="2">
        <v>0.356246175288847</v>
      </c>
      <c r="AK1212" s="2">
        <v>1.4655885442219101</v>
      </c>
      <c r="AL1212" s="2">
        <v>0.44132073827891299</v>
      </c>
      <c r="AM1212" s="2">
        <v>3.84293402236459E-2</v>
      </c>
      <c r="AN1212" s="2">
        <v>2.8172518378374001</v>
      </c>
      <c r="AO1212" s="2">
        <v>0.84417667437911703</v>
      </c>
      <c r="AP1212" s="2">
        <v>0.84417667437911703</v>
      </c>
      <c r="AQ1212" s="2">
        <v>1</v>
      </c>
      <c r="AR1212" s="2">
        <v>5</v>
      </c>
      <c r="AS1212" s="2">
        <v>0</v>
      </c>
      <c r="AT1212" s="2">
        <v>0</v>
      </c>
      <c r="AU1212" s="2">
        <v>7</v>
      </c>
      <c r="AV1212" s="2">
        <v>285</v>
      </c>
      <c r="AW1212" s="2">
        <v>0</v>
      </c>
      <c r="AX1212" s="2">
        <v>0</v>
      </c>
      <c r="AZ1212" s="2">
        <v>6.8</v>
      </c>
      <c r="BA1212" s="2">
        <v>19.899999999999999</v>
      </c>
      <c r="BB1212" s="2">
        <v>564</v>
      </c>
      <c r="BC1212" s="2">
        <v>68</v>
      </c>
      <c r="BD1212" s="2">
        <v>1.5</v>
      </c>
      <c r="BE1212" s="2">
        <v>135</v>
      </c>
      <c r="BF1212" s="2">
        <v>0.8</v>
      </c>
      <c r="BG1212" s="2">
        <v>162</v>
      </c>
      <c r="BH1212" s="2">
        <v>9.1</v>
      </c>
      <c r="BI1212" s="2">
        <v>9.1999999999999993</v>
      </c>
      <c r="BJ1212" s="2">
        <v>18.3</v>
      </c>
      <c r="BK1212" s="2">
        <v>0.34</v>
      </c>
      <c r="BL1212" s="2">
        <v>7.3</v>
      </c>
      <c r="BM1212" s="2">
        <v>0.9</v>
      </c>
      <c r="BN1212" s="2">
        <v>7.5</v>
      </c>
      <c r="BO1212" s="2">
        <v>2.9</v>
      </c>
      <c r="BP1212" s="2">
        <f t="shared" si="36"/>
        <v>5.7575248787890549</v>
      </c>
      <c r="BQ1212" s="2">
        <f t="shared" si="37"/>
        <v>18.35741722002264</v>
      </c>
    </row>
    <row r="1213" spans="1:69" x14ac:dyDescent="0.2">
      <c r="A1213" s="2" t="s">
        <v>4191</v>
      </c>
      <c r="B1213" s="2" t="s">
        <v>47</v>
      </c>
      <c r="C1213" s="2" t="s">
        <v>3273</v>
      </c>
      <c r="D1213" s="2" t="s">
        <v>49</v>
      </c>
      <c r="E1213" s="2" t="s">
        <v>3465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89</v>
      </c>
      <c r="L1213" s="6" t="s">
        <v>90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4192</v>
      </c>
      <c r="R1213" s="2">
        <v>14038461.539999999</v>
      </c>
      <c r="S1213" s="2">
        <v>0</v>
      </c>
      <c r="T1213" s="2" t="s">
        <v>105</v>
      </c>
      <c r="U1213" s="2" t="s">
        <v>106</v>
      </c>
      <c r="V1213" s="2" t="s">
        <v>56</v>
      </c>
      <c r="W1213" s="2" t="s">
        <v>107</v>
      </c>
      <c r="X1213" s="2" t="s">
        <v>108</v>
      </c>
      <c r="Y1213" s="2">
        <v>2.1245171124844502</v>
      </c>
      <c r="Z1213" s="2">
        <v>2124.5171124844501</v>
      </c>
      <c r="AA1213" s="2">
        <v>4.6254861111111101</v>
      </c>
      <c r="AB1213" s="2">
        <v>-74.066980555555503</v>
      </c>
      <c r="AC1213" s="2">
        <v>2621</v>
      </c>
      <c r="AD1213" s="2">
        <v>15</v>
      </c>
      <c r="AE1213" s="2" t="s">
        <v>59</v>
      </c>
      <c r="AF1213" s="2" t="s">
        <v>60</v>
      </c>
      <c r="AG1213" s="2" t="s">
        <v>61</v>
      </c>
      <c r="AH1213" s="2" t="s">
        <v>62</v>
      </c>
      <c r="AI1213" s="2" t="s">
        <v>63</v>
      </c>
      <c r="AJ1213" s="2">
        <v>0.36035865627563901</v>
      </c>
      <c r="AK1213" s="2">
        <v>2.7637126742206899</v>
      </c>
      <c r="AL1213" s="2">
        <v>0.685125481214933</v>
      </c>
      <c r="AM1213" s="2">
        <v>0.267194372774544</v>
      </c>
      <c r="AN1213" s="2">
        <v>2.1354241146323498</v>
      </c>
      <c r="AO1213" s="2">
        <v>3.09214848177491E-2</v>
      </c>
      <c r="AP1213" s="2">
        <v>3.09214848177491E-2</v>
      </c>
      <c r="AQ1213" s="2">
        <v>1</v>
      </c>
      <c r="AR1213" s="2">
        <v>5</v>
      </c>
      <c r="AS1213" s="2">
        <v>0</v>
      </c>
      <c r="AT1213" s="2">
        <v>0</v>
      </c>
      <c r="AU1213" s="2">
        <v>2</v>
      </c>
      <c r="AV1213" s="2">
        <v>27</v>
      </c>
      <c r="AW1213" s="2">
        <v>0</v>
      </c>
      <c r="AX1213" s="2">
        <v>0</v>
      </c>
      <c r="AZ1213" s="2">
        <v>6.8</v>
      </c>
      <c r="BA1213" s="2">
        <v>19.899999999999999</v>
      </c>
      <c r="BB1213" s="2">
        <v>564</v>
      </c>
      <c r="BC1213" s="2">
        <v>68</v>
      </c>
      <c r="BD1213" s="2">
        <v>1.5</v>
      </c>
      <c r="BE1213" s="2">
        <v>135</v>
      </c>
      <c r="BF1213" s="2">
        <v>0.8</v>
      </c>
      <c r="BG1213" s="2">
        <v>162</v>
      </c>
      <c r="BH1213" s="2">
        <v>9.1</v>
      </c>
      <c r="BI1213" s="2">
        <v>9.1999999999999993</v>
      </c>
      <c r="BJ1213" s="2">
        <v>18.3</v>
      </c>
      <c r="BK1213" s="2">
        <v>0.34</v>
      </c>
      <c r="BL1213" s="2">
        <v>7.3</v>
      </c>
      <c r="BM1213" s="2">
        <v>0.9</v>
      </c>
      <c r="BN1213" s="2">
        <v>7.5</v>
      </c>
      <c r="BO1213" s="2">
        <v>2.9</v>
      </c>
      <c r="BP1213" s="2">
        <f t="shared" si="36"/>
        <v>6.1212052604350555</v>
      </c>
      <c r="BQ1213" s="2">
        <f t="shared" si="37"/>
        <v>18.91076470485778</v>
      </c>
    </row>
    <row r="1214" spans="1:69" x14ac:dyDescent="0.2">
      <c r="A1214" s="2" t="s">
        <v>3644</v>
      </c>
      <c r="B1214" s="2" t="s">
        <v>47</v>
      </c>
      <c r="C1214" s="2" t="s">
        <v>3273</v>
      </c>
      <c r="D1214" s="2" t="s">
        <v>49</v>
      </c>
      <c r="E1214" s="2" t="s">
        <v>63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89</v>
      </c>
      <c r="L1214" s="6" t="s">
        <v>90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3645</v>
      </c>
      <c r="R1214" s="2">
        <v>14038461.539999999</v>
      </c>
      <c r="S1214" s="2">
        <v>0</v>
      </c>
      <c r="T1214" s="2" t="s">
        <v>105</v>
      </c>
      <c r="U1214" s="2" t="s">
        <v>106</v>
      </c>
      <c r="V1214" s="2" t="s">
        <v>56</v>
      </c>
      <c r="W1214" s="2" t="s">
        <v>107</v>
      </c>
      <c r="X1214" s="2" t="s">
        <v>108</v>
      </c>
      <c r="Y1214" s="2">
        <v>2.1244830723541299</v>
      </c>
      <c r="Z1214" s="2">
        <v>2124.4830723541299</v>
      </c>
      <c r="AA1214" s="2">
        <v>4.6254861111111101</v>
      </c>
      <c r="AB1214" s="2">
        <v>-74.066980555555503</v>
      </c>
      <c r="AC1214" s="2">
        <v>2621</v>
      </c>
      <c r="AD1214" s="2">
        <v>15</v>
      </c>
      <c r="AE1214" s="2" t="s">
        <v>59</v>
      </c>
      <c r="AF1214" s="2" t="s">
        <v>60</v>
      </c>
      <c r="AG1214" s="2" t="s">
        <v>61</v>
      </c>
      <c r="AH1214" s="2" t="s">
        <v>62</v>
      </c>
      <c r="AI1214" s="2" t="s">
        <v>63</v>
      </c>
      <c r="AJ1214" s="2">
        <v>0.36031815609449702</v>
      </c>
      <c r="AK1214" s="2">
        <v>2.7636747069971102</v>
      </c>
      <c r="AL1214" s="2">
        <v>0.68508382233137</v>
      </c>
      <c r="AM1214" s="2">
        <v>0.26717786838521002</v>
      </c>
      <c r="AN1214" s="2">
        <v>2.1353875826469602</v>
      </c>
      <c r="AO1214" s="2">
        <v>3.0917512207096199E-2</v>
      </c>
      <c r="AP1214" s="2">
        <v>3.0917512207096199E-2</v>
      </c>
      <c r="AQ1214" s="2">
        <v>1</v>
      </c>
      <c r="AR1214" s="2">
        <v>5</v>
      </c>
      <c r="AS1214" s="2">
        <v>0</v>
      </c>
      <c r="AT1214" s="2">
        <v>0</v>
      </c>
      <c r="AU1214" s="2">
        <v>2</v>
      </c>
      <c r="AV1214" s="2">
        <v>27</v>
      </c>
      <c r="AW1214" s="2">
        <v>0</v>
      </c>
      <c r="AX1214" s="2">
        <v>0</v>
      </c>
      <c r="AZ1214" s="2">
        <v>6.8</v>
      </c>
      <c r="BA1214" s="2">
        <v>19.899999999999999</v>
      </c>
      <c r="BB1214" s="2">
        <v>564</v>
      </c>
      <c r="BC1214" s="2">
        <v>68</v>
      </c>
      <c r="BD1214" s="2">
        <v>1.5</v>
      </c>
      <c r="BE1214" s="2">
        <v>135</v>
      </c>
      <c r="BF1214" s="2">
        <v>0.8</v>
      </c>
      <c r="BG1214" s="2">
        <v>162</v>
      </c>
      <c r="BH1214" s="2">
        <v>9.1</v>
      </c>
      <c r="BI1214" s="2">
        <v>9.1999999999999993</v>
      </c>
      <c r="BJ1214" s="2">
        <v>18.3</v>
      </c>
      <c r="BK1214" s="2">
        <v>0.34</v>
      </c>
      <c r="BL1214" s="2">
        <v>7.3</v>
      </c>
      <c r="BM1214" s="2">
        <v>0.9</v>
      </c>
      <c r="BN1214" s="2">
        <v>7.5</v>
      </c>
      <c r="BO1214" s="2">
        <v>2.9</v>
      </c>
      <c r="BP1214" s="2">
        <f t="shared" si="36"/>
        <v>6.1212155745916723</v>
      </c>
      <c r="BQ1214" s="2">
        <f t="shared" si="37"/>
        <v>18.910780154261573</v>
      </c>
    </row>
    <row r="1215" spans="1:69" x14ac:dyDescent="0.2">
      <c r="A1215" s="2" t="s">
        <v>3984</v>
      </c>
      <c r="B1215" s="2" t="s">
        <v>47</v>
      </c>
      <c r="C1215" s="2" t="s">
        <v>3273</v>
      </c>
      <c r="D1215" s="2" t="s">
        <v>49</v>
      </c>
      <c r="E1215" s="2" t="s">
        <v>663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89</v>
      </c>
      <c r="L1215" s="6" t="s">
        <v>90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3985</v>
      </c>
      <c r="R1215" s="2">
        <v>13076923.08</v>
      </c>
      <c r="S1215" s="2">
        <v>0</v>
      </c>
      <c r="T1215" s="2" t="s">
        <v>54</v>
      </c>
      <c r="U1215" s="2" t="s">
        <v>55</v>
      </c>
      <c r="V1215" s="2" t="s">
        <v>56</v>
      </c>
      <c r="W1215" s="2" t="s">
        <v>57</v>
      </c>
      <c r="X1215" s="2" t="s">
        <v>58</v>
      </c>
      <c r="Y1215" s="2">
        <v>3.52637027985087</v>
      </c>
      <c r="Z1215" s="2">
        <v>3526.3702798508698</v>
      </c>
      <c r="AA1215" s="2">
        <v>4.6584666666666701</v>
      </c>
      <c r="AB1215" s="2">
        <v>-74.083966666666697</v>
      </c>
      <c r="AC1215" s="2">
        <v>2552</v>
      </c>
      <c r="AD1215" s="2">
        <v>0</v>
      </c>
      <c r="AE1215" s="2" t="s">
        <v>59</v>
      </c>
      <c r="AF1215" s="2" t="s">
        <v>60</v>
      </c>
      <c r="AG1215" s="2" t="s">
        <v>61</v>
      </c>
      <c r="AH1215" s="2" t="s">
        <v>62</v>
      </c>
      <c r="AI1215" s="2" t="s">
        <v>321</v>
      </c>
      <c r="AJ1215" s="2">
        <v>0.38305319544269301</v>
      </c>
      <c r="AK1215" s="2">
        <v>2.4369043302477298</v>
      </c>
      <c r="AL1215" s="2">
        <v>0.18021716224250001</v>
      </c>
      <c r="AM1215" s="2">
        <v>4.3686383777035598E-2</v>
      </c>
      <c r="AN1215" s="2">
        <v>2.39670484363169</v>
      </c>
      <c r="AO1215" s="2">
        <v>1.7184752842940799E-3</v>
      </c>
      <c r="AP1215" s="2">
        <v>1.7184752842940799E-3</v>
      </c>
      <c r="AQ1215" s="2">
        <v>2</v>
      </c>
      <c r="AR1215" s="2">
        <v>8</v>
      </c>
      <c r="AS1215" s="2">
        <v>0</v>
      </c>
      <c r="AT1215" s="2">
        <v>0</v>
      </c>
      <c r="AU1215" s="2">
        <v>1</v>
      </c>
      <c r="AV1215" s="2">
        <v>182</v>
      </c>
      <c r="AW1215" s="2">
        <v>0</v>
      </c>
      <c r="AX1215" s="2">
        <v>0</v>
      </c>
      <c r="AZ1215" s="2">
        <v>6.8</v>
      </c>
      <c r="BA1215" s="2">
        <v>19.899999999999999</v>
      </c>
      <c r="BB1215" s="2">
        <v>564</v>
      </c>
      <c r="BC1215" s="2">
        <v>68</v>
      </c>
      <c r="BD1215" s="2">
        <v>1.5</v>
      </c>
      <c r="BE1215" s="2">
        <v>135</v>
      </c>
      <c r="BF1215" s="2">
        <v>0.8</v>
      </c>
      <c r="BG1215" s="2">
        <v>162</v>
      </c>
      <c r="BH1215" s="2">
        <v>9.1</v>
      </c>
      <c r="BI1215" s="2">
        <v>9.1999999999999993</v>
      </c>
      <c r="BJ1215" s="2">
        <v>18.3</v>
      </c>
      <c r="BK1215" s="2">
        <v>0.34</v>
      </c>
      <c r="BL1215" s="2">
        <v>7.3</v>
      </c>
      <c r="BM1215" s="2">
        <v>0.9</v>
      </c>
      <c r="BN1215" s="2">
        <v>7.5</v>
      </c>
      <c r="BO1215" s="2">
        <v>2.9</v>
      </c>
      <c r="BP1215" s="2">
        <f t="shared" si="36"/>
        <v>5.7108466254259511</v>
      </c>
      <c r="BQ1215" s="2">
        <f t="shared" si="37"/>
        <v>18.285105932857732</v>
      </c>
    </row>
    <row r="1216" spans="1:69" x14ac:dyDescent="0.2">
      <c r="A1216" s="2" t="s">
        <v>1095</v>
      </c>
      <c r="B1216" s="2" t="s">
        <v>47</v>
      </c>
      <c r="C1216" s="2" t="s">
        <v>48</v>
      </c>
      <c r="D1216" s="2" t="s">
        <v>49</v>
      </c>
      <c r="E1216" s="2" t="s">
        <v>1096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89</v>
      </c>
      <c r="L1216" s="6" t="s">
        <v>90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1097</v>
      </c>
      <c r="R1216" s="2">
        <v>11884615.380000001</v>
      </c>
      <c r="S1216" s="2">
        <v>0</v>
      </c>
      <c r="T1216" s="2" t="s">
        <v>54</v>
      </c>
      <c r="U1216" s="2" t="s">
        <v>55</v>
      </c>
      <c r="V1216" s="2" t="s">
        <v>56</v>
      </c>
      <c r="W1216" s="2" t="s">
        <v>57</v>
      </c>
      <c r="X1216" s="2" t="s">
        <v>58</v>
      </c>
      <c r="Y1216" s="2">
        <v>1.14211859300779</v>
      </c>
      <c r="Z1216" s="2">
        <v>1142.11859300779</v>
      </c>
      <c r="AA1216" s="2">
        <v>4.6584666666666701</v>
      </c>
      <c r="AB1216" s="2">
        <v>-74.083966666666697</v>
      </c>
      <c r="AC1216" s="2">
        <v>2552</v>
      </c>
      <c r="AD1216" s="2">
        <v>0</v>
      </c>
      <c r="AE1216" s="2" t="s">
        <v>59</v>
      </c>
      <c r="AF1216" s="2" t="s">
        <v>60</v>
      </c>
      <c r="AG1216" s="2" t="s">
        <v>61</v>
      </c>
      <c r="AH1216" s="2" t="s">
        <v>62</v>
      </c>
      <c r="AI1216" s="2" t="s">
        <v>321</v>
      </c>
      <c r="AJ1216" s="2">
        <v>1.1161159963620999</v>
      </c>
      <c r="AK1216" s="2">
        <v>4.2634285887281598</v>
      </c>
      <c r="AL1216" s="2">
        <v>2.0753380285105099</v>
      </c>
      <c r="AM1216" s="2">
        <v>0.10233111284253001</v>
      </c>
      <c r="AN1216" s="2">
        <v>0.62731643505730805</v>
      </c>
      <c r="AO1216" s="2">
        <v>0.22177523993720399</v>
      </c>
      <c r="AP1216" s="2">
        <v>0.22177523993720399</v>
      </c>
      <c r="AQ1216" s="2">
        <v>0</v>
      </c>
      <c r="AR1216" s="2">
        <v>0</v>
      </c>
      <c r="AS1216" s="2">
        <v>0</v>
      </c>
      <c r="AT1216" s="2">
        <v>0</v>
      </c>
      <c r="AU1216" s="2">
        <v>0</v>
      </c>
      <c r="AV1216" s="2">
        <v>19</v>
      </c>
      <c r="AW1216" s="2">
        <v>1</v>
      </c>
      <c r="AX1216" s="2">
        <v>0</v>
      </c>
      <c r="AZ1216" s="2">
        <v>6.8</v>
      </c>
      <c r="BA1216" s="2">
        <v>19.899999999999999</v>
      </c>
      <c r="BB1216" s="2">
        <v>564</v>
      </c>
      <c r="BC1216" s="2">
        <v>68</v>
      </c>
      <c r="BD1216" s="2">
        <v>1.5</v>
      </c>
      <c r="BE1216" s="2">
        <v>135</v>
      </c>
      <c r="BF1216" s="2">
        <v>0.8</v>
      </c>
      <c r="BG1216" s="2">
        <v>162</v>
      </c>
      <c r="BH1216" s="2">
        <v>9.1</v>
      </c>
      <c r="BI1216" s="2">
        <v>9.1999999999999993</v>
      </c>
      <c r="BJ1216" s="2">
        <v>18.3</v>
      </c>
      <c r="BK1216" s="2">
        <v>0.34</v>
      </c>
      <c r="BL1216" s="2">
        <v>7.3</v>
      </c>
      <c r="BM1216" s="2">
        <v>0.9</v>
      </c>
      <c r="BN1216" s="2">
        <v>7.5</v>
      </c>
      <c r="BO1216" s="2">
        <v>2.9</v>
      </c>
      <c r="BP1216" s="2">
        <f t="shared" si="36"/>
        <v>6.4262280058152808</v>
      </c>
      <c r="BQ1216" s="2">
        <f t="shared" si="37"/>
        <v>19.361932295084131</v>
      </c>
    </row>
    <row r="1217" spans="1:69" x14ac:dyDescent="0.2">
      <c r="A1217" s="2" t="s">
        <v>4042</v>
      </c>
      <c r="B1217" s="2" t="s">
        <v>47</v>
      </c>
      <c r="C1217" s="2" t="s">
        <v>3273</v>
      </c>
      <c r="D1217" s="2" t="s">
        <v>49</v>
      </c>
      <c r="E1217" s="2" t="s">
        <v>102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89</v>
      </c>
      <c r="L1217" s="6" t="s">
        <v>90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4043</v>
      </c>
      <c r="R1217" s="2">
        <v>11538461.539999999</v>
      </c>
      <c r="S1217" s="2">
        <v>0</v>
      </c>
      <c r="T1217" s="2" t="s">
        <v>105</v>
      </c>
      <c r="U1217" s="2" t="s">
        <v>106</v>
      </c>
      <c r="V1217" s="2" t="s">
        <v>56</v>
      </c>
      <c r="W1217" s="2" t="s">
        <v>107</v>
      </c>
      <c r="X1217" s="2" t="s">
        <v>108</v>
      </c>
      <c r="Y1217" s="2">
        <v>1.9235376779331499</v>
      </c>
      <c r="Z1217" s="2">
        <v>1923.53767793315</v>
      </c>
      <c r="AA1217" s="2">
        <v>4.6254861111111101</v>
      </c>
      <c r="AB1217" s="2">
        <v>-74.066980555555503</v>
      </c>
      <c r="AC1217" s="2">
        <v>2621</v>
      </c>
      <c r="AD1217" s="2">
        <v>15</v>
      </c>
      <c r="AE1217" s="2" t="s">
        <v>59</v>
      </c>
      <c r="AF1217" s="2" t="s">
        <v>60</v>
      </c>
      <c r="AG1217" s="2" t="s">
        <v>61</v>
      </c>
      <c r="AH1217" s="2" t="s">
        <v>62</v>
      </c>
      <c r="AI1217" s="2" t="s">
        <v>109</v>
      </c>
      <c r="AJ1217" s="2">
        <v>0.3658315017971</v>
      </c>
      <c r="AK1217" s="2">
        <v>0.57947659648408401</v>
      </c>
      <c r="AL1217" s="2">
        <v>0.397727470249298</v>
      </c>
      <c r="AM1217" s="2">
        <v>5.3784284060380598E-2</v>
      </c>
      <c r="AN1217" s="2">
        <v>0.47363975998431801</v>
      </c>
      <c r="AO1217" s="2">
        <v>0.26013448866688299</v>
      </c>
      <c r="AP1217" s="2">
        <v>0.26013448866688299</v>
      </c>
      <c r="AQ1217" s="2">
        <v>1</v>
      </c>
      <c r="AR1217" s="2">
        <v>4</v>
      </c>
      <c r="AS1217" s="2">
        <v>0</v>
      </c>
      <c r="AT1217" s="2">
        <v>21</v>
      </c>
      <c r="AU1217" s="2">
        <v>6</v>
      </c>
      <c r="AV1217" s="2">
        <v>131</v>
      </c>
      <c r="AW1217" s="2">
        <v>1</v>
      </c>
      <c r="AX1217" s="2">
        <v>0</v>
      </c>
      <c r="AZ1217" s="2">
        <v>6.8</v>
      </c>
      <c r="BA1217" s="2">
        <v>19.899999999999999</v>
      </c>
      <c r="BB1217" s="2">
        <v>564</v>
      </c>
      <c r="BC1217" s="2">
        <v>68</v>
      </c>
      <c r="BD1217" s="2">
        <v>1.5</v>
      </c>
      <c r="BE1217" s="2">
        <v>135</v>
      </c>
      <c r="BF1217" s="2">
        <v>0.8</v>
      </c>
      <c r="BG1217" s="2">
        <v>162</v>
      </c>
      <c r="BH1217" s="2">
        <v>9.1</v>
      </c>
      <c r="BI1217" s="2">
        <v>9.1999999999999993</v>
      </c>
      <c r="BJ1217" s="2">
        <v>18.3</v>
      </c>
      <c r="BK1217" s="2">
        <v>0.34</v>
      </c>
      <c r="BL1217" s="2">
        <v>7.3</v>
      </c>
      <c r="BM1217" s="2">
        <v>0.9</v>
      </c>
      <c r="BN1217" s="2">
        <v>7.5</v>
      </c>
      <c r="BO1217" s="2">
        <v>2.9</v>
      </c>
      <c r="BP1217" s="2">
        <f t="shared" si="36"/>
        <v>6.1824058827317501</v>
      </c>
      <c r="BQ1217" s="2">
        <f t="shared" si="37"/>
        <v>19.00220124508138</v>
      </c>
    </row>
    <row r="1218" spans="1:69" x14ac:dyDescent="0.2">
      <c r="A1218" s="2" t="s">
        <v>4117</v>
      </c>
      <c r="B1218" s="2" t="s">
        <v>47</v>
      </c>
      <c r="C1218" s="2" t="s">
        <v>3273</v>
      </c>
      <c r="D1218" s="2" t="s">
        <v>49</v>
      </c>
      <c r="E1218" s="2" t="s">
        <v>4118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89</v>
      </c>
      <c r="L1218" s="6" t="s">
        <v>90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4119</v>
      </c>
      <c r="R1218" s="2">
        <v>10384615.380000001</v>
      </c>
      <c r="S1218" s="2">
        <v>0</v>
      </c>
      <c r="T1218" s="2" t="s">
        <v>54</v>
      </c>
      <c r="U1218" s="2" t="s">
        <v>55</v>
      </c>
      <c r="V1218" s="2" t="s">
        <v>56</v>
      </c>
      <c r="W1218" s="2" t="s">
        <v>57</v>
      </c>
      <c r="X1218" s="2" t="s">
        <v>58</v>
      </c>
      <c r="Y1218" s="2">
        <v>2.62235351966258</v>
      </c>
      <c r="Z1218" s="2">
        <v>2622.3535196625799</v>
      </c>
      <c r="AA1218" s="2">
        <v>4.6584666666666701</v>
      </c>
      <c r="AB1218" s="2">
        <v>-74.083966666666697</v>
      </c>
      <c r="AC1218" s="2">
        <v>2552</v>
      </c>
      <c r="AD1218" s="2">
        <v>0</v>
      </c>
      <c r="AE1218" s="2" t="s">
        <v>59</v>
      </c>
      <c r="AF1218" s="2" t="s">
        <v>60</v>
      </c>
      <c r="AG1218" s="2" t="s">
        <v>61</v>
      </c>
      <c r="AH1218" s="2" t="s">
        <v>62</v>
      </c>
      <c r="AI1218" s="2" t="s">
        <v>391</v>
      </c>
      <c r="AJ1218" s="2">
        <v>0.68561119276312998</v>
      </c>
      <c r="AK1218" s="2">
        <v>5.7550437962749204</v>
      </c>
      <c r="AL1218" s="2">
        <v>1.06239528642328</v>
      </c>
      <c r="AM1218" s="2">
        <v>4.62978219053055E-2</v>
      </c>
      <c r="AN1218" s="2">
        <v>2.0410903838011598</v>
      </c>
      <c r="AO1218" s="2">
        <v>0.115361400758654</v>
      </c>
      <c r="AP1218" s="2">
        <v>0.115361400758654</v>
      </c>
      <c r="AQ1218" s="2">
        <v>0</v>
      </c>
      <c r="AR1218" s="2">
        <v>2</v>
      </c>
      <c r="AS1218" s="2">
        <v>0</v>
      </c>
      <c r="AT1218" s="2">
        <v>0</v>
      </c>
      <c r="AU1218" s="2">
        <v>0</v>
      </c>
      <c r="AV1218" s="2">
        <v>35</v>
      </c>
      <c r="AW1218" s="2">
        <v>0</v>
      </c>
      <c r="AX1218" s="2">
        <v>0</v>
      </c>
      <c r="AZ1218" s="2">
        <v>6.8</v>
      </c>
      <c r="BA1218" s="2">
        <v>19.899999999999999</v>
      </c>
      <c r="BB1218" s="2">
        <v>564</v>
      </c>
      <c r="BC1218" s="2">
        <v>68</v>
      </c>
      <c r="BD1218" s="2">
        <v>1.5</v>
      </c>
      <c r="BE1218" s="2">
        <v>135</v>
      </c>
      <c r="BF1218" s="2">
        <v>0.8</v>
      </c>
      <c r="BG1218" s="2">
        <v>162</v>
      </c>
      <c r="BH1218" s="2">
        <v>9.1</v>
      </c>
      <c r="BI1218" s="2">
        <v>9.1999999999999993</v>
      </c>
      <c r="BJ1218" s="2">
        <v>18.3</v>
      </c>
      <c r="BK1218" s="2">
        <v>0.34</v>
      </c>
      <c r="BL1218" s="2">
        <v>7.3</v>
      </c>
      <c r="BM1218" s="2">
        <v>0.9</v>
      </c>
      <c r="BN1218" s="2">
        <v>7.5</v>
      </c>
      <c r="BO1218" s="2">
        <v>2.9</v>
      </c>
      <c r="BP1218" s="2">
        <f t="shared" ref="BP1218:BP1281" si="38">+AZ1218*EXP(-0.0495*Y1218)</f>
        <v>5.972204444658411</v>
      </c>
      <c r="BQ1218" s="2">
        <f t="shared" ref="BQ1218:BQ1281" si="39">+BA1218*EXP(-0.024*Y1218)</f>
        <v>18.686161950166873</v>
      </c>
    </row>
    <row r="1219" spans="1:69" x14ac:dyDescent="0.2">
      <c r="A1219" s="2" t="s">
        <v>4201</v>
      </c>
      <c r="B1219" s="2" t="s">
        <v>47</v>
      </c>
      <c r="C1219" s="2" t="s">
        <v>3273</v>
      </c>
      <c r="D1219" s="2" t="s">
        <v>49</v>
      </c>
      <c r="E1219" s="2" t="s">
        <v>63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89</v>
      </c>
      <c r="L1219" s="6" t="s">
        <v>112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4202</v>
      </c>
      <c r="R1219" s="2">
        <v>8428067.4250000007</v>
      </c>
      <c r="S1219" s="2">
        <v>0</v>
      </c>
      <c r="T1219" s="2" t="s">
        <v>105</v>
      </c>
      <c r="U1219" s="2" t="s">
        <v>106</v>
      </c>
      <c r="V1219" s="2" t="s">
        <v>56</v>
      </c>
      <c r="W1219" s="2" t="s">
        <v>107</v>
      </c>
      <c r="X1219" s="2" t="s">
        <v>108</v>
      </c>
      <c r="Y1219" s="2">
        <v>2.2760903541483399</v>
      </c>
      <c r="Z1219" s="2">
        <v>2276.0903541483399</v>
      </c>
      <c r="AA1219" s="2">
        <v>4.6254861111111101</v>
      </c>
      <c r="AB1219" s="2">
        <v>-74.066980555555503</v>
      </c>
      <c r="AC1219" s="2">
        <v>2621</v>
      </c>
      <c r="AD1219" s="2">
        <v>15</v>
      </c>
      <c r="AE1219" s="2" t="s">
        <v>59</v>
      </c>
      <c r="AF1219" s="2" t="s">
        <v>60</v>
      </c>
      <c r="AG1219" s="2" t="s">
        <v>61</v>
      </c>
      <c r="AH1219" s="2" t="s">
        <v>62</v>
      </c>
      <c r="AI1219" s="2" t="s">
        <v>63</v>
      </c>
      <c r="AJ1219" s="2">
        <v>0.38538946676830899</v>
      </c>
      <c r="AK1219" s="2">
        <v>1.25528167344812</v>
      </c>
      <c r="AL1219" s="2">
        <v>0.186291535031544</v>
      </c>
      <c r="AM1219" s="2">
        <v>9.4762817240844996E-2</v>
      </c>
      <c r="AN1219" s="2">
        <v>1.1367817844250401</v>
      </c>
      <c r="AO1219" s="2">
        <v>7.5816493733713394E-2</v>
      </c>
      <c r="AP1219" s="2">
        <v>7.5816493733713394E-2</v>
      </c>
      <c r="AQ1219" s="2">
        <v>2</v>
      </c>
      <c r="AR1219" s="2">
        <v>4</v>
      </c>
      <c r="AS1219" s="2">
        <v>0</v>
      </c>
      <c r="AT1219" s="2">
        <v>0</v>
      </c>
      <c r="AU1219" s="2">
        <v>13</v>
      </c>
      <c r="AV1219" s="2">
        <v>121</v>
      </c>
      <c r="AW1219" s="2">
        <v>0</v>
      </c>
      <c r="AX1219" s="2">
        <v>0</v>
      </c>
      <c r="AZ1219" s="2">
        <v>6.8</v>
      </c>
      <c r="BA1219" s="2">
        <v>19.899999999999999</v>
      </c>
      <c r="BB1219" s="2">
        <v>564</v>
      </c>
      <c r="BC1219" s="2">
        <v>68</v>
      </c>
      <c r="BD1219" s="2">
        <v>1.5</v>
      </c>
      <c r="BE1219" s="2">
        <v>135</v>
      </c>
      <c r="BF1219" s="2">
        <v>0.8</v>
      </c>
      <c r="BG1219" s="2">
        <v>162</v>
      </c>
      <c r="BH1219" s="2">
        <v>9.1</v>
      </c>
      <c r="BI1219" s="2">
        <v>9.1999999999999993</v>
      </c>
      <c r="BJ1219" s="2">
        <v>18.3</v>
      </c>
      <c r="BK1219" s="2">
        <v>0.34</v>
      </c>
      <c r="BL1219" s="2">
        <v>7.3</v>
      </c>
      <c r="BM1219" s="2">
        <v>0.9</v>
      </c>
      <c r="BN1219" s="2">
        <v>7.5</v>
      </c>
      <c r="BO1219" s="2">
        <v>2.9</v>
      </c>
      <c r="BP1219" s="2">
        <f t="shared" si="38"/>
        <v>6.0754504805339744</v>
      </c>
      <c r="BQ1219" s="2">
        <f t="shared" si="39"/>
        <v>18.842096897201454</v>
      </c>
    </row>
    <row r="1220" spans="1:69" x14ac:dyDescent="0.2">
      <c r="A1220" s="2" t="s">
        <v>4350</v>
      </c>
      <c r="B1220" s="2" t="s">
        <v>47</v>
      </c>
      <c r="C1220" s="2" t="s">
        <v>3273</v>
      </c>
      <c r="D1220" s="2" t="s">
        <v>49</v>
      </c>
      <c r="E1220" s="2" t="s">
        <v>189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89</v>
      </c>
      <c r="L1220" s="6" t="s">
        <v>90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4351</v>
      </c>
      <c r="R1220" s="2">
        <v>13616000</v>
      </c>
      <c r="S1220" s="2">
        <v>0</v>
      </c>
      <c r="T1220" s="2" t="s">
        <v>54</v>
      </c>
      <c r="U1220" s="2" t="s">
        <v>55</v>
      </c>
      <c r="V1220" s="2" t="s">
        <v>56</v>
      </c>
      <c r="W1220" s="2" t="s">
        <v>57</v>
      </c>
      <c r="X1220" s="2" t="s">
        <v>58</v>
      </c>
      <c r="Y1220" s="2">
        <v>3.9320656164146</v>
      </c>
      <c r="Z1220" s="2">
        <v>3932.0656164145998</v>
      </c>
      <c r="AA1220" s="2">
        <v>4.6584666666666701</v>
      </c>
      <c r="AB1220" s="2">
        <v>-74.083966666666697</v>
      </c>
      <c r="AC1220" s="2">
        <v>2552</v>
      </c>
      <c r="AD1220" s="2">
        <v>0</v>
      </c>
      <c r="AE1220" s="2" t="s">
        <v>59</v>
      </c>
      <c r="AF1220" s="2" t="s">
        <v>60</v>
      </c>
      <c r="AG1220" s="2" t="s">
        <v>61</v>
      </c>
      <c r="AH1220" s="2" t="s">
        <v>62</v>
      </c>
      <c r="AI1220" s="2" t="s">
        <v>109</v>
      </c>
      <c r="AJ1220" s="2">
        <v>1.1046287965158099</v>
      </c>
      <c r="AK1220" s="2">
        <v>0.74562746672478897</v>
      </c>
      <c r="AL1220" s="2">
        <v>0.61572356531893102</v>
      </c>
      <c r="AM1220" s="2">
        <v>0.35597664226380299</v>
      </c>
      <c r="AN1220" s="2">
        <v>3.1771980375543198</v>
      </c>
      <c r="AO1220" s="2">
        <v>0.31263290836796498</v>
      </c>
      <c r="AP1220" s="2">
        <v>0.31263290836796498</v>
      </c>
      <c r="AQ1220" s="2">
        <v>0</v>
      </c>
      <c r="AR1220" s="2">
        <v>0</v>
      </c>
      <c r="AS1220" s="2">
        <v>0</v>
      </c>
      <c r="AT1220" s="2">
        <v>19</v>
      </c>
      <c r="AU1220" s="2">
        <v>5</v>
      </c>
      <c r="AV1220" s="2">
        <v>200</v>
      </c>
      <c r="AW1220" s="2">
        <v>0</v>
      </c>
      <c r="AX1220" s="2">
        <v>0</v>
      </c>
      <c r="AZ1220" s="2">
        <v>6.8</v>
      </c>
      <c r="BA1220" s="2">
        <v>19.899999999999999</v>
      </c>
      <c r="BB1220" s="2">
        <v>564</v>
      </c>
      <c r="BC1220" s="2">
        <v>68</v>
      </c>
      <c r="BD1220" s="2">
        <v>1.5</v>
      </c>
      <c r="BE1220" s="2">
        <v>135</v>
      </c>
      <c r="BF1220" s="2">
        <v>0.8</v>
      </c>
      <c r="BG1220" s="2">
        <v>162</v>
      </c>
      <c r="BH1220" s="2">
        <v>9.1</v>
      </c>
      <c r="BI1220" s="2">
        <v>9.1999999999999993</v>
      </c>
      <c r="BJ1220" s="2">
        <v>18.3</v>
      </c>
      <c r="BK1220" s="2">
        <v>0.34</v>
      </c>
      <c r="BL1220" s="2">
        <v>7.3</v>
      </c>
      <c r="BM1220" s="2">
        <v>0.9</v>
      </c>
      <c r="BN1220" s="2">
        <v>7.5</v>
      </c>
      <c r="BO1220" s="2">
        <v>2.9</v>
      </c>
      <c r="BP1220" s="2">
        <f t="shared" si="38"/>
        <v>5.5973057403353312</v>
      </c>
      <c r="BQ1220" s="2">
        <f t="shared" si="39"/>
        <v>18.107933496007416</v>
      </c>
    </row>
    <row r="1221" spans="1:69" x14ac:dyDescent="0.2">
      <c r="A1221" s="2" t="s">
        <v>3896</v>
      </c>
      <c r="B1221" s="2" t="s">
        <v>47</v>
      </c>
      <c r="C1221" s="2" t="s">
        <v>3273</v>
      </c>
      <c r="D1221" s="2" t="s">
        <v>49</v>
      </c>
      <c r="E1221" s="2" t="s">
        <v>3897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89</v>
      </c>
      <c r="L1221" s="6" t="s">
        <v>90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3898</v>
      </c>
      <c r="R1221" s="2">
        <v>9900793.6510000005</v>
      </c>
      <c r="S1221" s="2">
        <v>0</v>
      </c>
      <c r="T1221" s="2" t="s">
        <v>105</v>
      </c>
      <c r="U1221" s="2" t="s">
        <v>106</v>
      </c>
      <c r="V1221" s="2" t="s">
        <v>56</v>
      </c>
      <c r="W1221" s="2" t="s">
        <v>107</v>
      </c>
      <c r="X1221" s="2" t="s">
        <v>108</v>
      </c>
      <c r="Y1221" s="2">
        <v>1.8032820478801099</v>
      </c>
      <c r="Z1221" s="2">
        <v>1803.28204788011</v>
      </c>
      <c r="AA1221" s="2">
        <v>4.6254861111111101</v>
      </c>
      <c r="AB1221" s="2">
        <v>-74.066980555555503</v>
      </c>
      <c r="AC1221" s="2">
        <v>2621</v>
      </c>
      <c r="AD1221" s="2">
        <v>15</v>
      </c>
      <c r="AE1221" s="2" t="s">
        <v>59</v>
      </c>
      <c r="AF1221" s="2" t="s">
        <v>60</v>
      </c>
      <c r="AG1221" s="2" t="s">
        <v>61</v>
      </c>
      <c r="AH1221" s="2" t="s">
        <v>62</v>
      </c>
      <c r="AI1221" s="2" t="s">
        <v>63</v>
      </c>
      <c r="AJ1221" s="2">
        <v>0.73982396616865598</v>
      </c>
      <c r="AK1221" s="2">
        <v>1.61363396553261</v>
      </c>
      <c r="AL1221" s="2">
        <v>6.3616362337869603E-2</v>
      </c>
      <c r="AM1221" s="2">
        <v>9.3025974772218203E-2</v>
      </c>
      <c r="AN1221" s="2">
        <v>1.59125488242741</v>
      </c>
      <c r="AO1221" s="2">
        <v>0.29193096675896901</v>
      </c>
      <c r="AP1221" s="2">
        <v>0.29193096675896901</v>
      </c>
      <c r="AQ1221" s="2">
        <v>0</v>
      </c>
      <c r="AR1221" s="2">
        <v>5</v>
      </c>
      <c r="AS1221" s="2">
        <v>0</v>
      </c>
      <c r="AT1221" s="2">
        <v>0</v>
      </c>
      <c r="AU1221" s="2">
        <v>8</v>
      </c>
      <c r="AV1221" s="2">
        <v>149</v>
      </c>
      <c r="AW1221" s="2">
        <v>0</v>
      </c>
      <c r="AX1221" s="2">
        <v>0</v>
      </c>
      <c r="AZ1221" s="2">
        <v>6.8</v>
      </c>
      <c r="BA1221" s="2">
        <v>19.899999999999999</v>
      </c>
      <c r="BB1221" s="2">
        <v>564</v>
      </c>
      <c r="BC1221" s="2">
        <v>68</v>
      </c>
      <c r="BD1221" s="2">
        <v>1.5</v>
      </c>
      <c r="BE1221" s="2">
        <v>135</v>
      </c>
      <c r="BF1221" s="2">
        <v>0.8</v>
      </c>
      <c r="BG1221" s="2">
        <v>162</v>
      </c>
      <c r="BH1221" s="2">
        <v>9.1</v>
      </c>
      <c r="BI1221" s="2">
        <v>9.1999999999999993</v>
      </c>
      <c r="BJ1221" s="2">
        <v>18.3</v>
      </c>
      <c r="BK1221" s="2">
        <v>0.34</v>
      </c>
      <c r="BL1221" s="2">
        <v>7.3</v>
      </c>
      <c r="BM1221" s="2">
        <v>0.9</v>
      </c>
      <c r="BN1221" s="2">
        <v>7.5</v>
      </c>
      <c r="BO1221" s="2">
        <v>2.9</v>
      </c>
      <c r="BP1221" s="2">
        <f t="shared" si="38"/>
        <v>6.2193173555216728</v>
      </c>
      <c r="BQ1221" s="2">
        <f t="shared" si="39"/>
        <v>19.057123383708838</v>
      </c>
    </row>
    <row r="1222" spans="1:69" x14ac:dyDescent="0.2">
      <c r="A1222" s="2" t="s">
        <v>4441</v>
      </c>
      <c r="B1222" s="2" t="s">
        <v>47</v>
      </c>
      <c r="C1222" s="2" t="s">
        <v>3273</v>
      </c>
      <c r="D1222" s="2" t="s">
        <v>49</v>
      </c>
      <c r="E1222" s="2" t="s">
        <v>1465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89</v>
      </c>
      <c r="L1222" s="6" t="s">
        <v>90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4442</v>
      </c>
      <c r="R1222" s="2">
        <v>19600000</v>
      </c>
      <c r="S1222" s="2">
        <v>0</v>
      </c>
      <c r="T1222" s="2" t="s">
        <v>54</v>
      </c>
      <c r="U1222" s="2" t="s">
        <v>55</v>
      </c>
      <c r="V1222" s="2" t="s">
        <v>56</v>
      </c>
      <c r="W1222" s="2" t="s">
        <v>57</v>
      </c>
      <c r="X1222" s="2" t="s">
        <v>58</v>
      </c>
      <c r="Y1222" s="2">
        <v>4.0313273645067902</v>
      </c>
      <c r="Z1222" s="2">
        <v>4031.3273645067902</v>
      </c>
      <c r="AA1222" s="2">
        <v>4.6584666666666701</v>
      </c>
      <c r="AB1222" s="2">
        <v>-74.083966666666697</v>
      </c>
      <c r="AC1222" s="2">
        <v>2552</v>
      </c>
      <c r="AD1222" s="2">
        <v>0</v>
      </c>
      <c r="AE1222" s="2" t="s">
        <v>59</v>
      </c>
      <c r="AF1222" s="2" t="s">
        <v>60</v>
      </c>
      <c r="AG1222" s="2" t="s">
        <v>61</v>
      </c>
      <c r="AH1222" s="2" t="s">
        <v>62</v>
      </c>
      <c r="AI1222" s="2" t="s">
        <v>109</v>
      </c>
      <c r="AJ1222" s="2">
        <v>0.32635223880348302</v>
      </c>
      <c r="AK1222" s="2">
        <v>2.0077617162312298</v>
      </c>
      <c r="AL1222" s="2">
        <v>0.58209682029158705</v>
      </c>
      <c r="AM1222" s="2">
        <v>5.5270754368578999E-2</v>
      </c>
      <c r="AN1222" s="2">
        <v>2.9948939577273599</v>
      </c>
      <c r="AO1222" s="2">
        <v>0.33609746580022998</v>
      </c>
      <c r="AP1222" s="2">
        <v>0.33609746580022998</v>
      </c>
      <c r="AQ1222" s="2">
        <v>1</v>
      </c>
      <c r="AR1222" s="2">
        <v>4</v>
      </c>
      <c r="AS1222" s="2">
        <v>0</v>
      </c>
      <c r="AT1222" s="2">
        <v>0</v>
      </c>
      <c r="AU1222" s="2">
        <v>5</v>
      </c>
      <c r="AV1222" s="2">
        <v>247</v>
      </c>
      <c r="AW1222" s="2">
        <v>0</v>
      </c>
      <c r="AX1222" s="2">
        <v>0</v>
      </c>
      <c r="AZ1222" s="2">
        <v>6.8</v>
      </c>
      <c r="BA1222" s="2">
        <v>19.899999999999999</v>
      </c>
      <c r="BB1222" s="2">
        <v>564</v>
      </c>
      <c r="BC1222" s="2">
        <v>68</v>
      </c>
      <c r="BD1222" s="2">
        <v>1.5</v>
      </c>
      <c r="BE1222" s="2">
        <v>135</v>
      </c>
      <c r="BF1222" s="2">
        <v>0.8</v>
      </c>
      <c r="BG1222" s="2">
        <v>162</v>
      </c>
      <c r="BH1222" s="2">
        <v>9.1</v>
      </c>
      <c r="BI1222" s="2">
        <v>9.1999999999999993</v>
      </c>
      <c r="BJ1222" s="2">
        <v>18.3</v>
      </c>
      <c r="BK1222" s="2">
        <v>0.34</v>
      </c>
      <c r="BL1222" s="2">
        <v>7.3</v>
      </c>
      <c r="BM1222" s="2">
        <v>0.9</v>
      </c>
      <c r="BN1222" s="2">
        <v>7.5</v>
      </c>
      <c r="BO1222" s="2">
        <v>2.9</v>
      </c>
      <c r="BP1222" s="2">
        <f t="shared" si="38"/>
        <v>5.569871076599842</v>
      </c>
      <c r="BQ1222" s="2">
        <f t="shared" si="39"/>
        <v>18.064846635714119</v>
      </c>
    </row>
    <row r="1223" spans="1:69" x14ac:dyDescent="0.2">
      <c r="A1223" s="2" t="s">
        <v>4173</v>
      </c>
      <c r="B1223" s="2" t="s">
        <v>47</v>
      </c>
      <c r="C1223" s="2" t="s">
        <v>3273</v>
      </c>
      <c r="D1223" s="2" t="s">
        <v>49</v>
      </c>
      <c r="E1223" s="2" t="s">
        <v>1270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89</v>
      </c>
      <c r="L1223" s="6" t="s">
        <v>103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4174</v>
      </c>
      <c r="R1223" s="2">
        <v>11600000</v>
      </c>
      <c r="S1223" s="2">
        <v>0</v>
      </c>
      <c r="T1223" s="2" t="s">
        <v>105</v>
      </c>
      <c r="U1223" s="2" t="s">
        <v>106</v>
      </c>
      <c r="V1223" s="2" t="s">
        <v>56</v>
      </c>
      <c r="W1223" s="2" t="s">
        <v>107</v>
      </c>
      <c r="X1223" s="2" t="s">
        <v>108</v>
      </c>
      <c r="Y1223" s="2">
        <v>2.3822483826109999</v>
      </c>
      <c r="Z1223" s="2">
        <v>2382.2483826110001</v>
      </c>
      <c r="AA1223" s="2">
        <v>4.6254861111111101</v>
      </c>
      <c r="AB1223" s="2">
        <v>-74.066980555555503</v>
      </c>
      <c r="AC1223" s="2">
        <v>2621</v>
      </c>
      <c r="AD1223" s="2">
        <v>15</v>
      </c>
      <c r="AE1223" s="2" t="s">
        <v>59</v>
      </c>
      <c r="AF1223" s="2" t="s">
        <v>60</v>
      </c>
      <c r="AG1223" s="2" t="s">
        <v>61</v>
      </c>
      <c r="AH1223" s="2" t="s">
        <v>62</v>
      </c>
      <c r="AI1223" s="2" t="s">
        <v>109</v>
      </c>
      <c r="AJ1223" s="2">
        <v>0.87293665833164102</v>
      </c>
      <c r="AK1223" s="2">
        <v>0.373561712984118</v>
      </c>
      <c r="AL1223" s="2">
        <v>0.24665453344621999</v>
      </c>
      <c r="AM1223" s="2">
        <v>0.31034860357746302</v>
      </c>
      <c r="AN1223" s="2">
        <v>0.36292751033870801</v>
      </c>
      <c r="AO1223" s="2">
        <v>3.5812313934279499E-2</v>
      </c>
      <c r="AP1223" s="2">
        <v>3.5812313934279499E-2</v>
      </c>
      <c r="AQ1223" s="2">
        <v>0</v>
      </c>
      <c r="AR1223" s="2">
        <v>2</v>
      </c>
      <c r="AS1223" s="2">
        <v>7</v>
      </c>
      <c r="AT1223" s="2">
        <v>47</v>
      </c>
      <c r="AU1223" s="2">
        <v>8</v>
      </c>
      <c r="AV1223" s="2">
        <v>55</v>
      </c>
      <c r="AW1223" s="2">
        <v>1</v>
      </c>
      <c r="AX1223" s="2">
        <v>0</v>
      </c>
      <c r="AZ1223" s="2">
        <v>6.8</v>
      </c>
      <c r="BA1223" s="2">
        <v>19.899999999999999</v>
      </c>
      <c r="BB1223" s="2">
        <v>564</v>
      </c>
      <c r="BC1223" s="2">
        <v>68</v>
      </c>
      <c r="BD1223" s="2">
        <v>1.5</v>
      </c>
      <c r="BE1223" s="2">
        <v>135</v>
      </c>
      <c r="BF1223" s="2">
        <v>0.8</v>
      </c>
      <c r="BG1223" s="2">
        <v>162</v>
      </c>
      <c r="BH1223" s="2">
        <v>9.1</v>
      </c>
      <c r="BI1223" s="2">
        <v>9.1999999999999993</v>
      </c>
      <c r="BJ1223" s="2">
        <v>18.3</v>
      </c>
      <c r="BK1223" s="2">
        <v>0.34</v>
      </c>
      <c r="BL1223" s="2">
        <v>7.3</v>
      </c>
      <c r="BM1223" s="2">
        <v>0.9</v>
      </c>
      <c r="BN1223" s="2">
        <v>7.5</v>
      </c>
      <c r="BO1223" s="2">
        <v>2.9</v>
      </c>
      <c r="BP1223" s="2">
        <f t="shared" si="38"/>
        <v>6.0436088016592793</v>
      </c>
      <c r="BQ1223" s="2">
        <f t="shared" si="39"/>
        <v>18.794152243047005</v>
      </c>
    </row>
    <row r="1224" spans="1:69" x14ac:dyDescent="0.2">
      <c r="A1224" s="2" t="s">
        <v>3295</v>
      </c>
      <c r="B1224" s="2" t="s">
        <v>47</v>
      </c>
      <c r="C1224" s="2" t="s">
        <v>3273</v>
      </c>
      <c r="D1224" s="2" t="s">
        <v>49</v>
      </c>
      <c r="E1224" s="2" t="s">
        <v>1077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89</v>
      </c>
      <c r="L1224" s="6" t="s">
        <v>90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3296</v>
      </c>
      <c r="R1224" s="2">
        <v>11200000</v>
      </c>
      <c r="S1224" s="2">
        <v>0</v>
      </c>
      <c r="T1224" s="2" t="s">
        <v>105</v>
      </c>
      <c r="U1224" s="2" t="s">
        <v>106</v>
      </c>
      <c r="V1224" s="2" t="s">
        <v>56</v>
      </c>
      <c r="W1224" s="2" t="s">
        <v>107</v>
      </c>
      <c r="X1224" s="2" t="s">
        <v>108</v>
      </c>
      <c r="Y1224" s="2">
        <v>2.15559990230989</v>
      </c>
      <c r="Z1224" s="2">
        <v>2155.5999023098898</v>
      </c>
      <c r="AA1224" s="2">
        <v>4.6254861111111101</v>
      </c>
      <c r="AB1224" s="2">
        <v>-74.066980555555503</v>
      </c>
      <c r="AC1224" s="2">
        <v>2621</v>
      </c>
      <c r="AD1224" s="2">
        <v>15</v>
      </c>
      <c r="AE1224" s="2" t="s">
        <v>59</v>
      </c>
      <c r="AF1224" s="2" t="s">
        <v>60</v>
      </c>
      <c r="AG1224" s="2" t="s">
        <v>61</v>
      </c>
      <c r="AH1224" s="2" t="s">
        <v>62</v>
      </c>
      <c r="AI1224" s="2" t="s">
        <v>117</v>
      </c>
      <c r="AJ1224" s="2">
        <v>0.33083711099997498</v>
      </c>
      <c r="AK1224" s="2">
        <v>0.57033346622468895</v>
      </c>
      <c r="AL1224" s="2">
        <v>4.7641768634069097E-2</v>
      </c>
      <c r="AM1224" s="2">
        <v>0.11329758364767201</v>
      </c>
      <c r="AN1224" s="2">
        <v>1.06020597776718</v>
      </c>
      <c r="AO1224" s="2">
        <v>3.6060868880168698E-2</v>
      </c>
      <c r="AP1224" s="2">
        <v>3.6060868880168698E-2</v>
      </c>
      <c r="AQ1224" s="2">
        <v>2</v>
      </c>
      <c r="AR1224" s="2">
        <v>8</v>
      </c>
      <c r="AS1224" s="2">
        <v>0</v>
      </c>
      <c r="AT1224" s="2">
        <v>28</v>
      </c>
      <c r="AU1224" s="2">
        <v>13</v>
      </c>
      <c r="AV1224" s="2">
        <v>52</v>
      </c>
      <c r="AW1224" s="2">
        <v>0</v>
      </c>
      <c r="AX1224" s="2">
        <v>9</v>
      </c>
      <c r="AZ1224" s="2">
        <v>6.8</v>
      </c>
      <c r="BA1224" s="2">
        <v>19.899999999999999</v>
      </c>
      <c r="BB1224" s="2">
        <v>564</v>
      </c>
      <c r="BC1224" s="2">
        <v>68</v>
      </c>
      <c r="BD1224" s="2">
        <v>1.5</v>
      </c>
      <c r="BE1224" s="2">
        <v>135</v>
      </c>
      <c r="BF1224" s="2">
        <v>0.8</v>
      </c>
      <c r="BG1224" s="2">
        <v>162</v>
      </c>
      <c r="BH1224" s="2">
        <v>9.1</v>
      </c>
      <c r="BI1224" s="2">
        <v>9.1999999999999993</v>
      </c>
      <c r="BJ1224" s="2">
        <v>18.3</v>
      </c>
      <c r="BK1224" s="2">
        <v>0.34</v>
      </c>
      <c r="BL1224" s="2">
        <v>7.3</v>
      </c>
      <c r="BM1224" s="2">
        <v>0.9</v>
      </c>
      <c r="BN1224" s="2">
        <v>7.5</v>
      </c>
      <c r="BO1224" s="2">
        <v>2.9</v>
      </c>
      <c r="BP1224" s="2">
        <f t="shared" si="38"/>
        <v>6.1117944272754272</v>
      </c>
      <c r="BQ1224" s="2">
        <f t="shared" si="39"/>
        <v>18.896662781642913</v>
      </c>
    </row>
    <row r="1225" spans="1:69" x14ac:dyDescent="0.2">
      <c r="A1225" s="2" t="s">
        <v>4099</v>
      </c>
      <c r="B1225" s="2" t="s">
        <v>47</v>
      </c>
      <c r="C1225" s="2" t="s">
        <v>3273</v>
      </c>
      <c r="D1225" s="2" t="s">
        <v>49</v>
      </c>
      <c r="E1225" s="2" t="s">
        <v>115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89</v>
      </c>
      <c r="L1225" s="6" t="s">
        <v>90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4100</v>
      </c>
      <c r="R1225" s="2">
        <v>11200000</v>
      </c>
      <c r="S1225" s="2">
        <v>0</v>
      </c>
      <c r="T1225" s="2" t="s">
        <v>105</v>
      </c>
      <c r="U1225" s="2" t="s">
        <v>106</v>
      </c>
      <c r="V1225" s="2" t="s">
        <v>56</v>
      </c>
      <c r="W1225" s="2" t="s">
        <v>107</v>
      </c>
      <c r="X1225" s="2" t="s">
        <v>108</v>
      </c>
      <c r="Y1225" s="2">
        <v>0.633997516669768</v>
      </c>
      <c r="Z1225" s="2">
        <v>633.99751666976795</v>
      </c>
      <c r="AA1225" s="2">
        <v>4.6254861111111101</v>
      </c>
      <c r="AB1225" s="2">
        <v>-74.066980555555503</v>
      </c>
      <c r="AC1225" s="2">
        <v>2621</v>
      </c>
      <c r="AD1225" s="2">
        <v>15</v>
      </c>
      <c r="AE1225" s="2" t="s">
        <v>59</v>
      </c>
      <c r="AF1225" s="2" t="s">
        <v>60</v>
      </c>
      <c r="AG1225" s="2" t="s">
        <v>61</v>
      </c>
      <c r="AH1225" s="2" t="s">
        <v>62</v>
      </c>
      <c r="AI1225" s="2" t="s">
        <v>117</v>
      </c>
      <c r="AJ1225" s="2">
        <v>0.11136946779222399</v>
      </c>
      <c r="AK1225" s="2">
        <v>0.89949815752611095</v>
      </c>
      <c r="AL1225" s="2">
        <v>0.31405967624686398</v>
      </c>
      <c r="AM1225" s="2">
        <v>3.8130556448605898E-2</v>
      </c>
      <c r="AN1225" s="2">
        <v>0.70381445224444295</v>
      </c>
      <c r="AO1225" s="2">
        <v>3.9668829955487601E-2</v>
      </c>
      <c r="AP1225" s="2">
        <v>3.9668829955487601E-2</v>
      </c>
      <c r="AQ1225" s="2">
        <v>1</v>
      </c>
      <c r="AR1225" s="2">
        <v>6</v>
      </c>
      <c r="AS1225" s="2">
        <v>0</v>
      </c>
      <c r="AT1225" s="2">
        <v>3</v>
      </c>
      <c r="AU1225" s="2">
        <v>17</v>
      </c>
      <c r="AV1225" s="2">
        <v>91</v>
      </c>
      <c r="AW1225" s="2">
        <v>2</v>
      </c>
      <c r="AX1225" s="2">
        <v>1</v>
      </c>
      <c r="AZ1225" s="2">
        <v>6.8</v>
      </c>
      <c r="BA1225" s="2">
        <v>19.899999999999999</v>
      </c>
      <c r="BB1225" s="2">
        <v>564</v>
      </c>
      <c r="BC1225" s="2">
        <v>68</v>
      </c>
      <c r="BD1225" s="2">
        <v>1.5</v>
      </c>
      <c r="BE1225" s="2">
        <v>135</v>
      </c>
      <c r="BF1225" s="2">
        <v>0.8</v>
      </c>
      <c r="BG1225" s="2">
        <v>162</v>
      </c>
      <c r="BH1225" s="2">
        <v>9.1</v>
      </c>
      <c r="BI1225" s="2">
        <v>9.1999999999999993</v>
      </c>
      <c r="BJ1225" s="2">
        <v>18.3</v>
      </c>
      <c r="BK1225" s="2">
        <v>0.34</v>
      </c>
      <c r="BL1225" s="2">
        <v>7.3</v>
      </c>
      <c r="BM1225" s="2">
        <v>0.9</v>
      </c>
      <c r="BN1225" s="2">
        <v>7.5</v>
      </c>
      <c r="BO1225" s="2">
        <v>2.9</v>
      </c>
      <c r="BP1225" s="2">
        <f t="shared" si="38"/>
        <v>6.5899102882551626</v>
      </c>
      <c r="BQ1225" s="2">
        <f t="shared" si="39"/>
        <v>19.599494818350987</v>
      </c>
    </row>
    <row r="1226" spans="1:69" x14ac:dyDescent="0.2">
      <c r="A1226" s="2" t="s">
        <v>4597</v>
      </c>
      <c r="B1226" s="2" t="s">
        <v>47</v>
      </c>
      <c r="C1226" s="2" t="s">
        <v>3273</v>
      </c>
      <c r="D1226" s="2" t="s">
        <v>49</v>
      </c>
      <c r="E1226" s="2" t="s">
        <v>102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89</v>
      </c>
      <c r="L1226" s="6" t="s">
        <v>112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4598</v>
      </c>
      <c r="R1226" s="2">
        <v>10800000</v>
      </c>
      <c r="S1226" s="2">
        <v>0</v>
      </c>
      <c r="T1226" s="2" t="s">
        <v>105</v>
      </c>
      <c r="U1226" s="2" t="s">
        <v>106</v>
      </c>
      <c r="V1226" s="2" t="s">
        <v>56</v>
      </c>
      <c r="W1226" s="2" t="s">
        <v>107</v>
      </c>
      <c r="X1226" s="2" t="s">
        <v>108</v>
      </c>
      <c r="Y1226" s="2">
        <v>2.37146317184982</v>
      </c>
      <c r="Z1226" s="2">
        <v>2371.4631718498199</v>
      </c>
      <c r="AA1226" s="2">
        <v>4.6254861111111101</v>
      </c>
      <c r="AB1226" s="2">
        <v>-74.066980555555503</v>
      </c>
      <c r="AC1226" s="2">
        <v>2621</v>
      </c>
      <c r="AD1226" s="2">
        <v>15</v>
      </c>
      <c r="AE1226" s="2" t="s">
        <v>59</v>
      </c>
      <c r="AF1226" s="2" t="s">
        <v>60</v>
      </c>
      <c r="AG1226" s="2" t="s">
        <v>61</v>
      </c>
      <c r="AH1226" s="2" t="s">
        <v>62</v>
      </c>
      <c r="AI1226" s="2" t="s">
        <v>109</v>
      </c>
      <c r="AJ1226" s="2">
        <v>0.26151723306835001</v>
      </c>
      <c r="AK1226" s="2">
        <v>0.89967510615742996</v>
      </c>
      <c r="AL1226" s="2">
        <v>0.112534194314791</v>
      </c>
      <c r="AM1226" s="2">
        <v>9.3035540393287999E-2</v>
      </c>
      <c r="AN1226" s="2">
        <v>0.78037631739024504</v>
      </c>
      <c r="AO1226" s="2">
        <v>0.429959190734721</v>
      </c>
      <c r="AP1226" s="2">
        <v>0.429959190734721</v>
      </c>
      <c r="AQ1226" s="2">
        <v>2</v>
      </c>
      <c r="AR1226" s="2">
        <v>3</v>
      </c>
      <c r="AS1226" s="2">
        <v>0</v>
      </c>
      <c r="AT1226" s="2">
        <v>7</v>
      </c>
      <c r="AU1226" s="2">
        <v>14</v>
      </c>
      <c r="AV1226" s="2">
        <v>91</v>
      </c>
      <c r="AW1226" s="2">
        <v>1</v>
      </c>
      <c r="AX1226" s="2">
        <v>0</v>
      </c>
      <c r="AZ1226" s="2">
        <v>6.8</v>
      </c>
      <c r="BA1226" s="2">
        <v>19.899999999999999</v>
      </c>
      <c r="BB1226" s="2">
        <v>564</v>
      </c>
      <c r="BC1226" s="2">
        <v>68</v>
      </c>
      <c r="BD1226" s="2">
        <v>1.5</v>
      </c>
      <c r="BE1226" s="2">
        <v>135</v>
      </c>
      <c r="BF1226" s="2">
        <v>0.8</v>
      </c>
      <c r="BG1226" s="2">
        <v>162</v>
      </c>
      <c r="BH1226" s="2">
        <v>9.1</v>
      </c>
      <c r="BI1226" s="2">
        <v>9.1999999999999993</v>
      </c>
      <c r="BJ1226" s="2">
        <v>18.3</v>
      </c>
      <c r="BK1226" s="2">
        <v>0.34</v>
      </c>
      <c r="BL1226" s="2">
        <v>7.3</v>
      </c>
      <c r="BM1226" s="2">
        <v>0.9</v>
      </c>
      <c r="BN1226" s="2">
        <v>7.5</v>
      </c>
      <c r="BO1226" s="2">
        <v>2.9</v>
      </c>
      <c r="BP1226" s="2">
        <f t="shared" si="38"/>
        <v>6.0468361520089138</v>
      </c>
      <c r="BQ1226" s="2">
        <f t="shared" si="39"/>
        <v>18.799017646145067</v>
      </c>
    </row>
    <row r="1227" spans="1:69" x14ac:dyDescent="0.2">
      <c r="A1227" s="2" t="s">
        <v>3378</v>
      </c>
      <c r="B1227" s="2" t="s">
        <v>47</v>
      </c>
      <c r="C1227" s="2" t="s">
        <v>3273</v>
      </c>
      <c r="D1227" s="2" t="s">
        <v>49</v>
      </c>
      <c r="E1227" s="2" t="s">
        <v>922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89</v>
      </c>
      <c r="L1227" s="6" t="s">
        <v>90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3379</v>
      </c>
      <c r="R1227" s="2">
        <v>10200000</v>
      </c>
      <c r="S1227" s="2">
        <v>0</v>
      </c>
      <c r="T1227" s="2" t="s">
        <v>105</v>
      </c>
      <c r="U1227" s="2" t="s">
        <v>106</v>
      </c>
      <c r="V1227" s="2" t="s">
        <v>56</v>
      </c>
      <c r="W1227" s="2" t="s">
        <v>107</v>
      </c>
      <c r="X1227" s="2" t="s">
        <v>108</v>
      </c>
      <c r="Y1227" s="2">
        <v>1.16793626999635</v>
      </c>
      <c r="Z1227" s="2">
        <v>1167.9362699963499</v>
      </c>
      <c r="AA1227" s="2">
        <v>4.6254861111111101</v>
      </c>
      <c r="AB1227" s="2">
        <v>-74.066980555555503</v>
      </c>
      <c r="AC1227" s="2">
        <v>2621</v>
      </c>
      <c r="AD1227" s="2">
        <v>15</v>
      </c>
      <c r="AE1227" s="2" t="s">
        <v>59</v>
      </c>
      <c r="AF1227" s="2" t="s">
        <v>60</v>
      </c>
      <c r="AG1227" s="2" t="s">
        <v>61</v>
      </c>
      <c r="AH1227" s="2" t="s">
        <v>62</v>
      </c>
      <c r="AI1227" s="2" t="s">
        <v>63</v>
      </c>
      <c r="AJ1227" s="2">
        <v>0.24485113734802</v>
      </c>
      <c r="AK1227" s="2">
        <v>0.95301414223717396</v>
      </c>
      <c r="AL1227" s="2">
        <v>0.22444898269028499</v>
      </c>
      <c r="AM1227" s="2">
        <v>8.4978859820698693E-2</v>
      </c>
      <c r="AN1227" s="2">
        <v>0.94530156415634203</v>
      </c>
      <c r="AO1227" s="2">
        <v>8.46197906658952E-2</v>
      </c>
      <c r="AP1227" s="2">
        <v>8.46197906658952E-2</v>
      </c>
      <c r="AQ1227" s="2">
        <v>3</v>
      </c>
      <c r="AR1227" s="2">
        <v>5</v>
      </c>
      <c r="AS1227" s="2">
        <v>0</v>
      </c>
      <c r="AT1227" s="2">
        <v>2</v>
      </c>
      <c r="AU1227" s="2">
        <v>16</v>
      </c>
      <c r="AV1227" s="2">
        <v>192</v>
      </c>
      <c r="AW1227" s="2">
        <v>1</v>
      </c>
      <c r="AX1227" s="2">
        <v>0</v>
      </c>
      <c r="AZ1227" s="2">
        <v>6.8</v>
      </c>
      <c r="BA1227" s="2">
        <v>19.899999999999999</v>
      </c>
      <c r="BB1227" s="2">
        <v>564</v>
      </c>
      <c r="BC1227" s="2">
        <v>68</v>
      </c>
      <c r="BD1227" s="2">
        <v>1.5</v>
      </c>
      <c r="BE1227" s="2">
        <v>135</v>
      </c>
      <c r="BF1227" s="2">
        <v>0.8</v>
      </c>
      <c r="BG1227" s="2">
        <v>162</v>
      </c>
      <c r="BH1227" s="2">
        <v>9.1</v>
      </c>
      <c r="BI1227" s="2">
        <v>9.1999999999999993</v>
      </c>
      <c r="BJ1227" s="2">
        <v>18.3</v>
      </c>
      <c r="BK1227" s="2">
        <v>0.34</v>
      </c>
      <c r="BL1227" s="2">
        <v>7.3</v>
      </c>
      <c r="BM1227" s="2">
        <v>0.9</v>
      </c>
      <c r="BN1227" s="2">
        <v>7.5</v>
      </c>
      <c r="BO1227" s="2">
        <v>2.9</v>
      </c>
      <c r="BP1227" s="2">
        <f t="shared" si="38"/>
        <v>6.41802069249698</v>
      </c>
      <c r="BQ1227" s="2">
        <f t="shared" si="39"/>
        <v>19.349938888437787</v>
      </c>
    </row>
    <row r="1228" spans="1:69" x14ac:dyDescent="0.2">
      <c r="A1228" s="2" t="s">
        <v>3973</v>
      </c>
      <c r="B1228" s="2" t="s">
        <v>47</v>
      </c>
      <c r="C1228" s="2" t="s">
        <v>3273</v>
      </c>
      <c r="D1228" s="2" t="s">
        <v>49</v>
      </c>
      <c r="E1228" s="2" t="s">
        <v>360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89</v>
      </c>
      <c r="L1228" s="6" t="s">
        <v>90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3974</v>
      </c>
      <c r="R1228" s="2">
        <v>10000000</v>
      </c>
      <c r="S1228" s="2">
        <v>0</v>
      </c>
      <c r="T1228" s="2" t="s">
        <v>105</v>
      </c>
      <c r="U1228" s="2" t="s">
        <v>106</v>
      </c>
      <c r="V1228" s="2" t="s">
        <v>56</v>
      </c>
      <c r="W1228" s="2" t="s">
        <v>107</v>
      </c>
      <c r="X1228" s="2" t="s">
        <v>108</v>
      </c>
      <c r="Y1228" s="2">
        <v>2.4870157360071601</v>
      </c>
      <c r="Z1228" s="2">
        <v>2487.0157360071598</v>
      </c>
      <c r="AA1228" s="2">
        <v>4.6254861111111101</v>
      </c>
      <c r="AB1228" s="2">
        <v>-74.066980555555503</v>
      </c>
      <c r="AC1228" s="2">
        <v>2621</v>
      </c>
      <c r="AD1228" s="2">
        <v>15</v>
      </c>
      <c r="AE1228" s="2" t="s">
        <v>59</v>
      </c>
      <c r="AF1228" s="2" t="s">
        <v>60</v>
      </c>
      <c r="AG1228" s="2" t="s">
        <v>61</v>
      </c>
      <c r="AH1228" s="2" t="s">
        <v>62</v>
      </c>
      <c r="AI1228" s="2" t="s">
        <v>117</v>
      </c>
      <c r="AJ1228" s="2">
        <v>0.26019778211197703</v>
      </c>
      <c r="AK1228" s="2">
        <v>0.71719197003132695</v>
      </c>
      <c r="AL1228" s="2">
        <v>0.27265349916713999</v>
      </c>
      <c r="AM1228" s="2">
        <v>0.148350790558503</v>
      </c>
      <c r="AN1228" s="2">
        <v>1.39047703005228</v>
      </c>
      <c r="AO1228" s="2">
        <v>2.0198310500012498E-3</v>
      </c>
      <c r="AP1228" s="2">
        <v>2.0198310500012498E-3</v>
      </c>
      <c r="AQ1228" s="2">
        <v>3</v>
      </c>
      <c r="AR1228" s="2">
        <v>9</v>
      </c>
      <c r="AS1228" s="2">
        <v>0</v>
      </c>
      <c r="AT1228" s="2">
        <v>37</v>
      </c>
      <c r="AU1228" s="2">
        <v>14</v>
      </c>
      <c r="AV1228" s="2">
        <v>51</v>
      </c>
      <c r="AW1228" s="2">
        <v>0</v>
      </c>
      <c r="AX1228" s="2">
        <v>8</v>
      </c>
      <c r="AZ1228" s="2">
        <v>6.8</v>
      </c>
      <c r="BA1228" s="2">
        <v>19.899999999999999</v>
      </c>
      <c r="BB1228" s="2">
        <v>564</v>
      </c>
      <c r="BC1228" s="2">
        <v>68</v>
      </c>
      <c r="BD1228" s="2">
        <v>1.5</v>
      </c>
      <c r="BE1228" s="2">
        <v>135</v>
      </c>
      <c r="BF1228" s="2">
        <v>0.8</v>
      </c>
      <c r="BG1228" s="2">
        <v>162</v>
      </c>
      <c r="BH1228" s="2">
        <v>9.1</v>
      </c>
      <c r="BI1228" s="2">
        <v>9.1999999999999993</v>
      </c>
      <c r="BJ1228" s="2">
        <v>18.3</v>
      </c>
      <c r="BK1228" s="2">
        <v>0.34</v>
      </c>
      <c r="BL1228" s="2">
        <v>7.3</v>
      </c>
      <c r="BM1228" s="2">
        <v>0.9</v>
      </c>
      <c r="BN1228" s="2">
        <v>7.5</v>
      </c>
      <c r="BO1228" s="2">
        <v>2.9</v>
      </c>
      <c r="BP1228" s="2">
        <f t="shared" si="38"/>
        <v>6.0123478725542707</v>
      </c>
      <c r="BQ1228" s="2">
        <f t="shared" si="39"/>
        <v>18.746955278170372</v>
      </c>
    </row>
    <row r="1229" spans="1:69" x14ac:dyDescent="0.2">
      <c r="A1229" s="2" t="s">
        <v>4223</v>
      </c>
      <c r="B1229" s="2" t="s">
        <v>47</v>
      </c>
      <c r="C1229" s="2" t="s">
        <v>3273</v>
      </c>
      <c r="D1229" s="2" t="s">
        <v>49</v>
      </c>
      <c r="E1229" s="2" t="s">
        <v>3552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89</v>
      </c>
      <c r="L1229" s="6" t="s">
        <v>90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4224</v>
      </c>
      <c r="R1229" s="2">
        <v>9800000</v>
      </c>
      <c r="S1229" s="2">
        <v>0</v>
      </c>
      <c r="T1229" s="2" t="s">
        <v>105</v>
      </c>
      <c r="U1229" s="2" t="s">
        <v>106</v>
      </c>
      <c r="V1229" s="2" t="s">
        <v>56</v>
      </c>
      <c r="W1229" s="2" t="s">
        <v>107</v>
      </c>
      <c r="X1229" s="2" t="s">
        <v>108</v>
      </c>
      <c r="Y1229" s="2">
        <v>2.6240621223404399</v>
      </c>
      <c r="Z1229" s="2">
        <v>2624.0621223404401</v>
      </c>
      <c r="AA1229" s="2">
        <v>4.6254861111111101</v>
      </c>
      <c r="AB1229" s="2">
        <v>-74.066980555555503</v>
      </c>
      <c r="AC1229" s="2">
        <v>2621</v>
      </c>
      <c r="AD1229" s="2">
        <v>15</v>
      </c>
      <c r="AE1229" s="2" t="s">
        <v>59</v>
      </c>
      <c r="AF1229" s="2" t="s">
        <v>60</v>
      </c>
      <c r="AG1229" s="2" t="s">
        <v>61</v>
      </c>
      <c r="AH1229" s="2" t="s">
        <v>62</v>
      </c>
      <c r="AI1229" s="2" t="s">
        <v>117</v>
      </c>
      <c r="AJ1229" s="2">
        <v>0.242935475309699</v>
      </c>
      <c r="AK1229" s="2">
        <v>0.74573008834368204</v>
      </c>
      <c r="AL1229" s="2">
        <v>0.299633824424683</v>
      </c>
      <c r="AM1229" s="2">
        <v>0.13738486181380999</v>
      </c>
      <c r="AN1229" s="2">
        <v>1.5082701443297699</v>
      </c>
      <c r="AO1229" s="2">
        <v>6.1567708524427202E-2</v>
      </c>
      <c r="AP1229" s="2">
        <v>6.1567708524427202E-2</v>
      </c>
      <c r="AQ1229" s="2">
        <v>3</v>
      </c>
      <c r="AR1229" s="2">
        <v>8</v>
      </c>
      <c r="AS1229" s="2">
        <v>0</v>
      </c>
      <c r="AT1229" s="2">
        <v>41</v>
      </c>
      <c r="AU1229" s="2">
        <v>15</v>
      </c>
      <c r="AV1229" s="2">
        <v>50</v>
      </c>
      <c r="AW1229" s="2">
        <v>0</v>
      </c>
      <c r="AX1229" s="2">
        <v>8</v>
      </c>
      <c r="AZ1229" s="2">
        <v>6.8</v>
      </c>
      <c r="BA1229" s="2">
        <v>19.899999999999999</v>
      </c>
      <c r="BB1229" s="2">
        <v>564</v>
      </c>
      <c r="BC1229" s="2">
        <v>68</v>
      </c>
      <c r="BD1229" s="2">
        <v>1.5</v>
      </c>
      <c r="BE1229" s="2">
        <v>135</v>
      </c>
      <c r="BF1229" s="2">
        <v>0.8</v>
      </c>
      <c r="BG1229" s="2">
        <v>162</v>
      </c>
      <c r="BH1229" s="2">
        <v>9.1</v>
      </c>
      <c r="BI1229" s="2">
        <v>9.1999999999999993</v>
      </c>
      <c r="BJ1229" s="2">
        <v>18.3</v>
      </c>
      <c r="BK1229" s="2">
        <v>0.34</v>
      </c>
      <c r="BL1229" s="2">
        <v>7.3</v>
      </c>
      <c r="BM1229" s="2">
        <v>0.9</v>
      </c>
      <c r="BN1229" s="2">
        <v>7.5</v>
      </c>
      <c r="BO1229" s="2">
        <v>2.9</v>
      </c>
      <c r="BP1229" s="2">
        <f t="shared" si="38"/>
        <v>5.9716993618545215</v>
      </c>
      <c r="BQ1229" s="2">
        <f t="shared" si="39"/>
        <v>18.685395712445001</v>
      </c>
    </row>
    <row r="1230" spans="1:69" x14ac:dyDescent="0.2">
      <c r="A1230" s="2" t="s">
        <v>3820</v>
      </c>
      <c r="B1230" s="2" t="s">
        <v>47</v>
      </c>
      <c r="C1230" s="2" t="s">
        <v>3273</v>
      </c>
      <c r="D1230" s="2" t="s">
        <v>49</v>
      </c>
      <c r="E1230" s="2" t="s">
        <v>360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89</v>
      </c>
      <c r="L1230" s="6" t="s">
        <v>90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3821</v>
      </c>
      <c r="R1230" s="2">
        <v>11653225.810000001</v>
      </c>
      <c r="S1230" s="2">
        <v>0</v>
      </c>
      <c r="T1230" s="2" t="s">
        <v>105</v>
      </c>
      <c r="U1230" s="2" t="s">
        <v>106</v>
      </c>
      <c r="V1230" s="2" t="s">
        <v>56</v>
      </c>
      <c r="W1230" s="2" t="s">
        <v>107</v>
      </c>
      <c r="X1230" s="2" t="s">
        <v>108</v>
      </c>
      <c r="Y1230" s="2">
        <v>2.5735540000680799</v>
      </c>
      <c r="Z1230" s="2">
        <v>2573.5540000680799</v>
      </c>
      <c r="AA1230" s="2">
        <v>4.6254861111111101</v>
      </c>
      <c r="AB1230" s="2">
        <v>-74.066980555555503</v>
      </c>
      <c r="AC1230" s="2">
        <v>2621</v>
      </c>
      <c r="AD1230" s="2">
        <v>15</v>
      </c>
      <c r="AE1230" s="2" t="s">
        <v>59</v>
      </c>
      <c r="AF1230" s="2" t="s">
        <v>60</v>
      </c>
      <c r="AG1230" s="2" t="s">
        <v>61</v>
      </c>
      <c r="AH1230" s="2" t="s">
        <v>62</v>
      </c>
      <c r="AI1230" s="2" t="s">
        <v>117</v>
      </c>
      <c r="AJ1230" s="2">
        <v>5.1997441834960599E-2</v>
      </c>
      <c r="AK1230" s="2">
        <v>0.55592774135858503</v>
      </c>
      <c r="AL1230" s="2">
        <v>0.108262435122189</v>
      </c>
      <c r="AM1230" s="2">
        <v>0.13217973203905101</v>
      </c>
      <c r="AN1230" s="2">
        <v>1.44554014759113</v>
      </c>
      <c r="AO1230" s="2">
        <v>0.222967570278648</v>
      </c>
      <c r="AP1230" s="2">
        <v>0.222967570278648</v>
      </c>
      <c r="AQ1230" s="2">
        <v>3</v>
      </c>
      <c r="AR1230" s="2">
        <v>6</v>
      </c>
      <c r="AS1230" s="2">
        <v>0</v>
      </c>
      <c r="AT1230" s="2">
        <v>57</v>
      </c>
      <c r="AU1230" s="2">
        <v>13</v>
      </c>
      <c r="AV1230" s="2">
        <v>49</v>
      </c>
      <c r="AW1230" s="2">
        <v>0</v>
      </c>
      <c r="AX1230" s="2">
        <v>8</v>
      </c>
      <c r="AZ1230" s="2">
        <v>6.8</v>
      </c>
      <c r="BA1230" s="2">
        <v>19.899999999999999</v>
      </c>
      <c r="BB1230" s="2">
        <v>564</v>
      </c>
      <c r="BC1230" s="2">
        <v>68</v>
      </c>
      <c r="BD1230" s="2">
        <v>1.5</v>
      </c>
      <c r="BE1230" s="2">
        <v>135</v>
      </c>
      <c r="BF1230" s="2">
        <v>0.8</v>
      </c>
      <c r="BG1230" s="2">
        <v>162</v>
      </c>
      <c r="BH1230" s="2">
        <v>9.1</v>
      </c>
      <c r="BI1230" s="2">
        <v>9.1999999999999993</v>
      </c>
      <c r="BJ1230" s="2">
        <v>18.3</v>
      </c>
      <c r="BK1230" s="2">
        <v>0.34</v>
      </c>
      <c r="BL1230" s="2">
        <v>7.3</v>
      </c>
      <c r="BM1230" s="2">
        <v>0.9</v>
      </c>
      <c r="BN1230" s="2">
        <v>7.5</v>
      </c>
      <c r="BO1230" s="2">
        <v>2.9</v>
      </c>
      <c r="BP1230" s="2">
        <f t="shared" si="38"/>
        <v>5.9866481976653354</v>
      </c>
      <c r="BQ1230" s="2">
        <f t="shared" si="39"/>
        <v>18.708059788341192</v>
      </c>
    </row>
    <row r="1231" spans="1:69" x14ac:dyDescent="0.2">
      <c r="A1231" s="2" t="s">
        <v>3420</v>
      </c>
      <c r="B1231" s="2" t="s">
        <v>47</v>
      </c>
      <c r="C1231" s="2" t="s">
        <v>3273</v>
      </c>
      <c r="D1231" s="2" t="s">
        <v>49</v>
      </c>
      <c r="E1231" s="2" t="s">
        <v>514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89</v>
      </c>
      <c r="L1231" s="6" t="s">
        <v>90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3421</v>
      </c>
      <c r="R1231" s="2">
        <v>11088709.68</v>
      </c>
      <c r="S1231" s="2">
        <v>0</v>
      </c>
      <c r="T1231" s="2" t="s">
        <v>105</v>
      </c>
      <c r="U1231" s="2" t="s">
        <v>106</v>
      </c>
      <c r="V1231" s="2" t="s">
        <v>56</v>
      </c>
      <c r="W1231" s="2" t="s">
        <v>107</v>
      </c>
      <c r="X1231" s="2" t="s">
        <v>108</v>
      </c>
      <c r="Y1231" s="2">
        <v>2.7512779644538101</v>
      </c>
      <c r="Z1231" s="2">
        <v>2751.27796445381</v>
      </c>
      <c r="AA1231" s="2">
        <v>4.6254861111111101</v>
      </c>
      <c r="AB1231" s="2">
        <v>-74.066980555555503</v>
      </c>
      <c r="AC1231" s="2">
        <v>2621</v>
      </c>
      <c r="AD1231" s="2">
        <v>15</v>
      </c>
      <c r="AE1231" s="2" t="s">
        <v>59</v>
      </c>
      <c r="AF1231" s="2" t="s">
        <v>60</v>
      </c>
      <c r="AG1231" s="2" t="s">
        <v>61</v>
      </c>
      <c r="AH1231" s="2" t="s">
        <v>62</v>
      </c>
      <c r="AI1231" s="2" t="s">
        <v>516</v>
      </c>
      <c r="AJ1231" s="2">
        <v>0.305531208289678</v>
      </c>
      <c r="AK1231" s="2">
        <v>0.39784365829118001</v>
      </c>
      <c r="AL1231" s="2">
        <v>7.9185190584535298E-2</v>
      </c>
      <c r="AM1231" s="2">
        <v>1.0232339963942599E-2</v>
      </c>
      <c r="AN1231" s="2">
        <v>1.6027684621848499</v>
      </c>
      <c r="AO1231" s="2">
        <v>0.27667010738283898</v>
      </c>
      <c r="AP1231" s="2">
        <v>0.27667010738283898</v>
      </c>
      <c r="AQ1231" s="2">
        <v>2</v>
      </c>
      <c r="AR1231" s="2">
        <v>3</v>
      </c>
      <c r="AS1231" s="2">
        <v>7</v>
      </c>
      <c r="AT1231" s="2">
        <v>68</v>
      </c>
      <c r="AU1231" s="2">
        <v>12</v>
      </c>
      <c r="AV1231" s="2">
        <v>35</v>
      </c>
      <c r="AW1231" s="2">
        <v>0</v>
      </c>
      <c r="AX1231" s="2">
        <v>6</v>
      </c>
      <c r="AZ1231" s="2">
        <v>6.8</v>
      </c>
      <c r="BA1231" s="2">
        <v>19.899999999999999</v>
      </c>
      <c r="BB1231" s="2">
        <v>564</v>
      </c>
      <c r="BC1231" s="2">
        <v>68</v>
      </c>
      <c r="BD1231" s="2">
        <v>1.5</v>
      </c>
      <c r="BE1231" s="2">
        <v>135</v>
      </c>
      <c r="BF1231" s="2">
        <v>0.8</v>
      </c>
      <c r="BG1231" s="2">
        <v>162</v>
      </c>
      <c r="BH1231" s="2">
        <v>9.1</v>
      </c>
      <c r="BI1231" s="2">
        <v>9.1999999999999993</v>
      </c>
      <c r="BJ1231" s="2">
        <v>18.3</v>
      </c>
      <c r="BK1231" s="2">
        <v>0.34</v>
      </c>
      <c r="BL1231" s="2">
        <v>7.3</v>
      </c>
      <c r="BM1231" s="2">
        <v>0.9</v>
      </c>
      <c r="BN1231" s="2">
        <v>7.5</v>
      </c>
      <c r="BO1231" s="2">
        <v>2.9</v>
      </c>
      <c r="BP1231" s="2">
        <f t="shared" si="38"/>
        <v>5.9342126253962633</v>
      </c>
      <c r="BQ1231" s="2">
        <f t="shared" si="39"/>
        <v>18.628432835241213</v>
      </c>
    </row>
    <row r="1232" spans="1:69" x14ac:dyDescent="0.2">
      <c r="A1232" s="2" t="s">
        <v>3794</v>
      </c>
      <c r="B1232" s="2" t="s">
        <v>47</v>
      </c>
      <c r="C1232" s="2" t="s">
        <v>3273</v>
      </c>
      <c r="D1232" s="2" t="s">
        <v>49</v>
      </c>
      <c r="E1232" s="2" t="s">
        <v>3795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89</v>
      </c>
      <c r="L1232" s="6" t="s">
        <v>90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3796</v>
      </c>
      <c r="R1232" s="2">
        <v>11812627.289999999</v>
      </c>
      <c r="S1232" s="2">
        <v>0</v>
      </c>
      <c r="T1232" s="2" t="s">
        <v>54</v>
      </c>
      <c r="U1232" s="2" t="s">
        <v>55</v>
      </c>
      <c r="V1232" s="2" t="s">
        <v>56</v>
      </c>
      <c r="W1232" s="2" t="s">
        <v>57</v>
      </c>
      <c r="X1232" s="2" t="s">
        <v>58</v>
      </c>
      <c r="Y1232" s="2">
        <v>3.0577502606458502</v>
      </c>
      <c r="Z1232" s="2">
        <v>3057.7502606458502</v>
      </c>
      <c r="AA1232" s="2">
        <v>4.6584666666666701</v>
      </c>
      <c r="AB1232" s="2">
        <v>-74.083966666666697</v>
      </c>
      <c r="AC1232" s="2">
        <v>2552</v>
      </c>
      <c r="AD1232" s="2">
        <v>0</v>
      </c>
      <c r="AE1232" s="2" t="s">
        <v>59</v>
      </c>
      <c r="AF1232" s="2" t="s">
        <v>60</v>
      </c>
      <c r="AG1232" s="2" t="s">
        <v>61</v>
      </c>
      <c r="AH1232" s="2" t="s">
        <v>62</v>
      </c>
      <c r="AI1232" s="2" t="s">
        <v>391</v>
      </c>
      <c r="AJ1232" s="2">
        <v>1.9743430482305699</v>
      </c>
      <c r="AK1232" s="2">
        <v>5.6648396755157702</v>
      </c>
      <c r="AL1232" s="2">
        <v>1.5607590487982299</v>
      </c>
      <c r="AM1232" s="2">
        <v>0.40100051359361299</v>
      </c>
      <c r="AN1232" s="2">
        <v>1.05703014522988</v>
      </c>
      <c r="AO1232" s="2">
        <v>0.32491516194720499</v>
      </c>
      <c r="AP1232" s="2">
        <v>0.32491516194720499</v>
      </c>
      <c r="AQ1232" s="2">
        <v>0</v>
      </c>
      <c r="AR1232" s="2">
        <v>0</v>
      </c>
      <c r="AS1232" s="2">
        <v>0</v>
      </c>
      <c r="AT1232" s="2">
        <v>0</v>
      </c>
      <c r="AU1232" s="2">
        <v>0</v>
      </c>
      <c r="AV1232" s="2">
        <v>17</v>
      </c>
      <c r="AW1232" s="2">
        <v>0</v>
      </c>
      <c r="AX1232" s="2">
        <v>0</v>
      </c>
      <c r="AZ1232" s="2">
        <v>6.8</v>
      </c>
      <c r="BA1232" s="2">
        <v>19.899999999999999</v>
      </c>
      <c r="BB1232" s="2">
        <v>564</v>
      </c>
      <c r="BC1232" s="2">
        <v>68</v>
      </c>
      <c r="BD1232" s="2">
        <v>1.5</v>
      </c>
      <c r="BE1232" s="2">
        <v>135</v>
      </c>
      <c r="BF1232" s="2">
        <v>0.8</v>
      </c>
      <c r="BG1232" s="2">
        <v>162</v>
      </c>
      <c r="BH1232" s="2">
        <v>9.1</v>
      </c>
      <c r="BI1232" s="2">
        <v>9.1999999999999993</v>
      </c>
      <c r="BJ1232" s="2">
        <v>18.3</v>
      </c>
      <c r="BK1232" s="2">
        <v>0.34</v>
      </c>
      <c r="BL1232" s="2">
        <v>7.3</v>
      </c>
      <c r="BM1232" s="2">
        <v>0.9</v>
      </c>
      <c r="BN1232" s="2">
        <v>7.5</v>
      </c>
      <c r="BO1232" s="2">
        <v>2.9</v>
      </c>
      <c r="BP1232" s="2">
        <f t="shared" si="38"/>
        <v>5.8448677838315817</v>
      </c>
      <c r="BQ1232" s="2">
        <f t="shared" si="39"/>
        <v>18.491917143986729</v>
      </c>
    </row>
    <row r="1233" spans="1:69" x14ac:dyDescent="0.2">
      <c r="A1233" s="2" t="s">
        <v>3340</v>
      </c>
      <c r="B1233" s="2" t="s">
        <v>47</v>
      </c>
      <c r="C1233" s="2" t="s">
        <v>3273</v>
      </c>
      <c r="D1233" s="2" t="s">
        <v>49</v>
      </c>
      <c r="E1233" s="2" t="s">
        <v>1077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89</v>
      </c>
      <c r="L1233" s="6" t="s">
        <v>112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3341</v>
      </c>
      <c r="R1233" s="2">
        <v>11543184.609999999</v>
      </c>
      <c r="S1233" s="2">
        <v>0</v>
      </c>
      <c r="T1233" s="2" t="s">
        <v>105</v>
      </c>
      <c r="U1233" s="2" t="s">
        <v>106</v>
      </c>
      <c r="V1233" s="2" t="s">
        <v>56</v>
      </c>
      <c r="W1233" s="2" t="s">
        <v>107</v>
      </c>
      <c r="X1233" s="2" t="s">
        <v>108</v>
      </c>
      <c r="Y1233" s="2">
        <v>2.1677116937923602</v>
      </c>
      <c r="Z1233" s="2">
        <v>2167.7116937923602</v>
      </c>
      <c r="AA1233" s="2">
        <v>4.6254861111111101</v>
      </c>
      <c r="AB1233" s="2">
        <v>-74.066980555555503</v>
      </c>
      <c r="AC1233" s="2">
        <v>2621</v>
      </c>
      <c r="AD1233" s="2">
        <v>15</v>
      </c>
      <c r="AE1233" s="2" t="s">
        <v>59</v>
      </c>
      <c r="AF1233" s="2" t="s">
        <v>60</v>
      </c>
      <c r="AG1233" s="2" t="s">
        <v>61</v>
      </c>
      <c r="AH1233" s="2" t="s">
        <v>62</v>
      </c>
      <c r="AI1233" s="2" t="s">
        <v>117</v>
      </c>
      <c r="AJ1233" s="2">
        <v>0.32766150302208003</v>
      </c>
      <c r="AK1233" s="2">
        <v>0.57751539072407199</v>
      </c>
      <c r="AL1233" s="2">
        <v>5.4107842473486101E-2</v>
      </c>
      <c r="AM1233" s="2">
        <v>0.11934251047179401</v>
      </c>
      <c r="AN1233" s="2">
        <v>1.0723907097282901</v>
      </c>
      <c r="AO1233" s="2">
        <v>3.5437666742283103E-2</v>
      </c>
      <c r="AP1233" s="2">
        <v>3.5437666742283103E-2</v>
      </c>
      <c r="AQ1233" s="2">
        <v>2</v>
      </c>
      <c r="AR1233" s="2">
        <v>7</v>
      </c>
      <c r="AS1233" s="2">
        <v>0</v>
      </c>
      <c r="AT1233" s="2">
        <v>28</v>
      </c>
      <c r="AU1233" s="2">
        <v>14</v>
      </c>
      <c r="AV1233" s="2">
        <v>52</v>
      </c>
      <c r="AW1233" s="2">
        <v>0</v>
      </c>
      <c r="AX1233" s="2">
        <v>9</v>
      </c>
      <c r="AZ1233" s="2">
        <v>6.8</v>
      </c>
      <c r="BA1233" s="2">
        <v>19.899999999999999</v>
      </c>
      <c r="BB1233" s="2">
        <v>564</v>
      </c>
      <c r="BC1233" s="2">
        <v>68</v>
      </c>
      <c r="BD1233" s="2">
        <v>1.5</v>
      </c>
      <c r="BE1233" s="2">
        <v>135</v>
      </c>
      <c r="BF1233" s="2">
        <v>0.8</v>
      </c>
      <c r="BG1233" s="2">
        <v>162</v>
      </c>
      <c r="BH1233" s="2">
        <v>9.1</v>
      </c>
      <c r="BI1233" s="2">
        <v>9.1999999999999993</v>
      </c>
      <c r="BJ1233" s="2">
        <v>18.3</v>
      </c>
      <c r="BK1233" s="2">
        <v>0.34</v>
      </c>
      <c r="BL1233" s="2">
        <v>7.3</v>
      </c>
      <c r="BM1233" s="2">
        <v>0.9</v>
      </c>
      <c r="BN1233" s="2">
        <v>7.5</v>
      </c>
      <c r="BO1233" s="2">
        <v>2.9</v>
      </c>
      <c r="BP1233" s="2">
        <f t="shared" si="38"/>
        <v>6.1081312988750716</v>
      </c>
      <c r="BQ1233" s="2">
        <f t="shared" si="39"/>
        <v>18.891170641373659</v>
      </c>
    </row>
    <row r="1234" spans="1:69" x14ac:dyDescent="0.2">
      <c r="A1234" s="2" t="s">
        <v>3971</v>
      </c>
      <c r="B1234" s="2" t="s">
        <v>47</v>
      </c>
      <c r="C1234" s="2" t="s">
        <v>3273</v>
      </c>
      <c r="D1234" s="2" t="s">
        <v>49</v>
      </c>
      <c r="E1234" s="2" t="s">
        <v>2500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89</v>
      </c>
      <c r="L1234" s="6" t="s">
        <v>90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3972</v>
      </c>
      <c r="R1234" s="2">
        <v>13109381.4</v>
      </c>
      <c r="S1234" s="2">
        <v>0</v>
      </c>
      <c r="T1234" s="2" t="s">
        <v>54</v>
      </c>
      <c r="U1234" s="2" t="s">
        <v>55</v>
      </c>
      <c r="V1234" s="2" t="s">
        <v>56</v>
      </c>
      <c r="W1234" s="2" t="s">
        <v>57</v>
      </c>
      <c r="X1234" s="2" t="s">
        <v>58</v>
      </c>
      <c r="Y1234" s="2">
        <v>3.3649576479637302</v>
      </c>
      <c r="Z1234" s="2">
        <v>3364.9576479637299</v>
      </c>
      <c r="AA1234" s="2">
        <v>4.6584666666666701</v>
      </c>
      <c r="AB1234" s="2">
        <v>-74.083966666666697</v>
      </c>
      <c r="AC1234" s="2">
        <v>2552</v>
      </c>
      <c r="AD1234" s="2">
        <v>0</v>
      </c>
      <c r="AE1234" s="2" t="s">
        <v>59</v>
      </c>
      <c r="AF1234" s="2" t="s">
        <v>60</v>
      </c>
      <c r="AG1234" s="2" t="s">
        <v>61</v>
      </c>
      <c r="AH1234" s="2" t="s">
        <v>62</v>
      </c>
      <c r="AI1234" s="2" t="s">
        <v>321</v>
      </c>
      <c r="AJ1234" s="2">
        <v>0.18666236193882199</v>
      </c>
      <c r="AK1234" s="2">
        <v>2.1213873185806902</v>
      </c>
      <c r="AL1234" s="2">
        <v>0.26495790860548102</v>
      </c>
      <c r="AM1234" s="2">
        <v>4.3995384828933302E-2</v>
      </c>
      <c r="AN1234" s="2">
        <v>2.4333779814297101</v>
      </c>
      <c r="AO1234" s="2">
        <v>0.365335066187019</v>
      </c>
      <c r="AP1234" s="2">
        <v>0.365335066187019</v>
      </c>
      <c r="AQ1234" s="2">
        <v>1</v>
      </c>
      <c r="AR1234" s="2">
        <v>8</v>
      </c>
      <c r="AS1234" s="2">
        <v>0</v>
      </c>
      <c r="AT1234" s="2">
        <v>0</v>
      </c>
      <c r="AU1234" s="2">
        <v>1</v>
      </c>
      <c r="AV1234" s="2">
        <v>287</v>
      </c>
      <c r="AW1234" s="2">
        <v>0</v>
      </c>
      <c r="AX1234" s="2">
        <v>0</v>
      </c>
      <c r="AZ1234" s="2">
        <v>6.8</v>
      </c>
      <c r="BA1234" s="2">
        <v>19.899999999999999</v>
      </c>
      <c r="BB1234" s="2">
        <v>564</v>
      </c>
      <c r="BC1234" s="2">
        <v>68</v>
      </c>
      <c r="BD1234" s="2">
        <v>1.5</v>
      </c>
      <c r="BE1234" s="2">
        <v>135</v>
      </c>
      <c r="BF1234" s="2">
        <v>0.8</v>
      </c>
      <c r="BG1234" s="2">
        <v>162</v>
      </c>
      <c r="BH1234" s="2">
        <v>9.1</v>
      </c>
      <c r="BI1234" s="2">
        <v>9.1999999999999993</v>
      </c>
      <c r="BJ1234" s="2">
        <v>18.3</v>
      </c>
      <c r="BK1234" s="2">
        <v>0.34</v>
      </c>
      <c r="BL1234" s="2">
        <v>7.3</v>
      </c>
      <c r="BM1234" s="2">
        <v>0.9</v>
      </c>
      <c r="BN1234" s="2">
        <v>7.5</v>
      </c>
      <c r="BO1234" s="2">
        <v>2.9</v>
      </c>
      <c r="BP1234" s="2">
        <f t="shared" si="38"/>
        <v>5.7566586367979777</v>
      </c>
      <c r="BQ1234" s="2">
        <f t="shared" si="39"/>
        <v>18.356078043393286</v>
      </c>
    </row>
    <row r="1235" spans="1:69" x14ac:dyDescent="0.2">
      <c r="A1235" s="2" t="s">
        <v>4439</v>
      </c>
      <c r="B1235" s="2" t="s">
        <v>47</v>
      </c>
      <c r="C1235" s="2" t="s">
        <v>3273</v>
      </c>
      <c r="D1235" s="2" t="s">
        <v>49</v>
      </c>
      <c r="E1235" s="2" t="s">
        <v>1465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89</v>
      </c>
      <c r="L1235" s="6" t="s">
        <v>90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4440</v>
      </c>
      <c r="R1235" s="2">
        <v>18541409.149999999</v>
      </c>
      <c r="S1235" s="2">
        <v>0</v>
      </c>
      <c r="T1235" s="2" t="s">
        <v>54</v>
      </c>
      <c r="U1235" s="2" t="s">
        <v>55</v>
      </c>
      <c r="V1235" s="2" t="s">
        <v>56</v>
      </c>
      <c r="W1235" s="2" t="s">
        <v>57</v>
      </c>
      <c r="X1235" s="2" t="s">
        <v>58</v>
      </c>
      <c r="Y1235" s="2">
        <v>4.0313273645067902</v>
      </c>
      <c r="Z1235" s="2">
        <v>4031.3273645067902</v>
      </c>
      <c r="AA1235" s="2">
        <v>4.6584666666666701</v>
      </c>
      <c r="AB1235" s="2">
        <v>-74.083966666666697</v>
      </c>
      <c r="AC1235" s="2">
        <v>2552</v>
      </c>
      <c r="AD1235" s="2">
        <v>0</v>
      </c>
      <c r="AE1235" s="2" t="s">
        <v>59</v>
      </c>
      <c r="AF1235" s="2" t="s">
        <v>60</v>
      </c>
      <c r="AG1235" s="2" t="s">
        <v>61</v>
      </c>
      <c r="AH1235" s="2" t="s">
        <v>62</v>
      </c>
      <c r="AI1235" s="2" t="s">
        <v>109</v>
      </c>
      <c r="AJ1235" s="2">
        <v>0.32635223880348302</v>
      </c>
      <c r="AK1235" s="2">
        <v>2.0077617162312298</v>
      </c>
      <c r="AL1235" s="2">
        <v>0.58209682029158705</v>
      </c>
      <c r="AM1235" s="2">
        <v>5.5270754368578999E-2</v>
      </c>
      <c r="AN1235" s="2">
        <v>2.9948939577273599</v>
      </c>
      <c r="AO1235" s="2">
        <v>0.33609746580022998</v>
      </c>
      <c r="AP1235" s="2">
        <v>0.33609746580022998</v>
      </c>
      <c r="AQ1235" s="2">
        <v>1</v>
      </c>
      <c r="AR1235" s="2">
        <v>4</v>
      </c>
      <c r="AS1235" s="2">
        <v>0</v>
      </c>
      <c r="AT1235" s="2">
        <v>0</v>
      </c>
      <c r="AU1235" s="2">
        <v>5</v>
      </c>
      <c r="AV1235" s="2">
        <v>247</v>
      </c>
      <c r="AW1235" s="2">
        <v>0</v>
      </c>
      <c r="AX1235" s="2">
        <v>0</v>
      </c>
      <c r="AZ1235" s="2">
        <v>6.8</v>
      </c>
      <c r="BA1235" s="2">
        <v>19.899999999999999</v>
      </c>
      <c r="BB1235" s="2">
        <v>564</v>
      </c>
      <c r="BC1235" s="2">
        <v>68</v>
      </c>
      <c r="BD1235" s="2">
        <v>1.5</v>
      </c>
      <c r="BE1235" s="2">
        <v>135</v>
      </c>
      <c r="BF1235" s="2">
        <v>0.8</v>
      </c>
      <c r="BG1235" s="2">
        <v>162</v>
      </c>
      <c r="BH1235" s="2">
        <v>9.1</v>
      </c>
      <c r="BI1235" s="2">
        <v>9.1999999999999993</v>
      </c>
      <c r="BJ1235" s="2">
        <v>18.3</v>
      </c>
      <c r="BK1235" s="2">
        <v>0.34</v>
      </c>
      <c r="BL1235" s="2">
        <v>7.3</v>
      </c>
      <c r="BM1235" s="2">
        <v>0.9</v>
      </c>
      <c r="BN1235" s="2">
        <v>7.5</v>
      </c>
      <c r="BO1235" s="2">
        <v>2.9</v>
      </c>
      <c r="BP1235" s="2">
        <f t="shared" si="38"/>
        <v>5.569871076599842</v>
      </c>
      <c r="BQ1235" s="2">
        <f t="shared" si="39"/>
        <v>18.064846635714119</v>
      </c>
    </row>
    <row r="1236" spans="1:69" x14ac:dyDescent="0.2">
      <c r="A1236" s="2" t="s">
        <v>3458</v>
      </c>
      <c r="B1236" s="2" t="s">
        <v>47</v>
      </c>
      <c r="C1236" s="2" t="s">
        <v>3273</v>
      </c>
      <c r="D1236" s="2" t="s">
        <v>49</v>
      </c>
      <c r="E1236" s="2" t="s">
        <v>1053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89</v>
      </c>
      <c r="L1236" s="6" t="s">
        <v>90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3459</v>
      </c>
      <c r="R1236" s="2">
        <v>17099299.550000001</v>
      </c>
      <c r="S1236" s="2">
        <v>0</v>
      </c>
      <c r="T1236" s="2" t="s">
        <v>54</v>
      </c>
      <c r="U1236" s="2" t="s">
        <v>55</v>
      </c>
      <c r="V1236" s="2" t="s">
        <v>56</v>
      </c>
      <c r="W1236" s="2" t="s">
        <v>57</v>
      </c>
      <c r="X1236" s="2" t="s">
        <v>58</v>
      </c>
      <c r="Y1236" s="2">
        <v>3.9827467818729398</v>
      </c>
      <c r="Z1236" s="2">
        <v>3982.7467818729401</v>
      </c>
      <c r="AA1236" s="2">
        <v>4.6584666666666701</v>
      </c>
      <c r="AB1236" s="2">
        <v>-74.083966666666697</v>
      </c>
      <c r="AC1236" s="2">
        <v>2552</v>
      </c>
      <c r="AD1236" s="2">
        <v>0</v>
      </c>
      <c r="AE1236" s="2" t="s">
        <v>59</v>
      </c>
      <c r="AF1236" s="2" t="s">
        <v>60</v>
      </c>
      <c r="AG1236" s="2" t="s">
        <v>61</v>
      </c>
      <c r="AH1236" s="2" t="s">
        <v>62</v>
      </c>
      <c r="AI1236" s="2" t="s">
        <v>109</v>
      </c>
      <c r="AJ1236" s="2">
        <v>0.360856776985711</v>
      </c>
      <c r="AK1236" s="2">
        <v>2.0032291778344402</v>
      </c>
      <c r="AL1236" s="2">
        <v>0.63598338431257795</v>
      </c>
      <c r="AM1236" s="2">
        <v>0.111184446616394</v>
      </c>
      <c r="AN1236" s="2">
        <v>2.96181154617737</v>
      </c>
      <c r="AO1236" s="2">
        <v>0.30435811307343502</v>
      </c>
      <c r="AP1236" s="2">
        <v>0.30435811307343502</v>
      </c>
      <c r="AQ1236" s="2">
        <v>1</v>
      </c>
      <c r="AR1236" s="2">
        <v>4</v>
      </c>
      <c r="AS1236" s="2">
        <v>0</v>
      </c>
      <c r="AT1236" s="2">
        <v>0</v>
      </c>
      <c r="AU1236" s="2">
        <v>5</v>
      </c>
      <c r="AV1236" s="2">
        <v>247</v>
      </c>
      <c r="AW1236" s="2">
        <v>0</v>
      </c>
      <c r="AX1236" s="2">
        <v>0</v>
      </c>
      <c r="AZ1236" s="2">
        <v>6.8</v>
      </c>
      <c r="BA1236" s="2">
        <v>19.899999999999999</v>
      </c>
      <c r="BB1236" s="2">
        <v>564</v>
      </c>
      <c r="BC1236" s="2">
        <v>68</v>
      </c>
      <c r="BD1236" s="2">
        <v>1.5</v>
      </c>
      <c r="BE1236" s="2">
        <v>135</v>
      </c>
      <c r="BF1236" s="2">
        <v>0.8</v>
      </c>
      <c r="BG1236" s="2">
        <v>162</v>
      </c>
      <c r="BH1236" s="2">
        <v>9.1</v>
      </c>
      <c r="BI1236" s="2">
        <v>9.1999999999999993</v>
      </c>
      <c r="BJ1236" s="2">
        <v>18.3</v>
      </c>
      <c r="BK1236" s="2">
        <v>0.34</v>
      </c>
      <c r="BL1236" s="2">
        <v>7.3</v>
      </c>
      <c r="BM1236" s="2">
        <v>0.9</v>
      </c>
      <c r="BN1236" s="2">
        <v>7.5</v>
      </c>
      <c r="BO1236" s="2">
        <v>2.9</v>
      </c>
      <c r="BP1236" s="2">
        <f t="shared" si="38"/>
        <v>5.5832812794691336</v>
      </c>
      <c r="BQ1236" s="2">
        <f t="shared" si="39"/>
        <v>18.085921337776462</v>
      </c>
    </row>
    <row r="1237" spans="1:69" x14ac:dyDescent="0.2">
      <c r="A1237" s="2" t="s">
        <v>1081</v>
      </c>
      <c r="B1237" s="2" t="s">
        <v>47</v>
      </c>
      <c r="C1237" s="2" t="s">
        <v>48</v>
      </c>
      <c r="D1237" s="2" t="s">
        <v>49</v>
      </c>
      <c r="E1237" s="2" t="s">
        <v>1082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89</v>
      </c>
      <c r="L1237" s="6" t="s">
        <v>90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1083</v>
      </c>
      <c r="R1237" s="2">
        <v>9102192.8010000009</v>
      </c>
      <c r="S1237" s="2">
        <v>0</v>
      </c>
      <c r="T1237" s="2" t="s">
        <v>398</v>
      </c>
      <c r="U1237" s="2" t="s">
        <v>399</v>
      </c>
      <c r="V1237" s="2" t="s">
        <v>56</v>
      </c>
      <c r="W1237" s="2" t="s">
        <v>57</v>
      </c>
      <c r="X1237" s="2" t="s">
        <v>400</v>
      </c>
      <c r="Y1237" s="2">
        <v>4.2146135911231202</v>
      </c>
      <c r="Z1237" s="2">
        <v>4214.6135911231204</v>
      </c>
      <c r="AA1237" s="2">
        <v>4.7358055555555598</v>
      </c>
      <c r="AB1237" s="2">
        <v>-74.125888888888895</v>
      </c>
      <c r="AC1237" s="2">
        <v>2574</v>
      </c>
      <c r="AD1237" s="2">
        <v>0</v>
      </c>
      <c r="AE1237" s="2" t="s">
        <v>133</v>
      </c>
      <c r="AF1237" s="2" t="s">
        <v>86</v>
      </c>
      <c r="AG1237" s="2" t="s">
        <v>61</v>
      </c>
      <c r="AH1237" s="2" t="s">
        <v>62</v>
      </c>
      <c r="AI1237" s="2" t="s">
        <v>391</v>
      </c>
      <c r="AJ1237" s="2">
        <v>0.146656258557992</v>
      </c>
      <c r="AK1237" s="2">
        <v>3.2702964462407502</v>
      </c>
      <c r="AL1237" s="2">
        <v>1.27831896229301</v>
      </c>
      <c r="AM1237" s="2">
        <v>0.16255256440057</v>
      </c>
      <c r="AN1237" s="2">
        <v>1.5585274524953101</v>
      </c>
      <c r="AO1237" s="2">
        <v>6.55564522270723E-3</v>
      </c>
      <c r="AP1237" s="2">
        <v>6.55564522270723E-3</v>
      </c>
      <c r="AQ1237" s="2">
        <v>2</v>
      </c>
      <c r="AR1237" s="2">
        <v>4</v>
      </c>
      <c r="AS1237" s="2">
        <v>0</v>
      </c>
      <c r="AT1237" s="2">
        <v>0</v>
      </c>
      <c r="AU1237" s="2">
        <v>0</v>
      </c>
      <c r="AV1237" s="2">
        <v>32</v>
      </c>
      <c r="AW1237" s="2">
        <v>0</v>
      </c>
      <c r="AX1237" s="2">
        <v>0</v>
      </c>
      <c r="AZ1237" s="2">
        <v>6.8</v>
      </c>
      <c r="BA1237" s="2">
        <v>19.899999999999999</v>
      </c>
      <c r="BB1237" s="2">
        <v>564</v>
      </c>
      <c r="BC1237" s="2">
        <v>68</v>
      </c>
      <c r="BD1237" s="2">
        <v>1.5</v>
      </c>
      <c r="BE1237" s="2">
        <v>135</v>
      </c>
      <c r="BF1237" s="2">
        <v>0.8</v>
      </c>
      <c r="BG1237" s="2">
        <v>162</v>
      </c>
      <c r="BH1237" s="2">
        <v>9.1</v>
      </c>
      <c r="BI1237" s="2">
        <v>9.1999999999999993</v>
      </c>
      <c r="BJ1237" s="2">
        <v>18.3</v>
      </c>
      <c r="BK1237" s="2">
        <v>0.34</v>
      </c>
      <c r="BL1237" s="2">
        <v>7.3</v>
      </c>
      <c r="BM1237" s="2">
        <v>0.9</v>
      </c>
      <c r="BN1237" s="2">
        <v>7.5</v>
      </c>
      <c r="BO1237" s="2">
        <v>2.9</v>
      </c>
      <c r="BP1237" s="2">
        <f t="shared" si="38"/>
        <v>5.5195660298709708</v>
      </c>
      <c r="BQ1237" s="2">
        <f t="shared" si="39"/>
        <v>17.985556255802347</v>
      </c>
    </row>
    <row r="1238" spans="1:69" x14ac:dyDescent="0.2">
      <c r="A1238" s="2" t="s">
        <v>4206</v>
      </c>
      <c r="B1238" s="2" t="s">
        <v>47</v>
      </c>
      <c r="C1238" s="2" t="s">
        <v>3273</v>
      </c>
      <c r="D1238" s="2" t="s">
        <v>49</v>
      </c>
      <c r="E1238" s="2" t="s">
        <v>111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89</v>
      </c>
      <c r="L1238" s="6" t="s">
        <v>90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4207</v>
      </c>
      <c r="R1238" s="2">
        <v>16625000</v>
      </c>
      <c r="S1238" s="2">
        <v>0</v>
      </c>
      <c r="T1238" s="2" t="s">
        <v>54</v>
      </c>
      <c r="U1238" s="2" t="s">
        <v>55</v>
      </c>
      <c r="V1238" s="2" t="s">
        <v>56</v>
      </c>
      <c r="W1238" s="2" t="s">
        <v>57</v>
      </c>
      <c r="X1238" s="2" t="s">
        <v>58</v>
      </c>
      <c r="Y1238" s="2">
        <v>4.1391104047324596</v>
      </c>
      <c r="Z1238" s="2">
        <v>4139.1104047324598</v>
      </c>
      <c r="AA1238" s="2">
        <v>4.6584666666666701</v>
      </c>
      <c r="AB1238" s="2">
        <v>-74.083966666666697</v>
      </c>
      <c r="AC1238" s="2">
        <v>2552</v>
      </c>
      <c r="AD1238" s="2">
        <v>0</v>
      </c>
      <c r="AE1238" s="2" t="s">
        <v>59</v>
      </c>
      <c r="AF1238" s="2" t="s">
        <v>60</v>
      </c>
      <c r="AG1238" s="2" t="s">
        <v>61</v>
      </c>
      <c r="AH1238" s="2" t="s">
        <v>62</v>
      </c>
      <c r="AI1238" s="2" t="s">
        <v>109</v>
      </c>
      <c r="AJ1238" s="2">
        <v>0.34952045579506102</v>
      </c>
      <c r="AK1238" s="2">
        <v>1.9528243218344501</v>
      </c>
      <c r="AL1238" s="2">
        <v>0.48182820651527503</v>
      </c>
      <c r="AM1238" s="2">
        <v>6.5544088265223205E-2</v>
      </c>
      <c r="AN1238" s="2">
        <v>3.0989321064638302</v>
      </c>
      <c r="AO1238" s="2">
        <v>0.37797882782603198</v>
      </c>
      <c r="AP1238" s="2">
        <v>0.37797882782603198</v>
      </c>
      <c r="AQ1238" s="2">
        <v>1</v>
      </c>
      <c r="AR1238" s="2">
        <v>3</v>
      </c>
      <c r="AS1238" s="2">
        <v>0</v>
      </c>
      <c r="AT1238" s="2">
        <v>0</v>
      </c>
      <c r="AU1238" s="2">
        <v>5</v>
      </c>
      <c r="AV1238" s="2">
        <v>243</v>
      </c>
      <c r="AW1238" s="2">
        <v>0</v>
      </c>
      <c r="AX1238" s="2">
        <v>0</v>
      </c>
      <c r="AZ1238" s="2">
        <v>6.8</v>
      </c>
      <c r="BA1238" s="2">
        <v>19.899999999999999</v>
      </c>
      <c r="BB1238" s="2">
        <v>564</v>
      </c>
      <c r="BC1238" s="2">
        <v>68</v>
      </c>
      <c r="BD1238" s="2">
        <v>1.5</v>
      </c>
      <c r="BE1238" s="2">
        <v>135</v>
      </c>
      <c r="BF1238" s="2">
        <v>0.8</v>
      </c>
      <c r="BG1238" s="2">
        <v>162</v>
      </c>
      <c r="BH1238" s="2">
        <v>9.1</v>
      </c>
      <c r="BI1238" s="2">
        <v>9.1999999999999993</v>
      </c>
      <c r="BJ1238" s="2">
        <v>18.3</v>
      </c>
      <c r="BK1238" s="2">
        <v>0.34</v>
      </c>
      <c r="BL1238" s="2">
        <v>7.3</v>
      </c>
      <c r="BM1238" s="2">
        <v>0.9</v>
      </c>
      <c r="BN1238" s="2">
        <v>7.5</v>
      </c>
      <c r="BO1238" s="2">
        <v>2.9</v>
      </c>
      <c r="BP1238" s="2">
        <f t="shared" si="38"/>
        <v>5.5402334959133794</v>
      </c>
      <c r="BQ1238" s="2">
        <f t="shared" si="39"/>
        <v>18.018177005874758</v>
      </c>
    </row>
    <row r="1239" spans="1:69" x14ac:dyDescent="0.2">
      <c r="A1239" s="2" t="s">
        <v>4095</v>
      </c>
      <c r="B1239" s="2" t="s">
        <v>47</v>
      </c>
      <c r="C1239" s="2" t="s">
        <v>3273</v>
      </c>
      <c r="D1239" s="2" t="s">
        <v>49</v>
      </c>
      <c r="E1239" s="2" t="s">
        <v>115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89</v>
      </c>
      <c r="L1239" s="6" t="s">
        <v>90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4096</v>
      </c>
      <c r="R1239" s="2">
        <v>14791666.67</v>
      </c>
      <c r="S1239" s="2">
        <v>0</v>
      </c>
      <c r="T1239" s="2" t="s">
        <v>105</v>
      </c>
      <c r="U1239" s="2" t="s">
        <v>106</v>
      </c>
      <c r="V1239" s="2" t="s">
        <v>56</v>
      </c>
      <c r="W1239" s="2" t="s">
        <v>107</v>
      </c>
      <c r="X1239" s="2" t="s">
        <v>108</v>
      </c>
      <c r="Y1239" s="2">
        <v>0.633997516669768</v>
      </c>
      <c r="Z1239" s="2">
        <v>633.99751666976795</v>
      </c>
      <c r="AA1239" s="2">
        <v>4.6254861111111101</v>
      </c>
      <c r="AB1239" s="2">
        <v>-74.066980555555503</v>
      </c>
      <c r="AC1239" s="2">
        <v>2621</v>
      </c>
      <c r="AD1239" s="2">
        <v>15</v>
      </c>
      <c r="AE1239" s="2" t="s">
        <v>59</v>
      </c>
      <c r="AF1239" s="2" t="s">
        <v>60</v>
      </c>
      <c r="AG1239" s="2" t="s">
        <v>61</v>
      </c>
      <c r="AH1239" s="2" t="s">
        <v>62</v>
      </c>
      <c r="AI1239" s="2" t="s">
        <v>117</v>
      </c>
      <c r="AJ1239" s="2">
        <v>0.11136946779222399</v>
      </c>
      <c r="AK1239" s="2">
        <v>0.89949815752611095</v>
      </c>
      <c r="AL1239" s="2">
        <v>0.31405967624686398</v>
      </c>
      <c r="AM1239" s="2">
        <v>3.8130556448605898E-2</v>
      </c>
      <c r="AN1239" s="2">
        <v>0.70381445224444295</v>
      </c>
      <c r="AO1239" s="2">
        <v>3.9668829955487601E-2</v>
      </c>
      <c r="AP1239" s="2">
        <v>3.9668829955487601E-2</v>
      </c>
      <c r="AQ1239" s="2">
        <v>1</v>
      </c>
      <c r="AR1239" s="2">
        <v>6</v>
      </c>
      <c r="AS1239" s="2">
        <v>0</v>
      </c>
      <c r="AT1239" s="2">
        <v>3</v>
      </c>
      <c r="AU1239" s="2">
        <v>17</v>
      </c>
      <c r="AV1239" s="2">
        <v>91</v>
      </c>
      <c r="AW1239" s="2">
        <v>2</v>
      </c>
      <c r="AX1239" s="2">
        <v>1</v>
      </c>
      <c r="AZ1239" s="2">
        <v>6.8</v>
      </c>
      <c r="BA1239" s="2">
        <v>19.899999999999999</v>
      </c>
      <c r="BB1239" s="2">
        <v>564</v>
      </c>
      <c r="BC1239" s="2">
        <v>68</v>
      </c>
      <c r="BD1239" s="2">
        <v>1.5</v>
      </c>
      <c r="BE1239" s="2">
        <v>135</v>
      </c>
      <c r="BF1239" s="2">
        <v>0.8</v>
      </c>
      <c r="BG1239" s="2">
        <v>162</v>
      </c>
      <c r="BH1239" s="2">
        <v>9.1</v>
      </c>
      <c r="BI1239" s="2">
        <v>9.1999999999999993</v>
      </c>
      <c r="BJ1239" s="2">
        <v>18.3</v>
      </c>
      <c r="BK1239" s="2">
        <v>0.34</v>
      </c>
      <c r="BL1239" s="2">
        <v>7.3</v>
      </c>
      <c r="BM1239" s="2">
        <v>0.9</v>
      </c>
      <c r="BN1239" s="2">
        <v>7.5</v>
      </c>
      <c r="BO1239" s="2">
        <v>2.9</v>
      </c>
      <c r="BP1239" s="2">
        <f t="shared" si="38"/>
        <v>6.5899102882551626</v>
      </c>
      <c r="BQ1239" s="2">
        <f t="shared" si="39"/>
        <v>19.599494818350987</v>
      </c>
    </row>
    <row r="1240" spans="1:69" x14ac:dyDescent="0.2">
      <c r="A1240" s="2" t="s">
        <v>3316</v>
      </c>
      <c r="B1240" s="2" t="s">
        <v>47</v>
      </c>
      <c r="C1240" s="2" t="s">
        <v>3273</v>
      </c>
      <c r="D1240" s="2" t="s">
        <v>49</v>
      </c>
      <c r="E1240" s="2" t="s">
        <v>663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89</v>
      </c>
      <c r="L1240" s="6" t="s">
        <v>90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3317</v>
      </c>
      <c r="R1240" s="2">
        <v>12916625</v>
      </c>
      <c r="S1240" s="2">
        <v>0</v>
      </c>
      <c r="T1240" s="2" t="s">
        <v>54</v>
      </c>
      <c r="U1240" s="2" t="s">
        <v>55</v>
      </c>
      <c r="V1240" s="2" t="s">
        <v>56</v>
      </c>
      <c r="W1240" s="2" t="s">
        <v>57</v>
      </c>
      <c r="X1240" s="2" t="s">
        <v>58</v>
      </c>
      <c r="Y1240" s="2">
        <v>3.52637027985087</v>
      </c>
      <c r="Z1240" s="2">
        <v>3526.3702798508698</v>
      </c>
      <c r="AA1240" s="2">
        <v>4.6584666666666701</v>
      </c>
      <c r="AB1240" s="2">
        <v>-74.083966666666697</v>
      </c>
      <c r="AC1240" s="2">
        <v>2552</v>
      </c>
      <c r="AD1240" s="2">
        <v>0</v>
      </c>
      <c r="AE1240" s="2" t="s">
        <v>59</v>
      </c>
      <c r="AF1240" s="2" t="s">
        <v>60</v>
      </c>
      <c r="AG1240" s="2" t="s">
        <v>61</v>
      </c>
      <c r="AH1240" s="2" t="s">
        <v>62</v>
      </c>
      <c r="AI1240" s="2" t="s">
        <v>321</v>
      </c>
      <c r="AJ1240" s="2">
        <v>0.38305319544269301</v>
      </c>
      <c r="AK1240" s="2">
        <v>2.4369043302477298</v>
      </c>
      <c r="AL1240" s="2">
        <v>0.18021716224250001</v>
      </c>
      <c r="AM1240" s="2">
        <v>4.3686383777035598E-2</v>
      </c>
      <c r="AN1240" s="2">
        <v>2.39670484363169</v>
      </c>
      <c r="AO1240" s="2">
        <v>1.7184752842940799E-3</v>
      </c>
      <c r="AP1240" s="2">
        <v>1.7184752842940799E-3</v>
      </c>
      <c r="AQ1240" s="2">
        <v>2</v>
      </c>
      <c r="AR1240" s="2">
        <v>8</v>
      </c>
      <c r="AS1240" s="2">
        <v>0</v>
      </c>
      <c r="AT1240" s="2">
        <v>0</v>
      </c>
      <c r="AU1240" s="2">
        <v>1</v>
      </c>
      <c r="AV1240" s="2">
        <v>182</v>
      </c>
      <c r="AW1240" s="2">
        <v>0</v>
      </c>
      <c r="AX1240" s="2">
        <v>0</v>
      </c>
      <c r="AZ1240" s="2">
        <v>6.8</v>
      </c>
      <c r="BA1240" s="2">
        <v>19.899999999999999</v>
      </c>
      <c r="BB1240" s="2">
        <v>564</v>
      </c>
      <c r="BC1240" s="2">
        <v>68</v>
      </c>
      <c r="BD1240" s="2">
        <v>1.5</v>
      </c>
      <c r="BE1240" s="2">
        <v>135</v>
      </c>
      <c r="BF1240" s="2">
        <v>0.8</v>
      </c>
      <c r="BG1240" s="2">
        <v>162</v>
      </c>
      <c r="BH1240" s="2">
        <v>9.1</v>
      </c>
      <c r="BI1240" s="2">
        <v>9.1999999999999993</v>
      </c>
      <c r="BJ1240" s="2">
        <v>18.3</v>
      </c>
      <c r="BK1240" s="2">
        <v>0.34</v>
      </c>
      <c r="BL1240" s="2">
        <v>7.3</v>
      </c>
      <c r="BM1240" s="2">
        <v>0.9</v>
      </c>
      <c r="BN1240" s="2">
        <v>7.5</v>
      </c>
      <c r="BO1240" s="2">
        <v>2.9</v>
      </c>
      <c r="BP1240" s="2">
        <f t="shared" si="38"/>
        <v>5.7108466254259511</v>
      </c>
      <c r="BQ1240" s="2">
        <f t="shared" si="39"/>
        <v>18.285105932857732</v>
      </c>
    </row>
    <row r="1241" spans="1:69" x14ac:dyDescent="0.2">
      <c r="A1241" s="2" t="s">
        <v>3481</v>
      </c>
      <c r="B1241" s="2" t="s">
        <v>47</v>
      </c>
      <c r="C1241" s="2" t="s">
        <v>3273</v>
      </c>
      <c r="D1241" s="2" t="s">
        <v>49</v>
      </c>
      <c r="E1241" s="2" t="s">
        <v>3482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89</v>
      </c>
      <c r="L1241" s="6" t="s">
        <v>90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3483</v>
      </c>
      <c r="R1241" s="2">
        <v>14388489.210000001</v>
      </c>
      <c r="S1241" s="2">
        <v>0</v>
      </c>
      <c r="T1241" s="2" t="s">
        <v>54</v>
      </c>
      <c r="U1241" s="2" t="s">
        <v>55</v>
      </c>
      <c r="V1241" s="2" t="s">
        <v>56</v>
      </c>
      <c r="W1241" s="2" t="s">
        <v>57</v>
      </c>
      <c r="X1241" s="2" t="s">
        <v>58</v>
      </c>
      <c r="Y1241" s="2">
        <v>3.3573315973640199</v>
      </c>
      <c r="Z1241" s="2">
        <v>3357.3315973640201</v>
      </c>
      <c r="AA1241" s="2">
        <v>4.6584666666666701</v>
      </c>
      <c r="AB1241" s="2">
        <v>-74.083966666666697</v>
      </c>
      <c r="AC1241" s="2">
        <v>2552</v>
      </c>
      <c r="AD1241" s="2">
        <v>0</v>
      </c>
      <c r="AE1241" s="2" t="s">
        <v>59</v>
      </c>
      <c r="AF1241" s="2" t="s">
        <v>60</v>
      </c>
      <c r="AG1241" s="2" t="s">
        <v>61</v>
      </c>
      <c r="AH1241" s="2" t="s">
        <v>62</v>
      </c>
      <c r="AI1241" s="2" t="s">
        <v>321</v>
      </c>
      <c r="AJ1241" s="2">
        <v>0.18390496831758801</v>
      </c>
      <c r="AK1241" s="2">
        <v>2.1212043692505298</v>
      </c>
      <c r="AL1241" s="2">
        <v>0.26892565002343699</v>
      </c>
      <c r="AM1241" s="2">
        <v>3.8302756007817497E-2</v>
      </c>
      <c r="AN1241" s="2">
        <v>2.4285648165394802</v>
      </c>
      <c r="AO1241" s="2">
        <v>0.373405176783773</v>
      </c>
      <c r="AP1241" s="2">
        <v>0.373405176783773</v>
      </c>
      <c r="AQ1241" s="2">
        <v>2</v>
      </c>
      <c r="AR1241" s="2">
        <v>9</v>
      </c>
      <c r="AS1241" s="2">
        <v>0</v>
      </c>
      <c r="AT1241" s="2">
        <v>0</v>
      </c>
      <c r="AU1241" s="2">
        <v>1</v>
      </c>
      <c r="AV1241" s="2">
        <v>299</v>
      </c>
      <c r="AW1241" s="2">
        <v>0</v>
      </c>
      <c r="AX1241" s="2">
        <v>0</v>
      </c>
      <c r="AZ1241" s="2">
        <v>6.8</v>
      </c>
      <c r="BA1241" s="2">
        <v>19.899999999999999</v>
      </c>
      <c r="BB1241" s="2">
        <v>564</v>
      </c>
      <c r="BC1241" s="2">
        <v>68</v>
      </c>
      <c r="BD1241" s="2">
        <v>1.5</v>
      </c>
      <c r="BE1241" s="2">
        <v>135</v>
      </c>
      <c r="BF1241" s="2">
        <v>0.8</v>
      </c>
      <c r="BG1241" s="2">
        <v>162</v>
      </c>
      <c r="BH1241" s="2">
        <v>9.1</v>
      </c>
      <c r="BI1241" s="2">
        <v>9.1999999999999993</v>
      </c>
      <c r="BJ1241" s="2">
        <v>18.3</v>
      </c>
      <c r="BK1241" s="2">
        <v>0.34</v>
      </c>
      <c r="BL1241" s="2">
        <v>7.3</v>
      </c>
      <c r="BM1241" s="2">
        <v>0.9</v>
      </c>
      <c r="BN1241" s="2">
        <v>7.5</v>
      </c>
      <c r="BO1241" s="2">
        <v>2.9</v>
      </c>
      <c r="BP1241" s="2">
        <f t="shared" si="38"/>
        <v>5.758832125224151</v>
      </c>
      <c r="BQ1241" s="2">
        <f t="shared" si="39"/>
        <v>18.3594379759794</v>
      </c>
    </row>
    <row r="1242" spans="1:69" x14ac:dyDescent="0.2">
      <c r="A1242" s="2" t="s">
        <v>4546</v>
      </c>
      <c r="B1242" s="2" t="s">
        <v>47</v>
      </c>
      <c r="C1242" s="2" t="s">
        <v>3273</v>
      </c>
      <c r="D1242" s="2" t="s">
        <v>49</v>
      </c>
      <c r="E1242" s="2" t="s">
        <v>3640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89</v>
      </c>
      <c r="L1242" s="6" t="s">
        <v>103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4547</v>
      </c>
      <c r="R1242" s="2">
        <v>10182435.300000001</v>
      </c>
      <c r="S1242" s="2">
        <v>0</v>
      </c>
      <c r="T1242" s="2" t="s">
        <v>105</v>
      </c>
      <c r="U1242" s="2" t="s">
        <v>106</v>
      </c>
      <c r="V1242" s="2" t="s">
        <v>56</v>
      </c>
      <c r="W1242" s="2" t="s">
        <v>107</v>
      </c>
      <c r="X1242" s="2" t="s">
        <v>108</v>
      </c>
      <c r="Y1242" s="2">
        <v>2.0258037390933299</v>
      </c>
      <c r="Z1242" s="2">
        <v>2025.80373909333</v>
      </c>
      <c r="AA1242" s="2">
        <v>4.6254861111111101</v>
      </c>
      <c r="AB1242" s="2">
        <v>-74.066980555555503</v>
      </c>
      <c r="AC1242" s="2">
        <v>2621</v>
      </c>
      <c r="AD1242" s="2">
        <v>15</v>
      </c>
      <c r="AE1242" s="2" t="s">
        <v>59</v>
      </c>
      <c r="AF1242" s="2" t="s">
        <v>60</v>
      </c>
      <c r="AG1242" s="2" t="s">
        <v>61</v>
      </c>
      <c r="AH1242" s="2" t="s">
        <v>62</v>
      </c>
      <c r="AI1242" s="2" t="s">
        <v>63</v>
      </c>
      <c r="AJ1242" s="2">
        <v>0.47635917318577597</v>
      </c>
      <c r="AK1242" s="2">
        <v>2.04269533531928</v>
      </c>
      <c r="AL1242" s="2">
        <v>0.40849676899442799</v>
      </c>
      <c r="AM1242" s="2">
        <v>9.38199735423077E-2</v>
      </c>
      <c r="AN1242" s="2">
        <v>1.8559985871824201</v>
      </c>
      <c r="AO1242" s="2">
        <v>0.60156720201375602</v>
      </c>
      <c r="AP1242" s="2">
        <v>0.60156720201375602</v>
      </c>
      <c r="AQ1242" s="2">
        <v>1</v>
      </c>
      <c r="AR1242" s="2">
        <v>2</v>
      </c>
      <c r="AS1242" s="2">
        <v>0</v>
      </c>
      <c r="AT1242" s="2">
        <v>0</v>
      </c>
      <c r="AU1242" s="2">
        <v>5</v>
      </c>
      <c r="AV1242" s="2">
        <v>93</v>
      </c>
      <c r="AW1242" s="2">
        <v>0</v>
      </c>
      <c r="AX1242" s="2">
        <v>0</v>
      </c>
      <c r="AZ1242" s="2">
        <v>6.8</v>
      </c>
      <c r="BA1242" s="2">
        <v>19.899999999999999</v>
      </c>
      <c r="BB1242" s="2">
        <v>564</v>
      </c>
      <c r="BC1242" s="2">
        <v>68</v>
      </c>
      <c r="BD1242" s="2">
        <v>1.5</v>
      </c>
      <c r="BE1242" s="2">
        <v>135</v>
      </c>
      <c r="BF1242" s="2">
        <v>0.8</v>
      </c>
      <c r="BG1242" s="2">
        <v>162</v>
      </c>
      <c r="BH1242" s="2">
        <v>9.1</v>
      </c>
      <c r="BI1242" s="2">
        <v>9.1999999999999993</v>
      </c>
      <c r="BJ1242" s="2">
        <v>18.3</v>
      </c>
      <c r="BK1242" s="2">
        <v>0.34</v>
      </c>
      <c r="BL1242" s="2">
        <v>7.3</v>
      </c>
      <c r="BM1242" s="2">
        <v>0.9</v>
      </c>
      <c r="BN1242" s="2">
        <v>7.5</v>
      </c>
      <c r="BO1242" s="2">
        <v>2.9</v>
      </c>
      <c r="BP1242" s="2">
        <f t="shared" si="38"/>
        <v>6.1511885733022558</v>
      </c>
      <c r="BQ1242" s="2">
        <f t="shared" si="39"/>
        <v>18.955619706398167</v>
      </c>
    </row>
    <row r="1243" spans="1:69" x14ac:dyDescent="0.2">
      <c r="A1243" s="2" t="s">
        <v>3342</v>
      </c>
      <c r="B1243" s="2" t="s">
        <v>47</v>
      </c>
      <c r="C1243" s="2" t="s">
        <v>3273</v>
      </c>
      <c r="D1243" s="2" t="s">
        <v>49</v>
      </c>
      <c r="E1243" s="2" t="s">
        <v>663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89</v>
      </c>
      <c r="L1243" s="6" t="s">
        <v>90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3343</v>
      </c>
      <c r="R1243" s="2">
        <v>11658031.09</v>
      </c>
      <c r="S1243" s="2">
        <v>0</v>
      </c>
      <c r="T1243" s="2" t="s">
        <v>54</v>
      </c>
      <c r="U1243" s="2" t="s">
        <v>55</v>
      </c>
      <c r="V1243" s="2" t="s">
        <v>56</v>
      </c>
      <c r="W1243" s="2" t="s">
        <v>57</v>
      </c>
      <c r="X1243" s="2" t="s">
        <v>58</v>
      </c>
      <c r="Y1243" s="2">
        <v>3.9216001784430801</v>
      </c>
      <c r="Z1243" s="2">
        <v>3921.60017844308</v>
      </c>
      <c r="AA1243" s="2">
        <v>4.6584666666666701</v>
      </c>
      <c r="AB1243" s="2">
        <v>-74.083966666666697</v>
      </c>
      <c r="AC1243" s="2">
        <v>2552</v>
      </c>
      <c r="AD1243" s="2">
        <v>0</v>
      </c>
      <c r="AE1243" s="2" t="s">
        <v>59</v>
      </c>
      <c r="AF1243" s="2" t="s">
        <v>60</v>
      </c>
      <c r="AG1243" s="2" t="s">
        <v>61</v>
      </c>
      <c r="AH1243" s="2" t="s">
        <v>62</v>
      </c>
      <c r="AI1243" s="2" t="s">
        <v>321</v>
      </c>
      <c r="AJ1243" s="2">
        <v>0.144347729410463</v>
      </c>
      <c r="AK1243" s="2">
        <v>2.3556136911233501</v>
      </c>
      <c r="AL1243" s="2">
        <v>0.54362910705743595</v>
      </c>
      <c r="AM1243" s="2">
        <v>2.5952434875749799E-2</v>
      </c>
      <c r="AN1243" s="2">
        <v>2.76482497928406</v>
      </c>
      <c r="AO1243" s="2">
        <v>6.3530221483573401E-2</v>
      </c>
      <c r="AP1243" s="2">
        <v>6.3530221483573401E-2</v>
      </c>
      <c r="AQ1243" s="2">
        <v>1</v>
      </c>
      <c r="AR1243" s="2">
        <v>5</v>
      </c>
      <c r="AS1243" s="2">
        <v>0</v>
      </c>
      <c r="AT1243" s="2">
        <v>0</v>
      </c>
      <c r="AU1243" s="2">
        <v>3</v>
      </c>
      <c r="AV1243" s="2">
        <v>225</v>
      </c>
      <c r="AW1243" s="2">
        <v>0</v>
      </c>
      <c r="AX1243" s="2">
        <v>0</v>
      </c>
      <c r="AZ1243" s="2">
        <v>6.8</v>
      </c>
      <c r="BA1243" s="2">
        <v>19.899999999999999</v>
      </c>
      <c r="BB1243" s="2">
        <v>564</v>
      </c>
      <c r="BC1243" s="2">
        <v>68</v>
      </c>
      <c r="BD1243" s="2">
        <v>1.5</v>
      </c>
      <c r="BE1243" s="2">
        <v>135</v>
      </c>
      <c r="BF1243" s="2">
        <v>0.8</v>
      </c>
      <c r="BG1243" s="2">
        <v>162</v>
      </c>
      <c r="BH1243" s="2">
        <v>9.1</v>
      </c>
      <c r="BI1243" s="2">
        <v>9.1999999999999993</v>
      </c>
      <c r="BJ1243" s="2">
        <v>18.3</v>
      </c>
      <c r="BK1243" s="2">
        <v>0.34</v>
      </c>
      <c r="BL1243" s="2">
        <v>7.3</v>
      </c>
      <c r="BM1243" s="2">
        <v>0.9</v>
      </c>
      <c r="BN1243" s="2">
        <v>7.5</v>
      </c>
      <c r="BO1243" s="2">
        <v>2.9</v>
      </c>
      <c r="BP1243" s="2">
        <f t="shared" si="38"/>
        <v>5.6002061151980147</v>
      </c>
      <c r="BQ1243" s="2">
        <f t="shared" si="39"/>
        <v>18.112482246154531</v>
      </c>
    </row>
    <row r="1244" spans="1:69" x14ac:dyDescent="0.2">
      <c r="A1244" s="2" t="s">
        <v>3822</v>
      </c>
      <c r="B1244" s="2" t="s">
        <v>47</v>
      </c>
      <c r="C1244" s="2" t="s">
        <v>3273</v>
      </c>
      <c r="D1244" s="2" t="s">
        <v>49</v>
      </c>
      <c r="E1244" s="2" t="s">
        <v>663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89</v>
      </c>
      <c r="L1244" s="6" t="s">
        <v>90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3823</v>
      </c>
      <c r="R1244" s="2">
        <v>13419913.42</v>
      </c>
      <c r="S1244" s="2">
        <v>0</v>
      </c>
      <c r="T1244" s="2" t="s">
        <v>54</v>
      </c>
      <c r="U1244" s="2" t="s">
        <v>55</v>
      </c>
      <c r="V1244" s="2" t="s">
        <v>56</v>
      </c>
      <c r="W1244" s="2" t="s">
        <v>57</v>
      </c>
      <c r="X1244" s="2" t="s">
        <v>58</v>
      </c>
      <c r="Y1244" s="2">
        <v>3.7277973962307001</v>
      </c>
      <c r="Z1244" s="2">
        <v>3727.7973962307001</v>
      </c>
      <c r="AA1244" s="2">
        <v>4.6584666666666701</v>
      </c>
      <c r="AB1244" s="2">
        <v>-74.083966666666697</v>
      </c>
      <c r="AC1244" s="2">
        <v>2552</v>
      </c>
      <c r="AD1244" s="2">
        <v>0</v>
      </c>
      <c r="AE1244" s="2" t="s">
        <v>59</v>
      </c>
      <c r="AF1244" s="2" t="s">
        <v>60</v>
      </c>
      <c r="AG1244" s="2" t="s">
        <v>61</v>
      </c>
      <c r="AH1244" s="2" t="s">
        <v>62</v>
      </c>
      <c r="AI1244" s="2" t="s">
        <v>321</v>
      </c>
      <c r="AJ1244" s="2">
        <v>0.33762582942427699</v>
      </c>
      <c r="AK1244" s="2">
        <v>2.3936414096724801</v>
      </c>
      <c r="AL1244" s="2">
        <v>0.357106286872443</v>
      </c>
      <c r="AM1244" s="2">
        <v>4.1589750879099503E-2</v>
      </c>
      <c r="AN1244" s="2">
        <v>2.5836926307057402</v>
      </c>
      <c r="AO1244" s="2">
        <v>0.153696801008535</v>
      </c>
      <c r="AP1244" s="2">
        <v>0.153696801008535</v>
      </c>
      <c r="AQ1244" s="2">
        <v>2</v>
      </c>
      <c r="AR1244" s="2">
        <v>6</v>
      </c>
      <c r="AS1244" s="2">
        <v>0</v>
      </c>
      <c r="AT1244" s="2">
        <v>0</v>
      </c>
      <c r="AU1244" s="2">
        <v>2</v>
      </c>
      <c r="AV1244" s="2">
        <v>204</v>
      </c>
      <c r="AW1244" s="2">
        <v>0</v>
      </c>
      <c r="AX1244" s="2">
        <v>0</v>
      </c>
      <c r="AZ1244" s="2">
        <v>6.8</v>
      </c>
      <c r="BA1244" s="2">
        <v>19.899999999999999</v>
      </c>
      <c r="BB1244" s="2">
        <v>564</v>
      </c>
      <c r="BC1244" s="2">
        <v>68</v>
      </c>
      <c r="BD1244" s="2">
        <v>1.5</v>
      </c>
      <c r="BE1244" s="2">
        <v>135</v>
      </c>
      <c r="BF1244" s="2">
        <v>0.8</v>
      </c>
      <c r="BG1244" s="2">
        <v>162</v>
      </c>
      <c r="BH1244" s="2">
        <v>9.1</v>
      </c>
      <c r="BI1244" s="2">
        <v>9.1999999999999993</v>
      </c>
      <c r="BJ1244" s="2">
        <v>18.3</v>
      </c>
      <c r="BK1244" s="2">
        <v>0.34</v>
      </c>
      <c r="BL1244" s="2">
        <v>7.3</v>
      </c>
      <c r="BM1244" s="2">
        <v>0.9</v>
      </c>
      <c r="BN1244" s="2">
        <v>7.5</v>
      </c>
      <c r="BO1244" s="2">
        <v>2.9</v>
      </c>
      <c r="BP1244" s="2">
        <f t="shared" si="38"/>
        <v>5.654188743831897</v>
      </c>
      <c r="BQ1244" s="2">
        <f t="shared" si="39"/>
        <v>18.196924462404549</v>
      </c>
    </row>
    <row r="1245" spans="1:69" x14ac:dyDescent="0.2">
      <c r="A1245" s="2" t="s">
        <v>4105</v>
      </c>
      <c r="B1245" s="2" t="s">
        <v>47</v>
      </c>
      <c r="C1245" s="2" t="s">
        <v>3273</v>
      </c>
      <c r="D1245" s="2" t="s">
        <v>49</v>
      </c>
      <c r="E1245" s="2" t="s">
        <v>1270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89</v>
      </c>
      <c r="L1245" s="6" t="s">
        <v>141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4106</v>
      </c>
      <c r="R1245" s="2">
        <v>14276086.960000001</v>
      </c>
      <c r="S1245" s="2">
        <v>0</v>
      </c>
      <c r="T1245" s="2" t="s">
        <v>105</v>
      </c>
      <c r="U1245" s="2" t="s">
        <v>106</v>
      </c>
      <c r="V1245" s="2" t="s">
        <v>56</v>
      </c>
      <c r="W1245" s="2" t="s">
        <v>107</v>
      </c>
      <c r="X1245" s="2" t="s">
        <v>108</v>
      </c>
      <c r="Y1245" s="2">
        <v>2.57826800060251</v>
      </c>
      <c r="Z1245" s="2">
        <v>2578.2680006025098</v>
      </c>
      <c r="AA1245" s="2">
        <v>4.6254861111111101</v>
      </c>
      <c r="AB1245" s="2">
        <v>-74.066980555555503</v>
      </c>
      <c r="AC1245" s="2">
        <v>2621</v>
      </c>
      <c r="AD1245" s="2">
        <v>15</v>
      </c>
      <c r="AE1245" s="2" t="s">
        <v>59</v>
      </c>
      <c r="AF1245" s="2" t="s">
        <v>60</v>
      </c>
      <c r="AG1245" s="2" t="s">
        <v>61</v>
      </c>
      <c r="AH1245" s="2" t="s">
        <v>62</v>
      </c>
      <c r="AI1245" s="2" t="s">
        <v>109</v>
      </c>
      <c r="AJ1245" s="2">
        <v>0.56849067648222895</v>
      </c>
      <c r="AK1245" s="2">
        <v>0.73734148311672199</v>
      </c>
      <c r="AL1245" s="2">
        <v>0.192841274729603</v>
      </c>
      <c r="AM1245" s="2">
        <v>0.16255868724338701</v>
      </c>
      <c r="AN1245" s="2">
        <v>0.67180115101908999</v>
      </c>
      <c r="AO1245" s="2">
        <v>0.25058642058473601</v>
      </c>
      <c r="AP1245" s="2">
        <v>0.25058642058473601</v>
      </c>
      <c r="AQ1245" s="2">
        <v>0</v>
      </c>
      <c r="AR1245" s="2">
        <v>3</v>
      </c>
      <c r="AS1245" s="2">
        <v>0</v>
      </c>
      <c r="AT1245" s="2">
        <v>16</v>
      </c>
      <c r="AU1245" s="2">
        <v>13</v>
      </c>
      <c r="AV1245" s="2">
        <v>72</v>
      </c>
      <c r="AW1245" s="2">
        <v>1</v>
      </c>
      <c r="AX1245" s="2">
        <v>0</v>
      </c>
      <c r="AZ1245" s="2">
        <v>6.8</v>
      </c>
      <c r="BA1245" s="2">
        <v>19.899999999999999</v>
      </c>
      <c r="BB1245" s="2">
        <v>564</v>
      </c>
      <c r="BC1245" s="2">
        <v>68</v>
      </c>
      <c r="BD1245" s="2">
        <v>1.5</v>
      </c>
      <c r="BE1245" s="2">
        <v>135</v>
      </c>
      <c r="BF1245" s="2">
        <v>0.8</v>
      </c>
      <c r="BG1245" s="2">
        <v>162</v>
      </c>
      <c r="BH1245" s="2">
        <v>9.1</v>
      </c>
      <c r="BI1245" s="2">
        <v>9.1999999999999993</v>
      </c>
      <c r="BJ1245" s="2">
        <v>18.3</v>
      </c>
      <c r="BK1245" s="2">
        <v>0.34</v>
      </c>
      <c r="BL1245" s="2">
        <v>7.3</v>
      </c>
      <c r="BM1245" s="2">
        <v>0.9</v>
      </c>
      <c r="BN1245" s="2">
        <v>7.5</v>
      </c>
      <c r="BO1245" s="2">
        <v>2.9</v>
      </c>
      <c r="BP1245" s="2">
        <f t="shared" si="38"/>
        <v>5.9852514180273069</v>
      </c>
      <c r="BQ1245" s="2">
        <f t="shared" si="39"/>
        <v>18.705943352773822</v>
      </c>
    </row>
    <row r="1246" spans="1:69" x14ac:dyDescent="0.2">
      <c r="A1246" s="2" t="s">
        <v>4424</v>
      </c>
      <c r="B1246" s="2" t="s">
        <v>47</v>
      </c>
      <c r="C1246" s="2" t="s">
        <v>3273</v>
      </c>
      <c r="D1246" s="2" t="s">
        <v>49</v>
      </c>
      <c r="E1246" s="2" t="s">
        <v>1270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89</v>
      </c>
      <c r="L1246" s="6" t="s">
        <v>141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4425</v>
      </c>
      <c r="R1246" s="2">
        <v>14276086.960000001</v>
      </c>
      <c r="S1246" s="2">
        <v>0</v>
      </c>
      <c r="T1246" s="2" t="s">
        <v>105</v>
      </c>
      <c r="U1246" s="2" t="s">
        <v>106</v>
      </c>
      <c r="V1246" s="2" t="s">
        <v>56</v>
      </c>
      <c r="W1246" s="2" t="s">
        <v>107</v>
      </c>
      <c r="X1246" s="2" t="s">
        <v>108</v>
      </c>
      <c r="Y1246" s="2">
        <v>2.57826800060251</v>
      </c>
      <c r="Z1246" s="2">
        <v>2578.2680006025098</v>
      </c>
      <c r="AA1246" s="2">
        <v>4.6254861111111101</v>
      </c>
      <c r="AB1246" s="2">
        <v>-74.066980555555503</v>
      </c>
      <c r="AC1246" s="2">
        <v>2621</v>
      </c>
      <c r="AD1246" s="2">
        <v>15</v>
      </c>
      <c r="AE1246" s="2" t="s">
        <v>59</v>
      </c>
      <c r="AF1246" s="2" t="s">
        <v>60</v>
      </c>
      <c r="AG1246" s="2" t="s">
        <v>61</v>
      </c>
      <c r="AH1246" s="2" t="s">
        <v>62</v>
      </c>
      <c r="AI1246" s="2" t="s">
        <v>109</v>
      </c>
      <c r="AJ1246" s="2">
        <v>0.56849067648222895</v>
      </c>
      <c r="AK1246" s="2">
        <v>0.73734148311672199</v>
      </c>
      <c r="AL1246" s="2">
        <v>0.192841274729603</v>
      </c>
      <c r="AM1246" s="2">
        <v>0.16255868724338701</v>
      </c>
      <c r="AN1246" s="2">
        <v>0.67180115101908999</v>
      </c>
      <c r="AO1246" s="2">
        <v>0.25058642058473601</v>
      </c>
      <c r="AP1246" s="2">
        <v>0.25058642058473601</v>
      </c>
      <c r="AQ1246" s="2">
        <v>0</v>
      </c>
      <c r="AR1246" s="2">
        <v>3</v>
      </c>
      <c r="AS1246" s="2">
        <v>0</v>
      </c>
      <c r="AT1246" s="2">
        <v>16</v>
      </c>
      <c r="AU1246" s="2">
        <v>13</v>
      </c>
      <c r="AV1246" s="2">
        <v>72</v>
      </c>
      <c r="AW1246" s="2">
        <v>1</v>
      </c>
      <c r="AX1246" s="2">
        <v>0</v>
      </c>
      <c r="AZ1246" s="2">
        <v>6.8</v>
      </c>
      <c r="BA1246" s="2">
        <v>19.899999999999999</v>
      </c>
      <c r="BB1246" s="2">
        <v>564</v>
      </c>
      <c r="BC1246" s="2">
        <v>68</v>
      </c>
      <c r="BD1246" s="2">
        <v>1.5</v>
      </c>
      <c r="BE1246" s="2">
        <v>135</v>
      </c>
      <c r="BF1246" s="2">
        <v>0.8</v>
      </c>
      <c r="BG1246" s="2">
        <v>162</v>
      </c>
      <c r="BH1246" s="2">
        <v>9.1</v>
      </c>
      <c r="BI1246" s="2">
        <v>9.1999999999999993</v>
      </c>
      <c r="BJ1246" s="2">
        <v>18.3</v>
      </c>
      <c r="BK1246" s="2">
        <v>0.34</v>
      </c>
      <c r="BL1246" s="2">
        <v>7.3</v>
      </c>
      <c r="BM1246" s="2">
        <v>0.9</v>
      </c>
      <c r="BN1246" s="2">
        <v>7.5</v>
      </c>
      <c r="BO1246" s="2">
        <v>2.9</v>
      </c>
      <c r="BP1246" s="2">
        <f t="shared" si="38"/>
        <v>5.9852514180273069</v>
      </c>
      <c r="BQ1246" s="2">
        <f t="shared" si="39"/>
        <v>18.705943352773822</v>
      </c>
    </row>
    <row r="1247" spans="1:69" x14ac:dyDescent="0.2">
      <c r="A1247" s="2" t="s">
        <v>3386</v>
      </c>
      <c r="B1247" s="2" t="s">
        <v>47</v>
      </c>
      <c r="C1247" s="2" t="s">
        <v>3273</v>
      </c>
      <c r="D1247" s="2" t="s">
        <v>49</v>
      </c>
      <c r="E1247" s="2" t="s">
        <v>1077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89</v>
      </c>
      <c r="L1247" s="6" t="s">
        <v>90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3387</v>
      </c>
      <c r="R1247" s="2">
        <v>13695652.17</v>
      </c>
      <c r="S1247" s="2">
        <v>0</v>
      </c>
      <c r="T1247" s="2" t="s">
        <v>105</v>
      </c>
      <c r="U1247" s="2" t="s">
        <v>106</v>
      </c>
      <c r="V1247" s="2" t="s">
        <v>56</v>
      </c>
      <c r="W1247" s="2" t="s">
        <v>107</v>
      </c>
      <c r="X1247" s="2" t="s">
        <v>108</v>
      </c>
      <c r="Y1247" s="2">
        <v>2.1845212890418302</v>
      </c>
      <c r="Z1247" s="2">
        <v>2184.5212890418302</v>
      </c>
      <c r="AA1247" s="2">
        <v>4.6254861111111101</v>
      </c>
      <c r="AB1247" s="2">
        <v>-74.066980555555503</v>
      </c>
      <c r="AC1247" s="2">
        <v>2621</v>
      </c>
      <c r="AD1247" s="2">
        <v>15</v>
      </c>
      <c r="AE1247" s="2" t="s">
        <v>59</v>
      </c>
      <c r="AF1247" s="2" t="s">
        <v>60</v>
      </c>
      <c r="AG1247" s="2" t="s">
        <v>61</v>
      </c>
      <c r="AH1247" s="2" t="s">
        <v>62</v>
      </c>
      <c r="AI1247" s="2" t="s">
        <v>117</v>
      </c>
      <c r="AJ1247" s="2">
        <v>0.309150458607376</v>
      </c>
      <c r="AK1247" s="2">
        <v>0.57375024022630405</v>
      </c>
      <c r="AL1247" s="2">
        <v>5.45109002503281E-2</v>
      </c>
      <c r="AM1247" s="2">
        <v>0.118541547148973</v>
      </c>
      <c r="AN1247" s="2">
        <v>1.0859024720341901</v>
      </c>
      <c r="AO1247" s="2">
        <v>1.9208926471276099E-2</v>
      </c>
      <c r="AP1247" s="2">
        <v>1.9208926471276099E-2</v>
      </c>
      <c r="AQ1247" s="2">
        <v>2</v>
      </c>
      <c r="AR1247" s="2">
        <v>7</v>
      </c>
      <c r="AS1247" s="2">
        <v>0</v>
      </c>
      <c r="AT1247" s="2">
        <v>28</v>
      </c>
      <c r="AU1247" s="2">
        <v>13</v>
      </c>
      <c r="AV1247" s="2">
        <v>53</v>
      </c>
      <c r="AW1247" s="2">
        <v>0</v>
      </c>
      <c r="AX1247" s="2">
        <v>9</v>
      </c>
      <c r="AZ1247" s="2">
        <v>6.8</v>
      </c>
      <c r="BA1247" s="2">
        <v>19.899999999999999</v>
      </c>
      <c r="BB1247" s="2">
        <v>564</v>
      </c>
      <c r="BC1247" s="2">
        <v>68</v>
      </c>
      <c r="BD1247" s="2">
        <v>1.5</v>
      </c>
      <c r="BE1247" s="2">
        <v>135</v>
      </c>
      <c r="BF1247" s="2">
        <v>0.8</v>
      </c>
      <c r="BG1247" s="2">
        <v>162</v>
      </c>
      <c r="BH1247" s="2">
        <v>9.1</v>
      </c>
      <c r="BI1247" s="2">
        <v>9.1999999999999993</v>
      </c>
      <c r="BJ1247" s="2">
        <v>18.3</v>
      </c>
      <c r="BK1247" s="2">
        <v>0.34</v>
      </c>
      <c r="BL1247" s="2">
        <v>7.3</v>
      </c>
      <c r="BM1247" s="2">
        <v>0.9</v>
      </c>
      <c r="BN1247" s="2">
        <v>7.5</v>
      </c>
      <c r="BO1247" s="2">
        <v>2.9</v>
      </c>
      <c r="BP1247" s="2">
        <f t="shared" si="38"/>
        <v>6.1030509896314484</v>
      </c>
      <c r="BQ1247" s="2">
        <f t="shared" si="39"/>
        <v>18.883550908118103</v>
      </c>
    </row>
    <row r="1248" spans="1:69" x14ac:dyDescent="0.2">
      <c r="A1248" s="2" t="s">
        <v>4456</v>
      </c>
      <c r="B1248" s="2" t="s">
        <v>47</v>
      </c>
      <c r="C1248" s="2" t="s">
        <v>3273</v>
      </c>
      <c r="D1248" s="2" t="s">
        <v>49</v>
      </c>
      <c r="E1248" s="2" t="s">
        <v>383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89</v>
      </c>
      <c r="L1248" s="6" t="s">
        <v>141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4457</v>
      </c>
      <c r="R1248" s="2">
        <v>12826086.960000001</v>
      </c>
      <c r="S1248" s="2">
        <v>0</v>
      </c>
      <c r="T1248" s="2" t="s">
        <v>54</v>
      </c>
      <c r="U1248" s="2" t="s">
        <v>55</v>
      </c>
      <c r="V1248" s="2" t="s">
        <v>56</v>
      </c>
      <c r="W1248" s="2" t="s">
        <v>57</v>
      </c>
      <c r="X1248" s="2" t="s">
        <v>58</v>
      </c>
      <c r="Y1248" s="2">
        <v>3.5669748057475701</v>
      </c>
      <c r="Z1248" s="2">
        <v>3566.9748057475699</v>
      </c>
      <c r="AA1248" s="2">
        <v>4.6584666666666701</v>
      </c>
      <c r="AB1248" s="2">
        <v>-74.083966666666697</v>
      </c>
      <c r="AC1248" s="2">
        <v>2552</v>
      </c>
      <c r="AD1248" s="2">
        <v>0</v>
      </c>
      <c r="AE1248" s="2" t="s">
        <v>59</v>
      </c>
      <c r="AF1248" s="2" t="s">
        <v>60</v>
      </c>
      <c r="AG1248" s="2" t="s">
        <v>61</v>
      </c>
      <c r="AH1248" s="2" t="s">
        <v>62</v>
      </c>
      <c r="AI1248" s="2" t="s">
        <v>109</v>
      </c>
      <c r="AJ1248" s="2">
        <v>0.51407552541633506</v>
      </c>
      <c r="AK1248" s="2">
        <v>1.3822814256259199</v>
      </c>
      <c r="AL1248" s="2">
        <v>0.630061913876658</v>
      </c>
      <c r="AM1248" s="2">
        <v>6.0493863616744803E-2</v>
      </c>
      <c r="AN1248" s="2">
        <v>2.9818031503236102</v>
      </c>
      <c r="AO1248" s="2">
        <v>0.916883423742482</v>
      </c>
      <c r="AP1248" s="2">
        <v>0.916883423742482</v>
      </c>
      <c r="AQ1248" s="2">
        <v>0</v>
      </c>
      <c r="AR1248" s="2">
        <v>3</v>
      </c>
      <c r="AS1248" s="2">
        <v>0</v>
      </c>
      <c r="AT1248" s="2">
        <v>0</v>
      </c>
      <c r="AU1248" s="2">
        <v>5</v>
      </c>
      <c r="AV1248" s="2">
        <v>285</v>
      </c>
      <c r="AW1248" s="2">
        <v>0</v>
      </c>
      <c r="AX1248" s="2">
        <v>0</v>
      </c>
      <c r="AZ1248" s="2">
        <v>6.8</v>
      </c>
      <c r="BA1248" s="2">
        <v>19.899999999999999</v>
      </c>
      <c r="BB1248" s="2">
        <v>564</v>
      </c>
      <c r="BC1248" s="2">
        <v>68</v>
      </c>
      <c r="BD1248" s="2">
        <v>1.5</v>
      </c>
      <c r="BE1248" s="2">
        <v>135</v>
      </c>
      <c r="BF1248" s="2">
        <v>0.8</v>
      </c>
      <c r="BG1248" s="2">
        <v>162</v>
      </c>
      <c r="BH1248" s="2">
        <v>9.1</v>
      </c>
      <c r="BI1248" s="2">
        <v>9.1999999999999993</v>
      </c>
      <c r="BJ1248" s="2">
        <v>18.3</v>
      </c>
      <c r="BK1248" s="2">
        <v>0.34</v>
      </c>
      <c r="BL1248" s="2">
        <v>7.3</v>
      </c>
      <c r="BM1248" s="2">
        <v>0.9</v>
      </c>
      <c r="BN1248" s="2">
        <v>7.5</v>
      </c>
      <c r="BO1248" s="2">
        <v>2.9</v>
      </c>
      <c r="BP1248" s="2">
        <f t="shared" si="38"/>
        <v>5.699379785150315</v>
      </c>
      <c r="BQ1248" s="2">
        <f t="shared" si="39"/>
        <v>18.267295619042411</v>
      </c>
    </row>
    <row r="1249" spans="1:69" x14ac:dyDescent="0.2">
      <c r="A1249" s="2" t="s">
        <v>4650</v>
      </c>
      <c r="B1249" s="2" t="s">
        <v>47</v>
      </c>
      <c r="C1249" s="2" t="s">
        <v>3273</v>
      </c>
      <c r="D1249" s="2" t="s">
        <v>49</v>
      </c>
      <c r="E1249" s="2" t="s">
        <v>3465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89</v>
      </c>
      <c r="L1249" s="6" t="s">
        <v>90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4651</v>
      </c>
      <c r="R1249" s="2">
        <v>11739130.43</v>
      </c>
      <c r="S1249" s="2">
        <v>0</v>
      </c>
      <c r="T1249" s="2" t="s">
        <v>105</v>
      </c>
      <c r="U1249" s="2" t="s">
        <v>106</v>
      </c>
      <c r="V1249" s="2" t="s">
        <v>56</v>
      </c>
      <c r="W1249" s="2" t="s">
        <v>107</v>
      </c>
      <c r="X1249" s="2" t="s">
        <v>108</v>
      </c>
      <c r="Y1249" s="2">
        <v>2.23788329910716</v>
      </c>
      <c r="Z1249" s="2">
        <v>2237.8832991071599</v>
      </c>
      <c r="AA1249" s="2">
        <v>4.6254861111111101</v>
      </c>
      <c r="AB1249" s="2">
        <v>-74.066980555555503</v>
      </c>
      <c r="AC1249" s="2">
        <v>2621</v>
      </c>
      <c r="AD1249" s="2">
        <v>15</v>
      </c>
      <c r="AE1249" s="2" t="s">
        <v>59</v>
      </c>
      <c r="AF1249" s="2" t="s">
        <v>60</v>
      </c>
      <c r="AG1249" s="2" t="s">
        <v>61</v>
      </c>
      <c r="AH1249" s="2" t="s">
        <v>62</v>
      </c>
      <c r="AI1249" s="2" t="s">
        <v>63</v>
      </c>
      <c r="AJ1249" s="2">
        <v>0.30606153672196101</v>
      </c>
      <c r="AK1249" s="2">
        <v>2.8099068817131201</v>
      </c>
      <c r="AL1249" s="2">
        <v>0.57815216408686798</v>
      </c>
      <c r="AM1249" s="2">
        <v>0.223766768590833</v>
      </c>
      <c r="AN1249" s="2">
        <v>2.2123742768141299</v>
      </c>
      <c r="AO1249" s="2">
        <v>0.30913910343202999</v>
      </c>
      <c r="AP1249" s="2">
        <v>0.30913910343202999</v>
      </c>
      <c r="AQ1249" s="2">
        <v>2</v>
      </c>
      <c r="AR1249" s="2">
        <v>6</v>
      </c>
      <c r="AS1249" s="2">
        <v>0</v>
      </c>
      <c r="AT1249" s="2">
        <v>0</v>
      </c>
      <c r="AU1249" s="2">
        <v>3</v>
      </c>
      <c r="AV1249" s="2">
        <v>26</v>
      </c>
      <c r="AW1249" s="2">
        <v>0</v>
      </c>
      <c r="AX1249" s="2">
        <v>0</v>
      </c>
      <c r="AZ1249" s="2">
        <v>6.8</v>
      </c>
      <c r="BA1249" s="2">
        <v>19.899999999999999</v>
      </c>
      <c r="BB1249" s="2">
        <v>564</v>
      </c>
      <c r="BC1249" s="2">
        <v>68</v>
      </c>
      <c r="BD1249" s="2">
        <v>1.5</v>
      </c>
      <c r="BE1249" s="2">
        <v>135</v>
      </c>
      <c r="BF1249" s="2">
        <v>0.8</v>
      </c>
      <c r="BG1249" s="2">
        <v>162</v>
      </c>
      <c r="BH1249" s="2">
        <v>9.1</v>
      </c>
      <c r="BI1249" s="2">
        <v>9.1999999999999993</v>
      </c>
      <c r="BJ1249" s="2">
        <v>18.3</v>
      </c>
      <c r="BK1249" s="2">
        <v>0.34</v>
      </c>
      <c r="BL1249" s="2">
        <v>7.3</v>
      </c>
      <c r="BM1249" s="2">
        <v>0.9</v>
      </c>
      <c r="BN1249" s="2">
        <v>7.5</v>
      </c>
      <c r="BO1249" s="2">
        <v>2.9</v>
      </c>
      <c r="BP1249" s="2">
        <f t="shared" si="38"/>
        <v>6.0869515438043953</v>
      </c>
      <c r="BQ1249" s="2">
        <f t="shared" si="39"/>
        <v>18.859382445947038</v>
      </c>
    </row>
    <row r="1250" spans="1:69" x14ac:dyDescent="0.2">
      <c r="A1250" s="2" t="s">
        <v>4164</v>
      </c>
      <c r="B1250" s="2" t="s">
        <v>47</v>
      </c>
      <c r="C1250" s="2" t="s">
        <v>3273</v>
      </c>
      <c r="D1250" s="2" t="s">
        <v>49</v>
      </c>
      <c r="E1250" s="2" t="s">
        <v>1077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89</v>
      </c>
      <c r="L1250" s="6" t="s">
        <v>90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4165</v>
      </c>
      <c r="R1250" s="2">
        <v>11695652.17</v>
      </c>
      <c r="S1250" s="2">
        <v>0</v>
      </c>
      <c r="T1250" s="2" t="s">
        <v>105</v>
      </c>
      <c r="U1250" s="2" t="s">
        <v>106</v>
      </c>
      <c r="V1250" s="2" t="s">
        <v>56</v>
      </c>
      <c r="W1250" s="2" t="s">
        <v>107</v>
      </c>
      <c r="X1250" s="2" t="s">
        <v>108</v>
      </c>
      <c r="Y1250" s="2">
        <v>2.3209957655014701</v>
      </c>
      <c r="Z1250" s="2">
        <v>2320.99576550147</v>
      </c>
      <c r="AA1250" s="2">
        <v>4.6254861111111101</v>
      </c>
      <c r="AB1250" s="2">
        <v>-74.066980555555503</v>
      </c>
      <c r="AC1250" s="2">
        <v>2621</v>
      </c>
      <c r="AD1250" s="2">
        <v>15</v>
      </c>
      <c r="AE1250" s="2" t="s">
        <v>59</v>
      </c>
      <c r="AF1250" s="2" t="s">
        <v>60</v>
      </c>
      <c r="AG1250" s="2" t="s">
        <v>61</v>
      </c>
      <c r="AH1250" s="2" t="s">
        <v>62</v>
      </c>
      <c r="AI1250" s="2" t="s">
        <v>117</v>
      </c>
      <c r="AJ1250" s="2">
        <v>0.13528166779224801</v>
      </c>
      <c r="AK1250" s="2">
        <v>0.461732041308486</v>
      </c>
      <c r="AL1250" s="2">
        <v>0.20808888811000101</v>
      </c>
      <c r="AM1250" s="2">
        <v>0.124483104886039</v>
      </c>
      <c r="AN1250" s="2">
        <v>1.19472959618415</v>
      </c>
      <c r="AO1250" s="2">
        <v>0.15748752239664501</v>
      </c>
      <c r="AP1250" s="2">
        <v>0.15748752239664501</v>
      </c>
      <c r="AQ1250" s="2">
        <v>2</v>
      </c>
      <c r="AR1250" s="2">
        <v>7</v>
      </c>
      <c r="AS1250" s="2">
        <v>4</v>
      </c>
      <c r="AT1250" s="2">
        <v>37</v>
      </c>
      <c r="AU1250" s="2">
        <v>12</v>
      </c>
      <c r="AV1250" s="2">
        <v>50</v>
      </c>
      <c r="AW1250" s="2">
        <v>0</v>
      </c>
      <c r="AX1250" s="2">
        <v>8</v>
      </c>
      <c r="AZ1250" s="2">
        <v>6.8</v>
      </c>
      <c r="BA1250" s="2">
        <v>19.899999999999999</v>
      </c>
      <c r="BB1250" s="2">
        <v>564</v>
      </c>
      <c r="BC1250" s="2">
        <v>68</v>
      </c>
      <c r="BD1250" s="2">
        <v>1.5</v>
      </c>
      <c r="BE1250" s="2">
        <v>135</v>
      </c>
      <c r="BF1250" s="2">
        <v>0.8</v>
      </c>
      <c r="BG1250" s="2">
        <v>162</v>
      </c>
      <c r="BH1250" s="2">
        <v>9.1</v>
      </c>
      <c r="BI1250" s="2">
        <v>9.1999999999999993</v>
      </c>
      <c r="BJ1250" s="2">
        <v>18.3</v>
      </c>
      <c r="BK1250" s="2">
        <v>0.34</v>
      </c>
      <c r="BL1250" s="2">
        <v>7.3</v>
      </c>
      <c r="BM1250" s="2">
        <v>0.9</v>
      </c>
      <c r="BN1250" s="2">
        <v>7.5</v>
      </c>
      <c r="BO1250" s="2">
        <v>2.9</v>
      </c>
      <c r="BP1250" s="2">
        <f t="shared" si="38"/>
        <v>6.0619608587266818</v>
      </c>
      <c r="BQ1250" s="2">
        <f t="shared" si="39"/>
        <v>18.821801145148868</v>
      </c>
    </row>
    <row r="1251" spans="1:69" x14ac:dyDescent="0.2">
      <c r="A1251" s="2" t="s">
        <v>4386</v>
      </c>
      <c r="B1251" s="2" t="s">
        <v>47</v>
      </c>
      <c r="C1251" s="2" t="s">
        <v>3273</v>
      </c>
      <c r="D1251" s="2" t="s">
        <v>49</v>
      </c>
      <c r="E1251" s="2" t="s">
        <v>922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89</v>
      </c>
      <c r="L1251" s="6" t="s">
        <v>90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4387</v>
      </c>
      <c r="R1251" s="2">
        <v>11521739.130000001</v>
      </c>
      <c r="S1251" s="2">
        <v>0</v>
      </c>
      <c r="T1251" s="2" t="s">
        <v>105</v>
      </c>
      <c r="U1251" s="2" t="s">
        <v>106</v>
      </c>
      <c r="V1251" s="2" t="s">
        <v>56</v>
      </c>
      <c r="W1251" s="2" t="s">
        <v>107</v>
      </c>
      <c r="X1251" s="2" t="s">
        <v>108</v>
      </c>
      <c r="Y1251" s="2">
        <v>1.16793626999635</v>
      </c>
      <c r="Z1251" s="2">
        <v>1167.9362699963499</v>
      </c>
      <c r="AA1251" s="2">
        <v>4.6254861111111101</v>
      </c>
      <c r="AB1251" s="2">
        <v>-74.066980555555503</v>
      </c>
      <c r="AC1251" s="2">
        <v>2621</v>
      </c>
      <c r="AD1251" s="2">
        <v>15</v>
      </c>
      <c r="AE1251" s="2" t="s">
        <v>59</v>
      </c>
      <c r="AF1251" s="2" t="s">
        <v>60</v>
      </c>
      <c r="AG1251" s="2" t="s">
        <v>61</v>
      </c>
      <c r="AH1251" s="2" t="s">
        <v>62</v>
      </c>
      <c r="AI1251" s="2" t="s">
        <v>63</v>
      </c>
      <c r="AJ1251" s="2">
        <v>0.24485113734802</v>
      </c>
      <c r="AK1251" s="2">
        <v>0.95301414223717396</v>
      </c>
      <c r="AL1251" s="2">
        <v>0.22444898269028499</v>
      </c>
      <c r="AM1251" s="2">
        <v>8.4978859820698693E-2</v>
      </c>
      <c r="AN1251" s="2">
        <v>0.94530156415634203</v>
      </c>
      <c r="AO1251" s="2">
        <v>8.46197906658952E-2</v>
      </c>
      <c r="AP1251" s="2">
        <v>8.46197906658952E-2</v>
      </c>
      <c r="AQ1251" s="2">
        <v>3</v>
      </c>
      <c r="AR1251" s="2">
        <v>5</v>
      </c>
      <c r="AS1251" s="2">
        <v>0</v>
      </c>
      <c r="AT1251" s="2">
        <v>2</v>
      </c>
      <c r="AU1251" s="2">
        <v>16</v>
      </c>
      <c r="AV1251" s="2">
        <v>192</v>
      </c>
      <c r="AW1251" s="2">
        <v>1</v>
      </c>
      <c r="AX1251" s="2">
        <v>0</v>
      </c>
      <c r="AZ1251" s="2">
        <v>6.8</v>
      </c>
      <c r="BA1251" s="2">
        <v>19.899999999999999</v>
      </c>
      <c r="BB1251" s="2">
        <v>564</v>
      </c>
      <c r="BC1251" s="2">
        <v>68</v>
      </c>
      <c r="BD1251" s="2">
        <v>1.5</v>
      </c>
      <c r="BE1251" s="2">
        <v>135</v>
      </c>
      <c r="BF1251" s="2">
        <v>0.8</v>
      </c>
      <c r="BG1251" s="2">
        <v>162</v>
      </c>
      <c r="BH1251" s="2">
        <v>9.1</v>
      </c>
      <c r="BI1251" s="2">
        <v>9.1999999999999993</v>
      </c>
      <c r="BJ1251" s="2">
        <v>18.3</v>
      </c>
      <c r="BK1251" s="2">
        <v>0.34</v>
      </c>
      <c r="BL1251" s="2">
        <v>7.3</v>
      </c>
      <c r="BM1251" s="2">
        <v>0.9</v>
      </c>
      <c r="BN1251" s="2">
        <v>7.5</v>
      </c>
      <c r="BO1251" s="2">
        <v>2.9</v>
      </c>
      <c r="BP1251" s="2">
        <f t="shared" si="38"/>
        <v>6.41802069249698</v>
      </c>
      <c r="BQ1251" s="2">
        <f t="shared" si="39"/>
        <v>19.349938888437787</v>
      </c>
    </row>
    <row r="1252" spans="1:69" x14ac:dyDescent="0.2">
      <c r="A1252" s="2" t="s">
        <v>648</v>
      </c>
      <c r="B1252" s="2" t="s">
        <v>47</v>
      </c>
      <c r="C1252" s="2" t="s">
        <v>48</v>
      </c>
      <c r="D1252" s="2" t="s">
        <v>49</v>
      </c>
      <c r="E1252" s="2" t="s">
        <v>649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89</v>
      </c>
      <c r="L1252" s="6" t="s">
        <v>103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650</v>
      </c>
      <c r="R1252" s="2">
        <v>9130434.7829999998</v>
      </c>
      <c r="S1252" s="2">
        <v>0</v>
      </c>
      <c r="T1252" s="2" t="s">
        <v>105</v>
      </c>
      <c r="U1252" s="2" t="s">
        <v>106</v>
      </c>
      <c r="V1252" s="2" t="s">
        <v>56</v>
      </c>
      <c r="W1252" s="2" t="s">
        <v>107</v>
      </c>
      <c r="X1252" s="2" t="s">
        <v>108</v>
      </c>
      <c r="Y1252" s="2">
        <v>2.1672300037196699</v>
      </c>
      <c r="Z1252" s="2">
        <v>2167.2300037196701</v>
      </c>
      <c r="AA1252" s="2">
        <v>4.6254861111111101</v>
      </c>
      <c r="AB1252" s="2">
        <v>-74.066980555555503</v>
      </c>
      <c r="AC1252" s="2">
        <v>2621</v>
      </c>
      <c r="AD1252" s="2">
        <v>15</v>
      </c>
      <c r="AE1252" s="2" t="s">
        <v>59</v>
      </c>
      <c r="AF1252" s="2" t="s">
        <v>60</v>
      </c>
      <c r="AG1252" s="2" t="s">
        <v>61</v>
      </c>
      <c r="AH1252" s="2" t="s">
        <v>62</v>
      </c>
      <c r="AI1252" s="2" t="s">
        <v>63</v>
      </c>
      <c r="AJ1252" s="2">
        <v>0.26910192274734901</v>
      </c>
      <c r="AK1252" s="2">
        <v>1.16567712574927</v>
      </c>
      <c r="AL1252" s="2">
        <v>8.7134386405661596E-2</v>
      </c>
      <c r="AM1252" s="2">
        <v>8.2074021732649993E-2</v>
      </c>
      <c r="AN1252" s="2">
        <v>1.0498008948105699</v>
      </c>
      <c r="AO1252" s="2">
        <v>0.14401266900655099</v>
      </c>
      <c r="AP1252" s="2">
        <v>0.14401266900655099</v>
      </c>
      <c r="AQ1252" s="2">
        <v>2</v>
      </c>
      <c r="AR1252" s="2">
        <v>4</v>
      </c>
      <c r="AS1252" s="2">
        <v>0</v>
      </c>
      <c r="AT1252" s="2">
        <v>0</v>
      </c>
      <c r="AU1252" s="2">
        <v>14</v>
      </c>
      <c r="AV1252" s="2">
        <v>153</v>
      </c>
      <c r="AW1252" s="2">
        <v>0</v>
      </c>
      <c r="AX1252" s="2">
        <v>0</v>
      </c>
      <c r="AZ1252" s="2">
        <v>6.8</v>
      </c>
      <c r="BA1252" s="2">
        <v>19.899999999999999</v>
      </c>
      <c r="BB1252" s="2">
        <v>564</v>
      </c>
      <c r="BC1252" s="2">
        <v>68</v>
      </c>
      <c r="BD1252" s="2">
        <v>1.5</v>
      </c>
      <c r="BE1252" s="2">
        <v>135</v>
      </c>
      <c r="BF1252" s="2">
        <v>0.8</v>
      </c>
      <c r="BG1252" s="2">
        <v>162</v>
      </c>
      <c r="BH1252" s="2">
        <v>9.1</v>
      </c>
      <c r="BI1252" s="2">
        <v>9.1999999999999993</v>
      </c>
      <c r="BJ1252" s="2">
        <v>18.3</v>
      </c>
      <c r="BK1252" s="2">
        <v>0.34</v>
      </c>
      <c r="BL1252" s="2">
        <v>7.3</v>
      </c>
      <c r="BM1252" s="2">
        <v>0.9</v>
      </c>
      <c r="BN1252" s="2">
        <v>7.5</v>
      </c>
      <c r="BO1252" s="2">
        <v>2.9</v>
      </c>
      <c r="BP1252" s="2">
        <f t="shared" si="38"/>
        <v>6.1082769408087465</v>
      </c>
      <c r="BQ1252" s="2">
        <f t="shared" si="39"/>
        <v>18.891389035180659</v>
      </c>
    </row>
    <row r="1253" spans="1:69" x14ac:dyDescent="0.2">
      <c r="A1253" s="2" t="s">
        <v>3682</v>
      </c>
      <c r="B1253" s="2" t="s">
        <v>47</v>
      </c>
      <c r="C1253" s="2" t="s">
        <v>3273</v>
      </c>
      <c r="D1253" s="2" t="s">
        <v>49</v>
      </c>
      <c r="E1253" s="2" t="s">
        <v>3683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89</v>
      </c>
      <c r="L1253" s="6" t="s">
        <v>90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3684</v>
      </c>
      <c r="R1253" s="2">
        <v>7826086.9570000004</v>
      </c>
      <c r="S1253" s="2">
        <v>0</v>
      </c>
      <c r="T1253" s="2" t="s">
        <v>105</v>
      </c>
      <c r="U1253" s="2" t="s">
        <v>106</v>
      </c>
      <c r="V1253" s="2" t="s">
        <v>56</v>
      </c>
      <c r="W1253" s="2" t="s">
        <v>107</v>
      </c>
      <c r="X1253" s="2" t="s">
        <v>108</v>
      </c>
      <c r="Y1253" s="2">
        <v>2.6775369153745001</v>
      </c>
      <c r="Z1253" s="2">
        <v>2677.5369153745</v>
      </c>
      <c r="AA1253" s="2">
        <v>4.6254861111111101</v>
      </c>
      <c r="AB1253" s="2">
        <v>-74.066980555555503</v>
      </c>
      <c r="AC1253" s="2">
        <v>2621</v>
      </c>
      <c r="AD1253" s="2">
        <v>15</v>
      </c>
      <c r="AE1253" s="2" t="s">
        <v>59</v>
      </c>
      <c r="AF1253" s="2" t="s">
        <v>60</v>
      </c>
      <c r="AG1253" s="2" t="s">
        <v>61</v>
      </c>
      <c r="AH1253" s="2" t="s">
        <v>62</v>
      </c>
      <c r="AI1253" s="2" t="s">
        <v>267</v>
      </c>
      <c r="AJ1253" s="2">
        <v>0.66743251898662503</v>
      </c>
      <c r="AK1253" s="2">
        <v>3.1337604789985098</v>
      </c>
      <c r="AL1253" s="2">
        <v>1.5332800914459901</v>
      </c>
      <c r="AM1253" s="2">
        <v>6.5377647119212901E-2</v>
      </c>
      <c r="AN1253" s="2">
        <v>1.4308107403660699</v>
      </c>
      <c r="AO1253" s="2">
        <v>0.54905754830896403</v>
      </c>
      <c r="AP1253" s="2">
        <v>0.54905754830896403</v>
      </c>
      <c r="AQ1253" s="2">
        <v>0</v>
      </c>
      <c r="AR1253" s="2">
        <v>4</v>
      </c>
      <c r="AS1253" s="2">
        <v>0</v>
      </c>
      <c r="AT1253" s="2">
        <v>0</v>
      </c>
      <c r="AU1253" s="2">
        <v>0</v>
      </c>
      <c r="AV1253" s="2">
        <v>16</v>
      </c>
      <c r="AW1253" s="2">
        <v>0</v>
      </c>
      <c r="AX1253" s="2">
        <v>0</v>
      </c>
      <c r="AZ1253" s="2">
        <v>6.8</v>
      </c>
      <c r="BA1253" s="2">
        <v>19.899999999999999</v>
      </c>
      <c r="BB1253" s="2">
        <v>564</v>
      </c>
      <c r="BC1253" s="2">
        <v>68</v>
      </c>
      <c r="BD1253" s="2">
        <v>1.5</v>
      </c>
      <c r="BE1253" s="2">
        <v>135</v>
      </c>
      <c r="BF1253" s="2">
        <v>0.8</v>
      </c>
      <c r="BG1253" s="2">
        <v>162</v>
      </c>
      <c r="BH1253" s="2">
        <v>9.1</v>
      </c>
      <c r="BI1253" s="2">
        <v>9.1999999999999993</v>
      </c>
      <c r="BJ1253" s="2">
        <v>18.3</v>
      </c>
      <c r="BK1253" s="2">
        <v>0.34</v>
      </c>
      <c r="BL1253" s="2">
        <v>7.3</v>
      </c>
      <c r="BM1253" s="2">
        <v>0.9</v>
      </c>
      <c r="BN1253" s="2">
        <v>7.5</v>
      </c>
      <c r="BO1253" s="2">
        <v>2.9</v>
      </c>
      <c r="BP1253" s="2">
        <f t="shared" si="38"/>
        <v>5.9559131624464419</v>
      </c>
      <c r="BQ1253" s="2">
        <f t="shared" si="39"/>
        <v>18.661430350204302</v>
      </c>
    </row>
    <row r="1254" spans="1:69" x14ac:dyDescent="0.2">
      <c r="A1254" s="2" t="s">
        <v>3901</v>
      </c>
      <c r="B1254" s="2" t="s">
        <v>47</v>
      </c>
      <c r="C1254" s="2" t="s">
        <v>3273</v>
      </c>
      <c r="D1254" s="2" t="s">
        <v>49</v>
      </c>
      <c r="E1254" s="2" t="s">
        <v>3902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89</v>
      </c>
      <c r="L1254" s="6" t="s">
        <v>112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3903</v>
      </c>
      <c r="R1254" s="2">
        <v>6956521.7390000001</v>
      </c>
      <c r="S1254" s="2">
        <v>0</v>
      </c>
      <c r="T1254" s="2" t="s">
        <v>105</v>
      </c>
      <c r="U1254" s="2" t="s">
        <v>106</v>
      </c>
      <c r="V1254" s="2" t="s">
        <v>56</v>
      </c>
      <c r="W1254" s="2" t="s">
        <v>107</v>
      </c>
      <c r="X1254" s="2" t="s">
        <v>108</v>
      </c>
      <c r="Y1254" s="2">
        <v>2.0339472089305901</v>
      </c>
      <c r="Z1254" s="2">
        <v>2033.94720893059</v>
      </c>
      <c r="AA1254" s="2">
        <v>4.6254861111111101</v>
      </c>
      <c r="AB1254" s="2">
        <v>-74.066980555555503</v>
      </c>
      <c r="AC1254" s="2">
        <v>2621</v>
      </c>
      <c r="AD1254" s="2">
        <v>15</v>
      </c>
      <c r="AE1254" s="2" t="s">
        <v>59</v>
      </c>
      <c r="AF1254" s="2" t="s">
        <v>60</v>
      </c>
      <c r="AG1254" s="2" t="s">
        <v>61</v>
      </c>
      <c r="AH1254" s="2" t="s">
        <v>62</v>
      </c>
      <c r="AI1254" s="2" t="s">
        <v>287</v>
      </c>
      <c r="AJ1254" s="2">
        <v>0.60659383238164499</v>
      </c>
      <c r="AK1254" s="2">
        <v>1.7695509000582601</v>
      </c>
      <c r="AL1254" s="2">
        <v>0.72262726111753095</v>
      </c>
      <c r="AM1254" s="2">
        <v>0.376136633019789</v>
      </c>
      <c r="AN1254" s="2">
        <v>1.0269624189848501</v>
      </c>
      <c r="AO1254" s="2">
        <v>0.15734608048496901</v>
      </c>
      <c r="AP1254" s="2">
        <v>0.15734608048496901</v>
      </c>
      <c r="AQ1254" s="2">
        <v>0</v>
      </c>
      <c r="AR1254" s="2">
        <v>8</v>
      </c>
      <c r="AS1254" s="2">
        <v>0</v>
      </c>
      <c r="AT1254" s="2">
        <v>0</v>
      </c>
      <c r="AU1254" s="2">
        <v>3</v>
      </c>
      <c r="AV1254" s="2">
        <v>27</v>
      </c>
      <c r="AW1254" s="2">
        <v>0</v>
      </c>
      <c r="AX1254" s="2">
        <v>1</v>
      </c>
      <c r="AZ1254" s="2">
        <v>6.8</v>
      </c>
      <c r="BA1254" s="2">
        <v>19.899999999999999</v>
      </c>
      <c r="BB1254" s="2">
        <v>564</v>
      </c>
      <c r="BC1254" s="2">
        <v>68</v>
      </c>
      <c r="BD1254" s="2">
        <v>1.5</v>
      </c>
      <c r="BE1254" s="2">
        <v>135</v>
      </c>
      <c r="BF1254" s="2">
        <v>0.8</v>
      </c>
      <c r="BG1254" s="2">
        <v>162</v>
      </c>
      <c r="BH1254" s="2">
        <v>9.1</v>
      </c>
      <c r="BI1254" s="2">
        <v>9.1999999999999993</v>
      </c>
      <c r="BJ1254" s="2">
        <v>18.3</v>
      </c>
      <c r="BK1254" s="2">
        <v>0.34</v>
      </c>
      <c r="BL1254" s="2">
        <v>7.3</v>
      </c>
      <c r="BM1254" s="2">
        <v>0.9</v>
      </c>
      <c r="BN1254" s="2">
        <v>7.5</v>
      </c>
      <c r="BO1254" s="2">
        <v>2.9</v>
      </c>
      <c r="BP1254" s="2">
        <f t="shared" si="38"/>
        <v>6.1487095180703903</v>
      </c>
      <c r="BQ1254" s="2">
        <f t="shared" si="39"/>
        <v>18.951915319992853</v>
      </c>
    </row>
    <row r="1255" spans="1:69" x14ac:dyDescent="0.2">
      <c r="A1255" s="2" t="s">
        <v>4628</v>
      </c>
      <c r="B1255" s="2" t="s">
        <v>47</v>
      </c>
      <c r="C1255" s="2" t="s">
        <v>3273</v>
      </c>
      <c r="D1255" s="2" t="s">
        <v>49</v>
      </c>
      <c r="E1255" s="2" t="s">
        <v>393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89</v>
      </c>
      <c r="L1255" s="6" t="s">
        <v>112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4629</v>
      </c>
      <c r="R1255" s="2">
        <v>10694020.08</v>
      </c>
      <c r="S1255" s="2">
        <v>0</v>
      </c>
      <c r="T1255" s="2" t="s">
        <v>54</v>
      </c>
      <c r="U1255" s="2" t="s">
        <v>55</v>
      </c>
      <c r="V1255" s="2" t="s">
        <v>56</v>
      </c>
      <c r="W1255" s="2" t="s">
        <v>57</v>
      </c>
      <c r="X1255" s="2" t="s">
        <v>58</v>
      </c>
      <c r="Y1255" s="2">
        <v>1.5948977318444699</v>
      </c>
      <c r="Z1255" s="2">
        <v>1594.8977318444699</v>
      </c>
      <c r="AA1255" s="2">
        <v>4.6584666666666701</v>
      </c>
      <c r="AB1255" s="2">
        <v>-74.083966666666697</v>
      </c>
      <c r="AC1255" s="2">
        <v>2552</v>
      </c>
      <c r="AD1255" s="2">
        <v>0</v>
      </c>
      <c r="AE1255" s="2" t="s">
        <v>59</v>
      </c>
      <c r="AF1255" s="2" t="s">
        <v>60</v>
      </c>
      <c r="AG1255" s="2" t="s">
        <v>61</v>
      </c>
      <c r="AH1255" s="2" t="s">
        <v>62</v>
      </c>
      <c r="AI1255" s="2" t="s">
        <v>63</v>
      </c>
      <c r="AJ1255" s="2">
        <v>0.33797841998342898</v>
      </c>
      <c r="AK1255" s="2">
        <v>2.6737176327353702</v>
      </c>
      <c r="AL1255" s="2">
        <v>0.63797330420961595</v>
      </c>
      <c r="AM1255" s="2">
        <v>0.158212711531694</v>
      </c>
      <c r="AN1255" s="2">
        <v>2.4905062520697001</v>
      </c>
      <c r="AO1255" s="2">
        <v>0.30592762985852301</v>
      </c>
      <c r="AP1255" s="2">
        <v>0.30592762985852301</v>
      </c>
      <c r="AQ1255" s="2">
        <v>1</v>
      </c>
      <c r="AR1255" s="2">
        <v>3</v>
      </c>
      <c r="AS1255" s="2">
        <v>0</v>
      </c>
      <c r="AT1255" s="2">
        <v>0</v>
      </c>
      <c r="AU1255" s="2">
        <v>2</v>
      </c>
      <c r="AV1255" s="2">
        <v>40</v>
      </c>
      <c r="AW1255" s="2">
        <v>0</v>
      </c>
      <c r="AX1255" s="2">
        <v>0</v>
      </c>
      <c r="AZ1255" s="2">
        <v>6.8</v>
      </c>
      <c r="BA1255" s="2">
        <v>19.899999999999999</v>
      </c>
      <c r="BB1255" s="2">
        <v>564</v>
      </c>
      <c r="BC1255" s="2">
        <v>68</v>
      </c>
      <c r="BD1255" s="2">
        <v>1.5</v>
      </c>
      <c r="BE1255" s="2">
        <v>135</v>
      </c>
      <c r="BF1255" s="2">
        <v>0.8</v>
      </c>
      <c r="BG1255" s="2">
        <v>162</v>
      </c>
      <c r="BH1255" s="2">
        <v>9.1</v>
      </c>
      <c r="BI1255" s="2">
        <v>9.1999999999999993</v>
      </c>
      <c r="BJ1255" s="2">
        <v>18.3</v>
      </c>
      <c r="BK1255" s="2">
        <v>0.34</v>
      </c>
      <c r="BL1255" s="2">
        <v>7.3</v>
      </c>
      <c r="BM1255" s="2">
        <v>0.9</v>
      </c>
      <c r="BN1255" s="2">
        <v>7.5</v>
      </c>
      <c r="BO1255" s="2">
        <v>2.9</v>
      </c>
      <c r="BP1255" s="2">
        <f t="shared" si="38"/>
        <v>6.2838017684547438</v>
      </c>
      <c r="BQ1255" s="2">
        <f t="shared" si="39"/>
        <v>19.152671047093751</v>
      </c>
    </row>
    <row r="1256" spans="1:69" x14ac:dyDescent="0.2">
      <c r="A1256" s="2" t="s">
        <v>4632</v>
      </c>
      <c r="B1256" s="2" t="s">
        <v>47</v>
      </c>
      <c r="C1256" s="2" t="s">
        <v>3273</v>
      </c>
      <c r="D1256" s="2" t="s">
        <v>49</v>
      </c>
      <c r="E1256" s="2" t="s">
        <v>514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89</v>
      </c>
      <c r="L1256" s="6" t="s">
        <v>90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4633</v>
      </c>
      <c r="R1256" s="2">
        <v>9530201.3420000002</v>
      </c>
      <c r="S1256" s="2">
        <v>0</v>
      </c>
      <c r="T1256" s="2" t="s">
        <v>105</v>
      </c>
      <c r="U1256" s="2" t="s">
        <v>106</v>
      </c>
      <c r="V1256" s="2" t="s">
        <v>56</v>
      </c>
      <c r="W1256" s="2" t="s">
        <v>107</v>
      </c>
      <c r="X1256" s="2" t="s">
        <v>108</v>
      </c>
      <c r="Y1256" s="2">
        <v>2.4854450291560601</v>
      </c>
      <c r="Z1256" s="2">
        <v>2485.4450291560602</v>
      </c>
      <c r="AA1256" s="2">
        <v>4.6254861111111101</v>
      </c>
      <c r="AB1256" s="2">
        <v>-74.066980555555503</v>
      </c>
      <c r="AC1256" s="2">
        <v>2621</v>
      </c>
      <c r="AD1256" s="2">
        <v>15</v>
      </c>
      <c r="AE1256" s="2" t="s">
        <v>59</v>
      </c>
      <c r="AF1256" s="2" t="s">
        <v>60</v>
      </c>
      <c r="AG1256" s="2" t="s">
        <v>61</v>
      </c>
      <c r="AH1256" s="2" t="s">
        <v>62</v>
      </c>
      <c r="AI1256" s="2" t="s">
        <v>117</v>
      </c>
      <c r="AJ1256" s="2">
        <v>0.232715620400365</v>
      </c>
      <c r="AK1256" s="2">
        <v>0.68952211062925695</v>
      </c>
      <c r="AL1256" s="2">
        <v>0.28486902560330002</v>
      </c>
      <c r="AM1256" s="2">
        <v>0.139331049189412</v>
      </c>
      <c r="AN1256" s="2">
        <v>1.3838566972041</v>
      </c>
      <c r="AO1256" s="2">
        <v>2.8911522294463299E-2</v>
      </c>
      <c r="AP1256" s="2">
        <v>2.8911522294463299E-2</v>
      </c>
      <c r="AQ1256" s="2">
        <v>3</v>
      </c>
      <c r="AR1256" s="2">
        <v>9</v>
      </c>
      <c r="AS1256" s="2">
        <v>0</v>
      </c>
      <c r="AT1256" s="2">
        <v>38</v>
      </c>
      <c r="AU1256" s="2">
        <v>14</v>
      </c>
      <c r="AV1256" s="2">
        <v>50</v>
      </c>
      <c r="AW1256" s="2">
        <v>0</v>
      </c>
      <c r="AX1256" s="2">
        <v>8</v>
      </c>
      <c r="AZ1256" s="2">
        <v>6.8</v>
      </c>
      <c r="BA1256" s="2">
        <v>19.899999999999999</v>
      </c>
      <c r="BB1256" s="2">
        <v>564</v>
      </c>
      <c r="BC1256" s="2">
        <v>68</v>
      </c>
      <c r="BD1256" s="2">
        <v>1.5</v>
      </c>
      <c r="BE1256" s="2">
        <v>135</v>
      </c>
      <c r="BF1256" s="2">
        <v>0.8</v>
      </c>
      <c r="BG1256" s="2">
        <v>162</v>
      </c>
      <c r="BH1256" s="2">
        <v>9.1</v>
      </c>
      <c r="BI1256" s="2">
        <v>9.1999999999999993</v>
      </c>
      <c r="BJ1256" s="2">
        <v>18.3</v>
      </c>
      <c r="BK1256" s="2">
        <v>0.34</v>
      </c>
      <c r="BL1256" s="2">
        <v>7.3</v>
      </c>
      <c r="BM1256" s="2">
        <v>0.9</v>
      </c>
      <c r="BN1256" s="2">
        <v>7.5</v>
      </c>
      <c r="BO1256" s="2">
        <v>2.9</v>
      </c>
      <c r="BP1256" s="2">
        <f t="shared" si="38"/>
        <v>6.0128153507089799</v>
      </c>
      <c r="BQ1256" s="2">
        <f t="shared" si="39"/>
        <v>18.747661994797049</v>
      </c>
    </row>
    <row r="1257" spans="1:69" x14ac:dyDescent="0.2">
      <c r="A1257" s="2" t="s">
        <v>4436</v>
      </c>
      <c r="B1257" s="2" t="s">
        <v>47</v>
      </c>
      <c r="C1257" s="2" t="s">
        <v>3273</v>
      </c>
      <c r="D1257" s="2" t="s">
        <v>49</v>
      </c>
      <c r="E1257" s="2" t="s">
        <v>4437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89</v>
      </c>
      <c r="L1257" s="6" t="s">
        <v>90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4438</v>
      </c>
      <c r="R1257" s="2">
        <v>13136363.640000001</v>
      </c>
      <c r="S1257" s="2">
        <v>0</v>
      </c>
      <c r="T1257" s="2" t="s">
        <v>54</v>
      </c>
      <c r="U1257" s="2" t="s">
        <v>55</v>
      </c>
      <c r="V1257" s="2" t="s">
        <v>56</v>
      </c>
      <c r="W1257" s="2" t="s">
        <v>57</v>
      </c>
      <c r="X1257" s="2" t="s">
        <v>58</v>
      </c>
      <c r="Y1257" s="2">
        <v>2.7695935293308298</v>
      </c>
      <c r="Z1257" s="2">
        <v>2769.5935293308298</v>
      </c>
      <c r="AA1257" s="2">
        <v>4.6584666666666701</v>
      </c>
      <c r="AB1257" s="2">
        <v>-74.083966666666697</v>
      </c>
      <c r="AC1257" s="2">
        <v>2552</v>
      </c>
      <c r="AD1257" s="2">
        <v>0</v>
      </c>
      <c r="AE1257" s="2" t="s">
        <v>59</v>
      </c>
      <c r="AF1257" s="2" t="s">
        <v>60</v>
      </c>
      <c r="AG1257" s="2" t="s">
        <v>61</v>
      </c>
      <c r="AH1257" s="2" t="s">
        <v>62</v>
      </c>
      <c r="AI1257" s="2" t="s">
        <v>109</v>
      </c>
      <c r="AJ1257" s="2">
        <v>0.282619732160311</v>
      </c>
      <c r="AK1257" s="2">
        <v>1.59021988461999</v>
      </c>
      <c r="AL1257" s="2">
        <v>0.13070972780849299</v>
      </c>
      <c r="AM1257" s="2">
        <v>7.7810784961077295E-2</v>
      </c>
      <c r="AN1257" s="2">
        <v>2.5835304752764401</v>
      </c>
      <c r="AO1257" s="2">
        <v>0.13117306270036899</v>
      </c>
      <c r="AP1257" s="2">
        <v>0.13117306270036899</v>
      </c>
      <c r="AQ1257" s="2">
        <v>2</v>
      </c>
      <c r="AR1257" s="2">
        <v>5</v>
      </c>
      <c r="AS1257" s="2">
        <v>0</v>
      </c>
      <c r="AT1257" s="2">
        <v>0</v>
      </c>
      <c r="AU1257" s="2">
        <v>19</v>
      </c>
      <c r="AV1257" s="2">
        <v>264</v>
      </c>
      <c r="AW1257" s="2">
        <v>0</v>
      </c>
      <c r="AX1257" s="2">
        <v>0</v>
      </c>
      <c r="AZ1257" s="2">
        <v>6.8</v>
      </c>
      <c r="BA1257" s="2">
        <v>19.899999999999999</v>
      </c>
      <c r="BB1257" s="2">
        <v>564</v>
      </c>
      <c r="BC1257" s="2">
        <v>68</v>
      </c>
      <c r="BD1257" s="2">
        <v>1.5</v>
      </c>
      <c r="BE1257" s="2">
        <v>135</v>
      </c>
      <c r="BF1257" s="2">
        <v>0.8</v>
      </c>
      <c r="BG1257" s="2">
        <v>162</v>
      </c>
      <c r="BH1257" s="2">
        <v>9.1</v>
      </c>
      <c r="BI1257" s="2">
        <v>9.1999999999999993</v>
      </c>
      <c r="BJ1257" s="2">
        <v>18.3</v>
      </c>
      <c r="BK1257" s="2">
        <v>0.34</v>
      </c>
      <c r="BL1257" s="2">
        <v>7.3</v>
      </c>
      <c r="BM1257" s="2">
        <v>0.9</v>
      </c>
      <c r="BN1257" s="2">
        <v>7.5</v>
      </c>
      <c r="BO1257" s="2">
        <v>2.9</v>
      </c>
      <c r="BP1257" s="2">
        <f t="shared" si="38"/>
        <v>5.928834984915504</v>
      </c>
      <c r="BQ1257" s="2">
        <f t="shared" si="39"/>
        <v>18.620246068232561</v>
      </c>
    </row>
    <row r="1258" spans="1:69" x14ac:dyDescent="0.2">
      <c r="A1258" s="2" t="s">
        <v>4179</v>
      </c>
      <c r="B1258" s="2" t="s">
        <v>47</v>
      </c>
      <c r="C1258" s="2" t="s">
        <v>3273</v>
      </c>
      <c r="D1258" s="2" t="s">
        <v>49</v>
      </c>
      <c r="E1258" s="2" t="s">
        <v>109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89</v>
      </c>
      <c r="L1258" s="6" t="s">
        <v>112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4180</v>
      </c>
      <c r="R1258" s="2">
        <v>12272727.27</v>
      </c>
      <c r="S1258" s="2">
        <v>0</v>
      </c>
      <c r="T1258" s="2" t="s">
        <v>105</v>
      </c>
      <c r="U1258" s="2" t="s">
        <v>106</v>
      </c>
      <c r="V1258" s="2" t="s">
        <v>56</v>
      </c>
      <c r="W1258" s="2" t="s">
        <v>107</v>
      </c>
      <c r="X1258" s="2" t="s">
        <v>108</v>
      </c>
      <c r="Y1258" s="2">
        <v>2.6775369153745001</v>
      </c>
      <c r="Z1258" s="2">
        <v>2677.5369153745</v>
      </c>
      <c r="AA1258" s="2">
        <v>4.6254861111111101</v>
      </c>
      <c r="AB1258" s="2">
        <v>-74.066980555555503</v>
      </c>
      <c r="AC1258" s="2">
        <v>2621</v>
      </c>
      <c r="AD1258" s="2">
        <v>15</v>
      </c>
      <c r="AE1258" s="2" t="s">
        <v>59</v>
      </c>
      <c r="AF1258" s="2" t="s">
        <v>60</v>
      </c>
      <c r="AG1258" s="2" t="s">
        <v>61</v>
      </c>
      <c r="AH1258" s="2" t="s">
        <v>62</v>
      </c>
      <c r="AI1258" s="2" t="s">
        <v>267</v>
      </c>
      <c r="AJ1258" s="2">
        <v>0.66743251898662503</v>
      </c>
      <c r="AK1258" s="2">
        <v>3.1337604789985098</v>
      </c>
      <c r="AL1258" s="2">
        <v>1.5332800914459901</v>
      </c>
      <c r="AM1258" s="2">
        <v>6.5377647119212901E-2</v>
      </c>
      <c r="AN1258" s="2">
        <v>1.4308107403660699</v>
      </c>
      <c r="AO1258" s="2">
        <v>0.54905754830896403</v>
      </c>
      <c r="AP1258" s="2">
        <v>0.54905754830896403</v>
      </c>
      <c r="AQ1258" s="2">
        <v>0</v>
      </c>
      <c r="AR1258" s="2">
        <v>4</v>
      </c>
      <c r="AS1258" s="2">
        <v>0</v>
      </c>
      <c r="AT1258" s="2">
        <v>0</v>
      </c>
      <c r="AU1258" s="2">
        <v>0</v>
      </c>
      <c r="AV1258" s="2">
        <v>16</v>
      </c>
      <c r="AW1258" s="2">
        <v>0</v>
      </c>
      <c r="AX1258" s="2">
        <v>0</v>
      </c>
      <c r="AZ1258" s="2">
        <v>6.8</v>
      </c>
      <c r="BA1258" s="2">
        <v>19.899999999999999</v>
      </c>
      <c r="BB1258" s="2">
        <v>564</v>
      </c>
      <c r="BC1258" s="2">
        <v>68</v>
      </c>
      <c r="BD1258" s="2">
        <v>1.5</v>
      </c>
      <c r="BE1258" s="2">
        <v>135</v>
      </c>
      <c r="BF1258" s="2">
        <v>0.8</v>
      </c>
      <c r="BG1258" s="2">
        <v>162</v>
      </c>
      <c r="BH1258" s="2">
        <v>9.1</v>
      </c>
      <c r="BI1258" s="2">
        <v>9.1999999999999993</v>
      </c>
      <c r="BJ1258" s="2">
        <v>18.3</v>
      </c>
      <c r="BK1258" s="2">
        <v>0.34</v>
      </c>
      <c r="BL1258" s="2">
        <v>7.3</v>
      </c>
      <c r="BM1258" s="2">
        <v>0.9</v>
      </c>
      <c r="BN1258" s="2">
        <v>7.5</v>
      </c>
      <c r="BO1258" s="2">
        <v>2.9</v>
      </c>
      <c r="BP1258" s="2">
        <f t="shared" si="38"/>
        <v>5.9559131624464419</v>
      </c>
      <c r="BQ1258" s="2">
        <f t="shared" si="39"/>
        <v>18.661430350204302</v>
      </c>
    </row>
    <row r="1259" spans="1:69" x14ac:dyDescent="0.2">
      <c r="A1259" s="2" t="s">
        <v>4097</v>
      </c>
      <c r="B1259" s="2" t="s">
        <v>47</v>
      </c>
      <c r="C1259" s="2" t="s">
        <v>3273</v>
      </c>
      <c r="D1259" s="2" t="s">
        <v>49</v>
      </c>
      <c r="E1259" s="2" t="s">
        <v>3538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89</v>
      </c>
      <c r="L1259" s="6" t="s">
        <v>90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4098</v>
      </c>
      <c r="R1259" s="2">
        <v>11363636.359999999</v>
      </c>
      <c r="S1259" s="2">
        <v>0</v>
      </c>
      <c r="T1259" s="2" t="s">
        <v>105</v>
      </c>
      <c r="U1259" s="2" t="s">
        <v>106</v>
      </c>
      <c r="V1259" s="2" t="s">
        <v>56</v>
      </c>
      <c r="W1259" s="2" t="s">
        <v>107</v>
      </c>
      <c r="X1259" s="2" t="s">
        <v>108</v>
      </c>
      <c r="Y1259" s="2">
        <v>2.6062232733349902</v>
      </c>
      <c r="Z1259" s="2">
        <v>2606.2232733349902</v>
      </c>
      <c r="AA1259" s="2">
        <v>4.6254861111111101</v>
      </c>
      <c r="AB1259" s="2">
        <v>-74.066980555555503</v>
      </c>
      <c r="AC1259" s="2">
        <v>2621</v>
      </c>
      <c r="AD1259" s="2">
        <v>15</v>
      </c>
      <c r="AE1259" s="2" t="s">
        <v>59</v>
      </c>
      <c r="AF1259" s="2" t="s">
        <v>60</v>
      </c>
      <c r="AG1259" s="2" t="s">
        <v>61</v>
      </c>
      <c r="AH1259" s="2" t="s">
        <v>62</v>
      </c>
      <c r="AI1259" s="2" t="s">
        <v>117</v>
      </c>
      <c r="AJ1259" s="2">
        <v>0.24942807750848001</v>
      </c>
      <c r="AK1259" s="2">
        <v>0.74970684997677395</v>
      </c>
      <c r="AL1259" s="2">
        <v>0.30665810133853699</v>
      </c>
      <c r="AM1259" s="2">
        <v>0.14606478813190199</v>
      </c>
      <c r="AN1259" s="2">
        <v>1.5048204582978899</v>
      </c>
      <c r="AO1259" s="2">
        <v>4.4427298027160902E-2</v>
      </c>
      <c r="AP1259" s="2">
        <v>4.4427298027160902E-2</v>
      </c>
      <c r="AQ1259" s="2">
        <v>3</v>
      </c>
      <c r="AR1259" s="2">
        <v>8</v>
      </c>
      <c r="AS1259" s="2">
        <v>0</v>
      </c>
      <c r="AT1259" s="2">
        <v>39</v>
      </c>
      <c r="AU1259" s="2">
        <v>15</v>
      </c>
      <c r="AV1259" s="2">
        <v>51</v>
      </c>
      <c r="AW1259" s="2">
        <v>0</v>
      </c>
      <c r="AX1259" s="2">
        <v>8</v>
      </c>
      <c r="AZ1259" s="2">
        <v>6.8</v>
      </c>
      <c r="BA1259" s="2">
        <v>19.899999999999999</v>
      </c>
      <c r="BB1259" s="2">
        <v>564</v>
      </c>
      <c r="BC1259" s="2">
        <v>68</v>
      </c>
      <c r="BD1259" s="2">
        <v>1.5</v>
      </c>
      <c r="BE1259" s="2">
        <v>135</v>
      </c>
      <c r="BF1259" s="2">
        <v>0.8</v>
      </c>
      <c r="BG1259" s="2">
        <v>162</v>
      </c>
      <c r="BH1259" s="2">
        <v>9.1</v>
      </c>
      <c r="BI1259" s="2">
        <v>9.1999999999999993</v>
      </c>
      <c r="BJ1259" s="2">
        <v>18.3</v>
      </c>
      <c r="BK1259" s="2">
        <v>0.34</v>
      </c>
      <c r="BL1259" s="2">
        <v>7.3</v>
      </c>
      <c r="BM1259" s="2">
        <v>0.9</v>
      </c>
      <c r="BN1259" s="2">
        <v>7.5</v>
      </c>
      <c r="BO1259" s="2">
        <v>2.9</v>
      </c>
      <c r="BP1259" s="2">
        <f t="shared" si="38"/>
        <v>5.9769748387350052</v>
      </c>
      <c r="BQ1259" s="2">
        <f t="shared" si="39"/>
        <v>18.69339724804632</v>
      </c>
    </row>
    <row r="1260" spans="1:69" x14ac:dyDescent="0.2">
      <c r="A1260" s="2" t="s">
        <v>4554</v>
      </c>
      <c r="B1260" s="2" t="s">
        <v>47</v>
      </c>
      <c r="C1260" s="2" t="s">
        <v>3273</v>
      </c>
      <c r="D1260" s="2" t="s">
        <v>49</v>
      </c>
      <c r="E1260" s="2" t="s">
        <v>360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89</v>
      </c>
      <c r="L1260" s="6" t="s">
        <v>90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4555</v>
      </c>
      <c r="R1260" s="2">
        <v>10909090.91</v>
      </c>
      <c r="S1260" s="2">
        <v>0</v>
      </c>
      <c r="T1260" s="2" t="s">
        <v>105</v>
      </c>
      <c r="U1260" s="2" t="s">
        <v>106</v>
      </c>
      <c r="V1260" s="2" t="s">
        <v>56</v>
      </c>
      <c r="W1260" s="2" t="s">
        <v>107</v>
      </c>
      <c r="X1260" s="2" t="s">
        <v>108</v>
      </c>
      <c r="Y1260" s="2">
        <v>2.6105141384533401</v>
      </c>
      <c r="Z1260" s="2">
        <v>2610.5141384533399</v>
      </c>
      <c r="AA1260" s="2">
        <v>4.6254861111111101</v>
      </c>
      <c r="AB1260" s="2">
        <v>-74.066980555555503</v>
      </c>
      <c r="AC1260" s="2">
        <v>2621</v>
      </c>
      <c r="AD1260" s="2">
        <v>15</v>
      </c>
      <c r="AE1260" s="2" t="s">
        <v>59</v>
      </c>
      <c r="AF1260" s="2" t="s">
        <v>60</v>
      </c>
      <c r="AG1260" s="2" t="s">
        <v>61</v>
      </c>
      <c r="AH1260" s="2" t="s">
        <v>62</v>
      </c>
      <c r="AI1260" s="2" t="s">
        <v>117</v>
      </c>
      <c r="AJ1260" s="2">
        <v>0.24232010239257801</v>
      </c>
      <c r="AK1260" s="2">
        <v>0.74362181839173902</v>
      </c>
      <c r="AL1260" s="2">
        <v>0.29942026530691201</v>
      </c>
      <c r="AM1260" s="2">
        <v>0.146583774267697</v>
      </c>
      <c r="AN1260" s="2">
        <v>1.5076355751671799</v>
      </c>
      <c r="AO1260" s="2">
        <v>5.38582777361361E-2</v>
      </c>
      <c r="AP1260" s="2">
        <v>5.38582777361361E-2</v>
      </c>
      <c r="AQ1260" s="2">
        <v>3</v>
      </c>
      <c r="AR1260" s="2">
        <v>8</v>
      </c>
      <c r="AS1260" s="2">
        <v>0</v>
      </c>
      <c r="AT1260" s="2">
        <v>41</v>
      </c>
      <c r="AU1260" s="2">
        <v>15</v>
      </c>
      <c r="AV1260" s="2">
        <v>50</v>
      </c>
      <c r="AW1260" s="2">
        <v>0</v>
      </c>
      <c r="AX1260" s="2">
        <v>8</v>
      </c>
      <c r="AZ1260" s="2">
        <v>6.8</v>
      </c>
      <c r="BA1260" s="2">
        <v>19.899999999999999</v>
      </c>
      <c r="BB1260" s="2">
        <v>564</v>
      </c>
      <c r="BC1260" s="2">
        <v>68</v>
      </c>
      <c r="BD1260" s="2">
        <v>1.5</v>
      </c>
      <c r="BE1260" s="2">
        <v>135</v>
      </c>
      <c r="BF1260" s="2">
        <v>0.8</v>
      </c>
      <c r="BG1260" s="2">
        <v>162</v>
      </c>
      <c r="BH1260" s="2">
        <v>9.1</v>
      </c>
      <c r="BI1260" s="2">
        <v>9.1999999999999993</v>
      </c>
      <c r="BJ1260" s="2">
        <v>18.3</v>
      </c>
      <c r="BK1260" s="2">
        <v>0.34</v>
      </c>
      <c r="BL1260" s="2">
        <v>7.3</v>
      </c>
      <c r="BM1260" s="2">
        <v>0.9</v>
      </c>
      <c r="BN1260" s="2">
        <v>7.5</v>
      </c>
      <c r="BO1260" s="2">
        <v>2.9</v>
      </c>
      <c r="BP1260" s="2">
        <f t="shared" si="38"/>
        <v>5.975705477098586</v>
      </c>
      <c r="BQ1260" s="2">
        <f t="shared" si="39"/>
        <v>18.691472286856325</v>
      </c>
    </row>
    <row r="1261" spans="1:69" x14ac:dyDescent="0.2">
      <c r="A1261" s="2" t="s">
        <v>3784</v>
      </c>
      <c r="B1261" s="2" t="s">
        <v>47</v>
      </c>
      <c r="C1261" s="2" t="s">
        <v>3273</v>
      </c>
      <c r="D1261" s="2" t="s">
        <v>49</v>
      </c>
      <c r="E1261" s="2" t="s">
        <v>102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89</v>
      </c>
      <c r="L1261" s="6" t="s">
        <v>90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3785</v>
      </c>
      <c r="R1261" s="2">
        <v>10863636.359999999</v>
      </c>
      <c r="S1261" s="2">
        <v>0</v>
      </c>
      <c r="T1261" s="2" t="s">
        <v>105</v>
      </c>
      <c r="U1261" s="2" t="s">
        <v>106</v>
      </c>
      <c r="V1261" s="2" t="s">
        <v>56</v>
      </c>
      <c r="W1261" s="2" t="s">
        <v>107</v>
      </c>
      <c r="X1261" s="2" t="s">
        <v>108</v>
      </c>
      <c r="Y1261" s="2">
        <v>2.013818501362</v>
      </c>
      <c r="Z1261" s="2">
        <v>2013.818501362</v>
      </c>
      <c r="AA1261" s="2">
        <v>4.6254861111111101</v>
      </c>
      <c r="AB1261" s="2">
        <v>-74.066980555555503</v>
      </c>
      <c r="AC1261" s="2">
        <v>2621</v>
      </c>
      <c r="AD1261" s="2">
        <v>15</v>
      </c>
      <c r="AE1261" s="2" t="s">
        <v>59</v>
      </c>
      <c r="AF1261" s="2" t="s">
        <v>60</v>
      </c>
      <c r="AG1261" s="2" t="s">
        <v>61</v>
      </c>
      <c r="AH1261" s="2" t="s">
        <v>62</v>
      </c>
      <c r="AI1261" s="2" t="s">
        <v>109</v>
      </c>
      <c r="AJ1261" s="2">
        <v>0.31202553854340498</v>
      </c>
      <c r="AK1261" s="2">
        <v>0.65521729859868905</v>
      </c>
      <c r="AL1261" s="2">
        <v>0.37214957130887799</v>
      </c>
      <c r="AM1261" s="2">
        <v>0.12685881930291601</v>
      </c>
      <c r="AN1261" s="2">
        <v>0.54029111617762804</v>
      </c>
      <c r="AO1261" s="2">
        <v>0.33342952983095803</v>
      </c>
      <c r="AP1261" s="2">
        <v>0.33342952983095803</v>
      </c>
      <c r="AQ1261" s="2">
        <v>1</v>
      </c>
      <c r="AR1261" s="2">
        <v>4</v>
      </c>
      <c r="AS1261" s="2">
        <v>0</v>
      </c>
      <c r="AT1261" s="2">
        <v>17</v>
      </c>
      <c r="AU1261" s="2">
        <v>11</v>
      </c>
      <c r="AV1261" s="2">
        <v>139</v>
      </c>
      <c r="AW1261" s="2">
        <v>1</v>
      </c>
      <c r="AX1261" s="2">
        <v>0</v>
      </c>
      <c r="AZ1261" s="2">
        <v>6.8</v>
      </c>
      <c r="BA1261" s="2">
        <v>19.899999999999999</v>
      </c>
      <c r="BB1261" s="2">
        <v>564</v>
      </c>
      <c r="BC1261" s="2">
        <v>68</v>
      </c>
      <c r="BD1261" s="2">
        <v>1.5</v>
      </c>
      <c r="BE1261" s="2">
        <v>135</v>
      </c>
      <c r="BF1261" s="2">
        <v>0.8</v>
      </c>
      <c r="BG1261" s="2">
        <v>162</v>
      </c>
      <c r="BH1261" s="2">
        <v>9.1</v>
      </c>
      <c r="BI1261" s="2">
        <v>9.1999999999999993</v>
      </c>
      <c r="BJ1261" s="2">
        <v>18.3</v>
      </c>
      <c r="BK1261" s="2">
        <v>0.34</v>
      </c>
      <c r="BL1261" s="2">
        <v>7.3</v>
      </c>
      <c r="BM1261" s="2">
        <v>0.9</v>
      </c>
      <c r="BN1261" s="2">
        <v>7.5</v>
      </c>
      <c r="BO1261" s="2">
        <v>2.9</v>
      </c>
      <c r="BP1261" s="2">
        <f t="shared" si="38"/>
        <v>6.154838967168808</v>
      </c>
      <c r="BQ1261" s="2">
        <f t="shared" si="39"/>
        <v>18.961072993272463</v>
      </c>
    </row>
    <row r="1262" spans="1:69" x14ac:dyDescent="0.2">
      <c r="A1262" s="2" t="s">
        <v>3951</v>
      </c>
      <c r="B1262" s="2" t="s">
        <v>47</v>
      </c>
      <c r="C1262" s="2" t="s">
        <v>3273</v>
      </c>
      <c r="D1262" s="2" t="s">
        <v>49</v>
      </c>
      <c r="E1262" s="2" t="s">
        <v>1077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89</v>
      </c>
      <c r="L1262" s="6" t="s">
        <v>90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3952</v>
      </c>
      <c r="R1262" s="2">
        <v>10681818.18</v>
      </c>
      <c r="S1262" s="2">
        <v>0</v>
      </c>
      <c r="T1262" s="2" t="s">
        <v>105</v>
      </c>
      <c r="U1262" s="2" t="s">
        <v>106</v>
      </c>
      <c r="V1262" s="2" t="s">
        <v>56</v>
      </c>
      <c r="W1262" s="2" t="s">
        <v>107</v>
      </c>
      <c r="X1262" s="2" t="s">
        <v>108</v>
      </c>
      <c r="Y1262" s="2">
        <v>2.60286126408573</v>
      </c>
      <c r="Z1262" s="2">
        <v>2602.86126408573</v>
      </c>
      <c r="AA1262" s="2">
        <v>4.6254861111111101</v>
      </c>
      <c r="AB1262" s="2">
        <v>-74.066980555555503</v>
      </c>
      <c r="AC1262" s="2">
        <v>2621</v>
      </c>
      <c r="AD1262" s="2">
        <v>15</v>
      </c>
      <c r="AE1262" s="2" t="s">
        <v>59</v>
      </c>
      <c r="AF1262" s="2" t="s">
        <v>60</v>
      </c>
      <c r="AG1262" s="2" t="s">
        <v>61</v>
      </c>
      <c r="AH1262" s="2" t="s">
        <v>62</v>
      </c>
      <c r="AI1262" s="2" t="s">
        <v>117</v>
      </c>
      <c r="AJ1262" s="2">
        <v>0.25566841087481601</v>
      </c>
      <c r="AK1262" s="2">
        <v>0.75499844549339601</v>
      </c>
      <c r="AL1262" s="2">
        <v>0.31027728974651397</v>
      </c>
      <c r="AM1262" s="2">
        <v>0.14586696380481101</v>
      </c>
      <c r="AN1262" s="2">
        <v>1.5027310352068499</v>
      </c>
      <c r="AO1262" s="2">
        <v>3.6479756449405397E-2</v>
      </c>
      <c r="AP1262" s="2">
        <v>3.6479756449405397E-2</v>
      </c>
      <c r="AQ1262" s="2">
        <v>3</v>
      </c>
      <c r="AR1262" s="2">
        <v>8</v>
      </c>
      <c r="AS1262" s="2">
        <v>0</v>
      </c>
      <c r="AT1262" s="2">
        <v>39</v>
      </c>
      <c r="AU1262" s="2">
        <v>15</v>
      </c>
      <c r="AV1262" s="2">
        <v>51</v>
      </c>
      <c r="AW1262" s="2">
        <v>0</v>
      </c>
      <c r="AX1262" s="2">
        <v>8</v>
      </c>
      <c r="AZ1262" s="2">
        <v>6.8</v>
      </c>
      <c r="BA1262" s="2">
        <v>19.899999999999999</v>
      </c>
      <c r="BB1262" s="2">
        <v>564</v>
      </c>
      <c r="BC1262" s="2">
        <v>68</v>
      </c>
      <c r="BD1262" s="2">
        <v>1.5</v>
      </c>
      <c r="BE1262" s="2">
        <v>135</v>
      </c>
      <c r="BF1262" s="2">
        <v>0.8</v>
      </c>
      <c r="BG1262" s="2">
        <v>162</v>
      </c>
      <c r="BH1262" s="2">
        <v>9.1</v>
      </c>
      <c r="BI1262" s="2">
        <v>9.1999999999999993</v>
      </c>
      <c r="BJ1262" s="2">
        <v>18.3</v>
      </c>
      <c r="BK1262" s="2">
        <v>0.34</v>
      </c>
      <c r="BL1262" s="2">
        <v>7.3</v>
      </c>
      <c r="BM1262" s="2">
        <v>0.9</v>
      </c>
      <c r="BN1262" s="2">
        <v>7.5</v>
      </c>
      <c r="BO1262" s="2">
        <v>2.9</v>
      </c>
      <c r="BP1262" s="2">
        <f t="shared" si="38"/>
        <v>5.9779696064192338</v>
      </c>
      <c r="BQ1262" s="2">
        <f t="shared" si="39"/>
        <v>18.694905645887225</v>
      </c>
    </row>
    <row r="1263" spans="1:69" x14ac:dyDescent="0.2">
      <c r="A1263" s="2" t="s">
        <v>3677</v>
      </c>
      <c r="B1263" s="2" t="s">
        <v>47</v>
      </c>
      <c r="C1263" s="2" t="s">
        <v>3273</v>
      </c>
      <c r="D1263" s="2" t="s">
        <v>49</v>
      </c>
      <c r="E1263" s="2" t="s">
        <v>360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89</v>
      </c>
      <c r="L1263" s="6" t="s">
        <v>112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3678</v>
      </c>
      <c r="R1263" s="2">
        <v>10681818.18</v>
      </c>
      <c r="S1263" s="2">
        <v>0</v>
      </c>
      <c r="T1263" s="2" t="s">
        <v>105</v>
      </c>
      <c r="U1263" s="2" t="s">
        <v>106</v>
      </c>
      <c r="V1263" s="2" t="s">
        <v>56</v>
      </c>
      <c r="W1263" s="2" t="s">
        <v>107</v>
      </c>
      <c r="X1263" s="2" t="s">
        <v>108</v>
      </c>
      <c r="Y1263" s="2">
        <v>2.4975900348759801</v>
      </c>
      <c r="Z1263" s="2">
        <v>2497.5900348759801</v>
      </c>
      <c r="AA1263" s="2">
        <v>4.6254861111111101</v>
      </c>
      <c r="AB1263" s="2">
        <v>-74.066980555555503</v>
      </c>
      <c r="AC1263" s="2">
        <v>2621</v>
      </c>
      <c r="AD1263" s="2">
        <v>15</v>
      </c>
      <c r="AE1263" s="2" t="s">
        <v>59</v>
      </c>
      <c r="AF1263" s="2" t="s">
        <v>60</v>
      </c>
      <c r="AG1263" s="2" t="s">
        <v>61</v>
      </c>
      <c r="AH1263" s="2" t="s">
        <v>62</v>
      </c>
      <c r="AI1263" s="2" t="s">
        <v>117</v>
      </c>
      <c r="AJ1263" s="2">
        <v>0.22710083708470999</v>
      </c>
      <c r="AK1263" s="2">
        <v>0.69062991222598602</v>
      </c>
      <c r="AL1263" s="2">
        <v>0.28162759855806302</v>
      </c>
      <c r="AM1263" s="2">
        <v>0.15077704553652299</v>
      </c>
      <c r="AN1263" s="2">
        <v>1.39523376815168</v>
      </c>
      <c r="AO1263" s="2">
        <v>3.5290973381480302E-2</v>
      </c>
      <c r="AP1263" s="2">
        <v>3.5290973381480302E-2</v>
      </c>
      <c r="AQ1263" s="2">
        <v>3</v>
      </c>
      <c r="AR1263" s="2">
        <v>9</v>
      </c>
      <c r="AS1263" s="2">
        <v>0</v>
      </c>
      <c r="AT1263" s="2">
        <v>38</v>
      </c>
      <c r="AU1263" s="2">
        <v>14</v>
      </c>
      <c r="AV1263" s="2">
        <v>50</v>
      </c>
      <c r="AW1263" s="2">
        <v>0</v>
      </c>
      <c r="AX1263" s="2">
        <v>8</v>
      </c>
      <c r="AZ1263" s="2">
        <v>6.8</v>
      </c>
      <c r="BA1263" s="2">
        <v>19.899999999999999</v>
      </c>
      <c r="BB1263" s="2">
        <v>564</v>
      </c>
      <c r="BC1263" s="2">
        <v>68</v>
      </c>
      <c r="BD1263" s="2">
        <v>1.5</v>
      </c>
      <c r="BE1263" s="2">
        <v>135</v>
      </c>
      <c r="BF1263" s="2">
        <v>0.8</v>
      </c>
      <c r="BG1263" s="2">
        <v>162</v>
      </c>
      <c r="BH1263" s="2">
        <v>9.1</v>
      </c>
      <c r="BI1263" s="2">
        <v>9.1999999999999993</v>
      </c>
      <c r="BJ1263" s="2">
        <v>18.3</v>
      </c>
      <c r="BK1263" s="2">
        <v>0.34</v>
      </c>
      <c r="BL1263" s="2">
        <v>7.3</v>
      </c>
      <c r="BM1263" s="2">
        <v>0.9</v>
      </c>
      <c r="BN1263" s="2">
        <v>7.5</v>
      </c>
      <c r="BO1263" s="2">
        <v>2.9</v>
      </c>
      <c r="BP1263" s="2">
        <f t="shared" si="38"/>
        <v>6.0092016660483374</v>
      </c>
      <c r="BQ1263" s="2">
        <f t="shared" si="39"/>
        <v>18.742198220034755</v>
      </c>
    </row>
    <row r="1264" spans="1:69" x14ac:dyDescent="0.2">
      <c r="A1264" s="2" t="s">
        <v>3776</v>
      </c>
      <c r="B1264" s="2" t="s">
        <v>47</v>
      </c>
      <c r="C1264" s="2" t="s">
        <v>3273</v>
      </c>
      <c r="D1264" s="2" t="s">
        <v>49</v>
      </c>
      <c r="E1264" s="2" t="s">
        <v>3777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89</v>
      </c>
      <c r="L1264" s="6" t="s">
        <v>90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3778</v>
      </c>
      <c r="R1264" s="2">
        <v>10000000</v>
      </c>
      <c r="S1264" s="2">
        <v>0</v>
      </c>
      <c r="T1264" s="2" t="s">
        <v>54</v>
      </c>
      <c r="U1264" s="2" t="s">
        <v>55</v>
      </c>
      <c r="V1264" s="2" t="s">
        <v>56</v>
      </c>
      <c r="W1264" s="2" t="s">
        <v>57</v>
      </c>
      <c r="X1264" s="2" t="s">
        <v>58</v>
      </c>
      <c r="Y1264" s="2">
        <v>2.0293052681244101</v>
      </c>
      <c r="Z1264" s="2">
        <v>2029.3052681244101</v>
      </c>
      <c r="AA1264" s="2">
        <v>4.6584666666666701</v>
      </c>
      <c r="AB1264" s="2">
        <v>-74.083966666666697</v>
      </c>
      <c r="AC1264" s="2">
        <v>2552</v>
      </c>
      <c r="AD1264" s="2">
        <v>0</v>
      </c>
      <c r="AE1264" s="2" t="s">
        <v>59</v>
      </c>
      <c r="AF1264" s="2" t="s">
        <v>60</v>
      </c>
      <c r="AG1264" s="2" t="s">
        <v>61</v>
      </c>
      <c r="AH1264" s="2" t="s">
        <v>62</v>
      </c>
      <c r="AI1264" s="2" t="s">
        <v>63</v>
      </c>
      <c r="AJ1264" s="2">
        <v>0.45939211881233299</v>
      </c>
      <c r="AK1264" s="2">
        <v>2.1166030800949098</v>
      </c>
      <c r="AL1264" s="2">
        <v>0.46190550399672298</v>
      </c>
      <c r="AM1264" s="2">
        <v>0.114552875473952</v>
      </c>
      <c r="AN1264" s="2">
        <v>1.9483042748042201</v>
      </c>
      <c r="AO1264" s="2">
        <v>0.68783720540346505</v>
      </c>
      <c r="AP1264" s="2">
        <v>0.68783720540346505</v>
      </c>
      <c r="AQ1264" s="2">
        <v>1</v>
      </c>
      <c r="AR1264" s="2">
        <v>3</v>
      </c>
      <c r="AS1264" s="2">
        <v>0</v>
      </c>
      <c r="AT1264" s="2">
        <v>0</v>
      </c>
      <c r="AU1264" s="2">
        <v>4</v>
      </c>
      <c r="AV1264" s="2">
        <v>90</v>
      </c>
      <c r="AW1264" s="2">
        <v>0</v>
      </c>
      <c r="AX1264" s="2">
        <v>0</v>
      </c>
      <c r="AZ1264" s="2">
        <v>6.8</v>
      </c>
      <c r="BA1264" s="2">
        <v>19.899999999999999</v>
      </c>
      <c r="BB1264" s="2">
        <v>564</v>
      </c>
      <c r="BC1264" s="2">
        <v>68</v>
      </c>
      <c r="BD1264" s="2">
        <v>1.5</v>
      </c>
      <c r="BE1264" s="2">
        <v>135</v>
      </c>
      <c r="BF1264" s="2">
        <v>0.8</v>
      </c>
      <c r="BG1264" s="2">
        <v>162</v>
      </c>
      <c r="BH1264" s="2">
        <v>9.1</v>
      </c>
      <c r="BI1264" s="2">
        <v>9.1999999999999993</v>
      </c>
      <c r="BJ1264" s="2">
        <v>18.3</v>
      </c>
      <c r="BK1264" s="2">
        <v>0.34</v>
      </c>
      <c r="BL1264" s="2">
        <v>7.3</v>
      </c>
      <c r="BM1264" s="2">
        <v>0.9</v>
      </c>
      <c r="BN1264" s="2">
        <v>7.5</v>
      </c>
      <c r="BO1264" s="2">
        <v>2.9</v>
      </c>
      <c r="BP1264" s="2">
        <f t="shared" si="38"/>
        <v>6.1501225067077163</v>
      </c>
      <c r="BQ1264" s="2">
        <f t="shared" si="39"/>
        <v>18.954026805665265</v>
      </c>
    </row>
    <row r="1265" spans="1:69" x14ac:dyDescent="0.2">
      <c r="A1265" s="2" t="s">
        <v>3450</v>
      </c>
      <c r="B1265" s="2" t="s">
        <v>47</v>
      </c>
      <c r="C1265" s="2" t="s">
        <v>3273</v>
      </c>
      <c r="D1265" s="2" t="s">
        <v>49</v>
      </c>
      <c r="E1265" s="2" t="s">
        <v>1077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89</v>
      </c>
      <c r="L1265" s="6" t="s">
        <v>90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3451</v>
      </c>
      <c r="R1265" s="2">
        <v>9954545.4550000001</v>
      </c>
      <c r="S1265" s="2">
        <v>0</v>
      </c>
      <c r="T1265" s="2" t="s">
        <v>105</v>
      </c>
      <c r="U1265" s="2" t="s">
        <v>106</v>
      </c>
      <c r="V1265" s="2" t="s">
        <v>56</v>
      </c>
      <c r="W1265" s="2" t="s">
        <v>107</v>
      </c>
      <c r="X1265" s="2" t="s">
        <v>108</v>
      </c>
      <c r="Y1265" s="2">
        <v>1.6861349831747201</v>
      </c>
      <c r="Z1265" s="2">
        <v>1686.13498317472</v>
      </c>
      <c r="AA1265" s="2">
        <v>4.6254861111111101</v>
      </c>
      <c r="AB1265" s="2">
        <v>-74.066980555555503</v>
      </c>
      <c r="AC1265" s="2">
        <v>2621</v>
      </c>
      <c r="AD1265" s="2">
        <v>15</v>
      </c>
      <c r="AE1265" s="2" t="s">
        <v>59</v>
      </c>
      <c r="AF1265" s="2" t="s">
        <v>60</v>
      </c>
      <c r="AG1265" s="2" t="s">
        <v>61</v>
      </c>
      <c r="AH1265" s="2" t="s">
        <v>62</v>
      </c>
      <c r="AI1265" s="2" t="s">
        <v>117</v>
      </c>
      <c r="AJ1265" s="2">
        <v>2.7412834686535398E-2</v>
      </c>
      <c r="AK1265" s="2">
        <v>0.75273406931437203</v>
      </c>
      <c r="AL1265" s="2">
        <v>0.15284068796981101</v>
      </c>
      <c r="AM1265" s="2">
        <v>0.33604796087546401</v>
      </c>
      <c r="AN1265" s="2">
        <v>0.72366353519718496</v>
      </c>
      <c r="AO1265" s="2">
        <v>5.1275955074568502E-2</v>
      </c>
      <c r="AP1265" s="2">
        <v>5.1275955074568502E-2</v>
      </c>
      <c r="AQ1265" s="2">
        <v>2</v>
      </c>
      <c r="AR1265" s="2">
        <v>8</v>
      </c>
      <c r="AS1265" s="2">
        <v>0</v>
      </c>
      <c r="AT1265" s="2">
        <v>23</v>
      </c>
      <c r="AU1265" s="2">
        <v>9</v>
      </c>
      <c r="AV1265" s="2">
        <v>64</v>
      </c>
      <c r="AW1265" s="2">
        <v>1</v>
      </c>
      <c r="AX1265" s="2">
        <v>6</v>
      </c>
      <c r="AZ1265" s="2">
        <v>6.8</v>
      </c>
      <c r="BA1265" s="2">
        <v>19.899999999999999</v>
      </c>
      <c r="BB1265" s="2">
        <v>564</v>
      </c>
      <c r="BC1265" s="2">
        <v>68</v>
      </c>
      <c r="BD1265" s="2">
        <v>1.5</v>
      </c>
      <c r="BE1265" s="2">
        <v>135</v>
      </c>
      <c r="BF1265" s="2">
        <v>0.8</v>
      </c>
      <c r="BG1265" s="2">
        <v>162</v>
      </c>
      <c r="BH1265" s="2">
        <v>9.1</v>
      </c>
      <c r="BI1265" s="2">
        <v>9.1999999999999993</v>
      </c>
      <c r="BJ1265" s="2">
        <v>18.3</v>
      </c>
      <c r="BK1265" s="2">
        <v>0.34</v>
      </c>
      <c r="BL1265" s="2">
        <v>7.3</v>
      </c>
      <c r="BM1265" s="2">
        <v>0.9</v>
      </c>
      <c r="BN1265" s="2">
        <v>7.5</v>
      </c>
      <c r="BO1265" s="2">
        <v>2.9</v>
      </c>
      <c r="BP1265" s="2">
        <f t="shared" si="38"/>
        <v>6.2554865740824424</v>
      </c>
      <c r="BQ1265" s="2">
        <f t="shared" si="39"/>
        <v>19.110778440340731</v>
      </c>
    </row>
    <row r="1266" spans="1:69" x14ac:dyDescent="0.2">
      <c r="A1266" s="2" t="s">
        <v>4605</v>
      </c>
      <c r="B1266" s="2" t="s">
        <v>47</v>
      </c>
      <c r="C1266" s="2" t="s">
        <v>3273</v>
      </c>
      <c r="D1266" s="2" t="s">
        <v>49</v>
      </c>
      <c r="E1266" s="2" t="s">
        <v>4137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89</v>
      </c>
      <c r="L1266" s="6" t="s">
        <v>112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4606</v>
      </c>
      <c r="R1266" s="2">
        <v>9636363.6359999999</v>
      </c>
      <c r="S1266" s="2">
        <v>0</v>
      </c>
      <c r="T1266" s="2" t="s">
        <v>105</v>
      </c>
      <c r="U1266" s="2" t="s">
        <v>106</v>
      </c>
      <c r="V1266" s="2" t="s">
        <v>56</v>
      </c>
      <c r="W1266" s="2" t="s">
        <v>107</v>
      </c>
      <c r="X1266" s="2" t="s">
        <v>108</v>
      </c>
      <c r="Y1266" s="2">
        <v>1.7409476531972701</v>
      </c>
      <c r="Z1266" s="2">
        <v>1740.94765319727</v>
      </c>
      <c r="AA1266" s="2">
        <v>4.6254861111111101</v>
      </c>
      <c r="AB1266" s="2">
        <v>-74.066980555555503</v>
      </c>
      <c r="AC1266" s="2">
        <v>2621</v>
      </c>
      <c r="AD1266" s="2">
        <v>15</v>
      </c>
      <c r="AE1266" s="2" t="s">
        <v>59</v>
      </c>
      <c r="AF1266" s="2" t="s">
        <v>60</v>
      </c>
      <c r="AG1266" s="2" t="s">
        <v>61</v>
      </c>
      <c r="AH1266" s="2" t="s">
        <v>62</v>
      </c>
      <c r="AI1266" s="2" t="s">
        <v>63</v>
      </c>
      <c r="AJ1266" s="2">
        <v>0.26341738498117401</v>
      </c>
      <c r="AK1266" s="2">
        <v>2.4066073461787898</v>
      </c>
      <c r="AL1266" s="2">
        <v>0.73566211394586301</v>
      </c>
      <c r="AM1266" s="2">
        <v>0.11287713828839201</v>
      </c>
      <c r="AN1266" s="2">
        <v>1.7849913406456499</v>
      </c>
      <c r="AO1266" s="2">
        <v>0.39537927987312299</v>
      </c>
      <c r="AP1266" s="2">
        <v>0.39537927987312299</v>
      </c>
      <c r="AQ1266" s="2">
        <v>2</v>
      </c>
      <c r="AR1266" s="2">
        <v>5</v>
      </c>
      <c r="AS1266" s="2">
        <v>0</v>
      </c>
      <c r="AT1266" s="2">
        <v>0</v>
      </c>
      <c r="AU1266" s="2">
        <v>3</v>
      </c>
      <c r="AV1266" s="2">
        <v>36</v>
      </c>
      <c r="AW1266" s="2">
        <v>0</v>
      </c>
      <c r="AX1266" s="2">
        <v>0</v>
      </c>
      <c r="AZ1266" s="2">
        <v>6.8</v>
      </c>
      <c r="BA1266" s="2">
        <v>19.899999999999999</v>
      </c>
      <c r="BB1266" s="2">
        <v>564</v>
      </c>
      <c r="BC1266" s="2">
        <v>68</v>
      </c>
      <c r="BD1266" s="2">
        <v>1.5</v>
      </c>
      <c r="BE1266" s="2">
        <v>135</v>
      </c>
      <c r="BF1266" s="2">
        <v>0.8</v>
      </c>
      <c r="BG1266" s="2">
        <v>162</v>
      </c>
      <c r="BH1266" s="2">
        <v>9.1</v>
      </c>
      <c r="BI1266" s="2">
        <v>9.1999999999999993</v>
      </c>
      <c r="BJ1266" s="2">
        <v>18.3</v>
      </c>
      <c r="BK1266" s="2">
        <v>0.34</v>
      </c>
      <c r="BL1266" s="2">
        <v>7.3</v>
      </c>
      <c r="BM1266" s="2">
        <v>0.9</v>
      </c>
      <c r="BN1266" s="2">
        <v>7.5</v>
      </c>
      <c r="BO1266" s="2">
        <v>2.9</v>
      </c>
      <c r="BP1266" s="2">
        <f t="shared" si="38"/>
        <v>6.2385370223624426</v>
      </c>
      <c r="BQ1266" s="2">
        <f t="shared" si="39"/>
        <v>19.085654662159666</v>
      </c>
    </row>
    <row r="1267" spans="1:69" x14ac:dyDescent="0.2">
      <c r="A1267" s="2" t="s">
        <v>3830</v>
      </c>
      <c r="B1267" s="2" t="s">
        <v>47</v>
      </c>
      <c r="C1267" s="2" t="s">
        <v>3273</v>
      </c>
      <c r="D1267" s="2" t="s">
        <v>49</v>
      </c>
      <c r="E1267" s="2" t="s">
        <v>1820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89</v>
      </c>
      <c r="L1267" s="6" t="s">
        <v>90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3831</v>
      </c>
      <c r="R1267" s="2">
        <v>7510241.2379999999</v>
      </c>
      <c r="S1267" s="2">
        <v>0</v>
      </c>
      <c r="T1267" s="2" t="s">
        <v>1822</v>
      </c>
      <c r="U1267" s="2" t="s">
        <v>1823</v>
      </c>
      <c r="V1267" s="2" t="s">
        <v>56</v>
      </c>
      <c r="W1267" s="2" t="s">
        <v>1824</v>
      </c>
      <c r="X1267" s="2" t="s">
        <v>1825</v>
      </c>
      <c r="Y1267" s="2">
        <v>1.9101315583693399</v>
      </c>
      <c r="Z1267" s="2">
        <v>1910.1315583693399</v>
      </c>
      <c r="AA1267" s="2">
        <v>4.576225</v>
      </c>
      <c r="AB1267" s="2">
        <v>-74.130955555555502</v>
      </c>
      <c r="AC1267" s="2">
        <v>2589</v>
      </c>
      <c r="AD1267" s="2">
        <v>0</v>
      </c>
      <c r="AE1267" s="2" t="s">
        <v>59</v>
      </c>
      <c r="AF1267" s="2" t="s">
        <v>86</v>
      </c>
      <c r="AG1267" s="2" t="s">
        <v>61</v>
      </c>
      <c r="AH1267" s="2" t="s">
        <v>62</v>
      </c>
      <c r="AI1267" s="2" t="s">
        <v>1826</v>
      </c>
      <c r="AJ1267" s="2">
        <v>0.69570392518838298</v>
      </c>
      <c r="AK1267" s="2">
        <v>4.5874623971891699</v>
      </c>
      <c r="AL1267" s="2">
        <v>1.7714964341094399</v>
      </c>
      <c r="AM1267" s="2">
        <v>6.77447119961892E-2</v>
      </c>
      <c r="AN1267" s="2">
        <v>0.57210432500850805</v>
      </c>
      <c r="AO1267" s="2">
        <v>8.7142304888454605E-2</v>
      </c>
      <c r="AP1267" s="2">
        <v>8.7142304888454605E-2</v>
      </c>
      <c r="AQ1267" s="2">
        <v>0</v>
      </c>
      <c r="AR1267" s="2">
        <v>3</v>
      </c>
      <c r="AS1267" s="2">
        <v>0</v>
      </c>
      <c r="AT1267" s="2">
        <v>0</v>
      </c>
      <c r="AU1267" s="2">
        <v>0</v>
      </c>
      <c r="AV1267" s="2">
        <v>29</v>
      </c>
      <c r="AW1267" s="2">
        <v>1</v>
      </c>
      <c r="AX1267" s="2">
        <v>0</v>
      </c>
      <c r="AZ1267" s="2">
        <v>6.8</v>
      </c>
      <c r="BA1267" s="2">
        <v>19.899999999999999</v>
      </c>
      <c r="BB1267" s="2">
        <v>564</v>
      </c>
      <c r="BC1267" s="2">
        <v>68</v>
      </c>
      <c r="BD1267" s="2">
        <v>1.5</v>
      </c>
      <c r="BE1267" s="2">
        <v>135</v>
      </c>
      <c r="BF1267" s="2">
        <v>0.8</v>
      </c>
      <c r="BG1267" s="2">
        <v>162</v>
      </c>
      <c r="BH1267" s="2">
        <v>9.1</v>
      </c>
      <c r="BI1267" s="2">
        <v>9.1999999999999993</v>
      </c>
      <c r="BJ1267" s="2">
        <v>18.3</v>
      </c>
      <c r="BK1267" s="2">
        <v>0.34</v>
      </c>
      <c r="BL1267" s="2">
        <v>7.3</v>
      </c>
      <c r="BM1267" s="2">
        <v>0.9</v>
      </c>
      <c r="BN1267" s="2">
        <v>7.5</v>
      </c>
      <c r="BO1267" s="2">
        <v>2.9</v>
      </c>
      <c r="BP1267" s="2">
        <f t="shared" si="38"/>
        <v>6.1865099068889142</v>
      </c>
      <c r="BQ1267" s="2">
        <f t="shared" si="39"/>
        <v>19.008316127515585</v>
      </c>
    </row>
    <row r="1268" spans="1:69" x14ac:dyDescent="0.2">
      <c r="A1268" s="2" t="s">
        <v>3486</v>
      </c>
      <c r="B1268" s="2" t="s">
        <v>47</v>
      </c>
      <c r="C1268" s="2" t="s">
        <v>3273</v>
      </c>
      <c r="D1268" s="2" t="s">
        <v>49</v>
      </c>
      <c r="E1268" s="2" t="s">
        <v>3487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89</v>
      </c>
      <c r="L1268" s="6" t="s">
        <v>112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3488</v>
      </c>
      <c r="R1268" s="2">
        <v>11410314.92</v>
      </c>
      <c r="S1268" s="2">
        <v>0</v>
      </c>
      <c r="T1268" s="2" t="s">
        <v>105</v>
      </c>
      <c r="U1268" s="2" t="s">
        <v>106</v>
      </c>
      <c r="V1268" s="2" t="s">
        <v>56</v>
      </c>
      <c r="W1268" s="2" t="s">
        <v>107</v>
      </c>
      <c r="X1268" s="2" t="s">
        <v>108</v>
      </c>
      <c r="Y1268" s="2">
        <v>2.6062232733349902</v>
      </c>
      <c r="Z1268" s="2">
        <v>2606.2232733349902</v>
      </c>
      <c r="AA1268" s="2">
        <v>4.6254861111111101</v>
      </c>
      <c r="AB1268" s="2">
        <v>-74.066980555555503</v>
      </c>
      <c r="AC1268" s="2">
        <v>2621</v>
      </c>
      <c r="AD1268" s="2">
        <v>15</v>
      </c>
      <c r="AE1268" s="2" t="s">
        <v>59</v>
      </c>
      <c r="AF1268" s="2" t="s">
        <v>60</v>
      </c>
      <c r="AG1268" s="2" t="s">
        <v>61</v>
      </c>
      <c r="AH1268" s="2" t="s">
        <v>62</v>
      </c>
      <c r="AI1268" s="2" t="s">
        <v>117</v>
      </c>
      <c r="AJ1268" s="2">
        <v>0.24942807750848001</v>
      </c>
      <c r="AK1268" s="2">
        <v>0.74970684997677395</v>
      </c>
      <c r="AL1268" s="2">
        <v>0.30665810133853699</v>
      </c>
      <c r="AM1268" s="2">
        <v>0.14606478813190199</v>
      </c>
      <c r="AN1268" s="2">
        <v>1.5048204582978899</v>
      </c>
      <c r="AO1268" s="2">
        <v>4.4427298027160902E-2</v>
      </c>
      <c r="AP1268" s="2">
        <v>4.4427298027160902E-2</v>
      </c>
      <c r="AQ1268" s="2">
        <v>3</v>
      </c>
      <c r="AR1268" s="2">
        <v>8</v>
      </c>
      <c r="AS1268" s="2">
        <v>0</v>
      </c>
      <c r="AT1268" s="2">
        <v>39</v>
      </c>
      <c r="AU1268" s="2">
        <v>15</v>
      </c>
      <c r="AV1268" s="2">
        <v>51</v>
      </c>
      <c r="AW1268" s="2">
        <v>0</v>
      </c>
      <c r="AX1268" s="2">
        <v>8</v>
      </c>
      <c r="AZ1268" s="2">
        <v>6.8</v>
      </c>
      <c r="BA1268" s="2">
        <v>19.899999999999999</v>
      </c>
      <c r="BB1268" s="2">
        <v>564</v>
      </c>
      <c r="BC1268" s="2">
        <v>68</v>
      </c>
      <c r="BD1268" s="2">
        <v>1.5</v>
      </c>
      <c r="BE1268" s="2">
        <v>135</v>
      </c>
      <c r="BF1268" s="2">
        <v>0.8</v>
      </c>
      <c r="BG1268" s="2">
        <v>162</v>
      </c>
      <c r="BH1268" s="2">
        <v>9.1</v>
      </c>
      <c r="BI1268" s="2">
        <v>9.1999999999999993</v>
      </c>
      <c r="BJ1268" s="2">
        <v>18.3</v>
      </c>
      <c r="BK1268" s="2">
        <v>0.34</v>
      </c>
      <c r="BL1268" s="2">
        <v>7.3</v>
      </c>
      <c r="BM1268" s="2">
        <v>0.9</v>
      </c>
      <c r="BN1268" s="2">
        <v>7.5</v>
      </c>
      <c r="BO1268" s="2">
        <v>2.9</v>
      </c>
      <c r="BP1268" s="2">
        <f t="shared" si="38"/>
        <v>5.9769748387350052</v>
      </c>
      <c r="BQ1268" s="2">
        <f t="shared" si="39"/>
        <v>18.69339724804632</v>
      </c>
    </row>
    <row r="1269" spans="1:69" x14ac:dyDescent="0.2">
      <c r="A1269" s="2" t="s">
        <v>4532</v>
      </c>
      <c r="B1269" s="2" t="s">
        <v>47</v>
      </c>
      <c r="C1269" s="2" t="s">
        <v>3273</v>
      </c>
      <c r="D1269" s="2" t="s">
        <v>49</v>
      </c>
      <c r="E1269" s="2" t="s">
        <v>50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89</v>
      </c>
      <c r="L1269" s="6" t="s">
        <v>90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4533</v>
      </c>
      <c r="R1269" s="2">
        <v>13711151.74</v>
      </c>
      <c r="S1269" s="2">
        <v>0</v>
      </c>
      <c r="T1269" s="2" t="s">
        <v>54</v>
      </c>
      <c r="U1269" s="2" t="s">
        <v>55</v>
      </c>
      <c r="V1269" s="2" t="s">
        <v>56</v>
      </c>
      <c r="W1269" s="2" t="s">
        <v>57</v>
      </c>
      <c r="X1269" s="2" t="s">
        <v>58</v>
      </c>
      <c r="Y1269" s="2">
        <v>1.8612875650996601</v>
      </c>
      <c r="Z1269" s="2">
        <v>1861.28756509966</v>
      </c>
      <c r="AA1269" s="2">
        <v>4.6584666666666701</v>
      </c>
      <c r="AB1269" s="2">
        <v>-74.083966666666697</v>
      </c>
      <c r="AC1269" s="2">
        <v>2552</v>
      </c>
      <c r="AD1269" s="2">
        <v>0</v>
      </c>
      <c r="AE1269" s="2" t="s">
        <v>59</v>
      </c>
      <c r="AF1269" s="2" t="s">
        <v>60</v>
      </c>
      <c r="AG1269" s="2" t="s">
        <v>61</v>
      </c>
      <c r="AH1269" s="2" t="s">
        <v>62</v>
      </c>
      <c r="AI1269" s="2" t="s">
        <v>63</v>
      </c>
      <c r="AJ1269" s="2">
        <v>0.630601776084461</v>
      </c>
      <c r="AK1269" s="2">
        <v>1.7994718305256301</v>
      </c>
      <c r="AL1269" s="2">
        <v>0.297867475705617</v>
      </c>
      <c r="AM1269" s="2">
        <v>0.13985065290252399</v>
      </c>
      <c r="AN1269" s="2">
        <v>1.6881616042094401</v>
      </c>
      <c r="AO1269" s="2">
        <v>0.433516718364029</v>
      </c>
      <c r="AP1269" s="2">
        <v>0.433516718364029</v>
      </c>
      <c r="AQ1269" s="2">
        <v>0</v>
      </c>
      <c r="AR1269" s="2">
        <v>4</v>
      </c>
      <c r="AS1269" s="2">
        <v>0</v>
      </c>
      <c r="AT1269" s="2">
        <v>0</v>
      </c>
      <c r="AU1269" s="2">
        <v>7</v>
      </c>
      <c r="AV1269" s="2">
        <v>87</v>
      </c>
      <c r="AW1269" s="2">
        <v>0</v>
      </c>
      <c r="AX1269" s="2">
        <v>0</v>
      </c>
      <c r="AZ1269" s="2">
        <v>6.8</v>
      </c>
      <c r="BA1269" s="2">
        <v>19.899999999999999</v>
      </c>
      <c r="BB1269" s="2">
        <v>564</v>
      </c>
      <c r="BC1269" s="2">
        <v>68</v>
      </c>
      <c r="BD1269" s="2">
        <v>1.5</v>
      </c>
      <c r="BE1269" s="2">
        <v>135</v>
      </c>
      <c r="BF1269" s="2">
        <v>0.8</v>
      </c>
      <c r="BG1269" s="2">
        <v>162</v>
      </c>
      <c r="BH1269" s="2">
        <v>9.1</v>
      </c>
      <c r="BI1269" s="2">
        <v>9.1999999999999993</v>
      </c>
      <c r="BJ1269" s="2">
        <v>18.3</v>
      </c>
      <c r="BK1269" s="2">
        <v>0.34</v>
      </c>
      <c r="BL1269" s="2">
        <v>7.3</v>
      </c>
      <c r="BM1269" s="2">
        <v>0.9</v>
      </c>
      <c r="BN1269" s="2">
        <v>7.5</v>
      </c>
      <c r="BO1269" s="2">
        <v>2.9</v>
      </c>
      <c r="BP1269" s="2">
        <f t="shared" si="38"/>
        <v>6.2014856090414119</v>
      </c>
      <c r="BQ1269" s="2">
        <f t="shared" si="39"/>
        <v>19.030611802640063</v>
      </c>
    </row>
    <row r="1270" spans="1:69" x14ac:dyDescent="0.2">
      <c r="A1270" s="2" t="s">
        <v>3904</v>
      </c>
      <c r="B1270" s="2" t="s">
        <v>47</v>
      </c>
      <c r="C1270" s="2" t="s">
        <v>3273</v>
      </c>
      <c r="D1270" s="2" t="s">
        <v>49</v>
      </c>
      <c r="E1270" s="2" t="s">
        <v>208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89</v>
      </c>
      <c r="L1270" s="6" t="s">
        <v>90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3905</v>
      </c>
      <c r="R1270" s="2">
        <v>18327974.280000001</v>
      </c>
      <c r="S1270" s="2">
        <v>0</v>
      </c>
      <c r="T1270" s="2" t="s">
        <v>54</v>
      </c>
      <c r="U1270" s="2" t="s">
        <v>55</v>
      </c>
      <c r="V1270" s="2" t="s">
        <v>56</v>
      </c>
      <c r="W1270" s="2" t="s">
        <v>57</v>
      </c>
      <c r="X1270" s="2" t="s">
        <v>58</v>
      </c>
      <c r="Y1270" s="2">
        <v>4.0324617441696402</v>
      </c>
      <c r="Z1270" s="2">
        <v>4032.46174416964</v>
      </c>
      <c r="AA1270" s="2">
        <v>4.6584666666666701</v>
      </c>
      <c r="AB1270" s="2">
        <v>-74.083966666666697</v>
      </c>
      <c r="AC1270" s="2">
        <v>2552</v>
      </c>
      <c r="AD1270" s="2">
        <v>0</v>
      </c>
      <c r="AE1270" s="2" t="s">
        <v>59</v>
      </c>
      <c r="AF1270" s="2" t="s">
        <v>60</v>
      </c>
      <c r="AG1270" s="2" t="s">
        <v>61</v>
      </c>
      <c r="AH1270" s="2" t="s">
        <v>62</v>
      </c>
      <c r="AI1270" s="2" t="s">
        <v>109</v>
      </c>
      <c r="AJ1270" s="2">
        <v>0.32319933540790902</v>
      </c>
      <c r="AK1270" s="2">
        <v>2.0100879112365999</v>
      </c>
      <c r="AL1270" s="2">
        <v>0.58030753970485704</v>
      </c>
      <c r="AM1270" s="2">
        <v>5.3124009551947002E-2</v>
      </c>
      <c r="AN1270" s="2">
        <v>2.99471811100479</v>
      </c>
      <c r="AO1270" s="2">
        <v>0.33318862318016201</v>
      </c>
      <c r="AP1270" s="2">
        <v>0.33318862318016201</v>
      </c>
      <c r="AQ1270" s="2">
        <v>1</v>
      </c>
      <c r="AR1270" s="2">
        <v>4</v>
      </c>
      <c r="AS1270" s="2">
        <v>0</v>
      </c>
      <c r="AT1270" s="2">
        <v>0</v>
      </c>
      <c r="AU1270" s="2">
        <v>5</v>
      </c>
      <c r="AV1270" s="2">
        <v>247</v>
      </c>
      <c r="AW1270" s="2">
        <v>0</v>
      </c>
      <c r="AX1270" s="2">
        <v>0</v>
      </c>
      <c r="AZ1270" s="2">
        <v>6.8</v>
      </c>
      <c r="BA1270" s="2">
        <v>19.899999999999999</v>
      </c>
      <c r="BB1270" s="2">
        <v>564</v>
      </c>
      <c r="BC1270" s="2">
        <v>68</v>
      </c>
      <c r="BD1270" s="2">
        <v>1.5</v>
      </c>
      <c r="BE1270" s="2">
        <v>135</v>
      </c>
      <c r="BF1270" s="2">
        <v>0.8</v>
      </c>
      <c r="BG1270" s="2">
        <v>162</v>
      </c>
      <c r="BH1270" s="2">
        <v>9.1</v>
      </c>
      <c r="BI1270" s="2">
        <v>9.1999999999999993</v>
      </c>
      <c r="BJ1270" s="2">
        <v>18.3</v>
      </c>
      <c r="BK1270" s="2">
        <v>0.34</v>
      </c>
      <c r="BL1270" s="2">
        <v>7.3</v>
      </c>
      <c r="BM1270" s="2">
        <v>0.9</v>
      </c>
      <c r="BN1270" s="2">
        <v>7.5</v>
      </c>
      <c r="BO1270" s="2">
        <v>2.9</v>
      </c>
      <c r="BP1270" s="2">
        <f t="shared" si="38"/>
        <v>5.5695583271311842</v>
      </c>
      <c r="BQ1270" s="2">
        <f t="shared" si="39"/>
        <v>18.064354824937684</v>
      </c>
    </row>
    <row r="1271" spans="1:69" x14ac:dyDescent="0.2">
      <c r="A1271" s="2" t="s">
        <v>3908</v>
      </c>
      <c r="B1271" s="2" t="s">
        <v>47</v>
      </c>
      <c r="C1271" s="2" t="s">
        <v>3273</v>
      </c>
      <c r="D1271" s="2" t="s">
        <v>49</v>
      </c>
      <c r="E1271" s="2" t="s">
        <v>1637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89</v>
      </c>
      <c r="L1271" s="6" t="s">
        <v>90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3909</v>
      </c>
      <c r="R1271" s="2">
        <v>18327974.280000001</v>
      </c>
      <c r="S1271" s="2">
        <v>0</v>
      </c>
      <c r="T1271" s="2" t="s">
        <v>54</v>
      </c>
      <c r="U1271" s="2" t="s">
        <v>55</v>
      </c>
      <c r="V1271" s="2" t="s">
        <v>56</v>
      </c>
      <c r="W1271" s="2" t="s">
        <v>57</v>
      </c>
      <c r="X1271" s="2" t="s">
        <v>58</v>
      </c>
      <c r="Y1271" s="2">
        <v>4.0324617441696402</v>
      </c>
      <c r="Z1271" s="2">
        <v>4032.46174416964</v>
      </c>
      <c r="AA1271" s="2">
        <v>4.6584666666666701</v>
      </c>
      <c r="AB1271" s="2">
        <v>-74.083966666666697</v>
      </c>
      <c r="AC1271" s="2">
        <v>2552</v>
      </c>
      <c r="AD1271" s="2">
        <v>0</v>
      </c>
      <c r="AE1271" s="2" t="s">
        <v>59</v>
      </c>
      <c r="AF1271" s="2" t="s">
        <v>60</v>
      </c>
      <c r="AG1271" s="2" t="s">
        <v>61</v>
      </c>
      <c r="AH1271" s="2" t="s">
        <v>62</v>
      </c>
      <c r="AI1271" s="2" t="s">
        <v>109</v>
      </c>
      <c r="AJ1271" s="2">
        <v>0.32319933540790902</v>
      </c>
      <c r="AK1271" s="2">
        <v>2.0100879112365999</v>
      </c>
      <c r="AL1271" s="2">
        <v>0.58030753970485704</v>
      </c>
      <c r="AM1271" s="2">
        <v>5.3124009551947002E-2</v>
      </c>
      <c r="AN1271" s="2">
        <v>2.99471811100479</v>
      </c>
      <c r="AO1271" s="2">
        <v>0.33318862318016201</v>
      </c>
      <c r="AP1271" s="2">
        <v>0.33318862318016201</v>
      </c>
      <c r="AQ1271" s="2">
        <v>1</v>
      </c>
      <c r="AR1271" s="2">
        <v>4</v>
      </c>
      <c r="AS1271" s="2">
        <v>0</v>
      </c>
      <c r="AT1271" s="2">
        <v>0</v>
      </c>
      <c r="AU1271" s="2">
        <v>5</v>
      </c>
      <c r="AV1271" s="2">
        <v>247</v>
      </c>
      <c r="AW1271" s="2">
        <v>0</v>
      </c>
      <c r="AX1271" s="2">
        <v>0</v>
      </c>
      <c r="AZ1271" s="2">
        <v>6.8</v>
      </c>
      <c r="BA1271" s="2">
        <v>19.899999999999999</v>
      </c>
      <c r="BB1271" s="2">
        <v>564</v>
      </c>
      <c r="BC1271" s="2">
        <v>68</v>
      </c>
      <c r="BD1271" s="2">
        <v>1.5</v>
      </c>
      <c r="BE1271" s="2">
        <v>135</v>
      </c>
      <c r="BF1271" s="2">
        <v>0.8</v>
      </c>
      <c r="BG1271" s="2">
        <v>162</v>
      </c>
      <c r="BH1271" s="2">
        <v>9.1</v>
      </c>
      <c r="BI1271" s="2">
        <v>9.1999999999999993</v>
      </c>
      <c r="BJ1271" s="2">
        <v>18.3</v>
      </c>
      <c r="BK1271" s="2">
        <v>0.34</v>
      </c>
      <c r="BL1271" s="2">
        <v>7.3</v>
      </c>
      <c r="BM1271" s="2">
        <v>0.9</v>
      </c>
      <c r="BN1271" s="2">
        <v>7.5</v>
      </c>
      <c r="BO1271" s="2">
        <v>2.9</v>
      </c>
      <c r="BP1271" s="2">
        <f t="shared" si="38"/>
        <v>5.5695583271311842</v>
      </c>
      <c r="BQ1271" s="2">
        <f t="shared" si="39"/>
        <v>18.064354824937684</v>
      </c>
    </row>
    <row r="1272" spans="1:69" x14ac:dyDescent="0.2">
      <c r="A1272" s="2" t="s">
        <v>3464</v>
      </c>
      <c r="B1272" s="2" t="s">
        <v>47</v>
      </c>
      <c r="C1272" s="2" t="s">
        <v>3273</v>
      </c>
      <c r="D1272" s="2" t="s">
        <v>49</v>
      </c>
      <c r="E1272" s="2" t="s">
        <v>3465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89</v>
      </c>
      <c r="L1272" s="6" t="s">
        <v>90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3466</v>
      </c>
      <c r="R1272" s="2">
        <v>13333333.33</v>
      </c>
      <c r="S1272" s="2">
        <v>0</v>
      </c>
      <c r="T1272" s="2" t="s">
        <v>105</v>
      </c>
      <c r="U1272" s="2" t="s">
        <v>106</v>
      </c>
      <c r="V1272" s="2" t="s">
        <v>56</v>
      </c>
      <c r="W1272" s="2" t="s">
        <v>107</v>
      </c>
      <c r="X1272" s="2" t="s">
        <v>108</v>
      </c>
      <c r="Y1272" s="2">
        <v>2.0577882707408501</v>
      </c>
      <c r="Z1272" s="2">
        <v>2057.7882707408498</v>
      </c>
      <c r="AA1272" s="2">
        <v>4.6254861111111101</v>
      </c>
      <c r="AB1272" s="2">
        <v>-74.066980555555503</v>
      </c>
      <c r="AC1272" s="2">
        <v>2621</v>
      </c>
      <c r="AD1272" s="2">
        <v>15</v>
      </c>
      <c r="AE1272" s="2" t="s">
        <v>59</v>
      </c>
      <c r="AF1272" s="2" t="s">
        <v>60</v>
      </c>
      <c r="AG1272" s="2" t="s">
        <v>61</v>
      </c>
      <c r="AH1272" s="2" t="s">
        <v>62</v>
      </c>
      <c r="AI1272" s="2" t="s">
        <v>63</v>
      </c>
      <c r="AJ1272" s="2">
        <v>0.229623024131731</v>
      </c>
      <c r="AK1272" s="2">
        <v>2.6769701253212199</v>
      </c>
      <c r="AL1272" s="2">
        <v>0.55686167154329302</v>
      </c>
      <c r="AM1272" s="2">
        <v>0.28121819935839398</v>
      </c>
      <c r="AN1272" s="2">
        <v>2.0566838905926801</v>
      </c>
      <c r="AO1272" s="2">
        <v>6.6124065029777301E-2</v>
      </c>
      <c r="AP1272" s="2">
        <v>6.6124065029777301E-2</v>
      </c>
      <c r="AQ1272" s="2">
        <v>1</v>
      </c>
      <c r="AR1272" s="2">
        <v>5</v>
      </c>
      <c r="AS1272" s="2">
        <v>0</v>
      </c>
      <c r="AT1272" s="2">
        <v>0</v>
      </c>
      <c r="AU1272" s="2">
        <v>2</v>
      </c>
      <c r="AV1272" s="2">
        <v>28</v>
      </c>
      <c r="AW1272" s="2">
        <v>0</v>
      </c>
      <c r="AX1272" s="2">
        <v>0</v>
      </c>
      <c r="AZ1272" s="2">
        <v>6.8</v>
      </c>
      <c r="BA1272" s="2">
        <v>19.899999999999999</v>
      </c>
      <c r="BB1272" s="2">
        <v>564</v>
      </c>
      <c r="BC1272" s="2">
        <v>68</v>
      </c>
      <c r="BD1272" s="2">
        <v>1.5</v>
      </c>
      <c r="BE1272" s="2">
        <v>135</v>
      </c>
      <c r="BF1272" s="2">
        <v>0.8</v>
      </c>
      <c r="BG1272" s="2">
        <v>162</v>
      </c>
      <c r="BH1272" s="2">
        <v>9.1</v>
      </c>
      <c r="BI1272" s="2">
        <v>9.1999999999999993</v>
      </c>
      <c r="BJ1272" s="2">
        <v>18.3</v>
      </c>
      <c r="BK1272" s="2">
        <v>0.34</v>
      </c>
      <c r="BL1272" s="2">
        <v>7.3</v>
      </c>
      <c r="BM1272" s="2">
        <v>0.9</v>
      </c>
      <c r="BN1272" s="2">
        <v>7.5</v>
      </c>
      <c r="BO1272" s="2">
        <v>2.9</v>
      </c>
      <c r="BP1272" s="2">
        <f t="shared" si="38"/>
        <v>6.1414575057781233</v>
      </c>
      <c r="BQ1272" s="2">
        <f t="shared" si="39"/>
        <v>18.941074410964411</v>
      </c>
    </row>
    <row r="1273" spans="1:69" x14ac:dyDescent="0.2">
      <c r="A1273" s="2" t="s">
        <v>3279</v>
      </c>
      <c r="B1273" s="2" t="s">
        <v>47</v>
      </c>
      <c r="C1273" s="2" t="s">
        <v>3273</v>
      </c>
      <c r="D1273" s="2" t="s">
        <v>49</v>
      </c>
      <c r="E1273" s="2" t="s">
        <v>321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51</v>
      </c>
      <c r="L1273" s="6" t="s">
        <v>52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3280</v>
      </c>
      <c r="R1273" s="2">
        <v>13180831.609999999</v>
      </c>
      <c r="S1273" s="2">
        <v>0</v>
      </c>
      <c r="T1273" s="2" t="s">
        <v>54</v>
      </c>
      <c r="U1273" s="2" t="s">
        <v>55</v>
      </c>
      <c r="V1273" s="2" t="s">
        <v>56</v>
      </c>
      <c r="W1273" s="2" t="s">
        <v>57</v>
      </c>
      <c r="X1273" s="2" t="s">
        <v>58</v>
      </c>
      <c r="Y1273" s="2">
        <v>2.0185296347185302</v>
      </c>
      <c r="Z1273" s="2">
        <v>2018.5296347185299</v>
      </c>
      <c r="AA1273" s="2">
        <v>4.6584666666666701</v>
      </c>
      <c r="AB1273" s="2">
        <v>-74.083966666666697</v>
      </c>
      <c r="AC1273" s="2">
        <v>2552</v>
      </c>
      <c r="AD1273" s="2">
        <v>0</v>
      </c>
      <c r="AE1273" s="2" t="s">
        <v>59</v>
      </c>
      <c r="AF1273" s="2" t="s">
        <v>60</v>
      </c>
      <c r="AG1273" s="2" t="s">
        <v>61</v>
      </c>
      <c r="AH1273" s="2" t="s">
        <v>62</v>
      </c>
      <c r="AI1273" s="2" t="s">
        <v>321</v>
      </c>
      <c r="AJ1273" s="2">
        <v>0.55141481356139399</v>
      </c>
      <c r="AK1273" s="2">
        <v>2.1460441379569901</v>
      </c>
      <c r="AL1273" s="2">
        <v>0.28648131670246102</v>
      </c>
      <c r="AM1273" s="2">
        <v>9.1276902390644205E-2</v>
      </c>
      <c r="AN1273" s="2">
        <v>2.1600005199896399</v>
      </c>
      <c r="AO1273" s="2">
        <v>0.28833356051398301</v>
      </c>
      <c r="AP1273" s="2">
        <v>0.28833356051398301</v>
      </c>
      <c r="AQ1273" s="2">
        <v>0</v>
      </c>
      <c r="AR1273" s="2">
        <v>5</v>
      </c>
      <c r="AS1273" s="2">
        <v>0</v>
      </c>
      <c r="AT1273" s="2">
        <v>0</v>
      </c>
      <c r="AU1273" s="2">
        <v>14</v>
      </c>
      <c r="AV1273" s="2">
        <v>72</v>
      </c>
      <c r="AW1273" s="2">
        <v>0</v>
      </c>
      <c r="AX1273" s="2">
        <v>0</v>
      </c>
      <c r="AZ1273" s="2">
        <v>6.8</v>
      </c>
      <c r="BA1273" s="2">
        <v>19.899999999999999</v>
      </c>
      <c r="BB1273" s="2">
        <v>564</v>
      </c>
      <c r="BC1273" s="2">
        <v>68</v>
      </c>
      <c r="BD1273" s="2">
        <v>1.5</v>
      </c>
      <c r="BE1273" s="2">
        <v>135</v>
      </c>
      <c r="BF1273" s="2">
        <v>0.8</v>
      </c>
      <c r="BG1273" s="2">
        <v>162</v>
      </c>
      <c r="BH1273" s="2">
        <v>9.1</v>
      </c>
      <c r="BI1273" s="2">
        <v>9.1999999999999993</v>
      </c>
      <c r="BJ1273" s="2">
        <v>18.3</v>
      </c>
      <c r="BK1273" s="2">
        <v>0.34</v>
      </c>
      <c r="BL1273" s="2">
        <v>7.3</v>
      </c>
      <c r="BM1273" s="2">
        <v>0.9</v>
      </c>
      <c r="BN1273" s="2">
        <v>7.5</v>
      </c>
      <c r="BO1273" s="2">
        <v>2.9</v>
      </c>
      <c r="BP1273" s="2">
        <f t="shared" si="38"/>
        <v>6.1534038192898111</v>
      </c>
      <c r="BQ1273" s="2">
        <f t="shared" si="39"/>
        <v>18.958929239025995</v>
      </c>
    </row>
    <row r="1274" spans="1:69" x14ac:dyDescent="0.2">
      <c r="A1274" s="2" t="s">
        <v>4136</v>
      </c>
      <c r="B1274" s="2" t="s">
        <v>47</v>
      </c>
      <c r="C1274" s="2" t="s">
        <v>3273</v>
      </c>
      <c r="D1274" s="2" t="s">
        <v>49</v>
      </c>
      <c r="E1274" s="2" t="s">
        <v>4137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89</v>
      </c>
      <c r="L1274" s="6" t="s">
        <v>90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4138</v>
      </c>
      <c r="R1274" s="2">
        <v>8510638.2980000004</v>
      </c>
      <c r="S1274" s="2">
        <v>0</v>
      </c>
      <c r="T1274" s="2" t="s">
        <v>105</v>
      </c>
      <c r="U1274" s="2" t="s">
        <v>106</v>
      </c>
      <c r="V1274" s="2" t="s">
        <v>56</v>
      </c>
      <c r="W1274" s="2" t="s">
        <v>107</v>
      </c>
      <c r="X1274" s="2" t="s">
        <v>108</v>
      </c>
      <c r="Y1274" s="2">
        <v>1.73488569431943</v>
      </c>
      <c r="Z1274" s="2">
        <v>1734.8856943194301</v>
      </c>
      <c r="AA1274" s="2">
        <v>4.6254861111111101</v>
      </c>
      <c r="AB1274" s="2">
        <v>-74.066980555555503</v>
      </c>
      <c r="AC1274" s="2">
        <v>2621</v>
      </c>
      <c r="AD1274" s="2">
        <v>15</v>
      </c>
      <c r="AE1274" s="2" t="s">
        <v>59</v>
      </c>
      <c r="AF1274" s="2" t="s">
        <v>60</v>
      </c>
      <c r="AG1274" s="2" t="s">
        <v>61</v>
      </c>
      <c r="AH1274" s="2" t="s">
        <v>62</v>
      </c>
      <c r="AI1274" s="2" t="s">
        <v>63</v>
      </c>
      <c r="AJ1274" s="2">
        <v>0.25766680594365998</v>
      </c>
      <c r="AK1274" s="2">
        <v>2.40085751198386</v>
      </c>
      <c r="AL1274" s="2">
        <v>0.73904838007948204</v>
      </c>
      <c r="AM1274" s="2">
        <v>0.112824632015066</v>
      </c>
      <c r="AN1274" s="2">
        <v>1.7795970788565501</v>
      </c>
      <c r="AO1274" s="2">
        <v>0.40287511086472</v>
      </c>
      <c r="AP1274" s="2">
        <v>0.40287511086472</v>
      </c>
      <c r="AQ1274" s="2">
        <v>2</v>
      </c>
      <c r="AR1274" s="2">
        <v>5</v>
      </c>
      <c r="AS1274" s="2">
        <v>0</v>
      </c>
      <c r="AT1274" s="2">
        <v>0</v>
      </c>
      <c r="AU1274" s="2">
        <v>3</v>
      </c>
      <c r="AV1274" s="2">
        <v>37</v>
      </c>
      <c r="AW1274" s="2">
        <v>0</v>
      </c>
      <c r="AX1274" s="2">
        <v>0</v>
      </c>
      <c r="AZ1274" s="2">
        <v>6.8</v>
      </c>
      <c r="BA1274" s="2">
        <v>19.899999999999999</v>
      </c>
      <c r="BB1274" s="2">
        <v>564</v>
      </c>
      <c r="BC1274" s="2">
        <v>68</v>
      </c>
      <c r="BD1274" s="2">
        <v>1.5</v>
      </c>
      <c r="BE1274" s="2">
        <v>135</v>
      </c>
      <c r="BF1274" s="2">
        <v>0.8</v>
      </c>
      <c r="BG1274" s="2">
        <v>162</v>
      </c>
      <c r="BH1274" s="2">
        <v>9.1</v>
      </c>
      <c r="BI1274" s="2">
        <v>9.1999999999999993</v>
      </c>
      <c r="BJ1274" s="2">
        <v>18.3</v>
      </c>
      <c r="BK1274" s="2">
        <v>0.34</v>
      </c>
      <c r="BL1274" s="2">
        <v>7.3</v>
      </c>
      <c r="BM1274" s="2">
        <v>0.9</v>
      </c>
      <c r="BN1274" s="2">
        <v>7.5</v>
      </c>
      <c r="BO1274" s="2">
        <v>2.9</v>
      </c>
      <c r="BP1274" s="2">
        <f t="shared" si="38"/>
        <v>6.2404092821169739</v>
      </c>
      <c r="BQ1274" s="2">
        <f t="shared" si="39"/>
        <v>19.088431579046688</v>
      </c>
    </row>
    <row r="1275" spans="1:69" x14ac:dyDescent="0.2">
      <c r="A1275" s="2" t="s">
        <v>4484</v>
      </c>
      <c r="B1275" s="2" t="s">
        <v>47</v>
      </c>
      <c r="C1275" s="2" t="s">
        <v>3273</v>
      </c>
      <c r="D1275" s="2" t="s">
        <v>49</v>
      </c>
      <c r="E1275" s="2" t="s">
        <v>3465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89</v>
      </c>
      <c r="L1275" s="6" t="s">
        <v>90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4485</v>
      </c>
      <c r="R1275" s="2">
        <v>13809523.810000001</v>
      </c>
      <c r="S1275" s="2">
        <v>0</v>
      </c>
      <c r="T1275" s="2" t="s">
        <v>105</v>
      </c>
      <c r="U1275" s="2" t="s">
        <v>106</v>
      </c>
      <c r="V1275" s="2" t="s">
        <v>56</v>
      </c>
      <c r="W1275" s="2" t="s">
        <v>107</v>
      </c>
      <c r="X1275" s="2" t="s">
        <v>108</v>
      </c>
      <c r="Y1275" s="2">
        <v>2.05632707254945</v>
      </c>
      <c r="Z1275" s="2">
        <v>2056.3270725494499</v>
      </c>
      <c r="AA1275" s="2">
        <v>4.6254861111111101</v>
      </c>
      <c r="AB1275" s="2">
        <v>-74.066980555555503</v>
      </c>
      <c r="AC1275" s="2">
        <v>2621</v>
      </c>
      <c r="AD1275" s="2">
        <v>15</v>
      </c>
      <c r="AE1275" s="2" t="s">
        <v>59</v>
      </c>
      <c r="AF1275" s="2" t="s">
        <v>60</v>
      </c>
      <c r="AG1275" s="2" t="s">
        <v>61</v>
      </c>
      <c r="AH1275" s="2" t="s">
        <v>62</v>
      </c>
      <c r="AI1275" s="2" t="s">
        <v>63</v>
      </c>
      <c r="AJ1275" s="2">
        <v>0.25775533806969603</v>
      </c>
      <c r="AK1275" s="2">
        <v>2.6823437447818601</v>
      </c>
      <c r="AL1275" s="2">
        <v>0.581820478430225</v>
      </c>
      <c r="AM1275" s="2">
        <v>0.26604277527528097</v>
      </c>
      <c r="AN1275" s="2">
        <v>2.0591574039437801</v>
      </c>
      <c r="AO1275" s="2">
        <v>4.0677531596189899E-2</v>
      </c>
      <c r="AP1275" s="2">
        <v>4.0677531596189899E-2</v>
      </c>
      <c r="AQ1275" s="2">
        <v>1</v>
      </c>
      <c r="AR1275" s="2">
        <v>5</v>
      </c>
      <c r="AS1275" s="2">
        <v>0</v>
      </c>
      <c r="AT1275" s="2">
        <v>0</v>
      </c>
      <c r="AU1275" s="2">
        <v>2</v>
      </c>
      <c r="AV1275" s="2">
        <v>28</v>
      </c>
      <c r="AW1275" s="2">
        <v>0</v>
      </c>
      <c r="AX1275" s="2">
        <v>0</v>
      </c>
      <c r="AZ1275" s="2">
        <v>6.8</v>
      </c>
      <c r="BA1275" s="2">
        <v>19.899999999999999</v>
      </c>
      <c r="BB1275" s="2">
        <v>564</v>
      </c>
      <c r="BC1275" s="2">
        <v>68</v>
      </c>
      <c r="BD1275" s="2">
        <v>1.5</v>
      </c>
      <c r="BE1275" s="2">
        <v>135</v>
      </c>
      <c r="BF1275" s="2">
        <v>0.8</v>
      </c>
      <c r="BG1275" s="2">
        <v>162</v>
      </c>
      <c r="BH1275" s="2">
        <v>9.1</v>
      </c>
      <c r="BI1275" s="2">
        <v>9.1999999999999993</v>
      </c>
      <c r="BJ1275" s="2">
        <v>18.3</v>
      </c>
      <c r="BK1275" s="2">
        <v>0.34</v>
      </c>
      <c r="BL1275" s="2">
        <v>7.3</v>
      </c>
      <c r="BM1275" s="2">
        <v>0.9</v>
      </c>
      <c r="BN1275" s="2">
        <v>7.5</v>
      </c>
      <c r="BO1275" s="2">
        <v>2.9</v>
      </c>
      <c r="BP1275" s="2">
        <f t="shared" si="38"/>
        <v>6.1419017292298168</v>
      </c>
      <c r="BQ1275" s="2">
        <f t="shared" si="39"/>
        <v>18.94173866253972</v>
      </c>
    </row>
    <row r="1276" spans="1:69" x14ac:dyDescent="0.2">
      <c r="A1276" s="2" t="s">
        <v>3625</v>
      </c>
      <c r="B1276" s="2" t="s">
        <v>47</v>
      </c>
      <c r="C1276" s="2" t="s">
        <v>3273</v>
      </c>
      <c r="D1276" s="2" t="s">
        <v>49</v>
      </c>
      <c r="E1276" s="2" t="s">
        <v>2500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89</v>
      </c>
      <c r="L1276" s="6" t="s">
        <v>90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3626</v>
      </c>
      <c r="R1276" s="2">
        <v>12857142.859999999</v>
      </c>
      <c r="S1276" s="2">
        <v>0</v>
      </c>
      <c r="T1276" s="2" t="s">
        <v>54</v>
      </c>
      <c r="U1276" s="2" t="s">
        <v>55</v>
      </c>
      <c r="V1276" s="2" t="s">
        <v>56</v>
      </c>
      <c r="W1276" s="2" t="s">
        <v>57</v>
      </c>
      <c r="X1276" s="2" t="s">
        <v>58</v>
      </c>
      <c r="Y1276" s="2">
        <v>2.5457488723708699</v>
      </c>
      <c r="Z1276" s="2">
        <v>2545.7488723708698</v>
      </c>
      <c r="AA1276" s="2">
        <v>4.6584666666666701</v>
      </c>
      <c r="AB1276" s="2">
        <v>-74.083966666666697</v>
      </c>
      <c r="AC1276" s="2">
        <v>2552</v>
      </c>
      <c r="AD1276" s="2">
        <v>0</v>
      </c>
      <c r="AE1276" s="2" t="s">
        <v>59</v>
      </c>
      <c r="AF1276" s="2" t="s">
        <v>60</v>
      </c>
      <c r="AG1276" s="2" t="s">
        <v>61</v>
      </c>
      <c r="AH1276" s="2" t="s">
        <v>62</v>
      </c>
      <c r="AI1276" s="2" t="s">
        <v>321</v>
      </c>
      <c r="AJ1276" s="2">
        <v>4.45494170435876E-2</v>
      </c>
      <c r="AK1276" s="2">
        <v>2.2358439599356599</v>
      </c>
      <c r="AL1276" s="2">
        <v>0.72979483541605705</v>
      </c>
      <c r="AM1276" s="2">
        <v>5.4220873495333499E-2</v>
      </c>
      <c r="AN1276" s="2">
        <v>1.9609665803046299</v>
      </c>
      <c r="AO1276" s="2">
        <v>9.5322966607767706E-2</v>
      </c>
      <c r="AP1276" s="2">
        <v>9.5322966607767706E-2</v>
      </c>
      <c r="AQ1276" s="2">
        <v>1</v>
      </c>
      <c r="AR1276" s="2">
        <v>9</v>
      </c>
      <c r="AS1276" s="2">
        <v>0</v>
      </c>
      <c r="AT1276" s="2">
        <v>0</v>
      </c>
      <c r="AU1276" s="2">
        <v>4</v>
      </c>
      <c r="AV1276" s="2">
        <v>229</v>
      </c>
      <c r="AW1276" s="2">
        <v>0</v>
      </c>
      <c r="AX1276" s="2">
        <v>0</v>
      </c>
      <c r="AZ1276" s="2">
        <v>6.8</v>
      </c>
      <c r="BA1276" s="2">
        <v>19.899999999999999</v>
      </c>
      <c r="BB1276" s="2">
        <v>564</v>
      </c>
      <c r="BC1276" s="2">
        <v>68</v>
      </c>
      <c r="BD1276" s="2">
        <v>1.5</v>
      </c>
      <c r="BE1276" s="2">
        <v>135</v>
      </c>
      <c r="BF1276" s="2">
        <v>0.8</v>
      </c>
      <c r="BG1276" s="2">
        <v>162</v>
      </c>
      <c r="BH1276" s="2">
        <v>9.1</v>
      </c>
      <c r="BI1276" s="2">
        <v>9.1999999999999993</v>
      </c>
      <c r="BJ1276" s="2">
        <v>18.3</v>
      </c>
      <c r="BK1276" s="2">
        <v>0.34</v>
      </c>
      <c r="BL1276" s="2">
        <v>7.3</v>
      </c>
      <c r="BM1276" s="2">
        <v>0.9</v>
      </c>
      <c r="BN1276" s="2">
        <v>7.5</v>
      </c>
      <c r="BO1276" s="2">
        <v>2.9</v>
      </c>
      <c r="BP1276" s="2">
        <f t="shared" si="38"/>
        <v>5.9948936167926643</v>
      </c>
      <c r="BQ1276" s="2">
        <f t="shared" si="39"/>
        <v>18.720548274598372</v>
      </c>
    </row>
    <row r="1277" spans="1:69" x14ac:dyDescent="0.2">
      <c r="A1277" s="2" t="s">
        <v>3469</v>
      </c>
      <c r="B1277" s="2" t="s">
        <v>47</v>
      </c>
      <c r="C1277" s="2" t="s">
        <v>3273</v>
      </c>
      <c r="D1277" s="2" t="s">
        <v>49</v>
      </c>
      <c r="E1277" s="2" t="s">
        <v>63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89</v>
      </c>
      <c r="L1277" s="6" t="s">
        <v>90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3470</v>
      </c>
      <c r="R1277" s="2">
        <v>12380952.380000001</v>
      </c>
      <c r="S1277" s="2">
        <v>0</v>
      </c>
      <c r="T1277" s="2" t="s">
        <v>105</v>
      </c>
      <c r="U1277" s="2" t="s">
        <v>106</v>
      </c>
      <c r="V1277" s="2" t="s">
        <v>56</v>
      </c>
      <c r="W1277" s="2" t="s">
        <v>107</v>
      </c>
      <c r="X1277" s="2" t="s">
        <v>108</v>
      </c>
      <c r="Y1277" s="2">
        <v>0.61089370237374896</v>
      </c>
      <c r="Z1277" s="2">
        <v>610.89370237374897</v>
      </c>
      <c r="AA1277" s="2">
        <v>4.6254861111111101</v>
      </c>
      <c r="AB1277" s="2">
        <v>-74.066980555555503</v>
      </c>
      <c r="AC1277" s="2">
        <v>2621</v>
      </c>
      <c r="AD1277" s="2">
        <v>15</v>
      </c>
      <c r="AE1277" s="2" t="s">
        <v>59</v>
      </c>
      <c r="AF1277" s="2" t="s">
        <v>60</v>
      </c>
      <c r="AG1277" s="2" t="s">
        <v>61</v>
      </c>
      <c r="AH1277" s="2" t="s">
        <v>62</v>
      </c>
      <c r="AI1277" s="2" t="s">
        <v>117</v>
      </c>
      <c r="AJ1277" s="2">
        <v>9.1807589766175604E-2</v>
      </c>
      <c r="AK1277" s="2">
        <v>0.898309659233681</v>
      </c>
      <c r="AL1277" s="2">
        <v>0.30197139428356101</v>
      </c>
      <c r="AM1277" s="2">
        <v>6.1352823244565202E-2</v>
      </c>
      <c r="AN1277" s="2">
        <v>0.71115208747157499</v>
      </c>
      <c r="AO1277" s="2">
        <v>6.2578264500854394E-2</v>
      </c>
      <c r="AP1277" s="2">
        <v>6.2578264500854394E-2</v>
      </c>
      <c r="AQ1277" s="2">
        <v>1</v>
      </c>
      <c r="AR1277" s="2">
        <v>6</v>
      </c>
      <c r="AS1277" s="2">
        <v>0</v>
      </c>
      <c r="AT1277" s="2">
        <v>3</v>
      </c>
      <c r="AU1277" s="2">
        <v>17</v>
      </c>
      <c r="AV1277" s="2">
        <v>92</v>
      </c>
      <c r="AW1277" s="2">
        <v>2</v>
      </c>
      <c r="AX1277" s="2">
        <v>1</v>
      </c>
      <c r="AZ1277" s="2">
        <v>6.8</v>
      </c>
      <c r="BA1277" s="2">
        <v>19.899999999999999</v>
      </c>
      <c r="BB1277" s="2">
        <v>564</v>
      </c>
      <c r="BC1277" s="2">
        <v>68</v>
      </c>
      <c r="BD1277" s="2">
        <v>1.5</v>
      </c>
      <c r="BE1277" s="2">
        <v>135</v>
      </c>
      <c r="BF1277" s="2">
        <v>0.8</v>
      </c>
      <c r="BG1277" s="2">
        <v>162</v>
      </c>
      <c r="BH1277" s="2">
        <v>9.1</v>
      </c>
      <c r="BI1277" s="2">
        <v>9.1999999999999993</v>
      </c>
      <c r="BJ1277" s="2">
        <v>18.3</v>
      </c>
      <c r="BK1277" s="2">
        <v>0.34</v>
      </c>
      <c r="BL1277" s="2">
        <v>7.3</v>
      </c>
      <c r="BM1277" s="2">
        <v>0.9</v>
      </c>
      <c r="BN1277" s="2">
        <v>7.5</v>
      </c>
      <c r="BO1277" s="2">
        <v>2.9</v>
      </c>
      <c r="BP1277" s="2">
        <f t="shared" si="38"/>
        <v>6.597451076546939</v>
      </c>
      <c r="BQ1277" s="2">
        <f t="shared" si="39"/>
        <v>19.610365586072739</v>
      </c>
    </row>
    <row r="1278" spans="1:69" x14ac:dyDescent="0.2">
      <c r="A1278" s="2" t="s">
        <v>4560</v>
      </c>
      <c r="B1278" s="2" t="s">
        <v>47</v>
      </c>
      <c r="C1278" s="2" t="s">
        <v>3273</v>
      </c>
      <c r="D1278" s="2" t="s">
        <v>49</v>
      </c>
      <c r="E1278" s="2" t="s">
        <v>649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89</v>
      </c>
      <c r="L1278" s="6" t="s">
        <v>90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4561</v>
      </c>
      <c r="R1278" s="2">
        <v>10476190.48</v>
      </c>
      <c r="S1278" s="2">
        <v>0</v>
      </c>
      <c r="T1278" s="2" t="s">
        <v>54</v>
      </c>
      <c r="U1278" s="2" t="s">
        <v>55</v>
      </c>
      <c r="V1278" s="2" t="s">
        <v>56</v>
      </c>
      <c r="W1278" s="2" t="s">
        <v>57</v>
      </c>
      <c r="X1278" s="2" t="s">
        <v>58</v>
      </c>
      <c r="Y1278" s="2">
        <v>2.2836394029626002</v>
      </c>
      <c r="Z1278" s="2">
        <v>2283.6394029625999</v>
      </c>
      <c r="AA1278" s="2">
        <v>4.6584666666666701</v>
      </c>
      <c r="AB1278" s="2">
        <v>-74.083966666666697</v>
      </c>
      <c r="AC1278" s="2">
        <v>2552</v>
      </c>
      <c r="AD1278" s="2">
        <v>0</v>
      </c>
      <c r="AE1278" s="2" t="s">
        <v>59</v>
      </c>
      <c r="AF1278" s="2" t="s">
        <v>60</v>
      </c>
      <c r="AG1278" s="2" t="s">
        <v>61</v>
      </c>
      <c r="AH1278" s="2" t="s">
        <v>62</v>
      </c>
      <c r="AI1278" s="2" t="s">
        <v>63</v>
      </c>
      <c r="AJ1278" s="2">
        <v>0.39052856064347502</v>
      </c>
      <c r="AK1278" s="2">
        <v>1.24888426999084</v>
      </c>
      <c r="AL1278" s="2">
        <v>0.18972704397094201</v>
      </c>
      <c r="AM1278" s="2">
        <v>7.0461333984497998E-2</v>
      </c>
      <c r="AN1278" s="2">
        <v>1.1297070817425201</v>
      </c>
      <c r="AO1278" s="2">
        <v>8.9269725584224399E-2</v>
      </c>
      <c r="AP1278" s="2">
        <v>8.9269725584224399E-2</v>
      </c>
      <c r="AQ1278" s="2">
        <v>2</v>
      </c>
      <c r="AR1278" s="2">
        <v>4</v>
      </c>
      <c r="AS1278" s="2">
        <v>0</v>
      </c>
      <c r="AT1278" s="2">
        <v>0</v>
      </c>
      <c r="AU1278" s="2">
        <v>14</v>
      </c>
      <c r="AV1278" s="2">
        <v>122</v>
      </c>
      <c r="AW1278" s="2">
        <v>0</v>
      </c>
      <c r="AX1278" s="2">
        <v>0</v>
      </c>
      <c r="AZ1278" s="2">
        <v>6.8</v>
      </c>
      <c r="BA1278" s="2">
        <v>19.899999999999999</v>
      </c>
      <c r="BB1278" s="2">
        <v>564</v>
      </c>
      <c r="BC1278" s="2">
        <v>68</v>
      </c>
      <c r="BD1278" s="2">
        <v>1.5</v>
      </c>
      <c r="BE1278" s="2">
        <v>135</v>
      </c>
      <c r="BF1278" s="2">
        <v>0.8</v>
      </c>
      <c r="BG1278" s="2">
        <v>162</v>
      </c>
      <c r="BH1278" s="2">
        <v>9.1</v>
      </c>
      <c r="BI1278" s="2">
        <v>9.1999999999999993</v>
      </c>
      <c r="BJ1278" s="2">
        <v>18.3</v>
      </c>
      <c r="BK1278" s="2">
        <v>0.34</v>
      </c>
      <c r="BL1278" s="2">
        <v>7.3</v>
      </c>
      <c r="BM1278" s="2">
        <v>0.9</v>
      </c>
      <c r="BN1278" s="2">
        <v>7.5</v>
      </c>
      <c r="BO1278" s="2">
        <v>2.9</v>
      </c>
      <c r="BP1278" s="2">
        <f t="shared" si="38"/>
        <v>6.0731806429782846</v>
      </c>
      <c r="BQ1278" s="2">
        <f t="shared" si="39"/>
        <v>18.838683448608514</v>
      </c>
    </row>
    <row r="1279" spans="1:69" x14ac:dyDescent="0.2">
      <c r="A1279" s="2" t="s">
        <v>3768</v>
      </c>
      <c r="B1279" s="2" t="s">
        <v>47</v>
      </c>
      <c r="C1279" s="2" t="s">
        <v>3273</v>
      </c>
      <c r="D1279" s="2" t="s">
        <v>49</v>
      </c>
      <c r="E1279" s="2" t="s">
        <v>50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89</v>
      </c>
      <c r="L1279" s="6" t="s">
        <v>90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3769</v>
      </c>
      <c r="R1279" s="2">
        <v>10476190.48</v>
      </c>
      <c r="S1279" s="2">
        <v>0</v>
      </c>
      <c r="T1279" s="2" t="s">
        <v>54</v>
      </c>
      <c r="U1279" s="2" t="s">
        <v>55</v>
      </c>
      <c r="V1279" s="2" t="s">
        <v>56</v>
      </c>
      <c r="W1279" s="2" t="s">
        <v>57</v>
      </c>
      <c r="X1279" s="2" t="s">
        <v>58</v>
      </c>
      <c r="Y1279" s="2">
        <v>2.2835266997041499</v>
      </c>
      <c r="Z1279" s="2">
        <v>2283.5266997041499</v>
      </c>
      <c r="AA1279" s="2">
        <v>4.6584666666666701</v>
      </c>
      <c r="AB1279" s="2">
        <v>-74.083966666666697</v>
      </c>
      <c r="AC1279" s="2">
        <v>2552</v>
      </c>
      <c r="AD1279" s="2">
        <v>0</v>
      </c>
      <c r="AE1279" s="2" t="s">
        <v>59</v>
      </c>
      <c r="AF1279" s="2" t="s">
        <v>60</v>
      </c>
      <c r="AG1279" s="2" t="s">
        <v>61</v>
      </c>
      <c r="AH1279" s="2" t="s">
        <v>62</v>
      </c>
      <c r="AI1279" s="2" t="s">
        <v>63</v>
      </c>
      <c r="AJ1279" s="2">
        <v>0.39065306022482899</v>
      </c>
      <c r="AK1279" s="2">
        <v>1.2490124899255299</v>
      </c>
      <c r="AL1279" s="2">
        <v>0.189808959853391</v>
      </c>
      <c r="AM1279" s="2">
        <v>7.0508267894182103E-2</v>
      </c>
      <c r="AN1279" s="2">
        <v>1.1298373507055099</v>
      </c>
      <c r="AO1279" s="2">
        <v>8.9122909464055905E-2</v>
      </c>
      <c r="AP1279" s="2">
        <v>8.9122909464055905E-2</v>
      </c>
      <c r="AQ1279" s="2">
        <v>2</v>
      </c>
      <c r="AR1279" s="2">
        <v>4</v>
      </c>
      <c r="AS1279" s="2">
        <v>0</v>
      </c>
      <c r="AT1279" s="2">
        <v>0</v>
      </c>
      <c r="AU1279" s="2">
        <v>14</v>
      </c>
      <c r="AV1279" s="2">
        <v>122</v>
      </c>
      <c r="AW1279" s="2">
        <v>0</v>
      </c>
      <c r="AX1279" s="2">
        <v>0</v>
      </c>
      <c r="AZ1279" s="2">
        <v>6.8</v>
      </c>
      <c r="BA1279" s="2">
        <v>19.899999999999999</v>
      </c>
      <c r="BB1279" s="2">
        <v>564</v>
      </c>
      <c r="BC1279" s="2">
        <v>68</v>
      </c>
      <c r="BD1279" s="2">
        <v>1.5</v>
      </c>
      <c r="BE1279" s="2">
        <v>135</v>
      </c>
      <c r="BF1279" s="2">
        <v>0.8</v>
      </c>
      <c r="BG1279" s="2">
        <v>162</v>
      </c>
      <c r="BH1279" s="2">
        <v>9.1</v>
      </c>
      <c r="BI1279" s="2">
        <v>9.1999999999999993</v>
      </c>
      <c r="BJ1279" s="2">
        <v>18.3</v>
      </c>
      <c r="BK1279" s="2">
        <v>0.34</v>
      </c>
      <c r="BL1279" s="2">
        <v>7.3</v>
      </c>
      <c r="BM1279" s="2">
        <v>0.9</v>
      </c>
      <c r="BN1279" s="2">
        <v>7.5</v>
      </c>
      <c r="BO1279" s="2">
        <v>2.9</v>
      </c>
      <c r="BP1279" s="2">
        <f t="shared" si="38"/>
        <v>6.0732145242015507</v>
      </c>
      <c r="BQ1279" s="2">
        <f t="shared" si="39"/>
        <v>18.838734405021658</v>
      </c>
    </row>
    <row r="1280" spans="1:69" x14ac:dyDescent="0.2">
      <c r="A1280" s="2" t="s">
        <v>3277</v>
      </c>
      <c r="B1280" s="2" t="s">
        <v>47</v>
      </c>
      <c r="C1280" s="2" t="s">
        <v>3273</v>
      </c>
      <c r="D1280" s="2" t="s">
        <v>49</v>
      </c>
      <c r="E1280" s="2" t="s">
        <v>321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51</v>
      </c>
      <c r="L1280" s="6" t="s">
        <v>52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3278</v>
      </c>
      <c r="R1280" s="2">
        <v>13508775.74</v>
      </c>
      <c r="S1280" s="2">
        <v>0</v>
      </c>
      <c r="T1280" s="2" t="s">
        <v>54</v>
      </c>
      <c r="U1280" s="2" t="s">
        <v>55</v>
      </c>
      <c r="V1280" s="2" t="s">
        <v>56</v>
      </c>
      <c r="W1280" s="2" t="s">
        <v>57</v>
      </c>
      <c r="X1280" s="2" t="s">
        <v>58</v>
      </c>
      <c r="Y1280" s="2">
        <v>2.0185296347185302</v>
      </c>
      <c r="Z1280" s="2">
        <v>2018.5296347185299</v>
      </c>
      <c r="AA1280" s="2">
        <v>4.6584666666666701</v>
      </c>
      <c r="AB1280" s="2">
        <v>-74.083966666666697</v>
      </c>
      <c r="AC1280" s="2">
        <v>2552</v>
      </c>
      <c r="AD1280" s="2">
        <v>0</v>
      </c>
      <c r="AE1280" s="2" t="s">
        <v>59</v>
      </c>
      <c r="AF1280" s="2" t="s">
        <v>60</v>
      </c>
      <c r="AG1280" s="2" t="s">
        <v>61</v>
      </c>
      <c r="AH1280" s="2" t="s">
        <v>62</v>
      </c>
      <c r="AI1280" s="2" t="s">
        <v>321</v>
      </c>
      <c r="AJ1280" s="2">
        <v>0.55141481356139399</v>
      </c>
      <c r="AK1280" s="2">
        <v>2.1460441379569901</v>
      </c>
      <c r="AL1280" s="2">
        <v>0.28648131670246102</v>
      </c>
      <c r="AM1280" s="2">
        <v>9.1276902390644205E-2</v>
      </c>
      <c r="AN1280" s="2">
        <v>2.1600005199896399</v>
      </c>
      <c r="AO1280" s="2">
        <v>0.28833356051398301</v>
      </c>
      <c r="AP1280" s="2">
        <v>0.28833356051398301</v>
      </c>
      <c r="AQ1280" s="2">
        <v>0</v>
      </c>
      <c r="AR1280" s="2">
        <v>5</v>
      </c>
      <c r="AS1280" s="2">
        <v>0</v>
      </c>
      <c r="AT1280" s="2">
        <v>0</v>
      </c>
      <c r="AU1280" s="2">
        <v>14</v>
      </c>
      <c r="AV1280" s="2">
        <v>72</v>
      </c>
      <c r="AW1280" s="2">
        <v>0</v>
      </c>
      <c r="AX1280" s="2">
        <v>0</v>
      </c>
      <c r="AZ1280" s="2">
        <v>6.8</v>
      </c>
      <c r="BA1280" s="2">
        <v>19.899999999999999</v>
      </c>
      <c r="BB1280" s="2">
        <v>564</v>
      </c>
      <c r="BC1280" s="2">
        <v>68</v>
      </c>
      <c r="BD1280" s="2">
        <v>1.5</v>
      </c>
      <c r="BE1280" s="2">
        <v>135</v>
      </c>
      <c r="BF1280" s="2">
        <v>0.8</v>
      </c>
      <c r="BG1280" s="2">
        <v>162</v>
      </c>
      <c r="BH1280" s="2">
        <v>9.1</v>
      </c>
      <c r="BI1280" s="2">
        <v>9.1999999999999993</v>
      </c>
      <c r="BJ1280" s="2">
        <v>18.3</v>
      </c>
      <c r="BK1280" s="2">
        <v>0.34</v>
      </c>
      <c r="BL1280" s="2">
        <v>7.3</v>
      </c>
      <c r="BM1280" s="2">
        <v>0.9</v>
      </c>
      <c r="BN1280" s="2">
        <v>7.5</v>
      </c>
      <c r="BO1280" s="2">
        <v>2.9</v>
      </c>
      <c r="BP1280" s="2">
        <f t="shared" si="38"/>
        <v>6.1534038192898111</v>
      </c>
      <c r="BQ1280" s="2">
        <f t="shared" si="39"/>
        <v>18.958929239025995</v>
      </c>
    </row>
    <row r="1281" spans="1:69" x14ac:dyDescent="0.2">
      <c r="A1281" s="2" t="s">
        <v>3336</v>
      </c>
      <c r="B1281" s="2" t="s">
        <v>47</v>
      </c>
      <c r="C1281" s="2" t="s">
        <v>3273</v>
      </c>
      <c r="D1281" s="2" t="s">
        <v>49</v>
      </c>
      <c r="E1281" s="2" t="s">
        <v>1077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89</v>
      </c>
      <c r="L1281" s="6" t="s">
        <v>112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3337</v>
      </c>
      <c r="R1281" s="2">
        <v>11527377.52</v>
      </c>
      <c r="S1281" s="2">
        <v>0</v>
      </c>
      <c r="T1281" s="2" t="s">
        <v>105</v>
      </c>
      <c r="U1281" s="2" t="s">
        <v>106</v>
      </c>
      <c r="V1281" s="2" t="s">
        <v>56</v>
      </c>
      <c r="W1281" s="2" t="s">
        <v>107</v>
      </c>
      <c r="X1281" s="2" t="s">
        <v>108</v>
      </c>
      <c r="Y1281" s="2">
        <v>2.49579549869331</v>
      </c>
      <c r="Z1281" s="2">
        <v>2495.79549869331</v>
      </c>
      <c r="AA1281" s="2">
        <v>4.6254861111111101</v>
      </c>
      <c r="AB1281" s="2">
        <v>-74.066980555555503</v>
      </c>
      <c r="AC1281" s="2">
        <v>2621</v>
      </c>
      <c r="AD1281" s="2">
        <v>15</v>
      </c>
      <c r="AE1281" s="2" t="s">
        <v>59</v>
      </c>
      <c r="AF1281" s="2" t="s">
        <v>60</v>
      </c>
      <c r="AG1281" s="2" t="s">
        <v>61</v>
      </c>
      <c r="AH1281" s="2" t="s">
        <v>62</v>
      </c>
      <c r="AI1281" s="2" t="s">
        <v>117</v>
      </c>
      <c r="AJ1281" s="2">
        <v>0.22443959474330799</v>
      </c>
      <c r="AK1281" s="2">
        <v>0.68710474683633405</v>
      </c>
      <c r="AL1281" s="2">
        <v>0.27879818058919598</v>
      </c>
      <c r="AM1281" s="2">
        <v>0.14859387790078199</v>
      </c>
      <c r="AN1281" s="2">
        <v>1.3929466574864</v>
      </c>
      <c r="AO1281" s="2">
        <v>3.7697162978293702E-2</v>
      </c>
      <c r="AP1281" s="2">
        <v>3.7697162978293702E-2</v>
      </c>
      <c r="AQ1281" s="2">
        <v>3</v>
      </c>
      <c r="AR1281" s="2">
        <v>9</v>
      </c>
      <c r="AS1281" s="2">
        <v>0</v>
      </c>
      <c r="AT1281" s="2">
        <v>38</v>
      </c>
      <c r="AU1281" s="2">
        <v>14</v>
      </c>
      <c r="AV1281" s="2">
        <v>50</v>
      </c>
      <c r="AW1281" s="2">
        <v>0</v>
      </c>
      <c r="AX1281" s="2">
        <v>8</v>
      </c>
      <c r="AZ1281" s="2">
        <v>6.8</v>
      </c>
      <c r="BA1281" s="2">
        <v>19.899999999999999</v>
      </c>
      <c r="BB1281" s="2">
        <v>564</v>
      </c>
      <c r="BC1281" s="2">
        <v>68</v>
      </c>
      <c r="BD1281" s="2">
        <v>1.5</v>
      </c>
      <c r="BE1281" s="2">
        <v>135</v>
      </c>
      <c r="BF1281" s="2">
        <v>0.8</v>
      </c>
      <c r="BG1281" s="2">
        <v>162</v>
      </c>
      <c r="BH1281" s="2">
        <v>9.1</v>
      </c>
      <c r="BI1281" s="2">
        <v>9.1999999999999993</v>
      </c>
      <c r="BJ1281" s="2">
        <v>18.3</v>
      </c>
      <c r="BK1281" s="2">
        <v>0.34</v>
      </c>
      <c r="BL1281" s="2">
        <v>7.3</v>
      </c>
      <c r="BM1281" s="2">
        <v>0.9</v>
      </c>
      <c r="BN1281" s="2">
        <v>7.5</v>
      </c>
      <c r="BO1281" s="2">
        <v>2.9</v>
      </c>
      <c r="BP1281" s="2">
        <f t="shared" si="38"/>
        <v>6.0097354843834303</v>
      </c>
      <c r="BQ1281" s="2">
        <f t="shared" si="39"/>
        <v>18.74300544268608</v>
      </c>
    </row>
    <row r="1282" spans="1:69" x14ac:dyDescent="0.2">
      <c r="A1282" s="2" t="s">
        <v>3845</v>
      </c>
      <c r="B1282" s="2" t="s">
        <v>47</v>
      </c>
      <c r="C1282" s="2" t="s">
        <v>3273</v>
      </c>
      <c r="D1282" s="2" t="s">
        <v>49</v>
      </c>
      <c r="E1282" s="2" t="s">
        <v>383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89</v>
      </c>
      <c r="L1282" s="6" t="s">
        <v>90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3846</v>
      </c>
      <c r="R1282" s="2">
        <v>22893326.84</v>
      </c>
      <c r="S1282" s="2">
        <v>0</v>
      </c>
      <c r="T1282" s="2" t="s">
        <v>54</v>
      </c>
      <c r="U1282" s="2" t="s">
        <v>55</v>
      </c>
      <c r="V1282" s="2" t="s">
        <v>56</v>
      </c>
      <c r="W1282" s="2" t="s">
        <v>57</v>
      </c>
      <c r="X1282" s="2" t="s">
        <v>58</v>
      </c>
      <c r="Y1282" s="2">
        <v>3.3672473705208201</v>
      </c>
      <c r="Z1282" s="2">
        <v>3367.2473705208199</v>
      </c>
      <c r="AA1282" s="2">
        <v>4.6584666666666701</v>
      </c>
      <c r="AB1282" s="2">
        <v>-74.083966666666697</v>
      </c>
      <c r="AC1282" s="2">
        <v>2552</v>
      </c>
      <c r="AD1282" s="2">
        <v>0</v>
      </c>
      <c r="AE1282" s="2" t="s">
        <v>59</v>
      </c>
      <c r="AF1282" s="2" t="s">
        <v>60</v>
      </c>
      <c r="AG1282" s="2" t="s">
        <v>61</v>
      </c>
      <c r="AH1282" s="2" t="s">
        <v>62</v>
      </c>
      <c r="AI1282" s="2" t="s">
        <v>109</v>
      </c>
      <c r="AJ1282" s="2">
        <v>0.36309105333870501</v>
      </c>
      <c r="AK1282" s="2">
        <v>1.4590178543002399</v>
      </c>
      <c r="AL1282" s="2">
        <v>0.44311174079139598</v>
      </c>
      <c r="AM1282" s="2">
        <v>3.3211195518122398E-2</v>
      </c>
      <c r="AN1282" s="2">
        <v>2.8240376647096301</v>
      </c>
      <c r="AO1282" s="2">
        <v>0.84695782794520402</v>
      </c>
      <c r="AP1282" s="2">
        <v>0.84695782794520402</v>
      </c>
      <c r="AQ1282" s="2">
        <v>1</v>
      </c>
      <c r="AR1282" s="2">
        <v>5</v>
      </c>
      <c r="AS1282" s="2">
        <v>0</v>
      </c>
      <c r="AT1282" s="2">
        <v>0</v>
      </c>
      <c r="AU1282" s="2">
        <v>7</v>
      </c>
      <c r="AV1282" s="2">
        <v>284</v>
      </c>
      <c r="AW1282" s="2">
        <v>0</v>
      </c>
      <c r="AX1282" s="2">
        <v>0</v>
      </c>
      <c r="AZ1282" s="2">
        <v>6.8</v>
      </c>
      <c r="BA1282" s="2">
        <v>19.899999999999999</v>
      </c>
      <c r="BB1282" s="2">
        <v>564</v>
      </c>
      <c r="BC1282" s="2">
        <v>68</v>
      </c>
      <c r="BD1282" s="2">
        <v>1.5</v>
      </c>
      <c r="BE1282" s="2">
        <v>135</v>
      </c>
      <c r="BF1282" s="2">
        <v>0.8</v>
      </c>
      <c r="BG1282" s="2">
        <v>162</v>
      </c>
      <c r="BH1282" s="2">
        <v>9.1</v>
      </c>
      <c r="BI1282" s="2">
        <v>9.1999999999999993</v>
      </c>
      <c r="BJ1282" s="2">
        <v>18.3</v>
      </c>
      <c r="BK1282" s="2">
        <v>0.34</v>
      </c>
      <c r="BL1282" s="2">
        <v>7.3</v>
      </c>
      <c r="BM1282" s="2">
        <v>0.9</v>
      </c>
      <c r="BN1282" s="2">
        <v>7.5</v>
      </c>
      <c r="BO1282" s="2">
        <v>2.9</v>
      </c>
      <c r="BP1282" s="2">
        <f t="shared" ref="BP1282:BP1345" si="40">+AZ1282*EXP(-0.0495*Y1282)</f>
        <v>5.7560062067911577</v>
      </c>
      <c r="BQ1282" s="2">
        <f t="shared" ref="BQ1282:BQ1345" si="41">+BA1282*EXP(-0.024*Y1282)</f>
        <v>18.355069343286321</v>
      </c>
    </row>
    <row r="1283" spans="1:69" x14ac:dyDescent="0.2">
      <c r="A1283" s="2" t="s">
        <v>4626</v>
      </c>
      <c r="B1283" s="2" t="s">
        <v>47</v>
      </c>
      <c r="C1283" s="2" t="s">
        <v>3273</v>
      </c>
      <c r="D1283" s="2" t="s">
        <v>49</v>
      </c>
      <c r="E1283" s="2" t="s">
        <v>514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89</v>
      </c>
      <c r="L1283" s="6" t="s">
        <v>90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4627</v>
      </c>
      <c r="R1283" s="2">
        <v>10479041.92</v>
      </c>
      <c r="S1283" s="2">
        <v>0</v>
      </c>
      <c r="T1283" s="2" t="s">
        <v>105</v>
      </c>
      <c r="U1283" s="2" t="s">
        <v>106</v>
      </c>
      <c r="V1283" s="2" t="s">
        <v>56</v>
      </c>
      <c r="W1283" s="2" t="s">
        <v>107</v>
      </c>
      <c r="X1283" s="2" t="s">
        <v>108</v>
      </c>
      <c r="Y1283" s="2">
        <v>2.4854450291560601</v>
      </c>
      <c r="Z1283" s="2">
        <v>2485.4450291560602</v>
      </c>
      <c r="AA1283" s="2">
        <v>4.6254861111111101</v>
      </c>
      <c r="AB1283" s="2">
        <v>-74.066980555555503</v>
      </c>
      <c r="AC1283" s="2">
        <v>2621</v>
      </c>
      <c r="AD1283" s="2">
        <v>15</v>
      </c>
      <c r="AE1283" s="2" t="s">
        <v>59</v>
      </c>
      <c r="AF1283" s="2" t="s">
        <v>60</v>
      </c>
      <c r="AG1283" s="2" t="s">
        <v>61</v>
      </c>
      <c r="AH1283" s="2" t="s">
        <v>62</v>
      </c>
      <c r="AI1283" s="2" t="s">
        <v>117</v>
      </c>
      <c r="AJ1283" s="2">
        <v>0.232715620400365</v>
      </c>
      <c r="AK1283" s="2">
        <v>0.68952211062925695</v>
      </c>
      <c r="AL1283" s="2">
        <v>0.28486902560330002</v>
      </c>
      <c r="AM1283" s="2">
        <v>0.139331049189412</v>
      </c>
      <c r="AN1283" s="2">
        <v>1.3838566972041</v>
      </c>
      <c r="AO1283" s="2">
        <v>2.8911522294463299E-2</v>
      </c>
      <c r="AP1283" s="2">
        <v>2.8911522294463299E-2</v>
      </c>
      <c r="AQ1283" s="2">
        <v>3</v>
      </c>
      <c r="AR1283" s="2">
        <v>9</v>
      </c>
      <c r="AS1283" s="2">
        <v>0</v>
      </c>
      <c r="AT1283" s="2">
        <v>38</v>
      </c>
      <c r="AU1283" s="2">
        <v>14</v>
      </c>
      <c r="AV1283" s="2">
        <v>50</v>
      </c>
      <c r="AW1283" s="2">
        <v>0</v>
      </c>
      <c r="AX1283" s="2">
        <v>8</v>
      </c>
      <c r="AZ1283" s="2">
        <v>6.8</v>
      </c>
      <c r="BA1283" s="2">
        <v>19.899999999999999</v>
      </c>
      <c r="BB1283" s="2">
        <v>564</v>
      </c>
      <c r="BC1283" s="2">
        <v>68</v>
      </c>
      <c r="BD1283" s="2">
        <v>1.5</v>
      </c>
      <c r="BE1283" s="2">
        <v>135</v>
      </c>
      <c r="BF1283" s="2">
        <v>0.8</v>
      </c>
      <c r="BG1283" s="2">
        <v>162</v>
      </c>
      <c r="BH1283" s="2">
        <v>9.1</v>
      </c>
      <c r="BI1283" s="2">
        <v>9.1999999999999993</v>
      </c>
      <c r="BJ1283" s="2">
        <v>18.3</v>
      </c>
      <c r="BK1283" s="2">
        <v>0.34</v>
      </c>
      <c r="BL1283" s="2">
        <v>7.3</v>
      </c>
      <c r="BM1283" s="2">
        <v>0.9</v>
      </c>
      <c r="BN1283" s="2">
        <v>7.5</v>
      </c>
      <c r="BO1283" s="2">
        <v>2.9</v>
      </c>
      <c r="BP1283" s="2">
        <f t="shared" si="40"/>
        <v>6.0128153507089799</v>
      </c>
      <c r="BQ1283" s="2">
        <f t="shared" si="41"/>
        <v>18.747661994797049</v>
      </c>
    </row>
    <row r="1284" spans="1:69" x14ac:dyDescent="0.2">
      <c r="A1284" s="2" t="s">
        <v>3275</v>
      </c>
      <c r="B1284" s="2" t="s">
        <v>47</v>
      </c>
      <c r="C1284" s="2" t="s">
        <v>3273</v>
      </c>
      <c r="D1284" s="2" t="s">
        <v>49</v>
      </c>
      <c r="E1284" s="2" t="s">
        <v>321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51</v>
      </c>
      <c r="L1284" s="6" t="s">
        <v>52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3276</v>
      </c>
      <c r="R1284" s="2">
        <v>14109445.279999999</v>
      </c>
      <c r="S1284" s="2">
        <v>0</v>
      </c>
      <c r="T1284" s="2" t="s">
        <v>54</v>
      </c>
      <c r="U1284" s="2" t="s">
        <v>55</v>
      </c>
      <c r="V1284" s="2" t="s">
        <v>56</v>
      </c>
      <c r="W1284" s="2" t="s">
        <v>57</v>
      </c>
      <c r="X1284" s="2" t="s">
        <v>58</v>
      </c>
      <c r="Y1284" s="2">
        <v>2.0185296347185302</v>
      </c>
      <c r="Z1284" s="2">
        <v>2018.5296347185299</v>
      </c>
      <c r="AA1284" s="2">
        <v>4.6584666666666701</v>
      </c>
      <c r="AB1284" s="2">
        <v>-74.083966666666697</v>
      </c>
      <c r="AC1284" s="2">
        <v>2552</v>
      </c>
      <c r="AD1284" s="2">
        <v>0</v>
      </c>
      <c r="AE1284" s="2" t="s">
        <v>59</v>
      </c>
      <c r="AF1284" s="2" t="s">
        <v>60</v>
      </c>
      <c r="AG1284" s="2" t="s">
        <v>61</v>
      </c>
      <c r="AH1284" s="2" t="s">
        <v>62</v>
      </c>
      <c r="AI1284" s="2" t="s">
        <v>321</v>
      </c>
      <c r="AJ1284" s="2">
        <v>0.55141481356139399</v>
      </c>
      <c r="AK1284" s="2">
        <v>2.1460441379569901</v>
      </c>
      <c r="AL1284" s="2">
        <v>0.28648131670246102</v>
      </c>
      <c r="AM1284" s="2">
        <v>9.1276902390644205E-2</v>
      </c>
      <c r="AN1284" s="2">
        <v>2.1600005199896399</v>
      </c>
      <c r="AO1284" s="2">
        <v>0.28833356051398301</v>
      </c>
      <c r="AP1284" s="2">
        <v>0.28833356051398301</v>
      </c>
      <c r="AQ1284" s="2">
        <v>0</v>
      </c>
      <c r="AR1284" s="2">
        <v>5</v>
      </c>
      <c r="AS1284" s="2">
        <v>0</v>
      </c>
      <c r="AT1284" s="2">
        <v>0</v>
      </c>
      <c r="AU1284" s="2">
        <v>14</v>
      </c>
      <c r="AV1284" s="2">
        <v>72</v>
      </c>
      <c r="AW1284" s="2">
        <v>0</v>
      </c>
      <c r="AX1284" s="2">
        <v>0</v>
      </c>
      <c r="AZ1284" s="2">
        <v>6.8</v>
      </c>
      <c r="BA1284" s="2">
        <v>19.899999999999999</v>
      </c>
      <c r="BB1284" s="2">
        <v>564</v>
      </c>
      <c r="BC1284" s="2">
        <v>68</v>
      </c>
      <c r="BD1284" s="2">
        <v>1.5</v>
      </c>
      <c r="BE1284" s="2">
        <v>135</v>
      </c>
      <c r="BF1284" s="2">
        <v>0.8</v>
      </c>
      <c r="BG1284" s="2">
        <v>162</v>
      </c>
      <c r="BH1284" s="2">
        <v>9.1</v>
      </c>
      <c r="BI1284" s="2">
        <v>9.1999999999999993</v>
      </c>
      <c r="BJ1284" s="2">
        <v>18.3</v>
      </c>
      <c r="BK1284" s="2">
        <v>0.34</v>
      </c>
      <c r="BL1284" s="2">
        <v>7.3</v>
      </c>
      <c r="BM1284" s="2">
        <v>0.9</v>
      </c>
      <c r="BN1284" s="2">
        <v>7.5</v>
      </c>
      <c r="BO1284" s="2">
        <v>2.9</v>
      </c>
      <c r="BP1284" s="2">
        <f t="shared" si="40"/>
        <v>6.1534038192898111</v>
      </c>
      <c r="BQ1284" s="2">
        <f t="shared" si="41"/>
        <v>18.958929239025995</v>
      </c>
    </row>
    <row r="1285" spans="1:69" x14ac:dyDescent="0.2">
      <c r="A1285" s="2" t="s">
        <v>4447</v>
      </c>
      <c r="B1285" s="2" t="s">
        <v>47</v>
      </c>
      <c r="C1285" s="2" t="s">
        <v>3273</v>
      </c>
      <c r="D1285" s="2" t="s">
        <v>49</v>
      </c>
      <c r="E1285" s="2" t="s">
        <v>208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89</v>
      </c>
      <c r="L1285" s="6" t="s">
        <v>90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4448</v>
      </c>
      <c r="R1285" s="2">
        <v>19000000</v>
      </c>
      <c r="S1285" s="2">
        <v>0</v>
      </c>
      <c r="T1285" s="2" t="s">
        <v>54</v>
      </c>
      <c r="U1285" s="2" t="s">
        <v>55</v>
      </c>
      <c r="V1285" s="2" t="s">
        <v>56</v>
      </c>
      <c r="W1285" s="2" t="s">
        <v>57</v>
      </c>
      <c r="X1285" s="2" t="s">
        <v>58</v>
      </c>
      <c r="Y1285" s="2">
        <v>3.9910898787800999</v>
      </c>
      <c r="Z1285" s="2">
        <v>3991.0898787801002</v>
      </c>
      <c r="AA1285" s="2">
        <v>4.6584666666666701</v>
      </c>
      <c r="AB1285" s="2">
        <v>-74.083966666666697</v>
      </c>
      <c r="AC1285" s="2">
        <v>2552</v>
      </c>
      <c r="AD1285" s="2">
        <v>0</v>
      </c>
      <c r="AE1285" s="2" t="s">
        <v>59</v>
      </c>
      <c r="AF1285" s="2" t="s">
        <v>60</v>
      </c>
      <c r="AG1285" s="2" t="s">
        <v>61</v>
      </c>
      <c r="AH1285" s="2" t="s">
        <v>62</v>
      </c>
      <c r="AI1285" s="2" t="s">
        <v>109</v>
      </c>
      <c r="AJ1285" s="2">
        <v>0.62541702305073898</v>
      </c>
      <c r="AK1285" s="2">
        <v>1.5595297116885301</v>
      </c>
      <c r="AL1285" s="2">
        <v>0.88483096012154605</v>
      </c>
      <c r="AM1285" s="2">
        <v>1.9329459125302002E-2</v>
      </c>
      <c r="AN1285" s="2">
        <v>3.1565649625083001</v>
      </c>
      <c r="AO1285" s="2">
        <v>0.633128340706818</v>
      </c>
      <c r="AP1285" s="2">
        <v>0.633128340706818</v>
      </c>
      <c r="AQ1285" s="2">
        <v>0</v>
      </c>
      <c r="AR1285" s="2">
        <v>3</v>
      </c>
      <c r="AS1285" s="2">
        <v>0</v>
      </c>
      <c r="AT1285" s="2">
        <v>0</v>
      </c>
      <c r="AU1285" s="2">
        <v>3</v>
      </c>
      <c r="AV1285" s="2">
        <v>251</v>
      </c>
      <c r="AW1285" s="2">
        <v>0</v>
      </c>
      <c r="AX1285" s="2">
        <v>0</v>
      </c>
      <c r="AZ1285" s="2">
        <v>6.8</v>
      </c>
      <c r="BA1285" s="2">
        <v>19.899999999999999</v>
      </c>
      <c r="BB1285" s="2">
        <v>564</v>
      </c>
      <c r="BC1285" s="2">
        <v>68</v>
      </c>
      <c r="BD1285" s="2">
        <v>1.5</v>
      </c>
      <c r="BE1285" s="2">
        <v>135</v>
      </c>
      <c r="BF1285" s="2">
        <v>0.8</v>
      </c>
      <c r="BG1285" s="2">
        <v>162</v>
      </c>
      <c r="BH1285" s="2">
        <v>9.1</v>
      </c>
      <c r="BI1285" s="2">
        <v>9.1999999999999993</v>
      </c>
      <c r="BJ1285" s="2">
        <v>18.3</v>
      </c>
      <c r="BK1285" s="2">
        <v>0.34</v>
      </c>
      <c r="BL1285" s="2">
        <v>7.3</v>
      </c>
      <c r="BM1285" s="2">
        <v>0.9</v>
      </c>
      <c r="BN1285" s="2">
        <v>7.5</v>
      </c>
      <c r="BO1285" s="2">
        <v>2.9</v>
      </c>
      <c r="BP1285" s="2">
        <f t="shared" si="40"/>
        <v>5.5809759536220938</v>
      </c>
      <c r="BQ1285" s="2">
        <f t="shared" si="41"/>
        <v>18.082300278053758</v>
      </c>
    </row>
    <row r="1286" spans="1:69" x14ac:dyDescent="0.2">
      <c r="A1286" s="2" t="s">
        <v>3734</v>
      </c>
      <c r="B1286" s="2" t="s">
        <v>47</v>
      </c>
      <c r="C1286" s="2" t="s">
        <v>3273</v>
      </c>
      <c r="D1286" s="2" t="s">
        <v>49</v>
      </c>
      <c r="E1286" s="2" t="s">
        <v>208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89</v>
      </c>
      <c r="L1286" s="6" t="s">
        <v>90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3735</v>
      </c>
      <c r="R1286" s="2">
        <v>16000000</v>
      </c>
      <c r="S1286" s="2">
        <v>0</v>
      </c>
      <c r="T1286" s="2" t="s">
        <v>54</v>
      </c>
      <c r="U1286" s="2" t="s">
        <v>55</v>
      </c>
      <c r="V1286" s="2" t="s">
        <v>56</v>
      </c>
      <c r="W1286" s="2" t="s">
        <v>57</v>
      </c>
      <c r="X1286" s="2" t="s">
        <v>58</v>
      </c>
      <c r="Y1286" s="2">
        <v>4.17915303219399</v>
      </c>
      <c r="Z1286" s="2">
        <v>4179.1530321939899</v>
      </c>
      <c r="AA1286" s="2">
        <v>4.6584666666666701</v>
      </c>
      <c r="AB1286" s="2">
        <v>-74.083966666666697</v>
      </c>
      <c r="AC1286" s="2">
        <v>2552</v>
      </c>
      <c r="AD1286" s="2">
        <v>0</v>
      </c>
      <c r="AE1286" s="2" t="s">
        <v>59</v>
      </c>
      <c r="AF1286" s="2" t="s">
        <v>60</v>
      </c>
      <c r="AG1286" s="2" t="s">
        <v>61</v>
      </c>
      <c r="AH1286" s="2" t="s">
        <v>62</v>
      </c>
      <c r="AI1286" s="2" t="s">
        <v>109</v>
      </c>
      <c r="AJ1286" s="2">
        <v>0.69345326937647001</v>
      </c>
      <c r="AK1286" s="2">
        <v>1.6269590595084</v>
      </c>
      <c r="AL1286" s="2">
        <v>0.65545974106433802</v>
      </c>
      <c r="AM1286" s="2">
        <v>3.7279918848922698E-2</v>
      </c>
      <c r="AN1286" s="2">
        <v>3.2693209040853799</v>
      </c>
      <c r="AO1286" s="2">
        <v>0.64549394364127599</v>
      </c>
      <c r="AP1286" s="2">
        <v>0.64549394364127599</v>
      </c>
      <c r="AQ1286" s="2">
        <v>0</v>
      </c>
      <c r="AR1286" s="2">
        <v>2</v>
      </c>
      <c r="AS1286" s="2">
        <v>0</v>
      </c>
      <c r="AT1286" s="2">
        <v>0</v>
      </c>
      <c r="AU1286" s="2">
        <v>5</v>
      </c>
      <c r="AV1286" s="2">
        <v>221</v>
      </c>
      <c r="AW1286" s="2">
        <v>0</v>
      </c>
      <c r="AX1286" s="2">
        <v>0</v>
      </c>
      <c r="AZ1286" s="2">
        <v>6.8</v>
      </c>
      <c r="BA1286" s="2">
        <v>19.899999999999999</v>
      </c>
      <c r="BB1286" s="2">
        <v>564</v>
      </c>
      <c r="BC1286" s="2">
        <v>68</v>
      </c>
      <c r="BD1286" s="2">
        <v>1.5</v>
      </c>
      <c r="BE1286" s="2">
        <v>135</v>
      </c>
      <c r="BF1286" s="2">
        <v>0.8</v>
      </c>
      <c r="BG1286" s="2">
        <v>162</v>
      </c>
      <c r="BH1286" s="2">
        <v>9.1</v>
      </c>
      <c r="BI1286" s="2">
        <v>9.1999999999999993</v>
      </c>
      <c r="BJ1286" s="2">
        <v>18.3</v>
      </c>
      <c r="BK1286" s="2">
        <v>0.34</v>
      </c>
      <c r="BL1286" s="2">
        <v>7.3</v>
      </c>
      <c r="BM1286" s="2">
        <v>0.9</v>
      </c>
      <c r="BN1286" s="2">
        <v>7.5</v>
      </c>
      <c r="BO1286" s="2">
        <v>2.9</v>
      </c>
      <c r="BP1286" s="2">
        <f t="shared" si="40"/>
        <v>5.529263019307721</v>
      </c>
      <c r="BQ1286" s="2">
        <f t="shared" si="41"/>
        <v>18.000869440106541</v>
      </c>
    </row>
    <row r="1287" spans="1:69" x14ac:dyDescent="0.2">
      <c r="A1287" s="2" t="s">
        <v>4093</v>
      </c>
      <c r="B1287" s="2" t="s">
        <v>47</v>
      </c>
      <c r="C1287" s="2" t="s">
        <v>3273</v>
      </c>
      <c r="D1287" s="2" t="s">
        <v>49</v>
      </c>
      <c r="E1287" s="2" t="s">
        <v>111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89</v>
      </c>
      <c r="L1287" s="6" t="s">
        <v>90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4094</v>
      </c>
      <c r="R1287" s="2">
        <v>15000000</v>
      </c>
      <c r="S1287" s="2">
        <v>0</v>
      </c>
      <c r="T1287" s="2" t="s">
        <v>54</v>
      </c>
      <c r="U1287" s="2" t="s">
        <v>55</v>
      </c>
      <c r="V1287" s="2" t="s">
        <v>56</v>
      </c>
      <c r="W1287" s="2" t="s">
        <v>57</v>
      </c>
      <c r="X1287" s="2" t="s">
        <v>58</v>
      </c>
      <c r="Y1287" s="2">
        <v>3.0277614563311999</v>
      </c>
      <c r="Z1287" s="2">
        <v>3027.7614563312</v>
      </c>
      <c r="AA1287" s="2">
        <v>4.6584666666666701</v>
      </c>
      <c r="AB1287" s="2">
        <v>-74.083966666666697</v>
      </c>
      <c r="AC1287" s="2">
        <v>2552</v>
      </c>
      <c r="AD1287" s="2">
        <v>0</v>
      </c>
      <c r="AE1287" s="2" t="s">
        <v>59</v>
      </c>
      <c r="AF1287" s="2" t="s">
        <v>60</v>
      </c>
      <c r="AG1287" s="2" t="s">
        <v>61</v>
      </c>
      <c r="AH1287" s="2" t="s">
        <v>62</v>
      </c>
      <c r="AI1287" s="2" t="s">
        <v>109</v>
      </c>
      <c r="AJ1287" s="2">
        <v>0.479160701355892</v>
      </c>
      <c r="AK1287" s="2">
        <v>1.15059827176506</v>
      </c>
      <c r="AL1287" s="2">
        <v>8.4587146263638294E-2</v>
      </c>
      <c r="AM1287" s="2">
        <v>3.9599428143203101E-2</v>
      </c>
      <c r="AN1287" s="2">
        <v>2.3108209985380901</v>
      </c>
      <c r="AO1287" s="2">
        <v>9.3076725489765297E-2</v>
      </c>
      <c r="AP1287" s="2">
        <v>9.3076725489765297E-2</v>
      </c>
      <c r="AQ1287" s="2">
        <v>1</v>
      </c>
      <c r="AR1287" s="2">
        <v>3</v>
      </c>
      <c r="AS1287" s="2">
        <v>0</v>
      </c>
      <c r="AT1287" s="2">
        <v>0</v>
      </c>
      <c r="AU1287" s="2">
        <v>21</v>
      </c>
      <c r="AV1287" s="2">
        <v>233</v>
      </c>
      <c r="AW1287" s="2">
        <v>0</v>
      </c>
      <c r="AX1287" s="2">
        <v>0</v>
      </c>
      <c r="AZ1287" s="2">
        <v>6.8</v>
      </c>
      <c r="BA1287" s="2">
        <v>19.899999999999999</v>
      </c>
      <c r="BB1287" s="2">
        <v>564</v>
      </c>
      <c r="BC1287" s="2">
        <v>68</v>
      </c>
      <c r="BD1287" s="2">
        <v>1.5</v>
      </c>
      <c r="BE1287" s="2">
        <v>135</v>
      </c>
      <c r="BF1287" s="2">
        <v>0.8</v>
      </c>
      <c r="BG1287" s="2">
        <v>162</v>
      </c>
      <c r="BH1287" s="2">
        <v>9.1</v>
      </c>
      <c r="BI1287" s="2">
        <v>9.1999999999999993</v>
      </c>
      <c r="BJ1287" s="2">
        <v>18.3</v>
      </c>
      <c r="BK1287" s="2">
        <v>0.34</v>
      </c>
      <c r="BL1287" s="2">
        <v>7.3</v>
      </c>
      <c r="BM1287" s="2">
        <v>0.9</v>
      </c>
      <c r="BN1287" s="2">
        <v>7.5</v>
      </c>
      <c r="BO1287" s="2">
        <v>2.9</v>
      </c>
      <c r="BP1287" s="2">
        <f t="shared" si="40"/>
        <v>5.8535506163469373</v>
      </c>
      <c r="BQ1287" s="2">
        <f t="shared" si="41"/>
        <v>18.505231146295319</v>
      </c>
    </row>
    <row r="1288" spans="1:69" x14ac:dyDescent="0.2">
      <c r="A1288" s="2" t="s">
        <v>3752</v>
      </c>
      <c r="B1288" s="2" t="s">
        <v>47</v>
      </c>
      <c r="C1288" s="2" t="s">
        <v>3273</v>
      </c>
      <c r="D1288" s="2" t="s">
        <v>49</v>
      </c>
      <c r="E1288" s="2" t="s">
        <v>1465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89</v>
      </c>
      <c r="L1288" s="6" t="s">
        <v>90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3753</v>
      </c>
      <c r="R1288" s="2">
        <v>13900000</v>
      </c>
      <c r="S1288" s="2">
        <v>0</v>
      </c>
      <c r="T1288" s="2" t="s">
        <v>54</v>
      </c>
      <c r="U1288" s="2" t="s">
        <v>55</v>
      </c>
      <c r="V1288" s="2" t="s">
        <v>56</v>
      </c>
      <c r="W1288" s="2" t="s">
        <v>57</v>
      </c>
      <c r="X1288" s="2" t="s">
        <v>58</v>
      </c>
      <c r="Y1288" s="2">
        <v>4.1265967514521096</v>
      </c>
      <c r="Z1288" s="2">
        <v>4126.5967514521099</v>
      </c>
      <c r="AA1288" s="2">
        <v>4.6584666666666701</v>
      </c>
      <c r="AB1288" s="2">
        <v>-74.083966666666697</v>
      </c>
      <c r="AC1288" s="2">
        <v>2552</v>
      </c>
      <c r="AD1288" s="2">
        <v>0</v>
      </c>
      <c r="AE1288" s="2" t="s">
        <v>59</v>
      </c>
      <c r="AF1288" s="2" t="s">
        <v>60</v>
      </c>
      <c r="AG1288" s="2" t="s">
        <v>61</v>
      </c>
      <c r="AH1288" s="2" t="s">
        <v>62</v>
      </c>
      <c r="AI1288" s="2" t="s">
        <v>109</v>
      </c>
      <c r="AJ1288" s="2">
        <v>6.3565125963518695E-2</v>
      </c>
      <c r="AK1288" s="2">
        <v>2.2639362009750901</v>
      </c>
      <c r="AL1288" s="2">
        <v>0.51619810408508804</v>
      </c>
      <c r="AM1288" s="2">
        <v>1.8456129419446202E-2</v>
      </c>
      <c r="AN1288" s="2">
        <v>2.9661004283073402</v>
      </c>
      <c r="AO1288" s="2">
        <v>0.12915547237709499</v>
      </c>
      <c r="AP1288" s="2">
        <v>0.12915547237709499</v>
      </c>
      <c r="AQ1288" s="2">
        <v>1</v>
      </c>
      <c r="AR1288" s="2">
        <v>6</v>
      </c>
      <c r="AS1288" s="2">
        <v>0</v>
      </c>
      <c r="AT1288" s="2">
        <v>0</v>
      </c>
      <c r="AU1288" s="2">
        <v>5</v>
      </c>
      <c r="AV1288" s="2">
        <v>235</v>
      </c>
      <c r="AW1288" s="2">
        <v>0</v>
      </c>
      <c r="AX1288" s="2">
        <v>0</v>
      </c>
      <c r="AZ1288" s="2">
        <v>6.8</v>
      </c>
      <c r="BA1288" s="2">
        <v>19.899999999999999</v>
      </c>
      <c r="BB1288" s="2">
        <v>564</v>
      </c>
      <c r="BC1288" s="2">
        <v>68</v>
      </c>
      <c r="BD1288" s="2">
        <v>1.5</v>
      </c>
      <c r="BE1288" s="2">
        <v>135</v>
      </c>
      <c r="BF1288" s="2">
        <v>0.8</v>
      </c>
      <c r="BG1288" s="2">
        <v>162</v>
      </c>
      <c r="BH1288" s="2">
        <v>9.1</v>
      </c>
      <c r="BI1288" s="2">
        <v>9.1999999999999993</v>
      </c>
      <c r="BJ1288" s="2">
        <v>18.3</v>
      </c>
      <c r="BK1288" s="2">
        <v>0.34</v>
      </c>
      <c r="BL1288" s="2">
        <v>7.3</v>
      </c>
      <c r="BM1288" s="2">
        <v>0.9</v>
      </c>
      <c r="BN1288" s="2">
        <v>7.5</v>
      </c>
      <c r="BO1288" s="2">
        <v>2.9</v>
      </c>
      <c r="BP1288" s="2">
        <f t="shared" si="40"/>
        <v>5.5436663227669145</v>
      </c>
      <c r="BQ1288" s="2">
        <f t="shared" si="41"/>
        <v>18.023589175821389</v>
      </c>
    </row>
    <row r="1289" spans="1:69" x14ac:dyDescent="0.2">
      <c r="A1289" s="2" t="s">
        <v>3701</v>
      </c>
      <c r="B1289" s="2" t="s">
        <v>47</v>
      </c>
      <c r="C1289" s="2" t="s">
        <v>3273</v>
      </c>
      <c r="D1289" s="2" t="s">
        <v>49</v>
      </c>
      <c r="E1289" s="2" t="s">
        <v>3628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89</v>
      </c>
      <c r="L1289" s="6" t="s">
        <v>90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3702</v>
      </c>
      <c r="R1289" s="2">
        <v>13750000</v>
      </c>
      <c r="S1289" s="2">
        <v>0</v>
      </c>
      <c r="T1289" s="2" t="s">
        <v>54</v>
      </c>
      <c r="U1289" s="2" t="s">
        <v>55</v>
      </c>
      <c r="V1289" s="2" t="s">
        <v>56</v>
      </c>
      <c r="W1289" s="2" t="s">
        <v>57</v>
      </c>
      <c r="X1289" s="2" t="s">
        <v>58</v>
      </c>
      <c r="Y1289" s="2">
        <v>4.1269691858096698</v>
      </c>
      <c r="Z1289" s="2">
        <v>4126.9691858096703</v>
      </c>
      <c r="AA1289" s="2">
        <v>4.6584666666666701</v>
      </c>
      <c r="AB1289" s="2">
        <v>-74.083966666666697</v>
      </c>
      <c r="AC1289" s="2">
        <v>2552</v>
      </c>
      <c r="AD1289" s="2">
        <v>0</v>
      </c>
      <c r="AE1289" s="2" t="s">
        <v>59</v>
      </c>
      <c r="AF1289" s="2" t="s">
        <v>60</v>
      </c>
      <c r="AG1289" s="2" t="s">
        <v>61</v>
      </c>
      <c r="AH1289" s="2" t="s">
        <v>62</v>
      </c>
      <c r="AI1289" s="2" t="s">
        <v>109</v>
      </c>
      <c r="AJ1289" s="2">
        <v>6.3685409445303098E-2</v>
      </c>
      <c r="AK1289" s="2">
        <v>2.2645797420185101</v>
      </c>
      <c r="AL1289" s="2">
        <v>0.51618293936009196</v>
      </c>
      <c r="AM1289" s="2">
        <v>1.88529444656606E-2</v>
      </c>
      <c r="AN1289" s="2">
        <v>2.9661656704996302</v>
      </c>
      <c r="AO1289" s="2">
        <v>0.129325953419582</v>
      </c>
      <c r="AP1289" s="2">
        <v>0.129325953419582</v>
      </c>
      <c r="AQ1289" s="2">
        <v>1</v>
      </c>
      <c r="AR1289" s="2">
        <v>6</v>
      </c>
      <c r="AS1289" s="2">
        <v>0</v>
      </c>
      <c r="AT1289" s="2">
        <v>0</v>
      </c>
      <c r="AU1289" s="2">
        <v>5</v>
      </c>
      <c r="AV1289" s="2">
        <v>235</v>
      </c>
      <c r="AW1289" s="2">
        <v>0</v>
      </c>
      <c r="AX1289" s="2">
        <v>0</v>
      </c>
      <c r="AZ1289" s="2">
        <v>6.8</v>
      </c>
      <c r="BA1289" s="2">
        <v>19.899999999999999</v>
      </c>
      <c r="BB1289" s="2">
        <v>564</v>
      </c>
      <c r="BC1289" s="2">
        <v>68</v>
      </c>
      <c r="BD1289" s="2">
        <v>1.5</v>
      </c>
      <c r="BE1289" s="2">
        <v>135</v>
      </c>
      <c r="BF1289" s="2">
        <v>0.8</v>
      </c>
      <c r="BG1289" s="2">
        <v>162</v>
      </c>
      <c r="BH1289" s="2">
        <v>9.1</v>
      </c>
      <c r="BI1289" s="2">
        <v>9.1999999999999993</v>
      </c>
      <c r="BJ1289" s="2">
        <v>18.3</v>
      </c>
      <c r="BK1289" s="2">
        <v>0.34</v>
      </c>
      <c r="BL1289" s="2">
        <v>7.3</v>
      </c>
      <c r="BM1289" s="2">
        <v>0.9</v>
      </c>
      <c r="BN1289" s="2">
        <v>7.5</v>
      </c>
      <c r="BO1289" s="2">
        <v>2.9</v>
      </c>
      <c r="BP1289" s="2">
        <f t="shared" si="40"/>
        <v>5.5435641234445949</v>
      </c>
      <c r="BQ1289" s="2">
        <f t="shared" si="41"/>
        <v>18.023428074048855</v>
      </c>
    </row>
    <row r="1290" spans="1:69" x14ac:dyDescent="0.2">
      <c r="A1290" s="2" t="s">
        <v>4227</v>
      </c>
      <c r="B1290" s="2" t="s">
        <v>47</v>
      </c>
      <c r="C1290" s="2" t="s">
        <v>3273</v>
      </c>
      <c r="D1290" s="2" t="s">
        <v>49</v>
      </c>
      <c r="E1290" s="2" t="s">
        <v>1077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89</v>
      </c>
      <c r="L1290" s="6" t="s">
        <v>90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4228</v>
      </c>
      <c r="R1290" s="2">
        <v>12750000</v>
      </c>
      <c r="S1290" s="2">
        <v>0</v>
      </c>
      <c r="T1290" s="2" t="s">
        <v>105</v>
      </c>
      <c r="U1290" s="2" t="s">
        <v>106</v>
      </c>
      <c r="V1290" s="2" t="s">
        <v>56</v>
      </c>
      <c r="W1290" s="2" t="s">
        <v>107</v>
      </c>
      <c r="X1290" s="2" t="s">
        <v>108</v>
      </c>
      <c r="Y1290" s="2">
        <v>2.3434225232352701</v>
      </c>
      <c r="Z1290" s="2">
        <v>2343.4225232352701</v>
      </c>
      <c r="AA1290" s="2">
        <v>4.6254861111111101</v>
      </c>
      <c r="AB1290" s="2">
        <v>-74.066980555555503</v>
      </c>
      <c r="AC1290" s="2">
        <v>2621</v>
      </c>
      <c r="AD1290" s="2">
        <v>15</v>
      </c>
      <c r="AE1290" s="2" t="s">
        <v>59</v>
      </c>
      <c r="AF1290" s="2" t="s">
        <v>60</v>
      </c>
      <c r="AG1290" s="2" t="s">
        <v>61</v>
      </c>
      <c r="AH1290" s="2" t="s">
        <v>62</v>
      </c>
      <c r="AI1290" s="2" t="s">
        <v>117</v>
      </c>
      <c r="AJ1290" s="2">
        <v>0.13458802082740301</v>
      </c>
      <c r="AK1290" s="2">
        <v>0.46629421594951298</v>
      </c>
      <c r="AL1290" s="2">
        <v>0.22261603643769101</v>
      </c>
      <c r="AM1290" s="2">
        <v>0.10197081059447501</v>
      </c>
      <c r="AN1290" s="2">
        <v>1.21639257060811</v>
      </c>
      <c r="AO1290" s="2">
        <v>0.167802636656597</v>
      </c>
      <c r="AP1290" s="2">
        <v>0.167802636656597</v>
      </c>
      <c r="AQ1290" s="2">
        <v>2</v>
      </c>
      <c r="AR1290" s="2">
        <v>7</v>
      </c>
      <c r="AS1290" s="2">
        <v>4</v>
      </c>
      <c r="AT1290" s="2">
        <v>39</v>
      </c>
      <c r="AU1290" s="2">
        <v>12</v>
      </c>
      <c r="AV1290" s="2">
        <v>50</v>
      </c>
      <c r="AW1290" s="2">
        <v>0</v>
      </c>
      <c r="AX1290" s="2">
        <v>8</v>
      </c>
      <c r="AZ1290" s="2">
        <v>6.8</v>
      </c>
      <c r="BA1290" s="2">
        <v>19.899999999999999</v>
      </c>
      <c r="BB1290" s="2">
        <v>564</v>
      </c>
      <c r="BC1290" s="2">
        <v>68</v>
      </c>
      <c r="BD1290" s="2">
        <v>1.5</v>
      </c>
      <c r="BE1290" s="2">
        <v>135</v>
      </c>
      <c r="BF1290" s="2">
        <v>0.8</v>
      </c>
      <c r="BG1290" s="2">
        <v>162</v>
      </c>
      <c r="BH1290" s="2">
        <v>9.1</v>
      </c>
      <c r="BI1290" s="2">
        <v>9.1999999999999993</v>
      </c>
      <c r="BJ1290" s="2">
        <v>18.3</v>
      </c>
      <c r="BK1290" s="2">
        <v>0.34</v>
      </c>
      <c r="BL1290" s="2">
        <v>7.3</v>
      </c>
      <c r="BM1290" s="2">
        <v>0.9</v>
      </c>
      <c r="BN1290" s="2">
        <v>7.5</v>
      </c>
      <c r="BO1290" s="2">
        <v>2.9</v>
      </c>
      <c r="BP1290" s="2">
        <f t="shared" si="40"/>
        <v>6.0552350613389274</v>
      </c>
      <c r="BQ1290" s="2">
        <f t="shared" si="41"/>
        <v>18.811673183655937</v>
      </c>
    </row>
    <row r="1291" spans="1:69" x14ac:dyDescent="0.2">
      <c r="A1291" s="2" t="s">
        <v>3460</v>
      </c>
      <c r="B1291" s="2" t="s">
        <v>47</v>
      </c>
      <c r="C1291" s="2" t="s">
        <v>3273</v>
      </c>
      <c r="D1291" s="2" t="s">
        <v>49</v>
      </c>
      <c r="E1291" s="2" t="s">
        <v>115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89</v>
      </c>
      <c r="L1291" s="6" t="s">
        <v>90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3461</v>
      </c>
      <c r="R1291" s="2">
        <v>12000000</v>
      </c>
      <c r="S1291" s="2">
        <v>0</v>
      </c>
      <c r="T1291" s="2" t="s">
        <v>105</v>
      </c>
      <c r="U1291" s="2" t="s">
        <v>106</v>
      </c>
      <c r="V1291" s="2" t="s">
        <v>56</v>
      </c>
      <c r="W1291" s="2" t="s">
        <v>107</v>
      </c>
      <c r="X1291" s="2" t="s">
        <v>108</v>
      </c>
      <c r="Y1291" s="2">
        <v>0.65014241261012795</v>
      </c>
      <c r="Z1291" s="2">
        <v>650.14241261012796</v>
      </c>
      <c r="AA1291" s="2">
        <v>4.6254861111111101</v>
      </c>
      <c r="AB1291" s="2">
        <v>-74.066980555555503</v>
      </c>
      <c r="AC1291" s="2">
        <v>2621</v>
      </c>
      <c r="AD1291" s="2">
        <v>15</v>
      </c>
      <c r="AE1291" s="2" t="s">
        <v>59</v>
      </c>
      <c r="AF1291" s="2" t="s">
        <v>60</v>
      </c>
      <c r="AG1291" s="2" t="s">
        <v>61</v>
      </c>
      <c r="AH1291" s="2" t="s">
        <v>62</v>
      </c>
      <c r="AI1291" s="2" t="s">
        <v>117</v>
      </c>
      <c r="AJ1291" s="2">
        <v>0.13720579165720401</v>
      </c>
      <c r="AK1291" s="2">
        <v>0.87071666130195202</v>
      </c>
      <c r="AL1291" s="2">
        <v>0.34510880768399999</v>
      </c>
      <c r="AM1291" s="2">
        <v>4.11443730616032E-2</v>
      </c>
      <c r="AN1291" s="2">
        <v>0.67214491497680795</v>
      </c>
      <c r="AO1291" s="2">
        <v>2.9003813943615401E-2</v>
      </c>
      <c r="AP1291" s="2">
        <v>2.9003813943615401E-2</v>
      </c>
      <c r="AQ1291" s="2">
        <v>2</v>
      </c>
      <c r="AR1291" s="2">
        <v>6</v>
      </c>
      <c r="AS1291" s="2">
        <v>0</v>
      </c>
      <c r="AT1291" s="2">
        <v>3</v>
      </c>
      <c r="AU1291" s="2">
        <v>17</v>
      </c>
      <c r="AV1291" s="2">
        <v>90</v>
      </c>
      <c r="AW1291" s="2">
        <v>2</v>
      </c>
      <c r="AX1291" s="2">
        <v>1</v>
      </c>
      <c r="AZ1291" s="2">
        <v>6.8</v>
      </c>
      <c r="BA1291" s="2">
        <v>19.899999999999999</v>
      </c>
      <c r="BB1291" s="2">
        <v>564</v>
      </c>
      <c r="BC1291" s="2">
        <v>68</v>
      </c>
      <c r="BD1291" s="2">
        <v>1.5</v>
      </c>
      <c r="BE1291" s="2">
        <v>135</v>
      </c>
      <c r="BF1291" s="2">
        <v>0.8</v>
      </c>
      <c r="BG1291" s="2">
        <v>162</v>
      </c>
      <c r="BH1291" s="2">
        <v>9.1</v>
      </c>
      <c r="BI1291" s="2">
        <v>9.1999999999999993</v>
      </c>
      <c r="BJ1291" s="2">
        <v>18.3</v>
      </c>
      <c r="BK1291" s="2">
        <v>0.34</v>
      </c>
      <c r="BL1291" s="2">
        <v>7.3</v>
      </c>
      <c r="BM1291" s="2">
        <v>0.9</v>
      </c>
      <c r="BN1291" s="2">
        <v>7.5</v>
      </c>
      <c r="BO1291" s="2">
        <v>2.9</v>
      </c>
      <c r="BP1291" s="2">
        <f t="shared" si="40"/>
        <v>6.5846459180198327</v>
      </c>
      <c r="BQ1291" s="2">
        <f t="shared" si="41"/>
        <v>19.591901926179613</v>
      </c>
    </row>
    <row r="1292" spans="1:69" x14ac:dyDescent="0.2">
      <c r="A1292" s="2" t="s">
        <v>3906</v>
      </c>
      <c r="B1292" s="2" t="s">
        <v>47</v>
      </c>
      <c r="C1292" s="2" t="s">
        <v>3273</v>
      </c>
      <c r="D1292" s="2" t="s">
        <v>49</v>
      </c>
      <c r="E1292" s="2" t="s">
        <v>102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89</v>
      </c>
      <c r="L1292" s="6" t="s">
        <v>112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3907</v>
      </c>
      <c r="R1292" s="2">
        <v>11000000</v>
      </c>
      <c r="S1292" s="2">
        <v>0</v>
      </c>
      <c r="T1292" s="2" t="s">
        <v>105</v>
      </c>
      <c r="U1292" s="2" t="s">
        <v>106</v>
      </c>
      <c r="V1292" s="2" t="s">
        <v>56</v>
      </c>
      <c r="W1292" s="2" t="s">
        <v>107</v>
      </c>
      <c r="X1292" s="2" t="s">
        <v>108</v>
      </c>
      <c r="Y1292" s="2">
        <v>2.3540223671770599</v>
      </c>
      <c r="Z1292" s="2">
        <v>2354.02236717706</v>
      </c>
      <c r="AA1292" s="2">
        <v>4.6254861111111101</v>
      </c>
      <c r="AB1292" s="2">
        <v>-74.066980555555503</v>
      </c>
      <c r="AC1292" s="2">
        <v>2621</v>
      </c>
      <c r="AD1292" s="2">
        <v>15</v>
      </c>
      <c r="AE1292" s="2" t="s">
        <v>59</v>
      </c>
      <c r="AF1292" s="2" t="s">
        <v>60</v>
      </c>
      <c r="AG1292" s="2" t="s">
        <v>61</v>
      </c>
      <c r="AH1292" s="2" t="s">
        <v>62</v>
      </c>
      <c r="AI1292" s="2" t="s">
        <v>109</v>
      </c>
      <c r="AJ1292" s="2">
        <v>0.35976565475431099</v>
      </c>
      <c r="AK1292" s="2">
        <v>0.79736921926862903</v>
      </c>
      <c r="AL1292" s="2">
        <v>0.164843194546829</v>
      </c>
      <c r="AM1292" s="2">
        <v>0.16232546726699101</v>
      </c>
      <c r="AN1292" s="2">
        <v>0.67987914631202795</v>
      </c>
      <c r="AO1292" s="2">
        <v>0.404505223414726</v>
      </c>
      <c r="AP1292" s="2">
        <v>0.404505223414726</v>
      </c>
      <c r="AQ1292" s="2">
        <v>1</v>
      </c>
      <c r="AR1292" s="2">
        <v>3</v>
      </c>
      <c r="AS1292" s="2">
        <v>0</v>
      </c>
      <c r="AT1292" s="2">
        <v>9</v>
      </c>
      <c r="AU1292" s="2">
        <v>13</v>
      </c>
      <c r="AV1292" s="2">
        <v>85</v>
      </c>
      <c r="AW1292" s="2">
        <v>1</v>
      </c>
      <c r="AX1292" s="2">
        <v>0</v>
      </c>
      <c r="AZ1292" s="2">
        <v>6.8</v>
      </c>
      <c r="BA1292" s="2">
        <v>19.899999999999999</v>
      </c>
      <c r="BB1292" s="2">
        <v>564</v>
      </c>
      <c r="BC1292" s="2">
        <v>68</v>
      </c>
      <c r="BD1292" s="2">
        <v>1.5</v>
      </c>
      <c r="BE1292" s="2">
        <v>135</v>
      </c>
      <c r="BF1292" s="2">
        <v>0.8</v>
      </c>
      <c r="BG1292" s="2">
        <v>162</v>
      </c>
      <c r="BH1292" s="2">
        <v>9.1</v>
      </c>
      <c r="BI1292" s="2">
        <v>9.1999999999999993</v>
      </c>
      <c r="BJ1292" s="2">
        <v>18.3</v>
      </c>
      <c r="BK1292" s="2">
        <v>0.34</v>
      </c>
      <c r="BL1292" s="2">
        <v>7.3</v>
      </c>
      <c r="BM1292" s="2">
        <v>0.9</v>
      </c>
      <c r="BN1292" s="2">
        <v>7.5</v>
      </c>
      <c r="BO1292" s="2">
        <v>2.9</v>
      </c>
      <c r="BP1292" s="2">
        <f t="shared" si="40"/>
        <v>6.0520587596415689</v>
      </c>
      <c r="BQ1292" s="2">
        <f t="shared" si="41"/>
        <v>18.806888173125387</v>
      </c>
    </row>
    <row r="1293" spans="1:69" x14ac:dyDescent="0.2">
      <c r="A1293" s="2" t="s">
        <v>4101</v>
      </c>
      <c r="B1293" s="2" t="s">
        <v>47</v>
      </c>
      <c r="C1293" s="2" t="s">
        <v>3273</v>
      </c>
      <c r="D1293" s="2" t="s">
        <v>49</v>
      </c>
      <c r="E1293" s="2" t="s">
        <v>1077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89</v>
      </c>
      <c r="L1293" s="6" t="s">
        <v>90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4102</v>
      </c>
      <c r="R1293" s="2">
        <v>10500000</v>
      </c>
      <c r="S1293" s="2">
        <v>0</v>
      </c>
      <c r="T1293" s="2" t="s">
        <v>105</v>
      </c>
      <c r="U1293" s="2" t="s">
        <v>106</v>
      </c>
      <c r="V1293" s="2" t="s">
        <v>56</v>
      </c>
      <c r="W1293" s="2" t="s">
        <v>107</v>
      </c>
      <c r="X1293" s="2" t="s">
        <v>108</v>
      </c>
      <c r="Y1293" s="2">
        <v>2.1795951921589398</v>
      </c>
      <c r="Z1293" s="2">
        <v>2179.5951921589399</v>
      </c>
      <c r="AA1293" s="2">
        <v>4.6254861111111101</v>
      </c>
      <c r="AB1293" s="2">
        <v>-74.066980555555503</v>
      </c>
      <c r="AC1293" s="2">
        <v>2621</v>
      </c>
      <c r="AD1293" s="2">
        <v>15</v>
      </c>
      <c r="AE1293" s="2" t="s">
        <v>59</v>
      </c>
      <c r="AF1293" s="2" t="s">
        <v>60</v>
      </c>
      <c r="AG1293" s="2" t="s">
        <v>61</v>
      </c>
      <c r="AH1293" s="2" t="s">
        <v>62</v>
      </c>
      <c r="AI1293" s="2" t="s">
        <v>117</v>
      </c>
      <c r="AJ1293" s="2">
        <v>0.33708011948014999</v>
      </c>
      <c r="AK1293" s="2">
        <v>0.59621943761583496</v>
      </c>
      <c r="AL1293" s="2">
        <v>7.2945344121998407E-2</v>
      </c>
      <c r="AM1293" s="2">
        <v>0.117274602504082</v>
      </c>
      <c r="AN1293" s="2">
        <v>1.0872033123939899</v>
      </c>
      <c r="AO1293" s="2">
        <v>4.7691891805327902E-2</v>
      </c>
      <c r="AP1293" s="2">
        <v>4.7691891805327902E-2</v>
      </c>
      <c r="AQ1293" s="2">
        <v>3</v>
      </c>
      <c r="AR1293" s="2">
        <v>7</v>
      </c>
      <c r="AS1293" s="2">
        <v>0</v>
      </c>
      <c r="AT1293" s="2">
        <v>28</v>
      </c>
      <c r="AU1293" s="2">
        <v>13</v>
      </c>
      <c r="AV1293" s="2">
        <v>52</v>
      </c>
      <c r="AW1293" s="2">
        <v>0</v>
      </c>
      <c r="AX1293" s="2">
        <v>9</v>
      </c>
      <c r="AZ1293" s="2">
        <v>6.8</v>
      </c>
      <c r="BA1293" s="2">
        <v>19.899999999999999</v>
      </c>
      <c r="BB1293" s="2">
        <v>564</v>
      </c>
      <c r="BC1293" s="2">
        <v>68</v>
      </c>
      <c r="BD1293" s="2">
        <v>1.5</v>
      </c>
      <c r="BE1293" s="2">
        <v>135</v>
      </c>
      <c r="BF1293" s="2">
        <v>0.8</v>
      </c>
      <c r="BG1293" s="2">
        <v>162</v>
      </c>
      <c r="BH1293" s="2">
        <v>9.1</v>
      </c>
      <c r="BI1293" s="2">
        <v>9.1999999999999993</v>
      </c>
      <c r="BJ1293" s="2">
        <v>18.3</v>
      </c>
      <c r="BK1293" s="2">
        <v>0.34</v>
      </c>
      <c r="BL1293" s="2">
        <v>7.3</v>
      </c>
      <c r="BM1293" s="2">
        <v>0.9</v>
      </c>
      <c r="BN1293" s="2">
        <v>7.5</v>
      </c>
      <c r="BO1293" s="2">
        <v>2.9</v>
      </c>
      <c r="BP1293" s="2">
        <f t="shared" si="40"/>
        <v>6.1045393499988849</v>
      </c>
      <c r="BQ1293" s="2">
        <f t="shared" si="41"/>
        <v>18.885783572925774</v>
      </c>
    </row>
    <row r="1294" spans="1:69" x14ac:dyDescent="0.2">
      <c r="A1294" s="2" t="s">
        <v>4229</v>
      </c>
      <c r="B1294" s="2" t="s">
        <v>47</v>
      </c>
      <c r="C1294" s="2" t="s">
        <v>3273</v>
      </c>
      <c r="D1294" s="2" t="s">
        <v>49</v>
      </c>
      <c r="E1294" s="2" t="s">
        <v>63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89</v>
      </c>
      <c r="L1294" s="6" t="s">
        <v>90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4230</v>
      </c>
      <c r="R1294" s="2">
        <v>11575239.050000001</v>
      </c>
      <c r="S1294" s="2">
        <v>0</v>
      </c>
      <c r="T1294" s="2" t="s">
        <v>105</v>
      </c>
      <c r="U1294" s="2" t="s">
        <v>106</v>
      </c>
      <c r="V1294" s="2" t="s">
        <v>56</v>
      </c>
      <c r="W1294" s="2" t="s">
        <v>107</v>
      </c>
      <c r="X1294" s="2" t="s">
        <v>108</v>
      </c>
      <c r="Y1294" s="2">
        <v>0.40227340129841599</v>
      </c>
      <c r="Z1294" s="2">
        <v>402.27340129841599</v>
      </c>
      <c r="AA1294" s="2">
        <v>4.6254861111111101</v>
      </c>
      <c r="AB1294" s="2">
        <v>-74.066980555555503</v>
      </c>
      <c r="AC1294" s="2">
        <v>2621</v>
      </c>
      <c r="AD1294" s="2">
        <v>15</v>
      </c>
      <c r="AE1294" s="2" t="s">
        <v>59</v>
      </c>
      <c r="AF1294" s="2" t="s">
        <v>60</v>
      </c>
      <c r="AG1294" s="2" t="s">
        <v>61</v>
      </c>
      <c r="AH1294" s="2" t="s">
        <v>62</v>
      </c>
      <c r="AI1294" s="2" t="s">
        <v>63</v>
      </c>
      <c r="AJ1294" s="2">
        <v>0.166848512724458</v>
      </c>
      <c r="AK1294" s="2">
        <v>0.96495356964853696</v>
      </c>
      <c r="AL1294" s="2">
        <v>0.120885605718508</v>
      </c>
      <c r="AM1294" s="2">
        <v>4.1823543409542398E-2</v>
      </c>
      <c r="AN1294" s="2">
        <v>0.59352080144824904</v>
      </c>
      <c r="AO1294" s="2">
        <v>0.179957208342369</v>
      </c>
      <c r="AP1294" s="2">
        <v>0.179957208342369</v>
      </c>
      <c r="AQ1294" s="2">
        <v>3</v>
      </c>
      <c r="AR1294" s="2">
        <v>7</v>
      </c>
      <c r="AS1294" s="2">
        <v>0</v>
      </c>
      <c r="AT1294" s="2">
        <v>2</v>
      </c>
      <c r="AU1294" s="2">
        <v>18</v>
      </c>
      <c r="AV1294" s="2">
        <v>107</v>
      </c>
      <c r="AW1294" s="2">
        <v>2</v>
      </c>
      <c r="AX1294" s="2">
        <v>1</v>
      </c>
      <c r="AZ1294" s="2">
        <v>6.8</v>
      </c>
      <c r="BA1294" s="2">
        <v>19.899999999999999</v>
      </c>
      <c r="BB1294" s="2">
        <v>564</v>
      </c>
      <c r="BC1294" s="2">
        <v>68</v>
      </c>
      <c r="BD1294" s="2">
        <v>1.5</v>
      </c>
      <c r="BE1294" s="2">
        <v>135</v>
      </c>
      <c r="BF1294" s="2">
        <v>0.8</v>
      </c>
      <c r="BG1294" s="2">
        <v>162</v>
      </c>
      <c r="BH1294" s="2">
        <v>9.1</v>
      </c>
      <c r="BI1294" s="2">
        <v>9.1999999999999993</v>
      </c>
      <c r="BJ1294" s="2">
        <v>18.3</v>
      </c>
      <c r="BK1294" s="2">
        <v>0.34</v>
      </c>
      <c r="BL1294" s="2">
        <v>7.3</v>
      </c>
      <c r="BM1294" s="2">
        <v>0.9</v>
      </c>
      <c r="BN1294" s="2">
        <v>7.5</v>
      </c>
      <c r="BO1294" s="2">
        <v>2.9</v>
      </c>
      <c r="BP1294" s="2">
        <f t="shared" si="40"/>
        <v>6.6659339998090585</v>
      </c>
      <c r="BQ1294" s="2">
        <f t="shared" si="41"/>
        <v>19.708798691112968</v>
      </c>
    </row>
    <row r="1295" spans="1:69" x14ac:dyDescent="0.2">
      <c r="A1295" s="2" t="s">
        <v>3549</v>
      </c>
      <c r="B1295" s="2" t="s">
        <v>47</v>
      </c>
      <c r="C1295" s="2" t="s">
        <v>3273</v>
      </c>
      <c r="D1295" s="2" t="s">
        <v>49</v>
      </c>
      <c r="E1295" s="2" t="s">
        <v>102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89</v>
      </c>
      <c r="L1295" s="6" t="s">
        <v>141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3550</v>
      </c>
      <c r="R1295" s="2">
        <v>8513931.8890000004</v>
      </c>
      <c r="S1295" s="2">
        <v>0</v>
      </c>
      <c r="T1295" s="2" t="s">
        <v>54</v>
      </c>
      <c r="U1295" s="2" t="s">
        <v>55</v>
      </c>
      <c r="V1295" s="2" t="s">
        <v>56</v>
      </c>
      <c r="W1295" s="2" t="s">
        <v>57</v>
      </c>
      <c r="X1295" s="2" t="s">
        <v>58</v>
      </c>
      <c r="Y1295" s="2">
        <v>2.5313750674670401</v>
      </c>
      <c r="Z1295" s="2">
        <v>2531.37506746704</v>
      </c>
      <c r="AA1295" s="2">
        <v>4.6584666666666701</v>
      </c>
      <c r="AB1295" s="2">
        <v>-74.083966666666697</v>
      </c>
      <c r="AC1295" s="2">
        <v>2552</v>
      </c>
      <c r="AD1295" s="2">
        <v>0</v>
      </c>
      <c r="AE1295" s="2" t="s">
        <v>59</v>
      </c>
      <c r="AF1295" s="2" t="s">
        <v>60</v>
      </c>
      <c r="AG1295" s="2" t="s">
        <v>61</v>
      </c>
      <c r="AH1295" s="2" t="s">
        <v>62</v>
      </c>
      <c r="AI1295" s="2" t="s">
        <v>109</v>
      </c>
      <c r="AJ1295" s="2">
        <v>0.32889612002999102</v>
      </c>
      <c r="AK1295" s="2">
        <v>1.2363600487053199</v>
      </c>
      <c r="AL1295" s="2">
        <v>6.84886074482116E-2</v>
      </c>
      <c r="AM1295" s="2">
        <v>6.15843893469619E-2</v>
      </c>
      <c r="AN1295" s="2">
        <v>1.2266156751403401</v>
      </c>
      <c r="AO1295" s="2">
        <v>0.10048172246551</v>
      </c>
      <c r="AP1295" s="2">
        <v>0.10048172246551</v>
      </c>
      <c r="AQ1295" s="2">
        <v>1</v>
      </c>
      <c r="AR1295" s="2">
        <v>3</v>
      </c>
      <c r="AS1295" s="2">
        <v>0</v>
      </c>
      <c r="AT1295" s="2">
        <v>0</v>
      </c>
      <c r="AU1295" s="2">
        <v>22</v>
      </c>
      <c r="AV1295" s="2">
        <v>84</v>
      </c>
      <c r="AW1295" s="2">
        <v>0</v>
      </c>
      <c r="AX1295" s="2">
        <v>0</v>
      </c>
      <c r="AZ1295" s="2">
        <v>6.8</v>
      </c>
      <c r="BA1295" s="2">
        <v>19.899999999999999</v>
      </c>
      <c r="BB1295" s="2">
        <v>564</v>
      </c>
      <c r="BC1295" s="2">
        <v>68</v>
      </c>
      <c r="BD1295" s="2">
        <v>1.5</v>
      </c>
      <c r="BE1295" s="2">
        <v>135</v>
      </c>
      <c r="BF1295" s="2">
        <v>0.8</v>
      </c>
      <c r="BG1295" s="2">
        <v>162</v>
      </c>
      <c r="BH1295" s="2">
        <v>9.1</v>
      </c>
      <c r="BI1295" s="2">
        <v>9.1999999999999993</v>
      </c>
      <c r="BJ1295" s="2">
        <v>18.3</v>
      </c>
      <c r="BK1295" s="2">
        <v>0.34</v>
      </c>
      <c r="BL1295" s="2">
        <v>7.3</v>
      </c>
      <c r="BM1295" s="2">
        <v>0.9</v>
      </c>
      <c r="BN1295" s="2">
        <v>7.5</v>
      </c>
      <c r="BO1295" s="2">
        <v>2.9</v>
      </c>
      <c r="BP1295" s="2">
        <f t="shared" si="40"/>
        <v>5.9991605214188271</v>
      </c>
      <c r="BQ1295" s="2">
        <f t="shared" si="41"/>
        <v>18.727007440854067</v>
      </c>
    </row>
    <row r="1296" spans="1:69" x14ac:dyDescent="0.2">
      <c r="A1296" s="2" t="s">
        <v>4126</v>
      </c>
      <c r="B1296" s="2" t="s">
        <v>47</v>
      </c>
      <c r="C1296" s="2" t="s">
        <v>3273</v>
      </c>
      <c r="D1296" s="2" t="s">
        <v>49</v>
      </c>
      <c r="E1296" s="2" t="s">
        <v>102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89</v>
      </c>
      <c r="L1296" s="6" t="s">
        <v>90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4127</v>
      </c>
      <c r="R1296" s="2">
        <v>12201453.789999999</v>
      </c>
      <c r="S1296" s="2">
        <v>0</v>
      </c>
      <c r="T1296" s="2" t="s">
        <v>105</v>
      </c>
      <c r="U1296" s="2" t="s">
        <v>106</v>
      </c>
      <c r="V1296" s="2" t="s">
        <v>56</v>
      </c>
      <c r="W1296" s="2" t="s">
        <v>107</v>
      </c>
      <c r="X1296" s="2" t="s">
        <v>108</v>
      </c>
      <c r="Y1296" s="2">
        <v>2.1680316308081502</v>
      </c>
      <c r="Z1296" s="2">
        <v>2168.0316308081501</v>
      </c>
      <c r="AA1296" s="2">
        <v>4.6254861111111101</v>
      </c>
      <c r="AB1296" s="2">
        <v>-74.066980555555503</v>
      </c>
      <c r="AC1296" s="2">
        <v>2621</v>
      </c>
      <c r="AD1296" s="2">
        <v>15</v>
      </c>
      <c r="AE1296" s="2" t="s">
        <v>59</v>
      </c>
      <c r="AF1296" s="2" t="s">
        <v>60</v>
      </c>
      <c r="AG1296" s="2" t="s">
        <v>61</v>
      </c>
      <c r="AH1296" s="2" t="s">
        <v>62</v>
      </c>
      <c r="AI1296" s="2" t="s">
        <v>109</v>
      </c>
      <c r="AJ1296" s="2">
        <v>0.31570698930699098</v>
      </c>
      <c r="AK1296" s="2">
        <v>0.78168165468401396</v>
      </c>
      <c r="AL1296" s="2">
        <v>0.31459975012539299</v>
      </c>
      <c r="AM1296" s="2">
        <v>8.6559906724114399E-2</v>
      </c>
      <c r="AN1296" s="2">
        <v>0.66069207225392601</v>
      </c>
      <c r="AO1296" s="2">
        <v>0.44092125536440702</v>
      </c>
      <c r="AP1296" s="2">
        <v>0.44092125536440702</v>
      </c>
      <c r="AQ1296" s="2">
        <v>2</v>
      </c>
      <c r="AR1296" s="2">
        <v>4</v>
      </c>
      <c r="AS1296" s="2">
        <v>0</v>
      </c>
      <c r="AT1296" s="2">
        <v>9</v>
      </c>
      <c r="AU1296" s="2">
        <v>12</v>
      </c>
      <c r="AV1296" s="2">
        <v>130</v>
      </c>
      <c r="AW1296" s="2">
        <v>1</v>
      </c>
      <c r="AX1296" s="2">
        <v>0</v>
      </c>
      <c r="AZ1296" s="2">
        <v>6.8</v>
      </c>
      <c r="BA1296" s="2">
        <v>19.899999999999999</v>
      </c>
      <c r="BB1296" s="2">
        <v>564</v>
      </c>
      <c r="BC1296" s="2">
        <v>68</v>
      </c>
      <c r="BD1296" s="2">
        <v>1.5</v>
      </c>
      <c r="BE1296" s="2">
        <v>135</v>
      </c>
      <c r="BF1296" s="2">
        <v>0.8</v>
      </c>
      <c r="BG1296" s="2">
        <v>162</v>
      </c>
      <c r="BH1296" s="2">
        <v>9.1</v>
      </c>
      <c r="BI1296" s="2">
        <v>9.1999999999999993</v>
      </c>
      <c r="BJ1296" s="2">
        <v>18.3</v>
      </c>
      <c r="BK1296" s="2">
        <v>0.34</v>
      </c>
      <c r="BL1296" s="2">
        <v>7.3</v>
      </c>
      <c r="BM1296" s="2">
        <v>0.9</v>
      </c>
      <c r="BN1296" s="2">
        <v>7.5</v>
      </c>
      <c r="BO1296" s="2">
        <v>2.9</v>
      </c>
      <c r="BP1296" s="2">
        <f t="shared" si="40"/>
        <v>6.1080345658847079</v>
      </c>
      <c r="BQ1296" s="2">
        <f t="shared" si="41"/>
        <v>18.891025586296326</v>
      </c>
    </row>
    <row r="1297" spans="1:69" x14ac:dyDescent="0.2">
      <c r="A1297" s="2" t="s">
        <v>4166</v>
      </c>
      <c r="B1297" s="2" t="s">
        <v>47</v>
      </c>
      <c r="C1297" s="2" t="s">
        <v>3273</v>
      </c>
      <c r="D1297" s="2" t="s">
        <v>49</v>
      </c>
      <c r="E1297" s="2" t="s">
        <v>1077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89</v>
      </c>
      <c r="L1297" s="6" t="s">
        <v>112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4167</v>
      </c>
      <c r="R1297" s="2">
        <v>11458333.33</v>
      </c>
      <c r="S1297" s="2">
        <v>0</v>
      </c>
      <c r="T1297" s="2" t="s">
        <v>105</v>
      </c>
      <c r="U1297" s="2" t="s">
        <v>106</v>
      </c>
      <c r="V1297" s="2" t="s">
        <v>56</v>
      </c>
      <c r="W1297" s="2" t="s">
        <v>107</v>
      </c>
      <c r="X1297" s="2" t="s">
        <v>108</v>
      </c>
      <c r="Y1297" s="2">
        <v>2.18009478929637</v>
      </c>
      <c r="Z1297" s="2">
        <v>2180.09478929637</v>
      </c>
      <c r="AA1297" s="2">
        <v>4.6254861111111101</v>
      </c>
      <c r="AB1297" s="2">
        <v>-74.066980555555503</v>
      </c>
      <c r="AC1297" s="2">
        <v>2621</v>
      </c>
      <c r="AD1297" s="2">
        <v>15</v>
      </c>
      <c r="AE1297" s="2" t="s">
        <v>59</v>
      </c>
      <c r="AF1297" s="2" t="s">
        <v>60</v>
      </c>
      <c r="AG1297" s="2" t="s">
        <v>61</v>
      </c>
      <c r="AH1297" s="2" t="s">
        <v>62</v>
      </c>
      <c r="AI1297" s="2" t="s">
        <v>117</v>
      </c>
      <c r="AJ1297" s="2">
        <v>0.33692176853821998</v>
      </c>
      <c r="AK1297" s="2">
        <v>0.596463717676738</v>
      </c>
      <c r="AL1297" s="2">
        <v>7.3215722638269295E-2</v>
      </c>
      <c r="AM1297" s="2">
        <v>0.116779089236161</v>
      </c>
      <c r="AN1297" s="2">
        <v>1.08769048103678</v>
      </c>
      <c r="AO1297" s="2">
        <v>4.7608575896544499E-2</v>
      </c>
      <c r="AP1297" s="2">
        <v>4.7608575896544499E-2</v>
      </c>
      <c r="AQ1297" s="2">
        <v>3</v>
      </c>
      <c r="AR1297" s="2">
        <v>7</v>
      </c>
      <c r="AS1297" s="2">
        <v>0</v>
      </c>
      <c r="AT1297" s="2">
        <v>28</v>
      </c>
      <c r="AU1297" s="2">
        <v>13</v>
      </c>
      <c r="AV1297" s="2">
        <v>52</v>
      </c>
      <c r="AW1297" s="2">
        <v>0</v>
      </c>
      <c r="AX1297" s="2">
        <v>9</v>
      </c>
      <c r="AZ1297" s="2">
        <v>6.8</v>
      </c>
      <c r="BA1297" s="2">
        <v>19.899999999999999</v>
      </c>
      <c r="BB1297" s="2">
        <v>564</v>
      </c>
      <c r="BC1297" s="2">
        <v>68</v>
      </c>
      <c r="BD1297" s="2">
        <v>1.5</v>
      </c>
      <c r="BE1297" s="2">
        <v>135</v>
      </c>
      <c r="BF1297" s="2">
        <v>0.8</v>
      </c>
      <c r="BG1297" s="2">
        <v>162</v>
      </c>
      <c r="BH1297" s="2">
        <v>9.1</v>
      </c>
      <c r="BI1297" s="2">
        <v>9.1999999999999993</v>
      </c>
      <c r="BJ1297" s="2">
        <v>18.3</v>
      </c>
      <c r="BK1297" s="2">
        <v>0.34</v>
      </c>
      <c r="BL1297" s="2">
        <v>7.3</v>
      </c>
      <c r="BM1297" s="2">
        <v>0.9</v>
      </c>
      <c r="BN1297" s="2">
        <v>7.5</v>
      </c>
      <c r="BO1297" s="2">
        <v>2.9</v>
      </c>
      <c r="BP1297" s="2">
        <f t="shared" si="40"/>
        <v>6.1043883862515278</v>
      </c>
      <c r="BQ1297" s="2">
        <f t="shared" si="41"/>
        <v>18.885557127481487</v>
      </c>
    </row>
    <row r="1298" spans="1:69" x14ac:dyDescent="0.2">
      <c r="A1298" s="2" t="s">
        <v>3660</v>
      </c>
      <c r="B1298" s="2" t="s">
        <v>47</v>
      </c>
      <c r="C1298" s="2" t="s">
        <v>3273</v>
      </c>
      <c r="D1298" s="2" t="s">
        <v>49</v>
      </c>
      <c r="E1298" s="2" t="s">
        <v>663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89</v>
      </c>
      <c r="L1298" s="6" t="s">
        <v>90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3661</v>
      </c>
      <c r="R1298" s="2">
        <v>15207131.619999999</v>
      </c>
      <c r="S1298" s="2">
        <v>0</v>
      </c>
      <c r="T1298" s="2" t="s">
        <v>54</v>
      </c>
      <c r="U1298" s="2" t="s">
        <v>55</v>
      </c>
      <c r="V1298" s="2" t="s">
        <v>56</v>
      </c>
      <c r="W1298" s="2" t="s">
        <v>57</v>
      </c>
      <c r="X1298" s="2" t="s">
        <v>58</v>
      </c>
      <c r="Y1298" s="2">
        <v>3.3652185922776701</v>
      </c>
      <c r="Z1298" s="2">
        <v>3365.2185922776698</v>
      </c>
      <c r="AA1298" s="2">
        <v>4.6584666666666701</v>
      </c>
      <c r="AB1298" s="2">
        <v>-74.083966666666697</v>
      </c>
      <c r="AC1298" s="2">
        <v>2552</v>
      </c>
      <c r="AD1298" s="2">
        <v>0</v>
      </c>
      <c r="AE1298" s="2" t="s">
        <v>59</v>
      </c>
      <c r="AF1298" s="2" t="s">
        <v>60</v>
      </c>
      <c r="AG1298" s="2" t="s">
        <v>61</v>
      </c>
      <c r="AH1298" s="2" t="s">
        <v>62</v>
      </c>
      <c r="AI1298" s="2" t="s">
        <v>321</v>
      </c>
      <c r="AJ1298" s="2">
        <v>0.30154588239758601</v>
      </c>
      <c r="AK1298" s="2">
        <v>2.44325086147348</v>
      </c>
      <c r="AL1298" s="2">
        <v>8.0864748451987906E-2</v>
      </c>
      <c r="AM1298" s="2">
        <v>2.4439631384472301E-2</v>
      </c>
      <c r="AN1298" s="2">
        <v>2.2680485409097901</v>
      </c>
      <c r="AO1298" s="2">
        <v>0.150107903773048</v>
      </c>
      <c r="AP1298" s="2">
        <v>0.150107903773048</v>
      </c>
      <c r="AQ1298" s="2">
        <v>2</v>
      </c>
      <c r="AR1298" s="2">
        <v>9</v>
      </c>
      <c r="AS1298" s="2">
        <v>0</v>
      </c>
      <c r="AT1298" s="2">
        <v>0</v>
      </c>
      <c r="AU1298" s="2">
        <v>1</v>
      </c>
      <c r="AV1298" s="2">
        <v>186</v>
      </c>
      <c r="AW1298" s="2">
        <v>0</v>
      </c>
      <c r="AX1298" s="2">
        <v>0</v>
      </c>
      <c r="AZ1298" s="2">
        <v>6.8</v>
      </c>
      <c r="BA1298" s="2">
        <v>19.899999999999999</v>
      </c>
      <c r="BB1298" s="2">
        <v>564</v>
      </c>
      <c r="BC1298" s="2">
        <v>68</v>
      </c>
      <c r="BD1298" s="2">
        <v>1.5</v>
      </c>
      <c r="BE1298" s="2">
        <v>135</v>
      </c>
      <c r="BF1298" s="2">
        <v>0.8</v>
      </c>
      <c r="BG1298" s="2">
        <v>162</v>
      </c>
      <c r="BH1298" s="2">
        <v>9.1</v>
      </c>
      <c r="BI1298" s="2">
        <v>9.1999999999999993</v>
      </c>
      <c r="BJ1298" s="2">
        <v>18.3</v>
      </c>
      <c r="BK1298" s="2">
        <v>0.34</v>
      </c>
      <c r="BL1298" s="2">
        <v>7.3</v>
      </c>
      <c r="BM1298" s="2">
        <v>0.9</v>
      </c>
      <c r="BN1298" s="2">
        <v>7.5</v>
      </c>
      <c r="BO1298" s="2">
        <v>2.9</v>
      </c>
      <c r="BP1298" s="2">
        <f t="shared" si="40"/>
        <v>5.7565842799949438</v>
      </c>
      <c r="BQ1298" s="2">
        <f t="shared" si="41"/>
        <v>18.355963085812654</v>
      </c>
    </row>
    <row r="1299" spans="1:69" x14ac:dyDescent="0.2">
      <c r="A1299" s="2" t="s">
        <v>4510</v>
      </c>
      <c r="B1299" s="2" t="s">
        <v>47</v>
      </c>
      <c r="C1299" s="2" t="s">
        <v>3273</v>
      </c>
      <c r="D1299" s="2" t="s">
        <v>49</v>
      </c>
      <c r="E1299" s="2" t="s">
        <v>111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89</v>
      </c>
      <c r="L1299" s="6" t="s">
        <v>90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4511</v>
      </c>
      <c r="R1299" s="2">
        <v>15000000</v>
      </c>
      <c r="S1299" s="2">
        <v>0</v>
      </c>
      <c r="T1299" s="2" t="s">
        <v>54</v>
      </c>
      <c r="U1299" s="2" t="s">
        <v>55</v>
      </c>
      <c r="V1299" s="2" t="s">
        <v>56</v>
      </c>
      <c r="W1299" s="2" t="s">
        <v>57</v>
      </c>
      <c r="X1299" s="2" t="s">
        <v>58</v>
      </c>
      <c r="Y1299" s="2">
        <v>4.1342427783508402</v>
      </c>
      <c r="Z1299" s="2">
        <v>4134.2427783508401</v>
      </c>
      <c r="AA1299" s="2">
        <v>4.6584666666666701</v>
      </c>
      <c r="AB1299" s="2">
        <v>-74.083966666666697</v>
      </c>
      <c r="AC1299" s="2">
        <v>2552</v>
      </c>
      <c r="AD1299" s="2">
        <v>0</v>
      </c>
      <c r="AE1299" s="2" t="s">
        <v>59</v>
      </c>
      <c r="AF1299" s="2" t="s">
        <v>60</v>
      </c>
      <c r="AG1299" s="2" t="s">
        <v>61</v>
      </c>
      <c r="AH1299" s="2" t="s">
        <v>62</v>
      </c>
      <c r="AI1299" s="2" t="s">
        <v>109</v>
      </c>
      <c r="AJ1299" s="2">
        <v>7.1390550429358393E-2</v>
      </c>
      <c r="AK1299" s="2">
        <v>2.2601193499990702</v>
      </c>
      <c r="AL1299" s="2">
        <v>0.50849635179195496</v>
      </c>
      <c r="AM1299" s="2">
        <v>1.3244134167873E-2</v>
      </c>
      <c r="AN1299" s="2">
        <v>2.9738769114805601</v>
      </c>
      <c r="AO1299" s="2">
        <v>0.136999234361524</v>
      </c>
      <c r="AP1299" s="2">
        <v>0.136999234361524</v>
      </c>
      <c r="AQ1299" s="2">
        <v>1</v>
      </c>
      <c r="AR1299" s="2">
        <v>6</v>
      </c>
      <c r="AS1299" s="2">
        <v>0</v>
      </c>
      <c r="AT1299" s="2">
        <v>0</v>
      </c>
      <c r="AU1299" s="2">
        <v>5</v>
      </c>
      <c r="AV1299" s="2">
        <v>235</v>
      </c>
      <c r="AW1299" s="2">
        <v>0</v>
      </c>
      <c r="AX1299" s="2">
        <v>0</v>
      </c>
      <c r="AZ1299" s="2">
        <v>6.8</v>
      </c>
      <c r="BA1299" s="2">
        <v>19.899999999999999</v>
      </c>
      <c r="BB1299" s="2">
        <v>564</v>
      </c>
      <c r="BC1299" s="2">
        <v>68</v>
      </c>
      <c r="BD1299" s="2">
        <v>1.5</v>
      </c>
      <c r="BE1299" s="2">
        <v>135</v>
      </c>
      <c r="BF1299" s="2">
        <v>0.8</v>
      </c>
      <c r="BG1299" s="2">
        <v>162</v>
      </c>
      <c r="BH1299" s="2">
        <v>9.1</v>
      </c>
      <c r="BI1299" s="2">
        <v>9.1999999999999993</v>
      </c>
      <c r="BJ1299" s="2">
        <v>18.3</v>
      </c>
      <c r="BK1299" s="2">
        <v>0.34</v>
      </c>
      <c r="BL1299" s="2">
        <v>7.3</v>
      </c>
      <c r="BM1299" s="2">
        <v>0.9</v>
      </c>
      <c r="BN1299" s="2">
        <v>7.5</v>
      </c>
      <c r="BO1299" s="2">
        <v>2.9</v>
      </c>
      <c r="BP1299" s="2">
        <f t="shared" si="40"/>
        <v>5.5415685621902542</v>
      </c>
      <c r="BQ1299" s="2">
        <f t="shared" si="41"/>
        <v>18.020282066921993</v>
      </c>
    </row>
    <row r="1300" spans="1:69" x14ac:dyDescent="0.2">
      <c r="A1300" s="2" t="s">
        <v>4319</v>
      </c>
      <c r="B1300" s="2" t="s">
        <v>47</v>
      </c>
      <c r="C1300" s="2" t="s">
        <v>3273</v>
      </c>
      <c r="D1300" s="2" t="s">
        <v>49</v>
      </c>
      <c r="E1300" s="2" t="s">
        <v>1465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89</v>
      </c>
      <c r="L1300" s="6" t="s">
        <v>90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4320</v>
      </c>
      <c r="R1300" s="2">
        <v>13157894.74</v>
      </c>
      <c r="S1300" s="2">
        <v>0</v>
      </c>
      <c r="T1300" s="2" t="s">
        <v>54</v>
      </c>
      <c r="U1300" s="2" t="s">
        <v>55</v>
      </c>
      <c r="V1300" s="2" t="s">
        <v>56</v>
      </c>
      <c r="W1300" s="2" t="s">
        <v>57</v>
      </c>
      <c r="X1300" s="2" t="s">
        <v>58</v>
      </c>
      <c r="Y1300" s="2">
        <v>4.1265967514521096</v>
      </c>
      <c r="Z1300" s="2">
        <v>4126.5967514521099</v>
      </c>
      <c r="AA1300" s="2">
        <v>4.6584666666666701</v>
      </c>
      <c r="AB1300" s="2">
        <v>-74.083966666666697</v>
      </c>
      <c r="AC1300" s="2">
        <v>2552</v>
      </c>
      <c r="AD1300" s="2">
        <v>0</v>
      </c>
      <c r="AE1300" s="2" t="s">
        <v>59</v>
      </c>
      <c r="AF1300" s="2" t="s">
        <v>60</v>
      </c>
      <c r="AG1300" s="2" t="s">
        <v>61</v>
      </c>
      <c r="AH1300" s="2" t="s">
        <v>62</v>
      </c>
      <c r="AI1300" s="2" t="s">
        <v>109</v>
      </c>
      <c r="AJ1300" s="2">
        <v>6.3565125963518695E-2</v>
      </c>
      <c r="AK1300" s="2">
        <v>2.2639362009750901</v>
      </c>
      <c r="AL1300" s="2">
        <v>0.51619810408508804</v>
      </c>
      <c r="AM1300" s="2">
        <v>1.8456129419446202E-2</v>
      </c>
      <c r="AN1300" s="2">
        <v>2.9661004283073402</v>
      </c>
      <c r="AO1300" s="2">
        <v>0.12915547237709499</v>
      </c>
      <c r="AP1300" s="2">
        <v>0.12915547237709499</v>
      </c>
      <c r="AQ1300" s="2">
        <v>1</v>
      </c>
      <c r="AR1300" s="2">
        <v>6</v>
      </c>
      <c r="AS1300" s="2">
        <v>0</v>
      </c>
      <c r="AT1300" s="2">
        <v>0</v>
      </c>
      <c r="AU1300" s="2">
        <v>5</v>
      </c>
      <c r="AV1300" s="2">
        <v>235</v>
      </c>
      <c r="AW1300" s="2">
        <v>0</v>
      </c>
      <c r="AX1300" s="2">
        <v>0</v>
      </c>
      <c r="AZ1300" s="2">
        <v>6.8</v>
      </c>
      <c r="BA1300" s="2">
        <v>19.899999999999999</v>
      </c>
      <c r="BB1300" s="2">
        <v>564</v>
      </c>
      <c r="BC1300" s="2">
        <v>68</v>
      </c>
      <c r="BD1300" s="2">
        <v>1.5</v>
      </c>
      <c r="BE1300" s="2">
        <v>135</v>
      </c>
      <c r="BF1300" s="2">
        <v>0.8</v>
      </c>
      <c r="BG1300" s="2">
        <v>162</v>
      </c>
      <c r="BH1300" s="2">
        <v>9.1</v>
      </c>
      <c r="BI1300" s="2">
        <v>9.1999999999999993</v>
      </c>
      <c r="BJ1300" s="2">
        <v>18.3</v>
      </c>
      <c r="BK1300" s="2">
        <v>0.34</v>
      </c>
      <c r="BL1300" s="2">
        <v>7.3</v>
      </c>
      <c r="BM1300" s="2">
        <v>0.9</v>
      </c>
      <c r="BN1300" s="2">
        <v>7.5</v>
      </c>
      <c r="BO1300" s="2">
        <v>2.9</v>
      </c>
      <c r="BP1300" s="2">
        <f t="shared" si="40"/>
        <v>5.5436663227669145</v>
      </c>
      <c r="BQ1300" s="2">
        <f t="shared" si="41"/>
        <v>18.023589175821389</v>
      </c>
    </row>
    <row r="1301" spans="1:69" x14ac:dyDescent="0.2">
      <c r="A1301" s="2" t="s">
        <v>3493</v>
      </c>
      <c r="B1301" s="2" t="s">
        <v>47</v>
      </c>
      <c r="C1301" s="2" t="s">
        <v>3273</v>
      </c>
      <c r="D1301" s="2" t="s">
        <v>49</v>
      </c>
      <c r="E1301" s="2" t="s">
        <v>663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89</v>
      </c>
      <c r="L1301" s="6" t="s">
        <v>90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3494</v>
      </c>
      <c r="R1301" s="2">
        <v>11052631.58</v>
      </c>
      <c r="S1301" s="2">
        <v>0</v>
      </c>
      <c r="T1301" s="2" t="s">
        <v>54</v>
      </c>
      <c r="U1301" s="2" t="s">
        <v>55</v>
      </c>
      <c r="V1301" s="2" t="s">
        <v>56</v>
      </c>
      <c r="W1301" s="2" t="s">
        <v>57</v>
      </c>
      <c r="X1301" s="2" t="s">
        <v>58</v>
      </c>
      <c r="Y1301" s="2">
        <v>3.36912116224907</v>
      </c>
      <c r="Z1301" s="2">
        <v>3369.12116224907</v>
      </c>
      <c r="AA1301" s="2">
        <v>4.6584666666666701</v>
      </c>
      <c r="AB1301" s="2">
        <v>-74.083966666666697</v>
      </c>
      <c r="AC1301" s="2">
        <v>2552</v>
      </c>
      <c r="AD1301" s="2">
        <v>0</v>
      </c>
      <c r="AE1301" s="2" t="s">
        <v>59</v>
      </c>
      <c r="AF1301" s="2" t="s">
        <v>60</v>
      </c>
      <c r="AG1301" s="2" t="s">
        <v>61</v>
      </c>
      <c r="AH1301" s="2" t="s">
        <v>62</v>
      </c>
      <c r="AI1301" s="2" t="s">
        <v>321</v>
      </c>
      <c r="AJ1301" s="2">
        <v>0.159508653436576</v>
      </c>
      <c r="AK1301" s="2">
        <v>2.62908769335982</v>
      </c>
      <c r="AL1301" s="2">
        <v>0.27130691102620003</v>
      </c>
      <c r="AM1301" s="2">
        <v>7.9116797465294306E-2</v>
      </c>
      <c r="AN1301" s="2">
        <v>2.1825826732566398</v>
      </c>
      <c r="AO1301" s="2">
        <v>3.8544174977960699E-2</v>
      </c>
      <c r="AP1301" s="2">
        <v>3.8544174977960699E-2</v>
      </c>
      <c r="AQ1301" s="2">
        <v>2</v>
      </c>
      <c r="AR1301" s="2">
        <v>8</v>
      </c>
      <c r="AS1301" s="2">
        <v>0</v>
      </c>
      <c r="AT1301" s="2">
        <v>0</v>
      </c>
      <c r="AU1301" s="2">
        <v>1</v>
      </c>
      <c r="AV1301" s="2">
        <v>166</v>
      </c>
      <c r="AW1301" s="2">
        <v>0</v>
      </c>
      <c r="AX1301" s="2">
        <v>0</v>
      </c>
      <c r="AZ1301" s="2">
        <v>6.8</v>
      </c>
      <c r="BA1301" s="2">
        <v>19.899999999999999</v>
      </c>
      <c r="BB1301" s="2">
        <v>564</v>
      </c>
      <c r="BC1301" s="2">
        <v>68</v>
      </c>
      <c r="BD1301" s="2">
        <v>1.5</v>
      </c>
      <c r="BE1301" s="2">
        <v>135</v>
      </c>
      <c r="BF1301" s="2">
        <v>0.8</v>
      </c>
      <c r="BG1301" s="2">
        <v>162</v>
      </c>
      <c r="BH1301" s="2">
        <v>9.1</v>
      </c>
      <c r="BI1301" s="2">
        <v>9.1999999999999993</v>
      </c>
      <c r="BJ1301" s="2">
        <v>18.3</v>
      </c>
      <c r="BK1301" s="2">
        <v>0.34</v>
      </c>
      <c r="BL1301" s="2">
        <v>7.3</v>
      </c>
      <c r="BM1301" s="2">
        <v>0.9</v>
      </c>
      <c r="BN1301" s="2">
        <v>7.5</v>
      </c>
      <c r="BO1301" s="2">
        <v>2.9</v>
      </c>
      <c r="BP1301" s="2">
        <f t="shared" si="40"/>
        <v>5.7554723464875375</v>
      </c>
      <c r="BQ1301" s="2">
        <f t="shared" si="41"/>
        <v>18.354243915996044</v>
      </c>
    </row>
    <row r="1302" spans="1:69" x14ac:dyDescent="0.2">
      <c r="A1302" s="2" t="s">
        <v>3484</v>
      </c>
      <c r="B1302" s="2" t="s">
        <v>47</v>
      </c>
      <c r="C1302" s="2" t="s">
        <v>3273</v>
      </c>
      <c r="D1302" s="2" t="s">
        <v>49</v>
      </c>
      <c r="E1302" s="2" t="s">
        <v>663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89</v>
      </c>
      <c r="L1302" s="6" t="s">
        <v>90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3485</v>
      </c>
      <c r="R1302" s="2">
        <v>11052631.58</v>
      </c>
      <c r="S1302" s="2">
        <v>0</v>
      </c>
      <c r="T1302" s="2" t="s">
        <v>54</v>
      </c>
      <c r="U1302" s="2" t="s">
        <v>55</v>
      </c>
      <c r="V1302" s="2" t="s">
        <v>56</v>
      </c>
      <c r="W1302" s="2" t="s">
        <v>57</v>
      </c>
      <c r="X1302" s="2" t="s">
        <v>58</v>
      </c>
      <c r="Y1302" s="2">
        <v>3.3656390548137902</v>
      </c>
      <c r="Z1302" s="2">
        <v>3365.6390548137902</v>
      </c>
      <c r="AA1302" s="2">
        <v>4.6584666666666701</v>
      </c>
      <c r="AB1302" s="2">
        <v>-74.083966666666697</v>
      </c>
      <c r="AC1302" s="2">
        <v>2552</v>
      </c>
      <c r="AD1302" s="2">
        <v>0</v>
      </c>
      <c r="AE1302" s="2" t="s">
        <v>59</v>
      </c>
      <c r="AF1302" s="2" t="s">
        <v>60</v>
      </c>
      <c r="AG1302" s="2" t="s">
        <v>61</v>
      </c>
      <c r="AH1302" s="2" t="s">
        <v>62</v>
      </c>
      <c r="AI1302" s="2" t="s">
        <v>321</v>
      </c>
      <c r="AJ1302" s="2">
        <v>0.15090324549935999</v>
      </c>
      <c r="AK1302" s="2">
        <v>2.6409175171358101</v>
      </c>
      <c r="AL1302" s="2">
        <v>0.28275190412778201</v>
      </c>
      <c r="AM1302" s="2">
        <v>7.7127947246968406E-2</v>
      </c>
      <c r="AN1302" s="2">
        <v>2.17432450768829</v>
      </c>
      <c r="AO1302" s="2">
        <v>3.5333119265407699E-2</v>
      </c>
      <c r="AP1302" s="2">
        <v>3.5333119265407699E-2</v>
      </c>
      <c r="AQ1302" s="2">
        <v>2</v>
      </c>
      <c r="AR1302" s="2">
        <v>8</v>
      </c>
      <c r="AS1302" s="2">
        <v>0</v>
      </c>
      <c r="AT1302" s="2">
        <v>0</v>
      </c>
      <c r="AU1302" s="2">
        <v>1</v>
      </c>
      <c r="AV1302" s="2">
        <v>167</v>
      </c>
      <c r="AW1302" s="2">
        <v>0</v>
      </c>
      <c r="AX1302" s="2">
        <v>0</v>
      </c>
      <c r="AZ1302" s="2">
        <v>6.8</v>
      </c>
      <c r="BA1302" s="2">
        <v>19.899999999999999</v>
      </c>
      <c r="BB1302" s="2">
        <v>564</v>
      </c>
      <c r="BC1302" s="2">
        <v>68</v>
      </c>
      <c r="BD1302" s="2">
        <v>1.5</v>
      </c>
      <c r="BE1302" s="2">
        <v>135</v>
      </c>
      <c r="BF1302" s="2">
        <v>0.8</v>
      </c>
      <c r="BG1302" s="2">
        <v>162</v>
      </c>
      <c r="BH1302" s="2">
        <v>9.1</v>
      </c>
      <c r="BI1302" s="2">
        <v>9.1999999999999993</v>
      </c>
      <c r="BJ1302" s="2">
        <v>18.3</v>
      </c>
      <c r="BK1302" s="2">
        <v>0.34</v>
      </c>
      <c r="BL1302" s="2">
        <v>7.3</v>
      </c>
      <c r="BM1302" s="2">
        <v>0.9</v>
      </c>
      <c r="BN1302" s="2">
        <v>7.5</v>
      </c>
      <c r="BO1302" s="2">
        <v>2.9</v>
      </c>
      <c r="BP1302" s="2">
        <f t="shared" si="40"/>
        <v>5.7564644700544694</v>
      </c>
      <c r="BQ1302" s="2">
        <f t="shared" si="41"/>
        <v>18.35577785487224</v>
      </c>
    </row>
    <row r="1303" spans="1:69" x14ac:dyDescent="0.2">
      <c r="A1303" s="2" t="s">
        <v>3996</v>
      </c>
      <c r="B1303" s="2" t="s">
        <v>47</v>
      </c>
      <c r="C1303" s="2" t="s">
        <v>3273</v>
      </c>
      <c r="D1303" s="2" t="s">
        <v>49</v>
      </c>
      <c r="E1303" s="2" t="s">
        <v>3902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89</v>
      </c>
      <c r="L1303" s="6" t="s">
        <v>90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3997</v>
      </c>
      <c r="R1303" s="2">
        <v>9736842.1050000004</v>
      </c>
      <c r="S1303" s="2">
        <v>0</v>
      </c>
      <c r="T1303" s="2" t="s">
        <v>105</v>
      </c>
      <c r="U1303" s="2" t="s">
        <v>106</v>
      </c>
      <c r="V1303" s="2" t="s">
        <v>56</v>
      </c>
      <c r="W1303" s="2" t="s">
        <v>107</v>
      </c>
      <c r="X1303" s="2" t="s">
        <v>108</v>
      </c>
      <c r="Y1303" s="2">
        <v>2.3533875422271602</v>
      </c>
      <c r="Z1303" s="2">
        <v>2353.3875422271599</v>
      </c>
      <c r="AA1303" s="2">
        <v>4.6254861111111101</v>
      </c>
      <c r="AB1303" s="2">
        <v>-74.066980555555503</v>
      </c>
      <c r="AC1303" s="2">
        <v>2621</v>
      </c>
      <c r="AD1303" s="2">
        <v>15</v>
      </c>
      <c r="AE1303" s="2" t="s">
        <v>59</v>
      </c>
      <c r="AF1303" s="2" t="s">
        <v>60</v>
      </c>
      <c r="AG1303" s="2" t="s">
        <v>61</v>
      </c>
      <c r="AH1303" s="2" t="s">
        <v>62</v>
      </c>
      <c r="AI1303" s="2" t="s">
        <v>287</v>
      </c>
      <c r="AJ1303" s="2">
        <v>0.45944140595864802</v>
      </c>
      <c r="AK1303" s="2">
        <v>2.0882793383665699</v>
      </c>
      <c r="AL1303" s="2">
        <v>0.71345744375067599</v>
      </c>
      <c r="AM1303" s="2">
        <v>0.41694945040836001</v>
      </c>
      <c r="AN1303" s="2">
        <v>0.67905336924792803</v>
      </c>
      <c r="AO1303" s="2">
        <v>0.18173417389588201</v>
      </c>
      <c r="AP1303" s="2">
        <v>0.18173417389588201</v>
      </c>
      <c r="AQ1303" s="2">
        <v>1</v>
      </c>
      <c r="AR1303" s="2">
        <v>6</v>
      </c>
      <c r="AS1303" s="2">
        <v>0</v>
      </c>
      <c r="AT1303" s="2">
        <v>0</v>
      </c>
      <c r="AU1303" s="2">
        <v>1</v>
      </c>
      <c r="AV1303" s="2">
        <v>20</v>
      </c>
      <c r="AW1303" s="2">
        <v>1</v>
      </c>
      <c r="AX1303" s="2">
        <v>1</v>
      </c>
      <c r="AZ1303" s="2">
        <v>6.8</v>
      </c>
      <c r="BA1303" s="2">
        <v>19.899999999999999</v>
      </c>
      <c r="BB1303" s="2">
        <v>564</v>
      </c>
      <c r="BC1303" s="2">
        <v>68</v>
      </c>
      <c r="BD1303" s="2">
        <v>1.5</v>
      </c>
      <c r="BE1303" s="2">
        <v>135</v>
      </c>
      <c r="BF1303" s="2">
        <v>0.8</v>
      </c>
      <c r="BG1303" s="2">
        <v>162</v>
      </c>
      <c r="BH1303" s="2">
        <v>9.1</v>
      </c>
      <c r="BI1303" s="2">
        <v>9.1999999999999993</v>
      </c>
      <c r="BJ1303" s="2">
        <v>18.3</v>
      </c>
      <c r="BK1303" s="2">
        <v>0.34</v>
      </c>
      <c r="BL1303" s="2">
        <v>7.3</v>
      </c>
      <c r="BM1303" s="2">
        <v>0.9</v>
      </c>
      <c r="BN1303" s="2">
        <v>7.5</v>
      </c>
      <c r="BO1303" s="2">
        <v>2.9</v>
      </c>
      <c r="BP1303" s="2">
        <f t="shared" si="40"/>
        <v>6.0522489415256695</v>
      </c>
      <c r="BQ1303" s="2">
        <f t="shared" si="41"/>
        <v>18.807174713272428</v>
      </c>
    </row>
    <row r="1304" spans="1:69" x14ac:dyDescent="0.2">
      <c r="A1304" s="2" t="s">
        <v>4468</v>
      </c>
      <c r="B1304" s="2" t="s">
        <v>47</v>
      </c>
      <c r="C1304" s="2" t="s">
        <v>3273</v>
      </c>
      <c r="D1304" s="2" t="s">
        <v>49</v>
      </c>
      <c r="E1304" s="2" t="s">
        <v>3777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89</v>
      </c>
      <c r="L1304" s="6" t="s">
        <v>90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4469</v>
      </c>
      <c r="R1304" s="2">
        <v>11702127.66</v>
      </c>
      <c r="S1304" s="2">
        <v>0</v>
      </c>
      <c r="T1304" s="2" t="s">
        <v>54</v>
      </c>
      <c r="U1304" s="2" t="s">
        <v>55</v>
      </c>
      <c r="V1304" s="2" t="s">
        <v>56</v>
      </c>
      <c r="W1304" s="2" t="s">
        <v>57</v>
      </c>
      <c r="X1304" s="2" t="s">
        <v>58</v>
      </c>
      <c r="Y1304" s="2">
        <v>2.0093983901241699</v>
      </c>
      <c r="Z1304" s="2">
        <v>2009.39839012417</v>
      </c>
      <c r="AA1304" s="2">
        <v>4.6584666666666701</v>
      </c>
      <c r="AB1304" s="2">
        <v>-74.083966666666697</v>
      </c>
      <c r="AC1304" s="2">
        <v>2552</v>
      </c>
      <c r="AD1304" s="2">
        <v>0</v>
      </c>
      <c r="AE1304" s="2" t="s">
        <v>59</v>
      </c>
      <c r="AF1304" s="2" t="s">
        <v>60</v>
      </c>
      <c r="AG1304" s="2" t="s">
        <v>61</v>
      </c>
      <c r="AH1304" s="2" t="s">
        <v>62</v>
      </c>
      <c r="AI1304" s="2" t="s">
        <v>63</v>
      </c>
      <c r="AJ1304" s="2">
        <v>0.450298814231401</v>
      </c>
      <c r="AK1304" s="2">
        <v>2.1962033788358699</v>
      </c>
      <c r="AL1304" s="2">
        <v>0.54873481527185397</v>
      </c>
      <c r="AM1304" s="2">
        <v>0.20740653109515</v>
      </c>
      <c r="AN1304" s="2">
        <v>1.9966614595718799</v>
      </c>
      <c r="AO1304" s="2">
        <v>0.75363206920742698</v>
      </c>
      <c r="AP1304" s="2">
        <v>0.75363206920742698</v>
      </c>
      <c r="AQ1304" s="2">
        <v>2</v>
      </c>
      <c r="AR1304" s="2">
        <v>3</v>
      </c>
      <c r="AS1304" s="2">
        <v>0</v>
      </c>
      <c r="AT1304" s="2">
        <v>0</v>
      </c>
      <c r="AU1304" s="2">
        <v>4</v>
      </c>
      <c r="AV1304" s="2">
        <v>83</v>
      </c>
      <c r="AW1304" s="2">
        <v>0</v>
      </c>
      <c r="AX1304" s="2">
        <v>0</v>
      </c>
      <c r="AZ1304" s="2">
        <v>6.8</v>
      </c>
      <c r="BA1304" s="2">
        <v>19.899999999999999</v>
      </c>
      <c r="BB1304" s="2">
        <v>564</v>
      </c>
      <c r="BC1304" s="2">
        <v>68</v>
      </c>
      <c r="BD1304" s="2">
        <v>1.5</v>
      </c>
      <c r="BE1304" s="2">
        <v>135</v>
      </c>
      <c r="BF1304" s="2">
        <v>0.8</v>
      </c>
      <c r="BG1304" s="2">
        <v>162</v>
      </c>
      <c r="BH1304" s="2">
        <v>9.1</v>
      </c>
      <c r="BI1304" s="2">
        <v>9.1999999999999993</v>
      </c>
      <c r="BJ1304" s="2">
        <v>18.3</v>
      </c>
      <c r="BK1304" s="2">
        <v>0.34</v>
      </c>
      <c r="BL1304" s="2">
        <v>7.3</v>
      </c>
      <c r="BM1304" s="2">
        <v>0.9</v>
      </c>
      <c r="BN1304" s="2">
        <v>7.5</v>
      </c>
      <c r="BO1304" s="2">
        <v>2.9</v>
      </c>
      <c r="BP1304" s="2">
        <f t="shared" si="40"/>
        <v>6.1561857656080061</v>
      </c>
      <c r="BQ1304" s="2">
        <f t="shared" si="41"/>
        <v>18.963084541209419</v>
      </c>
    </row>
    <row r="1305" spans="1:69" x14ac:dyDescent="0.2">
      <c r="A1305" s="2" t="s">
        <v>4274</v>
      </c>
      <c r="B1305" s="2" t="s">
        <v>47</v>
      </c>
      <c r="C1305" s="2" t="s">
        <v>3273</v>
      </c>
      <c r="D1305" s="2" t="s">
        <v>49</v>
      </c>
      <c r="E1305" s="2" t="s">
        <v>1625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89</v>
      </c>
      <c r="L1305" s="6" t="s">
        <v>90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4275</v>
      </c>
      <c r="R1305" s="2">
        <v>14161220.039999999</v>
      </c>
      <c r="S1305" s="2">
        <v>0</v>
      </c>
      <c r="T1305" s="2" t="s">
        <v>105</v>
      </c>
      <c r="U1305" s="2" t="s">
        <v>106</v>
      </c>
      <c r="V1305" s="2" t="s">
        <v>56</v>
      </c>
      <c r="W1305" s="2" t="s">
        <v>107</v>
      </c>
      <c r="X1305" s="2" t="s">
        <v>108</v>
      </c>
      <c r="Y1305" s="2">
        <v>0.61197084813372904</v>
      </c>
      <c r="Z1305" s="2">
        <v>611.97084813372896</v>
      </c>
      <c r="AA1305" s="2">
        <v>4.6254861111111101</v>
      </c>
      <c r="AB1305" s="2">
        <v>-74.066980555555503</v>
      </c>
      <c r="AC1305" s="2">
        <v>2621</v>
      </c>
      <c r="AD1305" s="2">
        <v>15</v>
      </c>
      <c r="AE1305" s="2" t="s">
        <v>59</v>
      </c>
      <c r="AF1305" s="2" t="s">
        <v>60</v>
      </c>
      <c r="AG1305" s="2" t="s">
        <v>61</v>
      </c>
      <c r="AH1305" s="2" t="s">
        <v>62</v>
      </c>
      <c r="AI1305" s="2" t="s">
        <v>117</v>
      </c>
      <c r="AJ1305" s="2">
        <v>8.7974262755785904E-2</v>
      </c>
      <c r="AK1305" s="2">
        <v>0.90960420774957196</v>
      </c>
      <c r="AL1305" s="2">
        <v>0.29365371323456002</v>
      </c>
      <c r="AM1305" s="2">
        <v>5.9438789586333897E-2</v>
      </c>
      <c r="AN1305" s="2">
        <v>0.72085786033156496</v>
      </c>
      <c r="AO1305" s="2">
        <v>6.24547781244238E-2</v>
      </c>
      <c r="AP1305" s="2">
        <v>6.24547781244238E-2</v>
      </c>
      <c r="AQ1305" s="2">
        <v>1</v>
      </c>
      <c r="AR1305" s="2">
        <v>6</v>
      </c>
      <c r="AS1305" s="2">
        <v>0</v>
      </c>
      <c r="AT1305" s="2">
        <v>3</v>
      </c>
      <c r="AU1305" s="2">
        <v>17</v>
      </c>
      <c r="AV1305" s="2">
        <v>92</v>
      </c>
      <c r="AW1305" s="2">
        <v>2</v>
      </c>
      <c r="AX1305" s="2">
        <v>1</v>
      </c>
      <c r="AZ1305" s="2">
        <v>6.8</v>
      </c>
      <c r="BA1305" s="2">
        <v>19.899999999999999</v>
      </c>
      <c r="BB1305" s="2">
        <v>564</v>
      </c>
      <c r="BC1305" s="2">
        <v>68</v>
      </c>
      <c r="BD1305" s="2">
        <v>1.5</v>
      </c>
      <c r="BE1305" s="2">
        <v>135</v>
      </c>
      <c r="BF1305" s="2">
        <v>0.8</v>
      </c>
      <c r="BG1305" s="2">
        <v>162</v>
      </c>
      <c r="BH1305" s="2">
        <v>9.1</v>
      </c>
      <c r="BI1305" s="2">
        <v>9.1999999999999993</v>
      </c>
      <c r="BJ1305" s="2">
        <v>18.3</v>
      </c>
      <c r="BK1305" s="2">
        <v>0.34</v>
      </c>
      <c r="BL1305" s="2">
        <v>7.3</v>
      </c>
      <c r="BM1305" s="2">
        <v>0.9</v>
      </c>
      <c r="BN1305" s="2">
        <v>7.5</v>
      </c>
      <c r="BO1305" s="2">
        <v>2.9</v>
      </c>
      <c r="BP1305" s="2">
        <f t="shared" si="40"/>
        <v>6.5970993183102085</v>
      </c>
      <c r="BQ1305" s="2">
        <f t="shared" si="41"/>
        <v>19.60985863529406</v>
      </c>
    </row>
    <row r="1306" spans="1:69" x14ac:dyDescent="0.2">
      <c r="A1306" s="2" t="s">
        <v>3963</v>
      </c>
      <c r="B1306" s="2" t="s">
        <v>47</v>
      </c>
      <c r="C1306" s="2" t="s">
        <v>3273</v>
      </c>
      <c r="D1306" s="2" t="s">
        <v>49</v>
      </c>
      <c r="E1306" s="2" t="s">
        <v>2500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89</v>
      </c>
      <c r="L1306" s="6" t="s">
        <v>90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3964</v>
      </c>
      <c r="R1306" s="2">
        <v>38882803.939999998</v>
      </c>
      <c r="S1306" s="2">
        <v>0</v>
      </c>
      <c r="T1306" s="2" t="s">
        <v>54</v>
      </c>
      <c r="U1306" s="2" t="s">
        <v>55</v>
      </c>
      <c r="V1306" s="2" t="s">
        <v>56</v>
      </c>
      <c r="W1306" s="2" t="s">
        <v>57</v>
      </c>
      <c r="X1306" s="2" t="s">
        <v>58</v>
      </c>
      <c r="Y1306" s="2">
        <v>2.5467879479722999</v>
      </c>
      <c r="Z1306" s="2">
        <v>2546.7879479723001</v>
      </c>
      <c r="AA1306" s="2">
        <v>4.6584666666666701</v>
      </c>
      <c r="AB1306" s="2">
        <v>-74.083966666666697</v>
      </c>
      <c r="AC1306" s="2">
        <v>2552</v>
      </c>
      <c r="AD1306" s="2">
        <v>0</v>
      </c>
      <c r="AE1306" s="2" t="s">
        <v>59</v>
      </c>
      <c r="AF1306" s="2" t="s">
        <v>60</v>
      </c>
      <c r="AG1306" s="2" t="s">
        <v>61</v>
      </c>
      <c r="AH1306" s="2" t="s">
        <v>62</v>
      </c>
      <c r="AI1306" s="2" t="s">
        <v>321</v>
      </c>
      <c r="AJ1306" s="2">
        <v>0.136890712308541</v>
      </c>
      <c r="AK1306" s="2">
        <v>2.3076183359975002</v>
      </c>
      <c r="AL1306" s="2">
        <v>0.80888925508398402</v>
      </c>
      <c r="AM1306" s="2">
        <v>0.12815544697217901</v>
      </c>
      <c r="AN1306" s="2">
        <v>1.89867080334959</v>
      </c>
      <c r="AO1306" s="2">
        <v>4.7779363435587897E-2</v>
      </c>
      <c r="AP1306" s="2">
        <v>4.7779363435587897E-2</v>
      </c>
      <c r="AQ1306" s="2">
        <v>2</v>
      </c>
      <c r="AR1306" s="2">
        <v>9</v>
      </c>
      <c r="AS1306" s="2">
        <v>0</v>
      </c>
      <c r="AT1306" s="2">
        <v>0</v>
      </c>
      <c r="AU1306" s="2">
        <v>4</v>
      </c>
      <c r="AV1306" s="2">
        <v>230</v>
      </c>
      <c r="AW1306" s="2">
        <v>0</v>
      </c>
      <c r="AX1306" s="2">
        <v>0</v>
      </c>
      <c r="AZ1306" s="2">
        <v>6.8</v>
      </c>
      <c r="BA1306" s="2">
        <v>19.899999999999999</v>
      </c>
      <c r="BB1306" s="2">
        <v>564</v>
      </c>
      <c r="BC1306" s="2">
        <v>68</v>
      </c>
      <c r="BD1306" s="2">
        <v>1.5</v>
      </c>
      <c r="BE1306" s="2">
        <v>135</v>
      </c>
      <c r="BF1306" s="2">
        <v>0.8</v>
      </c>
      <c r="BG1306" s="2">
        <v>162</v>
      </c>
      <c r="BH1306" s="2">
        <v>9.1</v>
      </c>
      <c r="BI1306" s="2">
        <v>9.1999999999999993</v>
      </c>
      <c r="BJ1306" s="2">
        <v>18.3</v>
      </c>
      <c r="BK1306" s="2">
        <v>0.34</v>
      </c>
      <c r="BL1306" s="2">
        <v>7.3</v>
      </c>
      <c r="BM1306" s="2">
        <v>0.9</v>
      </c>
      <c r="BN1306" s="2">
        <v>7.5</v>
      </c>
      <c r="BO1306" s="2">
        <v>2.9</v>
      </c>
      <c r="BP1306" s="2">
        <f t="shared" si="40"/>
        <v>5.9945852819115446</v>
      </c>
      <c r="BQ1306" s="2">
        <f t="shared" si="41"/>
        <v>18.720081430860446</v>
      </c>
    </row>
    <row r="1307" spans="1:69" x14ac:dyDescent="0.2">
      <c r="A1307" s="2" t="s">
        <v>3945</v>
      </c>
      <c r="B1307" s="2" t="s">
        <v>47</v>
      </c>
      <c r="C1307" s="2" t="s">
        <v>3273</v>
      </c>
      <c r="D1307" s="2" t="s">
        <v>49</v>
      </c>
      <c r="E1307" s="2" t="s">
        <v>208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89</v>
      </c>
      <c r="L1307" s="6" t="s">
        <v>90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3946</v>
      </c>
      <c r="R1307" s="2">
        <v>16666666.67</v>
      </c>
      <c r="S1307" s="2">
        <v>0</v>
      </c>
      <c r="T1307" s="2" t="s">
        <v>54</v>
      </c>
      <c r="U1307" s="2" t="s">
        <v>55</v>
      </c>
      <c r="V1307" s="2" t="s">
        <v>56</v>
      </c>
      <c r="W1307" s="2" t="s">
        <v>57</v>
      </c>
      <c r="X1307" s="2" t="s">
        <v>58</v>
      </c>
      <c r="Y1307" s="2">
        <v>4.17800380783207</v>
      </c>
      <c r="Z1307" s="2">
        <v>4178.0038078320704</v>
      </c>
      <c r="AA1307" s="2">
        <v>4.6584666666666701</v>
      </c>
      <c r="AB1307" s="2">
        <v>-74.083966666666697</v>
      </c>
      <c r="AC1307" s="2">
        <v>2552</v>
      </c>
      <c r="AD1307" s="2">
        <v>0</v>
      </c>
      <c r="AE1307" s="2" t="s">
        <v>59</v>
      </c>
      <c r="AF1307" s="2" t="s">
        <v>60</v>
      </c>
      <c r="AG1307" s="2" t="s">
        <v>61</v>
      </c>
      <c r="AH1307" s="2" t="s">
        <v>62</v>
      </c>
      <c r="AI1307" s="2" t="s">
        <v>109</v>
      </c>
      <c r="AJ1307" s="2">
        <v>0.69333475171088099</v>
      </c>
      <c r="AK1307" s="2">
        <v>1.6274071651873101</v>
      </c>
      <c r="AL1307" s="2">
        <v>0.656276914186674</v>
      </c>
      <c r="AM1307" s="2">
        <v>3.7979268129725997E-2</v>
      </c>
      <c r="AN1307" s="2">
        <v>3.2683318130843699</v>
      </c>
      <c r="AO1307" s="2">
        <v>0.64471973563544205</v>
      </c>
      <c r="AP1307" s="2">
        <v>0.64471973563544205</v>
      </c>
      <c r="AQ1307" s="2">
        <v>0</v>
      </c>
      <c r="AR1307" s="2">
        <v>2</v>
      </c>
      <c r="AS1307" s="2">
        <v>0</v>
      </c>
      <c r="AT1307" s="2">
        <v>0</v>
      </c>
      <c r="AU1307" s="2">
        <v>5</v>
      </c>
      <c r="AV1307" s="2">
        <v>221</v>
      </c>
      <c r="AW1307" s="2">
        <v>0</v>
      </c>
      <c r="AX1307" s="2">
        <v>0</v>
      </c>
      <c r="AZ1307" s="2">
        <v>6.8</v>
      </c>
      <c r="BA1307" s="2">
        <v>19.899999999999999</v>
      </c>
      <c r="BB1307" s="2">
        <v>564</v>
      </c>
      <c r="BC1307" s="2">
        <v>68</v>
      </c>
      <c r="BD1307" s="2">
        <v>1.5</v>
      </c>
      <c r="BE1307" s="2">
        <v>135</v>
      </c>
      <c r="BF1307" s="2">
        <v>0.8</v>
      </c>
      <c r="BG1307" s="2">
        <v>162</v>
      </c>
      <c r="BH1307" s="2">
        <v>9.1</v>
      </c>
      <c r="BI1307" s="2">
        <v>9.1999999999999993</v>
      </c>
      <c r="BJ1307" s="2">
        <v>18.3</v>
      </c>
      <c r="BK1307" s="2">
        <v>0.34</v>
      </c>
      <c r="BL1307" s="2">
        <v>7.3</v>
      </c>
      <c r="BM1307" s="2">
        <v>0.9</v>
      </c>
      <c r="BN1307" s="2">
        <v>7.5</v>
      </c>
      <c r="BO1307" s="2">
        <v>2.9</v>
      </c>
      <c r="BP1307" s="2">
        <f t="shared" si="40"/>
        <v>5.529577569260856</v>
      </c>
      <c r="BQ1307" s="2">
        <f t="shared" si="41"/>
        <v>18.001365935858242</v>
      </c>
    </row>
    <row r="1308" spans="1:69" x14ac:dyDescent="0.2">
      <c r="A1308" s="2" t="s">
        <v>4078</v>
      </c>
      <c r="B1308" s="2" t="s">
        <v>47</v>
      </c>
      <c r="C1308" s="2" t="s">
        <v>3273</v>
      </c>
      <c r="D1308" s="2" t="s">
        <v>49</v>
      </c>
      <c r="E1308" s="2" t="s">
        <v>208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89</v>
      </c>
      <c r="L1308" s="6" t="s">
        <v>90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4079</v>
      </c>
      <c r="R1308" s="2">
        <v>16666666.67</v>
      </c>
      <c r="S1308" s="2">
        <v>0</v>
      </c>
      <c r="T1308" s="2" t="s">
        <v>54</v>
      </c>
      <c r="U1308" s="2" t="s">
        <v>55</v>
      </c>
      <c r="V1308" s="2" t="s">
        <v>56</v>
      </c>
      <c r="W1308" s="2" t="s">
        <v>57</v>
      </c>
      <c r="X1308" s="2" t="s">
        <v>58</v>
      </c>
      <c r="Y1308" s="2">
        <v>4.17800380783207</v>
      </c>
      <c r="Z1308" s="2">
        <v>4178.0038078320704</v>
      </c>
      <c r="AA1308" s="2">
        <v>4.6584666666666701</v>
      </c>
      <c r="AB1308" s="2">
        <v>-74.083966666666697</v>
      </c>
      <c r="AC1308" s="2">
        <v>2552</v>
      </c>
      <c r="AD1308" s="2">
        <v>0</v>
      </c>
      <c r="AE1308" s="2" t="s">
        <v>59</v>
      </c>
      <c r="AF1308" s="2" t="s">
        <v>60</v>
      </c>
      <c r="AG1308" s="2" t="s">
        <v>61</v>
      </c>
      <c r="AH1308" s="2" t="s">
        <v>62</v>
      </c>
      <c r="AI1308" s="2" t="s">
        <v>109</v>
      </c>
      <c r="AJ1308" s="2">
        <v>0.69333475171088099</v>
      </c>
      <c r="AK1308" s="2">
        <v>1.6274071651873101</v>
      </c>
      <c r="AL1308" s="2">
        <v>0.656276914186674</v>
      </c>
      <c r="AM1308" s="2">
        <v>3.7979268129725997E-2</v>
      </c>
      <c r="AN1308" s="2">
        <v>3.2683318130843699</v>
      </c>
      <c r="AO1308" s="2">
        <v>0.64471973563544205</v>
      </c>
      <c r="AP1308" s="2">
        <v>0.64471973563544205</v>
      </c>
      <c r="AQ1308" s="2">
        <v>0</v>
      </c>
      <c r="AR1308" s="2">
        <v>2</v>
      </c>
      <c r="AS1308" s="2">
        <v>0</v>
      </c>
      <c r="AT1308" s="2">
        <v>0</v>
      </c>
      <c r="AU1308" s="2">
        <v>5</v>
      </c>
      <c r="AV1308" s="2">
        <v>221</v>
      </c>
      <c r="AW1308" s="2">
        <v>0</v>
      </c>
      <c r="AX1308" s="2">
        <v>0</v>
      </c>
      <c r="AZ1308" s="2">
        <v>6.8</v>
      </c>
      <c r="BA1308" s="2">
        <v>19.899999999999999</v>
      </c>
      <c r="BB1308" s="2">
        <v>564</v>
      </c>
      <c r="BC1308" s="2">
        <v>68</v>
      </c>
      <c r="BD1308" s="2">
        <v>1.5</v>
      </c>
      <c r="BE1308" s="2">
        <v>135</v>
      </c>
      <c r="BF1308" s="2">
        <v>0.8</v>
      </c>
      <c r="BG1308" s="2">
        <v>162</v>
      </c>
      <c r="BH1308" s="2">
        <v>9.1</v>
      </c>
      <c r="BI1308" s="2">
        <v>9.1999999999999993</v>
      </c>
      <c r="BJ1308" s="2">
        <v>18.3</v>
      </c>
      <c r="BK1308" s="2">
        <v>0.34</v>
      </c>
      <c r="BL1308" s="2">
        <v>7.3</v>
      </c>
      <c r="BM1308" s="2">
        <v>0.9</v>
      </c>
      <c r="BN1308" s="2">
        <v>7.5</v>
      </c>
      <c r="BO1308" s="2">
        <v>2.9</v>
      </c>
      <c r="BP1308" s="2">
        <f t="shared" si="40"/>
        <v>5.529577569260856</v>
      </c>
      <c r="BQ1308" s="2">
        <f t="shared" si="41"/>
        <v>18.001365935858242</v>
      </c>
    </row>
    <row r="1309" spans="1:69" x14ac:dyDescent="0.2">
      <c r="A1309" s="2" t="s">
        <v>3738</v>
      </c>
      <c r="B1309" s="2" t="s">
        <v>47</v>
      </c>
      <c r="C1309" s="2" t="s">
        <v>3273</v>
      </c>
      <c r="D1309" s="2" t="s">
        <v>49</v>
      </c>
      <c r="E1309" s="2" t="s">
        <v>3628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89</v>
      </c>
      <c r="L1309" s="6" t="s">
        <v>90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3739</v>
      </c>
      <c r="R1309" s="2">
        <v>15277777.779999999</v>
      </c>
      <c r="S1309" s="2">
        <v>0</v>
      </c>
      <c r="T1309" s="2" t="s">
        <v>54</v>
      </c>
      <c r="U1309" s="2" t="s">
        <v>55</v>
      </c>
      <c r="V1309" s="2" t="s">
        <v>56</v>
      </c>
      <c r="W1309" s="2" t="s">
        <v>57</v>
      </c>
      <c r="X1309" s="2" t="s">
        <v>58</v>
      </c>
      <c r="Y1309" s="2">
        <v>4.13784958201202</v>
      </c>
      <c r="Z1309" s="2">
        <v>4137.8495820120197</v>
      </c>
      <c r="AA1309" s="2">
        <v>4.6584666666666701</v>
      </c>
      <c r="AB1309" s="2">
        <v>-74.083966666666697</v>
      </c>
      <c r="AC1309" s="2">
        <v>2552</v>
      </c>
      <c r="AD1309" s="2">
        <v>0</v>
      </c>
      <c r="AE1309" s="2" t="s">
        <v>59</v>
      </c>
      <c r="AF1309" s="2" t="s">
        <v>60</v>
      </c>
      <c r="AG1309" s="2" t="s">
        <v>61</v>
      </c>
      <c r="AH1309" s="2" t="s">
        <v>62</v>
      </c>
      <c r="AI1309" s="2" t="s">
        <v>109</v>
      </c>
      <c r="AJ1309" s="2">
        <v>7.2472650881882497E-2</v>
      </c>
      <c r="AK1309" s="2">
        <v>2.2694251142748101</v>
      </c>
      <c r="AL1309" s="2">
        <v>0.50982825709640101</v>
      </c>
      <c r="AM1309" s="2">
        <v>2.33396928908342E-2</v>
      </c>
      <c r="AN1309" s="2">
        <v>2.9733692039809201</v>
      </c>
      <c r="AO1309" s="2">
        <v>0.13828508794302499</v>
      </c>
      <c r="AP1309" s="2">
        <v>0.13828508794302499</v>
      </c>
      <c r="AQ1309" s="2">
        <v>1</v>
      </c>
      <c r="AR1309" s="2">
        <v>6</v>
      </c>
      <c r="AS1309" s="2">
        <v>0</v>
      </c>
      <c r="AT1309" s="2">
        <v>0</v>
      </c>
      <c r="AU1309" s="2">
        <v>5</v>
      </c>
      <c r="AV1309" s="2">
        <v>234</v>
      </c>
      <c r="AW1309" s="2">
        <v>0</v>
      </c>
      <c r="AX1309" s="2">
        <v>0</v>
      </c>
      <c r="AZ1309" s="2">
        <v>6.8</v>
      </c>
      <c r="BA1309" s="2">
        <v>19.899999999999999</v>
      </c>
      <c r="BB1309" s="2">
        <v>564</v>
      </c>
      <c r="BC1309" s="2">
        <v>68</v>
      </c>
      <c r="BD1309" s="2">
        <v>1.5</v>
      </c>
      <c r="BE1309" s="2">
        <v>135</v>
      </c>
      <c r="BF1309" s="2">
        <v>0.8</v>
      </c>
      <c r="BG1309" s="2">
        <v>162</v>
      </c>
      <c r="BH1309" s="2">
        <v>9.1</v>
      </c>
      <c r="BI1309" s="2">
        <v>9.1999999999999993</v>
      </c>
      <c r="BJ1309" s="2">
        <v>18.3</v>
      </c>
      <c r="BK1309" s="2">
        <v>0.34</v>
      </c>
      <c r="BL1309" s="2">
        <v>7.3</v>
      </c>
      <c r="BM1309" s="2">
        <v>0.9</v>
      </c>
      <c r="BN1309" s="2">
        <v>7.5</v>
      </c>
      <c r="BO1309" s="2">
        <v>2.9</v>
      </c>
      <c r="BP1309" s="2">
        <f t="shared" si="40"/>
        <v>5.5405792766907567</v>
      </c>
      <c r="BQ1309" s="2">
        <f t="shared" si="41"/>
        <v>18.018722239570831</v>
      </c>
    </row>
    <row r="1310" spans="1:69" x14ac:dyDescent="0.2">
      <c r="A1310" s="2" t="s">
        <v>4004</v>
      </c>
      <c r="B1310" s="2" t="s">
        <v>47</v>
      </c>
      <c r="C1310" s="2" t="s">
        <v>3273</v>
      </c>
      <c r="D1310" s="2" t="s">
        <v>49</v>
      </c>
      <c r="E1310" s="2" t="s">
        <v>111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89</v>
      </c>
      <c r="L1310" s="6" t="s">
        <v>90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4005</v>
      </c>
      <c r="R1310" s="2">
        <v>15277777.779999999</v>
      </c>
      <c r="S1310" s="2">
        <v>0</v>
      </c>
      <c r="T1310" s="2" t="s">
        <v>54</v>
      </c>
      <c r="U1310" s="2" t="s">
        <v>55</v>
      </c>
      <c r="V1310" s="2" t="s">
        <v>56</v>
      </c>
      <c r="W1310" s="2" t="s">
        <v>57</v>
      </c>
      <c r="X1310" s="2" t="s">
        <v>58</v>
      </c>
      <c r="Y1310" s="2">
        <v>4.01276452115511</v>
      </c>
      <c r="Z1310" s="2">
        <v>4012.7645211551098</v>
      </c>
      <c r="AA1310" s="2">
        <v>4.6584666666666701</v>
      </c>
      <c r="AB1310" s="2">
        <v>-74.083966666666697</v>
      </c>
      <c r="AC1310" s="2">
        <v>2552</v>
      </c>
      <c r="AD1310" s="2">
        <v>0</v>
      </c>
      <c r="AE1310" s="2" t="s">
        <v>59</v>
      </c>
      <c r="AF1310" s="2" t="s">
        <v>60</v>
      </c>
      <c r="AG1310" s="2" t="s">
        <v>61</v>
      </c>
      <c r="AH1310" s="2" t="s">
        <v>62</v>
      </c>
      <c r="AI1310" s="2" t="s">
        <v>109</v>
      </c>
      <c r="AJ1310" s="2">
        <v>0.66878573925118701</v>
      </c>
      <c r="AK1310" s="2">
        <v>1.47806830152258</v>
      </c>
      <c r="AL1310" s="2">
        <v>0.93520577071382005</v>
      </c>
      <c r="AM1310" s="2">
        <v>5.1524877232809602E-2</v>
      </c>
      <c r="AN1310" s="2">
        <v>3.2091108659854801</v>
      </c>
      <c r="AO1310" s="2">
        <v>0.71175139708906698</v>
      </c>
      <c r="AP1310" s="2">
        <v>0.71175139708906698</v>
      </c>
      <c r="AQ1310" s="2">
        <v>0</v>
      </c>
      <c r="AR1310" s="2">
        <v>3</v>
      </c>
      <c r="AS1310" s="2">
        <v>0</v>
      </c>
      <c r="AT1310" s="2">
        <v>0</v>
      </c>
      <c r="AU1310" s="2">
        <v>3</v>
      </c>
      <c r="AV1310" s="2">
        <v>258</v>
      </c>
      <c r="AW1310" s="2">
        <v>0</v>
      </c>
      <c r="AX1310" s="2">
        <v>0</v>
      </c>
      <c r="AZ1310" s="2">
        <v>6.8</v>
      </c>
      <c r="BA1310" s="2">
        <v>19.899999999999999</v>
      </c>
      <c r="BB1310" s="2">
        <v>564</v>
      </c>
      <c r="BC1310" s="2">
        <v>68</v>
      </c>
      <c r="BD1310" s="2">
        <v>1.5</v>
      </c>
      <c r="BE1310" s="2">
        <v>135</v>
      </c>
      <c r="BF1310" s="2">
        <v>0.8</v>
      </c>
      <c r="BG1310" s="2">
        <v>162</v>
      </c>
      <c r="BH1310" s="2">
        <v>9.1</v>
      </c>
      <c r="BI1310" s="2">
        <v>9.1999999999999993</v>
      </c>
      <c r="BJ1310" s="2">
        <v>18.3</v>
      </c>
      <c r="BK1310" s="2">
        <v>0.34</v>
      </c>
      <c r="BL1310" s="2">
        <v>7.3</v>
      </c>
      <c r="BM1310" s="2">
        <v>0.9</v>
      </c>
      <c r="BN1310" s="2">
        <v>7.5</v>
      </c>
      <c r="BO1310" s="2">
        <v>2.9</v>
      </c>
      <c r="BP1310" s="2">
        <f t="shared" si="40"/>
        <v>5.5749913645474436</v>
      </c>
      <c r="BQ1310" s="2">
        <f t="shared" si="41"/>
        <v>18.07289646675251</v>
      </c>
    </row>
    <row r="1311" spans="1:69" x14ac:dyDescent="0.2">
      <c r="A1311" s="2" t="s">
        <v>3986</v>
      </c>
      <c r="B1311" s="2" t="s">
        <v>47</v>
      </c>
      <c r="C1311" s="2" t="s">
        <v>3273</v>
      </c>
      <c r="D1311" s="2" t="s">
        <v>49</v>
      </c>
      <c r="E1311" s="2" t="s">
        <v>115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89</v>
      </c>
      <c r="L1311" s="6" t="s">
        <v>90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3987</v>
      </c>
      <c r="R1311" s="2">
        <v>13055555.560000001</v>
      </c>
      <c r="S1311" s="2">
        <v>0</v>
      </c>
      <c r="T1311" s="2" t="s">
        <v>105</v>
      </c>
      <c r="U1311" s="2" t="s">
        <v>106</v>
      </c>
      <c r="V1311" s="2" t="s">
        <v>56</v>
      </c>
      <c r="W1311" s="2" t="s">
        <v>107</v>
      </c>
      <c r="X1311" s="2" t="s">
        <v>108</v>
      </c>
      <c r="Y1311" s="2">
        <v>0.60809773645286203</v>
      </c>
      <c r="Z1311" s="2">
        <v>608.09773645286202</v>
      </c>
      <c r="AA1311" s="2">
        <v>4.6254861111111101</v>
      </c>
      <c r="AB1311" s="2">
        <v>-74.066980555555503</v>
      </c>
      <c r="AC1311" s="2">
        <v>2621</v>
      </c>
      <c r="AD1311" s="2">
        <v>15</v>
      </c>
      <c r="AE1311" s="2" t="s">
        <v>59</v>
      </c>
      <c r="AF1311" s="2" t="s">
        <v>60</v>
      </c>
      <c r="AG1311" s="2" t="s">
        <v>61</v>
      </c>
      <c r="AH1311" s="2" t="s">
        <v>62</v>
      </c>
      <c r="AI1311" s="2" t="s">
        <v>117</v>
      </c>
      <c r="AJ1311" s="2">
        <v>8.5492623193352907E-2</v>
      </c>
      <c r="AK1311" s="2">
        <v>0.90726769379138505</v>
      </c>
      <c r="AL1311" s="2">
        <v>0.29340098349553601</v>
      </c>
      <c r="AM1311" s="2">
        <v>6.3275620831689597E-2</v>
      </c>
      <c r="AN1311" s="2">
        <v>0.72016079740841799</v>
      </c>
      <c r="AO1311" s="2">
        <v>6.5837343293662295E-2</v>
      </c>
      <c r="AP1311" s="2">
        <v>6.5837343293662295E-2</v>
      </c>
      <c r="AQ1311" s="2">
        <v>1</v>
      </c>
      <c r="AR1311" s="2">
        <v>6</v>
      </c>
      <c r="AS1311" s="2">
        <v>0</v>
      </c>
      <c r="AT1311" s="2">
        <v>3</v>
      </c>
      <c r="AU1311" s="2">
        <v>17</v>
      </c>
      <c r="AV1311" s="2">
        <v>92</v>
      </c>
      <c r="AW1311" s="2">
        <v>2</v>
      </c>
      <c r="AX1311" s="2">
        <v>1</v>
      </c>
      <c r="AZ1311" s="2">
        <v>6.8</v>
      </c>
      <c r="BA1311" s="2">
        <v>19.899999999999999</v>
      </c>
      <c r="BB1311" s="2">
        <v>564</v>
      </c>
      <c r="BC1311" s="2">
        <v>68</v>
      </c>
      <c r="BD1311" s="2">
        <v>1.5</v>
      </c>
      <c r="BE1311" s="2">
        <v>135</v>
      </c>
      <c r="BF1311" s="2">
        <v>0.8</v>
      </c>
      <c r="BG1311" s="2">
        <v>162</v>
      </c>
      <c r="BH1311" s="2">
        <v>9.1</v>
      </c>
      <c r="BI1311" s="2">
        <v>9.1999999999999993</v>
      </c>
      <c r="BJ1311" s="2">
        <v>18.3</v>
      </c>
      <c r="BK1311" s="2">
        <v>0.34</v>
      </c>
      <c r="BL1311" s="2">
        <v>7.3</v>
      </c>
      <c r="BM1311" s="2">
        <v>0.9</v>
      </c>
      <c r="BN1311" s="2">
        <v>7.5</v>
      </c>
      <c r="BO1311" s="2">
        <v>2.9</v>
      </c>
      <c r="BP1311" s="2">
        <f t="shared" si="40"/>
        <v>6.5983642290303255</v>
      </c>
      <c r="BQ1311" s="2">
        <f t="shared" si="41"/>
        <v>19.611681548157861</v>
      </c>
    </row>
    <row r="1312" spans="1:69" x14ac:dyDescent="0.2">
      <c r="A1312" s="2" t="s">
        <v>3894</v>
      </c>
      <c r="B1312" s="2" t="s">
        <v>47</v>
      </c>
      <c r="C1312" s="2" t="s">
        <v>3273</v>
      </c>
      <c r="D1312" s="2" t="s">
        <v>49</v>
      </c>
      <c r="E1312" s="2" t="s">
        <v>360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89</v>
      </c>
      <c r="L1312" s="6" t="s">
        <v>90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3895</v>
      </c>
      <c r="R1312" s="2">
        <v>11666666.67</v>
      </c>
      <c r="S1312" s="2">
        <v>0</v>
      </c>
      <c r="T1312" s="2" t="s">
        <v>105</v>
      </c>
      <c r="U1312" s="2" t="s">
        <v>106</v>
      </c>
      <c r="V1312" s="2" t="s">
        <v>56</v>
      </c>
      <c r="W1312" s="2" t="s">
        <v>107</v>
      </c>
      <c r="X1312" s="2" t="s">
        <v>108</v>
      </c>
      <c r="Y1312" s="2">
        <v>2.6323288673612</v>
      </c>
      <c r="Z1312" s="2">
        <v>2632.3288673612001</v>
      </c>
      <c r="AA1312" s="2">
        <v>4.6254861111111101</v>
      </c>
      <c r="AB1312" s="2">
        <v>-74.066980555555503</v>
      </c>
      <c r="AC1312" s="2">
        <v>2621</v>
      </c>
      <c r="AD1312" s="2">
        <v>15</v>
      </c>
      <c r="AE1312" s="2" t="s">
        <v>59</v>
      </c>
      <c r="AF1312" s="2" t="s">
        <v>60</v>
      </c>
      <c r="AG1312" s="2" t="s">
        <v>61</v>
      </c>
      <c r="AH1312" s="2" t="s">
        <v>62</v>
      </c>
      <c r="AI1312" s="2" t="s">
        <v>117</v>
      </c>
      <c r="AJ1312" s="2">
        <v>0.176644836774623</v>
      </c>
      <c r="AK1312" s="2">
        <v>0.68033613950615601</v>
      </c>
      <c r="AL1312" s="2">
        <v>0.23132781887093101</v>
      </c>
      <c r="AM1312" s="2">
        <v>0.187684442493078</v>
      </c>
      <c r="AN1312" s="2">
        <v>1.51723864759208</v>
      </c>
      <c r="AO1312" s="2">
        <v>0.135348438087284</v>
      </c>
      <c r="AP1312" s="2">
        <v>0.135348438087284</v>
      </c>
      <c r="AQ1312" s="2">
        <v>3</v>
      </c>
      <c r="AR1312" s="2">
        <v>6</v>
      </c>
      <c r="AS1312" s="2">
        <v>0</v>
      </c>
      <c r="AT1312" s="2">
        <v>50</v>
      </c>
      <c r="AU1312" s="2">
        <v>14</v>
      </c>
      <c r="AV1312" s="2">
        <v>50</v>
      </c>
      <c r="AW1312" s="2">
        <v>0</v>
      </c>
      <c r="AX1312" s="2">
        <v>7</v>
      </c>
      <c r="AZ1312" s="2">
        <v>6.8</v>
      </c>
      <c r="BA1312" s="2">
        <v>19.899999999999999</v>
      </c>
      <c r="BB1312" s="2">
        <v>564</v>
      </c>
      <c r="BC1312" s="2">
        <v>68</v>
      </c>
      <c r="BD1312" s="2">
        <v>1.5</v>
      </c>
      <c r="BE1312" s="2">
        <v>135</v>
      </c>
      <c r="BF1312" s="2">
        <v>0.8</v>
      </c>
      <c r="BG1312" s="2">
        <v>162</v>
      </c>
      <c r="BH1312" s="2">
        <v>9.1</v>
      </c>
      <c r="BI1312" s="2">
        <v>9.1999999999999993</v>
      </c>
      <c r="BJ1312" s="2">
        <v>18.3</v>
      </c>
      <c r="BK1312" s="2">
        <v>0.34</v>
      </c>
      <c r="BL1312" s="2">
        <v>7.3</v>
      </c>
      <c r="BM1312" s="2">
        <v>0.9</v>
      </c>
      <c r="BN1312" s="2">
        <v>7.5</v>
      </c>
      <c r="BO1312" s="2">
        <v>2.9</v>
      </c>
      <c r="BP1312" s="2">
        <f t="shared" si="40"/>
        <v>5.9692562192200613</v>
      </c>
      <c r="BQ1312" s="2">
        <f t="shared" si="41"/>
        <v>18.681688862532958</v>
      </c>
    </row>
    <row r="1313" spans="1:69" x14ac:dyDescent="0.2">
      <c r="A1313" s="2" t="s">
        <v>4432</v>
      </c>
      <c r="B1313" s="2" t="s">
        <v>47</v>
      </c>
      <c r="C1313" s="2" t="s">
        <v>3273</v>
      </c>
      <c r="D1313" s="2" t="s">
        <v>49</v>
      </c>
      <c r="E1313" s="2" t="s">
        <v>3628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89</v>
      </c>
      <c r="L1313" s="6" t="s">
        <v>90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4433</v>
      </c>
      <c r="R1313" s="2">
        <v>17437097.719999999</v>
      </c>
      <c r="S1313" s="2">
        <v>0</v>
      </c>
      <c r="T1313" s="2" t="s">
        <v>54</v>
      </c>
      <c r="U1313" s="2" t="s">
        <v>55</v>
      </c>
      <c r="V1313" s="2" t="s">
        <v>56</v>
      </c>
      <c r="W1313" s="2" t="s">
        <v>57</v>
      </c>
      <c r="X1313" s="2" t="s">
        <v>58</v>
      </c>
      <c r="Y1313" s="2">
        <v>4.17944596942489</v>
      </c>
      <c r="Z1313" s="2">
        <v>4179.4459694248899</v>
      </c>
      <c r="AA1313" s="2">
        <v>4.6584666666666701</v>
      </c>
      <c r="AB1313" s="2">
        <v>-74.083966666666697</v>
      </c>
      <c r="AC1313" s="2">
        <v>2552</v>
      </c>
      <c r="AD1313" s="2">
        <v>0</v>
      </c>
      <c r="AE1313" s="2" t="s">
        <v>59</v>
      </c>
      <c r="AF1313" s="2" t="s">
        <v>60</v>
      </c>
      <c r="AG1313" s="2" t="s">
        <v>61</v>
      </c>
      <c r="AH1313" s="2" t="s">
        <v>62</v>
      </c>
      <c r="AI1313" s="2" t="s">
        <v>109</v>
      </c>
      <c r="AJ1313" s="2">
        <v>0.71081335312402505</v>
      </c>
      <c r="AK1313" s="2">
        <v>1.6115656048806599</v>
      </c>
      <c r="AL1313" s="2">
        <v>0.66969420811301095</v>
      </c>
      <c r="AM1313" s="2">
        <v>2.7362594421733E-2</v>
      </c>
      <c r="AN1313" s="2">
        <v>3.27659541007091</v>
      </c>
      <c r="AO1313" s="2">
        <v>0.65723921997657297</v>
      </c>
      <c r="AP1313" s="2">
        <v>0.65723921997657297</v>
      </c>
      <c r="AQ1313" s="2">
        <v>0</v>
      </c>
      <c r="AR1313" s="2">
        <v>2</v>
      </c>
      <c r="AS1313" s="2">
        <v>0</v>
      </c>
      <c r="AT1313" s="2">
        <v>0</v>
      </c>
      <c r="AU1313" s="2">
        <v>5</v>
      </c>
      <c r="AV1313" s="2">
        <v>220</v>
      </c>
      <c r="AW1313" s="2">
        <v>0</v>
      </c>
      <c r="AX1313" s="2">
        <v>0</v>
      </c>
      <c r="AZ1313" s="2">
        <v>6.8</v>
      </c>
      <c r="BA1313" s="2">
        <v>19.899999999999999</v>
      </c>
      <c r="BB1313" s="2">
        <v>564</v>
      </c>
      <c r="BC1313" s="2">
        <v>68</v>
      </c>
      <c r="BD1313" s="2">
        <v>1.5</v>
      </c>
      <c r="BE1313" s="2">
        <v>135</v>
      </c>
      <c r="BF1313" s="2">
        <v>0.8</v>
      </c>
      <c r="BG1313" s="2">
        <v>162</v>
      </c>
      <c r="BH1313" s="2">
        <v>9.1</v>
      </c>
      <c r="BI1313" s="2">
        <v>9.1999999999999993</v>
      </c>
      <c r="BJ1313" s="2">
        <v>18.3</v>
      </c>
      <c r="BK1313" s="2">
        <v>0.34</v>
      </c>
      <c r="BL1313" s="2">
        <v>7.3</v>
      </c>
      <c r="BM1313" s="2">
        <v>0.9</v>
      </c>
      <c r="BN1313" s="2">
        <v>7.5</v>
      </c>
      <c r="BO1313" s="2">
        <v>2.9</v>
      </c>
      <c r="BP1313" s="2">
        <f t="shared" si="40"/>
        <v>5.5291828434026229</v>
      </c>
      <c r="BQ1313" s="2">
        <f t="shared" si="41"/>
        <v>18.00074288555507</v>
      </c>
    </row>
    <row r="1314" spans="1:69" x14ac:dyDescent="0.2">
      <c r="A1314" s="2" t="s">
        <v>3405</v>
      </c>
      <c r="B1314" s="2" t="s">
        <v>47</v>
      </c>
      <c r="C1314" s="2" t="s">
        <v>3273</v>
      </c>
      <c r="D1314" s="2" t="s">
        <v>49</v>
      </c>
      <c r="E1314" s="2" t="s">
        <v>208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89</v>
      </c>
      <c r="L1314" s="6" t="s">
        <v>90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3406</v>
      </c>
      <c r="R1314" s="2">
        <v>17647058.82</v>
      </c>
      <c r="S1314" s="2">
        <v>0</v>
      </c>
      <c r="T1314" s="2" t="s">
        <v>54</v>
      </c>
      <c r="U1314" s="2" t="s">
        <v>55</v>
      </c>
      <c r="V1314" s="2" t="s">
        <v>56</v>
      </c>
      <c r="W1314" s="2" t="s">
        <v>57</v>
      </c>
      <c r="X1314" s="2" t="s">
        <v>58</v>
      </c>
      <c r="Y1314" s="2">
        <v>4.1416004971254603</v>
      </c>
      <c r="Z1314" s="2">
        <v>4141.6004971254597</v>
      </c>
      <c r="AA1314" s="2">
        <v>4.6584666666666701</v>
      </c>
      <c r="AB1314" s="2">
        <v>-74.083966666666697</v>
      </c>
      <c r="AC1314" s="2">
        <v>2552</v>
      </c>
      <c r="AD1314" s="2">
        <v>0</v>
      </c>
      <c r="AE1314" s="2" t="s">
        <v>59</v>
      </c>
      <c r="AF1314" s="2" t="s">
        <v>60</v>
      </c>
      <c r="AG1314" s="2" t="s">
        <v>61</v>
      </c>
      <c r="AH1314" s="2" t="s">
        <v>62</v>
      </c>
      <c r="AI1314" s="2" t="s">
        <v>109</v>
      </c>
      <c r="AJ1314" s="2">
        <v>0.78464787877637399</v>
      </c>
      <c r="AK1314" s="2">
        <v>1.47119290417534</v>
      </c>
      <c r="AL1314" s="2">
        <v>0.84808387531690999</v>
      </c>
      <c r="AM1314" s="2">
        <v>0.113683694751261</v>
      </c>
      <c r="AN1314" s="2">
        <v>3.3161970009147201</v>
      </c>
      <c r="AO1314" s="2">
        <v>0.76500545451985502</v>
      </c>
      <c r="AP1314" s="2">
        <v>0.76500545451985502</v>
      </c>
      <c r="AQ1314" s="2">
        <v>0</v>
      </c>
      <c r="AR1314" s="2">
        <v>2</v>
      </c>
      <c r="AS1314" s="2">
        <v>0</v>
      </c>
      <c r="AT1314" s="2">
        <v>0</v>
      </c>
      <c r="AU1314" s="2">
        <v>2</v>
      </c>
      <c r="AV1314" s="2">
        <v>207</v>
      </c>
      <c r="AW1314" s="2">
        <v>0</v>
      </c>
      <c r="AX1314" s="2">
        <v>0</v>
      </c>
      <c r="AZ1314" s="2">
        <v>6.8</v>
      </c>
      <c r="BA1314" s="2">
        <v>19.899999999999999</v>
      </c>
      <c r="BB1314" s="2">
        <v>564</v>
      </c>
      <c r="BC1314" s="2">
        <v>68</v>
      </c>
      <c r="BD1314" s="2">
        <v>1.5</v>
      </c>
      <c r="BE1314" s="2">
        <v>135</v>
      </c>
      <c r="BF1314" s="2">
        <v>0.8</v>
      </c>
      <c r="BG1314" s="2">
        <v>162</v>
      </c>
      <c r="BH1314" s="2">
        <v>9.1</v>
      </c>
      <c r="BI1314" s="2">
        <v>9.1999999999999993</v>
      </c>
      <c r="BJ1314" s="2">
        <v>18.3</v>
      </c>
      <c r="BK1314" s="2">
        <v>0.34</v>
      </c>
      <c r="BL1314" s="2">
        <v>7.3</v>
      </c>
      <c r="BM1314" s="2">
        <v>0.9</v>
      </c>
      <c r="BN1314" s="2">
        <v>7.5</v>
      </c>
      <c r="BO1314" s="2">
        <v>2.9</v>
      </c>
      <c r="BP1314" s="2">
        <f t="shared" si="40"/>
        <v>5.5395506511802797</v>
      </c>
      <c r="BQ1314" s="2">
        <f t="shared" si="41"/>
        <v>18.017100231838327</v>
      </c>
    </row>
    <row r="1315" spans="1:69" x14ac:dyDescent="0.2">
      <c r="A1315" s="2" t="s">
        <v>3658</v>
      </c>
      <c r="B1315" s="2" t="s">
        <v>47</v>
      </c>
      <c r="C1315" s="2" t="s">
        <v>3273</v>
      </c>
      <c r="D1315" s="2" t="s">
        <v>49</v>
      </c>
      <c r="E1315" s="2" t="s">
        <v>208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89</v>
      </c>
      <c r="L1315" s="6" t="s">
        <v>90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3659</v>
      </c>
      <c r="R1315" s="2">
        <v>17529411.760000002</v>
      </c>
      <c r="S1315" s="2">
        <v>0</v>
      </c>
      <c r="T1315" s="2" t="s">
        <v>54</v>
      </c>
      <c r="U1315" s="2" t="s">
        <v>55</v>
      </c>
      <c r="V1315" s="2" t="s">
        <v>56</v>
      </c>
      <c r="W1315" s="2" t="s">
        <v>57</v>
      </c>
      <c r="X1315" s="2" t="s">
        <v>58</v>
      </c>
      <c r="Y1315" s="2">
        <v>4.17226336837797</v>
      </c>
      <c r="Z1315" s="2">
        <v>4172.2633683779704</v>
      </c>
      <c r="AA1315" s="2">
        <v>4.6584666666666701</v>
      </c>
      <c r="AB1315" s="2">
        <v>-74.083966666666697</v>
      </c>
      <c r="AC1315" s="2">
        <v>2552</v>
      </c>
      <c r="AD1315" s="2">
        <v>0</v>
      </c>
      <c r="AE1315" s="2" t="s">
        <v>59</v>
      </c>
      <c r="AF1315" s="2" t="s">
        <v>60</v>
      </c>
      <c r="AG1315" s="2" t="s">
        <v>61</v>
      </c>
      <c r="AH1315" s="2" t="s">
        <v>62</v>
      </c>
      <c r="AI1315" s="2" t="s">
        <v>109</v>
      </c>
      <c r="AJ1315" s="2">
        <v>0.69645482471546805</v>
      </c>
      <c r="AK1315" s="2">
        <v>1.62641661952815</v>
      </c>
      <c r="AL1315" s="2">
        <v>0.66340194425071997</v>
      </c>
      <c r="AM1315" s="2">
        <v>3.9579235140639102E-2</v>
      </c>
      <c r="AN1315" s="2">
        <v>3.264884130245</v>
      </c>
      <c r="AO1315" s="2">
        <v>0.64332313669566799</v>
      </c>
      <c r="AP1315" s="2">
        <v>0.64332313669566799</v>
      </c>
      <c r="AQ1315" s="2">
        <v>0</v>
      </c>
      <c r="AR1315" s="2">
        <v>2</v>
      </c>
      <c r="AS1315" s="2">
        <v>0</v>
      </c>
      <c r="AT1315" s="2">
        <v>0</v>
      </c>
      <c r="AU1315" s="2">
        <v>5</v>
      </c>
      <c r="AV1315" s="2">
        <v>220</v>
      </c>
      <c r="AW1315" s="2">
        <v>0</v>
      </c>
      <c r="AX1315" s="2">
        <v>0</v>
      </c>
      <c r="AZ1315" s="2">
        <v>6.8</v>
      </c>
      <c r="BA1315" s="2">
        <v>19.899999999999999</v>
      </c>
      <c r="BB1315" s="2">
        <v>564</v>
      </c>
      <c r="BC1315" s="2">
        <v>68</v>
      </c>
      <c r="BD1315" s="2">
        <v>1.5</v>
      </c>
      <c r="BE1315" s="2">
        <v>135</v>
      </c>
      <c r="BF1315" s="2">
        <v>0.8</v>
      </c>
      <c r="BG1315" s="2">
        <v>162</v>
      </c>
      <c r="BH1315" s="2">
        <v>9.1</v>
      </c>
      <c r="BI1315" s="2">
        <v>9.1999999999999993</v>
      </c>
      <c r="BJ1315" s="2">
        <v>18.3</v>
      </c>
      <c r="BK1315" s="2">
        <v>0.34</v>
      </c>
      <c r="BL1315" s="2">
        <v>7.3</v>
      </c>
      <c r="BM1315" s="2">
        <v>0.9</v>
      </c>
      <c r="BN1315" s="2">
        <v>7.5</v>
      </c>
      <c r="BO1315" s="2">
        <v>2.9</v>
      </c>
      <c r="BP1315" s="2">
        <f t="shared" si="40"/>
        <v>5.5311490316767147</v>
      </c>
      <c r="BQ1315" s="2">
        <f t="shared" si="41"/>
        <v>18.003846164735467</v>
      </c>
    </row>
    <row r="1316" spans="1:69" x14ac:dyDescent="0.2">
      <c r="A1316" s="2" t="s">
        <v>4640</v>
      </c>
      <c r="B1316" s="2" t="s">
        <v>47</v>
      </c>
      <c r="C1316" s="2" t="s">
        <v>3273</v>
      </c>
      <c r="D1316" s="2" t="s">
        <v>49</v>
      </c>
      <c r="E1316" s="2" t="s">
        <v>1053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89</v>
      </c>
      <c r="L1316" s="6" t="s">
        <v>90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4641</v>
      </c>
      <c r="R1316" s="2">
        <v>16764705.880000001</v>
      </c>
      <c r="S1316" s="2">
        <v>0</v>
      </c>
      <c r="T1316" s="2" t="s">
        <v>54</v>
      </c>
      <c r="U1316" s="2" t="s">
        <v>55</v>
      </c>
      <c r="V1316" s="2" t="s">
        <v>56</v>
      </c>
      <c r="W1316" s="2" t="s">
        <v>57</v>
      </c>
      <c r="X1316" s="2" t="s">
        <v>58</v>
      </c>
      <c r="Y1316" s="2">
        <v>4.1425671985115899</v>
      </c>
      <c r="Z1316" s="2">
        <v>4142.5671985115896</v>
      </c>
      <c r="AA1316" s="2">
        <v>4.6584666666666701</v>
      </c>
      <c r="AB1316" s="2">
        <v>-74.083966666666697</v>
      </c>
      <c r="AC1316" s="2">
        <v>2552</v>
      </c>
      <c r="AD1316" s="2">
        <v>0</v>
      </c>
      <c r="AE1316" s="2" t="s">
        <v>59</v>
      </c>
      <c r="AF1316" s="2" t="s">
        <v>60</v>
      </c>
      <c r="AG1316" s="2" t="s">
        <v>61</v>
      </c>
      <c r="AH1316" s="2" t="s">
        <v>62</v>
      </c>
      <c r="AI1316" s="2" t="s">
        <v>109</v>
      </c>
      <c r="AJ1316" s="2">
        <v>7.7894453601892094E-2</v>
      </c>
      <c r="AK1316" s="2">
        <v>2.2638577744548698</v>
      </c>
      <c r="AL1316" s="2">
        <v>0.50362570346152502</v>
      </c>
      <c r="AM1316" s="2">
        <v>1.9398409097633101E-2</v>
      </c>
      <c r="AN1316" s="2">
        <v>2.9793830561732402</v>
      </c>
      <c r="AO1316" s="2">
        <v>0.143732031112032</v>
      </c>
      <c r="AP1316" s="2">
        <v>0.143732031112032</v>
      </c>
      <c r="AQ1316" s="2">
        <v>1</v>
      </c>
      <c r="AR1316" s="2">
        <v>6</v>
      </c>
      <c r="AS1316" s="2">
        <v>0</v>
      </c>
      <c r="AT1316" s="2">
        <v>0</v>
      </c>
      <c r="AU1316" s="2">
        <v>5</v>
      </c>
      <c r="AV1316" s="2">
        <v>235</v>
      </c>
      <c r="AW1316" s="2">
        <v>0</v>
      </c>
      <c r="AX1316" s="2">
        <v>0</v>
      </c>
      <c r="AZ1316" s="2">
        <v>6.8</v>
      </c>
      <c r="BA1316" s="2">
        <v>19.899999999999999</v>
      </c>
      <c r="BB1316" s="2">
        <v>564</v>
      </c>
      <c r="BC1316" s="2">
        <v>68</v>
      </c>
      <c r="BD1316" s="2">
        <v>1.5</v>
      </c>
      <c r="BE1316" s="2">
        <v>135</v>
      </c>
      <c r="BF1316" s="2">
        <v>0.8</v>
      </c>
      <c r="BG1316" s="2">
        <v>162</v>
      </c>
      <c r="BH1316" s="2">
        <v>9.1</v>
      </c>
      <c r="BI1316" s="2">
        <v>9.1999999999999993</v>
      </c>
      <c r="BJ1316" s="2">
        <v>18.3</v>
      </c>
      <c r="BK1316" s="2">
        <v>0.34</v>
      </c>
      <c r="BL1316" s="2">
        <v>7.3</v>
      </c>
      <c r="BM1316" s="2">
        <v>0.9</v>
      </c>
      <c r="BN1316" s="2">
        <v>7.5</v>
      </c>
      <c r="BO1316" s="2">
        <v>2.9</v>
      </c>
      <c r="BP1316" s="2">
        <f t="shared" si="40"/>
        <v>5.5392855805033694</v>
      </c>
      <c r="BQ1316" s="2">
        <f t="shared" si="41"/>
        <v>18.016682224948966</v>
      </c>
    </row>
    <row r="1317" spans="1:69" x14ac:dyDescent="0.2">
      <c r="A1317" s="2" t="s">
        <v>3675</v>
      </c>
      <c r="B1317" s="2" t="s">
        <v>47</v>
      </c>
      <c r="C1317" s="2" t="s">
        <v>3273</v>
      </c>
      <c r="D1317" s="2" t="s">
        <v>49</v>
      </c>
      <c r="E1317" s="2" t="s">
        <v>790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89</v>
      </c>
      <c r="L1317" s="6" t="s">
        <v>90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3676</v>
      </c>
      <c r="R1317" s="2">
        <v>12941176.470000001</v>
      </c>
      <c r="S1317" s="2">
        <v>0</v>
      </c>
      <c r="T1317" s="2" t="s">
        <v>105</v>
      </c>
      <c r="U1317" s="2" t="s">
        <v>106</v>
      </c>
      <c r="V1317" s="2" t="s">
        <v>56</v>
      </c>
      <c r="W1317" s="2" t="s">
        <v>107</v>
      </c>
      <c r="X1317" s="2" t="s">
        <v>108</v>
      </c>
      <c r="Y1317" s="2">
        <v>2.73935564023019</v>
      </c>
      <c r="Z1317" s="2">
        <v>2739.3556402301901</v>
      </c>
      <c r="AA1317" s="2">
        <v>4.6254861111111101</v>
      </c>
      <c r="AB1317" s="2">
        <v>-74.066980555555503</v>
      </c>
      <c r="AC1317" s="2">
        <v>2621</v>
      </c>
      <c r="AD1317" s="2">
        <v>15</v>
      </c>
      <c r="AE1317" s="2" t="s">
        <v>59</v>
      </c>
      <c r="AF1317" s="2" t="s">
        <v>60</v>
      </c>
      <c r="AG1317" s="2" t="s">
        <v>61</v>
      </c>
      <c r="AH1317" s="2" t="s">
        <v>62</v>
      </c>
      <c r="AI1317" s="2" t="s">
        <v>109</v>
      </c>
      <c r="AJ1317" s="2">
        <v>0.48047507213726798</v>
      </c>
      <c r="AK1317" s="2">
        <v>0.94883221163235598</v>
      </c>
      <c r="AL1317" s="2">
        <v>0.122969964216448</v>
      </c>
      <c r="AM1317" s="2">
        <v>2.01978275070629E-2</v>
      </c>
      <c r="AN1317" s="2">
        <v>0.88110064595439497</v>
      </c>
      <c r="AO1317" s="2">
        <v>4.4696621889111401E-2</v>
      </c>
      <c r="AP1317" s="2">
        <v>4.4696621889111401E-2</v>
      </c>
      <c r="AQ1317" s="2">
        <v>1</v>
      </c>
      <c r="AR1317" s="2">
        <v>3</v>
      </c>
      <c r="AS1317" s="2">
        <v>0</v>
      </c>
      <c r="AT1317" s="2">
        <v>5</v>
      </c>
      <c r="AU1317" s="2">
        <v>16</v>
      </c>
      <c r="AV1317" s="2">
        <v>81</v>
      </c>
      <c r="AW1317" s="2">
        <v>1</v>
      </c>
      <c r="AX1317" s="2">
        <v>0</v>
      </c>
      <c r="AZ1317" s="2">
        <v>6.8</v>
      </c>
      <c r="BA1317" s="2">
        <v>19.899999999999999</v>
      </c>
      <c r="BB1317" s="2">
        <v>564</v>
      </c>
      <c r="BC1317" s="2">
        <v>68</v>
      </c>
      <c r="BD1317" s="2">
        <v>1.5</v>
      </c>
      <c r="BE1317" s="2">
        <v>135</v>
      </c>
      <c r="BF1317" s="2">
        <v>0.8</v>
      </c>
      <c r="BG1317" s="2">
        <v>162</v>
      </c>
      <c r="BH1317" s="2">
        <v>9.1</v>
      </c>
      <c r="BI1317" s="2">
        <v>9.1999999999999993</v>
      </c>
      <c r="BJ1317" s="2">
        <v>18.3</v>
      </c>
      <c r="BK1317" s="2">
        <v>0.34</v>
      </c>
      <c r="BL1317" s="2">
        <v>7.3</v>
      </c>
      <c r="BM1317" s="2">
        <v>0.9</v>
      </c>
      <c r="BN1317" s="2">
        <v>7.5</v>
      </c>
      <c r="BO1317" s="2">
        <v>2.9</v>
      </c>
      <c r="BP1317" s="2">
        <f t="shared" si="40"/>
        <v>5.9377157645353433</v>
      </c>
      <c r="BQ1317" s="2">
        <f t="shared" si="41"/>
        <v>18.63376385908813</v>
      </c>
    </row>
    <row r="1318" spans="1:69" x14ac:dyDescent="0.2">
      <c r="A1318" s="2" t="s">
        <v>3334</v>
      </c>
      <c r="B1318" s="2" t="s">
        <v>47</v>
      </c>
      <c r="C1318" s="2" t="s">
        <v>3273</v>
      </c>
      <c r="D1318" s="2" t="s">
        <v>49</v>
      </c>
      <c r="E1318" s="2" t="s">
        <v>2500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89</v>
      </c>
      <c r="L1318" s="6" t="s">
        <v>90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3335</v>
      </c>
      <c r="R1318" s="2">
        <v>31878787.879999999</v>
      </c>
      <c r="S1318" s="2">
        <v>0</v>
      </c>
      <c r="T1318" s="2" t="s">
        <v>54</v>
      </c>
      <c r="U1318" s="2" t="s">
        <v>55</v>
      </c>
      <c r="V1318" s="2" t="s">
        <v>56</v>
      </c>
      <c r="W1318" s="2" t="s">
        <v>57</v>
      </c>
      <c r="X1318" s="2" t="s">
        <v>58</v>
      </c>
      <c r="Y1318" s="2">
        <v>2.5467879479722999</v>
      </c>
      <c r="Z1318" s="2">
        <v>2546.7879479723001</v>
      </c>
      <c r="AA1318" s="2">
        <v>4.6584666666666701</v>
      </c>
      <c r="AB1318" s="2">
        <v>-74.083966666666697</v>
      </c>
      <c r="AC1318" s="2">
        <v>2552</v>
      </c>
      <c r="AD1318" s="2">
        <v>0</v>
      </c>
      <c r="AE1318" s="2" t="s">
        <v>59</v>
      </c>
      <c r="AF1318" s="2" t="s">
        <v>60</v>
      </c>
      <c r="AG1318" s="2" t="s">
        <v>61</v>
      </c>
      <c r="AH1318" s="2" t="s">
        <v>62</v>
      </c>
      <c r="AI1318" s="2" t="s">
        <v>321</v>
      </c>
      <c r="AJ1318" s="2">
        <v>0.136890712308541</v>
      </c>
      <c r="AK1318" s="2">
        <v>2.3076183359975002</v>
      </c>
      <c r="AL1318" s="2">
        <v>0.80888925508398402</v>
      </c>
      <c r="AM1318" s="2">
        <v>0.12815544697217901</v>
      </c>
      <c r="AN1318" s="2">
        <v>1.89867080334959</v>
      </c>
      <c r="AO1318" s="2">
        <v>4.7779363435587897E-2</v>
      </c>
      <c r="AP1318" s="2">
        <v>4.7779363435587897E-2</v>
      </c>
      <c r="AQ1318" s="2">
        <v>2</v>
      </c>
      <c r="AR1318" s="2">
        <v>9</v>
      </c>
      <c r="AS1318" s="2">
        <v>0</v>
      </c>
      <c r="AT1318" s="2">
        <v>0</v>
      </c>
      <c r="AU1318" s="2">
        <v>4</v>
      </c>
      <c r="AV1318" s="2">
        <v>230</v>
      </c>
      <c r="AW1318" s="2">
        <v>0</v>
      </c>
      <c r="AX1318" s="2">
        <v>0</v>
      </c>
      <c r="AZ1318" s="2">
        <v>6.8</v>
      </c>
      <c r="BA1318" s="2">
        <v>19.899999999999999</v>
      </c>
      <c r="BB1318" s="2">
        <v>564</v>
      </c>
      <c r="BC1318" s="2">
        <v>68</v>
      </c>
      <c r="BD1318" s="2">
        <v>1.5</v>
      </c>
      <c r="BE1318" s="2">
        <v>135</v>
      </c>
      <c r="BF1318" s="2">
        <v>0.8</v>
      </c>
      <c r="BG1318" s="2">
        <v>162</v>
      </c>
      <c r="BH1318" s="2">
        <v>9.1</v>
      </c>
      <c r="BI1318" s="2">
        <v>9.1999999999999993</v>
      </c>
      <c r="BJ1318" s="2">
        <v>18.3</v>
      </c>
      <c r="BK1318" s="2">
        <v>0.34</v>
      </c>
      <c r="BL1318" s="2">
        <v>7.3</v>
      </c>
      <c r="BM1318" s="2">
        <v>0.9</v>
      </c>
      <c r="BN1318" s="2">
        <v>7.5</v>
      </c>
      <c r="BO1318" s="2">
        <v>2.9</v>
      </c>
      <c r="BP1318" s="2">
        <f t="shared" si="40"/>
        <v>5.9945852819115446</v>
      </c>
      <c r="BQ1318" s="2">
        <f t="shared" si="41"/>
        <v>18.720081430860446</v>
      </c>
    </row>
    <row r="1319" spans="1:69" x14ac:dyDescent="0.2">
      <c r="A1319" s="2" t="s">
        <v>4476</v>
      </c>
      <c r="B1319" s="2" t="s">
        <v>47</v>
      </c>
      <c r="C1319" s="2" t="s">
        <v>3273</v>
      </c>
      <c r="D1319" s="2" t="s">
        <v>49</v>
      </c>
      <c r="E1319" s="2" t="s">
        <v>111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89</v>
      </c>
      <c r="L1319" s="6" t="s">
        <v>90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4477</v>
      </c>
      <c r="R1319" s="2">
        <v>18750000</v>
      </c>
      <c r="S1319" s="2">
        <v>0</v>
      </c>
      <c r="T1319" s="2" t="s">
        <v>54</v>
      </c>
      <c r="U1319" s="2" t="s">
        <v>55</v>
      </c>
      <c r="V1319" s="2" t="s">
        <v>56</v>
      </c>
      <c r="W1319" s="2" t="s">
        <v>57</v>
      </c>
      <c r="X1319" s="2" t="s">
        <v>58</v>
      </c>
      <c r="Y1319" s="2">
        <v>4.0530113881987999</v>
      </c>
      <c r="Z1319" s="2">
        <v>4053.0113881988</v>
      </c>
      <c r="AA1319" s="2">
        <v>4.6584666666666701</v>
      </c>
      <c r="AB1319" s="2">
        <v>-74.083966666666697</v>
      </c>
      <c r="AC1319" s="2">
        <v>2552</v>
      </c>
      <c r="AD1319" s="2">
        <v>0</v>
      </c>
      <c r="AE1319" s="2" t="s">
        <v>59</v>
      </c>
      <c r="AF1319" s="2" t="s">
        <v>60</v>
      </c>
      <c r="AG1319" s="2" t="s">
        <v>61</v>
      </c>
      <c r="AH1319" s="2" t="s">
        <v>62</v>
      </c>
      <c r="AI1319" s="2" t="s">
        <v>109</v>
      </c>
      <c r="AJ1319" s="2">
        <v>0.71107756185800997</v>
      </c>
      <c r="AK1319" s="2">
        <v>1.45426260712171</v>
      </c>
      <c r="AL1319" s="2">
        <v>0.92484920510178303</v>
      </c>
      <c r="AM1319" s="2">
        <v>2.59368528508668E-2</v>
      </c>
      <c r="AN1319" s="2">
        <v>3.2511508646994098</v>
      </c>
      <c r="AO1319" s="2">
        <v>0.74403925435608798</v>
      </c>
      <c r="AP1319" s="2">
        <v>0.74403925435608798</v>
      </c>
      <c r="AQ1319" s="2">
        <v>0</v>
      </c>
      <c r="AR1319" s="2">
        <v>3</v>
      </c>
      <c r="AS1319" s="2">
        <v>0</v>
      </c>
      <c r="AT1319" s="2">
        <v>0</v>
      </c>
      <c r="AU1319" s="2">
        <v>2</v>
      </c>
      <c r="AV1319" s="2">
        <v>236</v>
      </c>
      <c r="AW1319" s="2">
        <v>0</v>
      </c>
      <c r="AX1319" s="2">
        <v>0</v>
      </c>
      <c r="AZ1319" s="2">
        <v>6.8</v>
      </c>
      <c r="BA1319" s="2">
        <v>19.899999999999999</v>
      </c>
      <c r="BB1319" s="2">
        <v>564</v>
      </c>
      <c r="BC1319" s="2">
        <v>68</v>
      </c>
      <c r="BD1319" s="2">
        <v>1.5</v>
      </c>
      <c r="BE1319" s="2">
        <v>135</v>
      </c>
      <c r="BF1319" s="2">
        <v>0.8</v>
      </c>
      <c r="BG1319" s="2">
        <v>162</v>
      </c>
      <c r="BH1319" s="2">
        <v>9.1</v>
      </c>
      <c r="BI1319" s="2">
        <v>9.1999999999999993</v>
      </c>
      <c r="BJ1319" s="2">
        <v>18.3</v>
      </c>
      <c r="BK1319" s="2">
        <v>0.34</v>
      </c>
      <c r="BL1319" s="2">
        <v>7.3</v>
      </c>
      <c r="BM1319" s="2">
        <v>0.9</v>
      </c>
      <c r="BN1319" s="2">
        <v>7.5</v>
      </c>
      <c r="BO1319" s="2">
        <v>2.9</v>
      </c>
      <c r="BP1319" s="2">
        <f t="shared" si="40"/>
        <v>5.5638958117650494</v>
      </c>
      <c r="BQ1319" s="2">
        <f t="shared" si="41"/>
        <v>18.055447836073181</v>
      </c>
    </row>
    <row r="1320" spans="1:69" x14ac:dyDescent="0.2">
      <c r="A1320" s="2" t="s">
        <v>4193</v>
      </c>
      <c r="B1320" s="2" t="s">
        <v>47</v>
      </c>
      <c r="C1320" s="2" t="s">
        <v>3273</v>
      </c>
      <c r="D1320" s="2" t="s">
        <v>49</v>
      </c>
      <c r="E1320" s="2" t="s">
        <v>109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89</v>
      </c>
      <c r="L1320" s="6" t="s">
        <v>90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4194</v>
      </c>
      <c r="R1320" s="2">
        <v>13718750</v>
      </c>
      <c r="S1320" s="2">
        <v>0</v>
      </c>
      <c r="T1320" s="2" t="s">
        <v>105</v>
      </c>
      <c r="U1320" s="2" t="s">
        <v>106</v>
      </c>
      <c r="V1320" s="2" t="s">
        <v>56</v>
      </c>
      <c r="W1320" s="2" t="s">
        <v>107</v>
      </c>
      <c r="X1320" s="2" t="s">
        <v>108</v>
      </c>
      <c r="Y1320" s="2">
        <v>2.3553521790118199</v>
      </c>
      <c r="Z1320" s="2">
        <v>2355.3521790118202</v>
      </c>
      <c r="AA1320" s="2">
        <v>4.6254861111111101</v>
      </c>
      <c r="AB1320" s="2">
        <v>-74.066980555555503</v>
      </c>
      <c r="AC1320" s="2">
        <v>2621</v>
      </c>
      <c r="AD1320" s="2">
        <v>15</v>
      </c>
      <c r="AE1320" s="2" t="s">
        <v>59</v>
      </c>
      <c r="AF1320" s="2" t="s">
        <v>60</v>
      </c>
      <c r="AG1320" s="2" t="s">
        <v>61</v>
      </c>
      <c r="AH1320" s="2" t="s">
        <v>62</v>
      </c>
      <c r="AI1320" s="2" t="s">
        <v>109</v>
      </c>
      <c r="AJ1320" s="2">
        <v>0.361056780610435</v>
      </c>
      <c r="AK1320" s="2">
        <v>0.79614683255112695</v>
      </c>
      <c r="AL1320" s="2">
        <v>0.16532030121402599</v>
      </c>
      <c r="AM1320" s="2">
        <v>0.16164885477369101</v>
      </c>
      <c r="AN1320" s="2">
        <v>0.67876942595817003</v>
      </c>
      <c r="AO1320" s="2">
        <v>0.40269990647514298</v>
      </c>
      <c r="AP1320" s="2">
        <v>0.40269990647514298</v>
      </c>
      <c r="AQ1320" s="2">
        <v>1</v>
      </c>
      <c r="AR1320" s="2">
        <v>3</v>
      </c>
      <c r="AS1320" s="2">
        <v>0</v>
      </c>
      <c r="AT1320" s="2">
        <v>9</v>
      </c>
      <c r="AU1320" s="2">
        <v>13</v>
      </c>
      <c r="AV1320" s="2">
        <v>85</v>
      </c>
      <c r="AW1320" s="2">
        <v>1</v>
      </c>
      <c r="AX1320" s="2">
        <v>0</v>
      </c>
      <c r="AZ1320" s="2">
        <v>6.8</v>
      </c>
      <c r="BA1320" s="2">
        <v>19.899999999999999</v>
      </c>
      <c r="BB1320" s="2">
        <v>564</v>
      </c>
      <c r="BC1320" s="2">
        <v>68</v>
      </c>
      <c r="BD1320" s="2">
        <v>1.5</v>
      </c>
      <c r="BE1320" s="2">
        <v>135</v>
      </c>
      <c r="BF1320" s="2">
        <v>0.8</v>
      </c>
      <c r="BG1320" s="2">
        <v>162</v>
      </c>
      <c r="BH1320" s="2">
        <v>9.1</v>
      </c>
      <c r="BI1320" s="2">
        <v>9.1999999999999993</v>
      </c>
      <c r="BJ1320" s="2">
        <v>18.3</v>
      </c>
      <c r="BK1320" s="2">
        <v>0.34</v>
      </c>
      <c r="BL1320" s="2">
        <v>7.3</v>
      </c>
      <c r="BM1320" s="2">
        <v>0.9</v>
      </c>
      <c r="BN1320" s="2">
        <v>7.5</v>
      </c>
      <c r="BO1320" s="2">
        <v>2.9</v>
      </c>
      <c r="BP1320" s="2">
        <f t="shared" si="40"/>
        <v>6.0516603918346492</v>
      </c>
      <c r="BQ1320" s="2">
        <f t="shared" si="41"/>
        <v>18.806287951764393</v>
      </c>
    </row>
    <row r="1321" spans="1:69" x14ac:dyDescent="0.2">
      <c r="A1321" s="2" t="s">
        <v>3542</v>
      </c>
      <c r="B1321" s="2" t="s">
        <v>47</v>
      </c>
      <c r="C1321" s="2" t="s">
        <v>3273</v>
      </c>
      <c r="D1321" s="2" t="s">
        <v>49</v>
      </c>
      <c r="E1321" s="2" t="s">
        <v>927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89</v>
      </c>
      <c r="L1321" s="6" t="s">
        <v>90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3543</v>
      </c>
      <c r="R1321" s="2">
        <v>13125000</v>
      </c>
      <c r="S1321" s="2">
        <v>0</v>
      </c>
      <c r="T1321" s="2" t="s">
        <v>105</v>
      </c>
      <c r="U1321" s="2" t="s">
        <v>106</v>
      </c>
      <c r="V1321" s="2" t="s">
        <v>56</v>
      </c>
      <c r="W1321" s="2" t="s">
        <v>107</v>
      </c>
      <c r="X1321" s="2" t="s">
        <v>108</v>
      </c>
      <c r="Y1321" s="2">
        <v>1.19693941596141</v>
      </c>
      <c r="Z1321" s="2">
        <v>1196.9394159614101</v>
      </c>
      <c r="AA1321" s="2">
        <v>4.6254861111111101</v>
      </c>
      <c r="AB1321" s="2">
        <v>-74.066980555555503</v>
      </c>
      <c r="AC1321" s="2">
        <v>2621</v>
      </c>
      <c r="AD1321" s="2">
        <v>15</v>
      </c>
      <c r="AE1321" s="2" t="s">
        <v>59</v>
      </c>
      <c r="AF1321" s="2" t="s">
        <v>60</v>
      </c>
      <c r="AG1321" s="2" t="s">
        <v>61</v>
      </c>
      <c r="AH1321" s="2" t="s">
        <v>62</v>
      </c>
      <c r="AI1321" s="2" t="s">
        <v>109</v>
      </c>
      <c r="AJ1321" s="2">
        <v>0.26162897487648601</v>
      </c>
      <c r="AK1321" s="2">
        <v>0.61759708874596997</v>
      </c>
      <c r="AL1321" s="2">
        <v>0.22924936466944601</v>
      </c>
      <c r="AM1321" s="2">
        <v>1.1488725060239501E-2</v>
      </c>
      <c r="AN1321" s="2">
        <v>0.95406265438314697</v>
      </c>
      <c r="AO1321" s="2">
        <v>8.0939445853641101E-3</v>
      </c>
      <c r="AP1321" s="2">
        <v>8.0939445853641101E-3</v>
      </c>
      <c r="AQ1321" s="2">
        <v>2</v>
      </c>
      <c r="AR1321" s="2">
        <v>4</v>
      </c>
      <c r="AS1321" s="2">
        <v>0</v>
      </c>
      <c r="AT1321" s="2">
        <v>24</v>
      </c>
      <c r="AU1321" s="2">
        <v>12</v>
      </c>
      <c r="AV1321" s="2">
        <v>153</v>
      </c>
      <c r="AW1321" s="2">
        <v>2</v>
      </c>
      <c r="AX1321" s="2">
        <v>0</v>
      </c>
      <c r="AZ1321" s="2">
        <v>6.8</v>
      </c>
      <c r="BA1321" s="2">
        <v>19.899999999999999</v>
      </c>
      <c r="BB1321" s="2">
        <v>564</v>
      </c>
      <c r="BC1321" s="2">
        <v>68</v>
      </c>
      <c r="BD1321" s="2">
        <v>1.5</v>
      </c>
      <c r="BE1321" s="2">
        <v>135</v>
      </c>
      <c r="BF1321" s="2">
        <v>0.8</v>
      </c>
      <c r="BG1321" s="2">
        <v>162</v>
      </c>
      <c r="BH1321" s="2">
        <v>9.1</v>
      </c>
      <c r="BI1321" s="2">
        <v>9.1999999999999993</v>
      </c>
      <c r="BJ1321" s="2">
        <v>18.3</v>
      </c>
      <c r="BK1321" s="2">
        <v>0.34</v>
      </c>
      <c r="BL1321" s="2">
        <v>7.3</v>
      </c>
      <c r="BM1321" s="2">
        <v>0.9</v>
      </c>
      <c r="BN1321" s="2">
        <v>7.5</v>
      </c>
      <c r="BO1321" s="2">
        <v>2.9</v>
      </c>
      <c r="BP1321" s="2">
        <f t="shared" si="40"/>
        <v>6.4088132352956784</v>
      </c>
      <c r="BQ1321" s="2">
        <f t="shared" si="41"/>
        <v>19.336474556629291</v>
      </c>
    </row>
    <row r="1322" spans="1:69" x14ac:dyDescent="0.2">
      <c r="A1322" s="2" t="s">
        <v>3551</v>
      </c>
      <c r="B1322" s="2" t="s">
        <v>47</v>
      </c>
      <c r="C1322" s="2" t="s">
        <v>3273</v>
      </c>
      <c r="D1322" s="2" t="s">
        <v>49</v>
      </c>
      <c r="E1322" s="2" t="s">
        <v>3552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89</v>
      </c>
      <c r="L1322" s="6" t="s">
        <v>90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3553</v>
      </c>
      <c r="R1322" s="2">
        <v>14360313.32</v>
      </c>
      <c r="S1322" s="2">
        <v>0</v>
      </c>
      <c r="T1322" s="2" t="s">
        <v>105</v>
      </c>
      <c r="U1322" s="2" t="s">
        <v>106</v>
      </c>
      <c r="V1322" s="2" t="s">
        <v>56</v>
      </c>
      <c r="W1322" s="2" t="s">
        <v>107</v>
      </c>
      <c r="X1322" s="2" t="s">
        <v>108</v>
      </c>
      <c r="Y1322" s="2">
        <v>2.63210802907262</v>
      </c>
      <c r="Z1322" s="2">
        <v>2632.10802907262</v>
      </c>
      <c r="AA1322" s="2">
        <v>4.6254861111111101</v>
      </c>
      <c r="AB1322" s="2">
        <v>-74.066980555555503</v>
      </c>
      <c r="AC1322" s="2">
        <v>2621</v>
      </c>
      <c r="AD1322" s="2">
        <v>15</v>
      </c>
      <c r="AE1322" s="2" t="s">
        <v>59</v>
      </c>
      <c r="AF1322" s="2" t="s">
        <v>60</v>
      </c>
      <c r="AG1322" s="2" t="s">
        <v>61</v>
      </c>
      <c r="AH1322" s="2" t="s">
        <v>62</v>
      </c>
      <c r="AI1322" s="2" t="s">
        <v>117</v>
      </c>
      <c r="AJ1322" s="2">
        <v>0.17628200858970999</v>
      </c>
      <c r="AK1322" s="2">
        <v>0.67997626349955098</v>
      </c>
      <c r="AL1322" s="2">
        <v>0.23097141726849499</v>
      </c>
      <c r="AM1322" s="2">
        <v>0.18805069877057701</v>
      </c>
      <c r="AN1322" s="2">
        <v>1.51698076232245</v>
      </c>
      <c r="AO1322" s="2">
        <v>0.135548028370063</v>
      </c>
      <c r="AP1322" s="2">
        <v>0.135548028370063</v>
      </c>
      <c r="AQ1322" s="2">
        <v>3</v>
      </c>
      <c r="AR1322" s="2">
        <v>6</v>
      </c>
      <c r="AS1322" s="2">
        <v>0</v>
      </c>
      <c r="AT1322" s="2">
        <v>50</v>
      </c>
      <c r="AU1322" s="2">
        <v>14</v>
      </c>
      <c r="AV1322" s="2">
        <v>50</v>
      </c>
      <c r="AW1322" s="2">
        <v>0</v>
      </c>
      <c r="AX1322" s="2">
        <v>7</v>
      </c>
      <c r="AZ1322" s="2">
        <v>6.8</v>
      </c>
      <c r="BA1322" s="2">
        <v>19.899999999999999</v>
      </c>
      <c r="BB1322" s="2">
        <v>564</v>
      </c>
      <c r="BC1322" s="2">
        <v>68</v>
      </c>
      <c r="BD1322" s="2">
        <v>1.5</v>
      </c>
      <c r="BE1322" s="2">
        <v>135</v>
      </c>
      <c r="BF1322" s="2">
        <v>0.8</v>
      </c>
      <c r="BG1322" s="2">
        <v>162</v>
      </c>
      <c r="BH1322" s="2">
        <v>9.1</v>
      </c>
      <c r="BI1322" s="2">
        <v>9.1999999999999993</v>
      </c>
      <c r="BJ1322" s="2">
        <v>18.3</v>
      </c>
      <c r="BK1322" s="2">
        <v>0.34</v>
      </c>
      <c r="BL1322" s="2">
        <v>7.3</v>
      </c>
      <c r="BM1322" s="2">
        <v>0.9</v>
      </c>
      <c r="BN1322" s="2">
        <v>7.5</v>
      </c>
      <c r="BO1322" s="2">
        <v>2.9</v>
      </c>
      <c r="BP1322" s="2">
        <f t="shared" si="40"/>
        <v>5.9693214724729327</v>
      </c>
      <c r="BQ1322" s="2">
        <f t="shared" si="41"/>
        <v>18.681787877968063</v>
      </c>
    </row>
    <row r="1323" spans="1:69" x14ac:dyDescent="0.2">
      <c r="A1323" s="2" t="s">
        <v>3958</v>
      </c>
      <c r="B1323" s="2" t="s">
        <v>47</v>
      </c>
      <c r="C1323" s="2" t="s">
        <v>3273</v>
      </c>
      <c r="D1323" s="2" t="s">
        <v>49</v>
      </c>
      <c r="E1323" s="2" t="s">
        <v>3959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89</v>
      </c>
      <c r="L1323" s="6" t="s">
        <v>90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3960</v>
      </c>
      <c r="R1323" s="2">
        <v>16666666.67</v>
      </c>
      <c r="S1323" s="2">
        <v>0</v>
      </c>
      <c r="T1323" s="2" t="s">
        <v>105</v>
      </c>
      <c r="U1323" s="2" t="s">
        <v>106</v>
      </c>
      <c r="V1323" s="2" t="s">
        <v>56</v>
      </c>
      <c r="W1323" s="2" t="s">
        <v>107</v>
      </c>
      <c r="X1323" s="2" t="s">
        <v>108</v>
      </c>
      <c r="Y1323" s="2">
        <v>2.6775369153745001</v>
      </c>
      <c r="Z1323" s="2">
        <v>2677.5369153745</v>
      </c>
      <c r="AA1323" s="2">
        <v>4.6254861111111101</v>
      </c>
      <c r="AB1323" s="2">
        <v>-74.066980555555503</v>
      </c>
      <c r="AC1323" s="2">
        <v>2621</v>
      </c>
      <c r="AD1323" s="2">
        <v>15</v>
      </c>
      <c r="AE1323" s="2" t="s">
        <v>59</v>
      </c>
      <c r="AF1323" s="2" t="s">
        <v>60</v>
      </c>
      <c r="AG1323" s="2" t="s">
        <v>61</v>
      </c>
      <c r="AH1323" s="2" t="s">
        <v>62</v>
      </c>
      <c r="AI1323" s="2" t="s">
        <v>267</v>
      </c>
      <c r="AJ1323" s="2">
        <v>0.66743251898662503</v>
      </c>
      <c r="AK1323" s="2">
        <v>3.1337604789985098</v>
      </c>
      <c r="AL1323" s="2">
        <v>1.5332800914459901</v>
      </c>
      <c r="AM1323" s="2">
        <v>6.5377647119212901E-2</v>
      </c>
      <c r="AN1323" s="2">
        <v>1.4308107403660699</v>
      </c>
      <c r="AO1323" s="2">
        <v>0.54905754830896403</v>
      </c>
      <c r="AP1323" s="2">
        <v>0.54905754830896403</v>
      </c>
      <c r="AQ1323" s="2">
        <v>0</v>
      </c>
      <c r="AR1323" s="2">
        <v>4</v>
      </c>
      <c r="AS1323" s="2">
        <v>0</v>
      </c>
      <c r="AT1323" s="2">
        <v>0</v>
      </c>
      <c r="AU1323" s="2">
        <v>0</v>
      </c>
      <c r="AV1323" s="2">
        <v>16</v>
      </c>
      <c r="AW1323" s="2">
        <v>0</v>
      </c>
      <c r="AX1323" s="2">
        <v>0</v>
      </c>
      <c r="AZ1323" s="2">
        <v>6.8</v>
      </c>
      <c r="BA1323" s="2">
        <v>19.899999999999999</v>
      </c>
      <c r="BB1323" s="2">
        <v>564</v>
      </c>
      <c r="BC1323" s="2">
        <v>68</v>
      </c>
      <c r="BD1323" s="2">
        <v>1.5</v>
      </c>
      <c r="BE1323" s="2">
        <v>135</v>
      </c>
      <c r="BF1323" s="2">
        <v>0.8</v>
      </c>
      <c r="BG1323" s="2">
        <v>162</v>
      </c>
      <c r="BH1323" s="2">
        <v>9.1</v>
      </c>
      <c r="BI1323" s="2">
        <v>9.1999999999999993</v>
      </c>
      <c r="BJ1323" s="2">
        <v>18.3</v>
      </c>
      <c r="BK1323" s="2">
        <v>0.34</v>
      </c>
      <c r="BL1323" s="2">
        <v>7.3</v>
      </c>
      <c r="BM1323" s="2">
        <v>0.9</v>
      </c>
      <c r="BN1323" s="2">
        <v>7.5</v>
      </c>
      <c r="BO1323" s="2">
        <v>2.9</v>
      </c>
      <c r="BP1323" s="2">
        <f t="shared" si="40"/>
        <v>5.9559131624464419</v>
      </c>
      <c r="BQ1323" s="2">
        <f t="shared" si="41"/>
        <v>18.661430350204302</v>
      </c>
    </row>
    <row r="1324" spans="1:69" x14ac:dyDescent="0.2">
      <c r="A1324" s="2" t="s">
        <v>3357</v>
      </c>
      <c r="B1324" s="2" t="s">
        <v>47</v>
      </c>
      <c r="C1324" s="2" t="s">
        <v>3273</v>
      </c>
      <c r="D1324" s="2" t="s">
        <v>49</v>
      </c>
      <c r="E1324" s="2" t="s">
        <v>1077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89</v>
      </c>
      <c r="L1324" s="6" t="s">
        <v>90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3358</v>
      </c>
      <c r="R1324" s="2">
        <v>15666666.67</v>
      </c>
      <c r="S1324" s="2">
        <v>0</v>
      </c>
      <c r="T1324" s="2" t="s">
        <v>105</v>
      </c>
      <c r="U1324" s="2" t="s">
        <v>106</v>
      </c>
      <c r="V1324" s="2" t="s">
        <v>56</v>
      </c>
      <c r="W1324" s="2" t="s">
        <v>107</v>
      </c>
      <c r="X1324" s="2" t="s">
        <v>108</v>
      </c>
      <c r="Y1324" s="2">
        <v>2.3672918568659398</v>
      </c>
      <c r="Z1324" s="2">
        <v>2367.2918568659402</v>
      </c>
      <c r="AA1324" s="2">
        <v>4.6254861111111101</v>
      </c>
      <c r="AB1324" s="2">
        <v>-74.066980555555503</v>
      </c>
      <c r="AC1324" s="2">
        <v>2621</v>
      </c>
      <c r="AD1324" s="2">
        <v>15</v>
      </c>
      <c r="AE1324" s="2" t="s">
        <v>59</v>
      </c>
      <c r="AF1324" s="2" t="s">
        <v>60</v>
      </c>
      <c r="AG1324" s="2" t="s">
        <v>61</v>
      </c>
      <c r="AH1324" s="2" t="s">
        <v>62</v>
      </c>
      <c r="AI1324" s="2" t="s">
        <v>117</v>
      </c>
      <c r="AJ1324" s="2">
        <v>0.25230736745610899</v>
      </c>
      <c r="AK1324" s="2">
        <v>0.60247651624883403</v>
      </c>
      <c r="AL1324" s="2">
        <v>0.22368280090843801</v>
      </c>
      <c r="AM1324" s="2">
        <v>2.8440013202581601E-2</v>
      </c>
      <c r="AN1324" s="2">
        <v>1.2603250787068401</v>
      </c>
      <c r="AO1324" s="2">
        <v>4.1660420676381503E-2</v>
      </c>
      <c r="AP1324" s="2">
        <v>4.1660420676381503E-2</v>
      </c>
      <c r="AQ1324" s="2">
        <v>2</v>
      </c>
      <c r="AR1324" s="2">
        <v>8</v>
      </c>
      <c r="AS1324" s="2">
        <v>0</v>
      </c>
      <c r="AT1324" s="2">
        <v>35</v>
      </c>
      <c r="AU1324" s="2">
        <v>12</v>
      </c>
      <c r="AV1324" s="2">
        <v>50</v>
      </c>
      <c r="AW1324" s="2">
        <v>0</v>
      </c>
      <c r="AX1324" s="2">
        <v>8</v>
      </c>
      <c r="AZ1324" s="2">
        <v>6.8</v>
      </c>
      <c r="BA1324" s="2">
        <v>19.899999999999999</v>
      </c>
      <c r="BB1324" s="2">
        <v>564</v>
      </c>
      <c r="BC1324" s="2">
        <v>68</v>
      </c>
      <c r="BD1324" s="2">
        <v>1.5</v>
      </c>
      <c r="BE1324" s="2">
        <v>135</v>
      </c>
      <c r="BF1324" s="2">
        <v>0.8</v>
      </c>
      <c r="BG1324" s="2">
        <v>162</v>
      </c>
      <c r="BH1324" s="2">
        <v>9.1</v>
      </c>
      <c r="BI1324" s="2">
        <v>9.1999999999999993</v>
      </c>
      <c r="BJ1324" s="2">
        <v>18.3</v>
      </c>
      <c r="BK1324" s="2">
        <v>0.34</v>
      </c>
      <c r="BL1324" s="2">
        <v>7.3</v>
      </c>
      <c r="BM1324" s="2">
        <v>0.9</v>
      </c>
      <c r="BN1324" s="2">
        <v>7.5</v>
      </c>
      <c r="BO1324" s="2">
        <v>2.9</v>
      </c>
      <c r="BP1324" s="2">
        <f t="shared" si="40"/>
        <v>6.0480848322014529</v>
      </c>
      <c r="BQ1324" s="2">
        <f t="shared" si="41"/>
        <v>18.800899739328887</v>
      </c>
    </row>
    <row r="1325" spans="1:69" x14ac:dyDescent="0.2">
      <c r="A1325" s="2" t="s">
        <v>4162</v>
      </c>
      <c r="B1325" s="2" t="s">
        <v>47</v>
      </c>
      <c r="C1325" s="2" t="s">
        <v>3273</v>
      </c>
      <c r="D1325" s="2" t="s">
        <v>49</v>
      </c>
      <c r="E1325" s="2" t="s">
        <v>2500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89</v>
      </c>
      <c r="L1325" s="6" t="s">
        <v>90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4163</v>
      </c>
      <c r="R1325" s="2">
        <v>23357664.23</v>
      </c>
      <c r="S1325" s="2">
        <v>0</v>
      </c>
      <c r="T1325" s="2" t="s">
        <v>54</v>
      </c>
      <c r="U1325" s="2" t="s">
        <v>55</v>
      </c>
      <c r="V1325" s="2" t="s">
        <v>56</v>
      </c>
      <c r="W1325" s="2" t="s">
        <v>57</v>
      </c>
      <c r="X1325" s="2" t="s">
        <v>58</v>
      </c>
      <c r="Y1325" s="2">
        <v>2.5530597955163099</v>
      </c>
      <c r="Z1325" s="2">
        <v>2553.0597955163098</v>
      </c>
      <c r="AA1325" s="2">
        <v>4.6584666666666701</v>
      </c>
      <c r="AB1325" s="2">
        <v>-74.083966666666697</v>
      </c>
      <c r="AC1325" s="2">
        <v>2552</v>
      </c>
      <c r="AD1325" s="2">
        <v>0</v>
      </c>
      <c r="AE1325" s="2" t="s">
        <v>59</v>
      </c>
      <c r="AF1325" s="2" t="s">
        <v>60</v>
      </c>
      <c r="AG1325" s="2" t="s">
        <v>61</v>
      </c>
      <c r="AH1325" s="2" t="s">
        <v>62</v>
      </c>
      <c r="AI1325" s="2" t="s">
        <v>321</v>
      </c>
      <c r="AJ1325" s="2">
        <v>7.3545681956696002E-2</v>
      </c>
      <c r="AK1325" s="2">
        <v>2.2526620581152499</v>
      </c>
      <c r="AL1325" s="2">
        <v>0.74943146700746099</v>
      </c>
      <c r="AM1325" s="2">
        <v>6.7409460054772899E-2</v>
      </c>
      <c r="AN1325" s="2">
        <v>1.9473204267744599</v>
      </c>
      <c r="AO1325" s="2">
        <v>7.7137130958816802E-2</v>
      </c>
      <c r="AP1325" s="2">
        <v>7.7137130958816802E-2</v>
      </c>
      <c r="AQ1325" s="2">
        <v>1</v>
      </c>
      <c r="AR1325" s="2">
        <v>9</v>
      </c>
      <c r="AS1325" s="2">
        <v>0</v>
      </c>
      <c r="AT1325" s="2">
        <v>0</v>
      </c>
      <c r="AU1325" s="2">
        <v>5</v>
      </c>
      <c r="AV1325" s="2">
        <v>229</v>
      </c>
      <c r="AW1325" s="2">
        <v>0</v>
      </c>
      <c r="AX1325" s="2">
        <v>0</v>
      </c>
      <c r="AZ1325" s="2">
        <v>6.8</v>
      </c>
      <c r="BA1325" s="2">
        <v>19.899999999999999</v>
      </c>
      <c r="BB1325" s="2">
        <v>564</v>
      </c>
      <c r="BC1325" s="2">
        <v>68</v>
      </c>
      <c r="BD1325" s="2">
        <v>1.5</v>
      </c>
      <c r="BE1325" s="2">
        <v>135</v>
      </c>
      <c r="BF1325" s="2">
        <v>0.8</v>
      </c>
      <c r="BG1325" s="2">
        <v>162</v>
      </c>
      <c r="BH1325" s="2">
        <v>9.1</v>
      </c>
      <c r="BI1325" s="2">
        <v>9.1999999999999993</v>
      </c>
      <c r="BJ1325" s="2">
        <v>18.3</v>
      </c>
      <c r="BK1325" s="2">
        <v>0.34</v>
      </c>
      <c r="BL1325" s="2">
        <v>7.3</v>
      </c>
      <c r="BM1325" s="2">
        <v>0.9</v>
      </c>
      <c r="BN1325" s="2">
        <v>7.5</v>
      </c>
      <c r="BO1325" s="2">
        <v>2.9</v>
      </c>
      <c r="BP1325" s="2">
        <f t="shared" si="40"/>
        <v>5.9927245130839388</v>
      </c>
      <c r="BQ1325" s="2">
        <f t="shared" si="41"/>
        <v>18.717263815003751</v>
      </c>
    </row>
    <row r="1326" spans="1:69" x14ac:dyDescent="0.2">
      <c r="A1326" s="2" t="s">
        <v>307</v>
      </c>
      <c r="B1326" s="2" t="s">
        <v>47</v>
      </c>
      <c r="C1326" s="2" t="s">
        <v>48</v>
      </c>
      <c r="D1326" s="2" t="s">
        <v>49</v>
      </c>
      <c r="E1326" s="2" t="s">
        <v>308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89</v>
      </c>
      <c r="L1326" s="6" t="s">
        <v>112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309</v>
      </c>
      <c r="R1326" s="2">
        <v>74950000</v>
      </c>
      <c r="S1326" s="2">
        <v>0</v>
      </c>
      <c r="T1326" s="2" t="s">
        <v>54</v>
      </c>
      <c r="U1326" s="2" t="s">
        <v>55</v>
      </c>
      <c r="V1326" s="2" t="s">
        <v>56</v>
      </c>
      <c r="W1326" s="2" t="s">
        <v>57</v>
      </c>
      <c r="X1326" s="2" t="s">
        <v>58</v>
      </c>
      <c r="Y1326" s="2">
        <v>3.9888160314299901</v>
      </c>
      <c r="Z1326" s="2">
        <v>3988.8160314299898</v>
      </c>
      <c r="AA1326" s="2">
        <v>4.6584666666666701</v>
      </c>
      <c r="AB1326" s="2">
        <v>-74.083966666666697</v>
      </c>
      <c r="AC1326" s="2">
        <v>2552</v>
      </c>
      <c r="AD1326" s="2">
        <v>0</v>
      </c>
      <c r="AE1326" s="2" t="s">
        <v>59</v>
      </c>
      <c r="AF1326" s="2" t="s">
        <v>60</v>
      </c>
      <c r="AG1326" s="2" t="s">
        <v>61</v>
      </c>
      <c r="AH1326" s="2" t="s">
        <v>62</v>
      </c>
      <c r="AI1326" s="2" t="s">
        <v>100</v>
      </c>
      <c r="AJ1326" s="2">
        <v>0.48544413650441798</v>
      </c>
      <c r="AK1326" s="2">
        <v>5.1427018674468199</v>
      </c>
      <c r="AL1326" s="2">
        <v>1.12054801333763</v>
      </c>
      <c r="AM1326" s="2">
        <v>0.42331405662289301</v>
      </c>
      <c r="AN1326" s="2">
        <v>2.2566457946676</v>
      </c>
      <c r="AO1326" s="2">
        <v>0.43777867381907698</v>
      </c>
      <c r="AP1326" s="2">
        <v>0.43777867381907698</v>
      </c>
      <c r="AQ1326" s="2">
        <v>1</v>
      </c>
      <c r="AR1326" s="2">
        <v>3</v>
      </c>
      <c r="AS1326" s="2">
        <v>0</v>
      </c>
      <c r="AT1326" s="2">
        <v>0</v>
      </c>
      <c r="AU1326" s="2">
        <v>0</v>
      </c>
      <c r="AV1326" s="2">
        <v>29</v>
      </c>
      <c r="AW1326" s="2">
        <v>0</v>
      </c>
      <c r="AX1326" s="2">
        <v>0</v>
      </c>
      <c r="AZ1326" s="2">
        <v>6.8</v>
      </c>
      <c r="BA1326" s="2">
        <v>19.899999999999999</v>
      </c>
      <c r="BB1326" s="2">
        <v>564</v>
      </c>
      <c r="BC1326" s="2">
        <v>68</v>
      </c>
      <c r="BD1326" s="2">
        <v>1.5</v>
      </c>
      <c r="BE1326" s="2">
        <v>135</v>
      </c>
      <c r="BF1326" s="2">
        <v>0.8</v>
      </c>
      <c r="BG1326" s="2">
        <v>162</v>
      </c>
      <c r="BH1326" s="2">
        <v>9.1</v>
      </c>
      <c r="BI1326" s="2">
        <v>9.1999999999999993</v>
      </c>
      <c r="BJ1326" s="2">
        <v>18.3</v>
      </c>
      <c r="BK1326" s="2">
        <v>0.34</v>
      </c>
      <c r="BL1326" s="2">
        <v>7.3</v>
      </c>
      <c r="BM1326" s="2">
        <v>0.9</v>
      </c>
      <c r="BN1326" s="2">
        <v>7.5</v>
      </c>
      <c r="BO1326" s="2">
        <v>2.9</v>
      </c>
      <c r="BP1326" s="2">
        <f t="shared" si="40"/>
        <v>5.58160415820082</v>
      </c>
      <c r="BQ1326" s="2">
        <f t="shared" si="41"/>
        <v>18.083287098353765</v>
      </c>
    </row>
    <row r="1327" spans="1:69" x14ac:dyDescent="0.2">
      <c r="A1327" s="2" t="s">
        <v>3015</v>
      </c>
      <c r="B1327" s="2" t="s">
        <v>47</v>
      </c>
      <c r="C1327" s="2" t="s">
        <v>1935</v>
      </c>
      <c r="D1327" s="2" t="s">
        <v>49</v>
      </c>
      <c r="E1327" s="2" t="s">
        <v>516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89</v>
      </c>
      <c r="L1327" s="6" t="s">
        <v>141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3016</v>
      </c>
      <c r="R1327" s="2">
        <v>5128205.1279999996</v>
      </c>
      <c r="S1327" s="2">
        <v>0</v>
      </c>
      <c r="T1327" s="2" t="s">
        <v>575</v>
      </c>
      <c r="U1327" s="2" t="s">
        <v>576</v>
      </c>
      <c r="V1327" s="2" t="s">
        <v>56</v>
      </c>
      <c r="W1327" s="2" t="s">
        <v>575</v>
      </c>
      <c r="X1327" s="2" t="s">
        <v>577</v>
      </c>
      <c r="Y1327" s="2">
        <v>3.0337511447165801</v>
      </c>
      <c r="Z1327" s="2">
        <v>3033.7511447165798</v>
      </c>
      <c r="AA1327" s="2">
        <v>4.5725527777777799</v>
      </c>
      <c r="AB1327" s="2">
        <v>-74.083813888888898</v>
      </c>
      <c r="AC1327" s="2">
        <v>2688</v>
      </c>
      <c r="AD1327" s="2">
        <v>0</v>
      </c>
      <c r="AE1327" s="2" t="s">
        <v>59</v>
      </c>
      <c r="AF1327" s="2" t="s">
        <v>86</v>
      </c>
      <c r="AG1327" s="2" t="s">
        <v>61</v>
      </c>
      <c r="AH1327" s="2" t="s">
        <v>62</v>
      </c>
      <c r="AI1327" s="2" t="s">
        <v>516</v>
      </c>
      <c r="AJ1327" s="2">
        <v>0.58529735178700504</v>
      </c>
      <c r="AK1327" s="2">
        <v>0.46758734995193502</v>
      </c>
      <c r="AL1327" s="2">
        <v>0.23986871032302301</v>
      </c>
      <c r="AM1327" s="2">
        <v>0.38928460976859203</v>
      </c>
      <c r="AN1327" s="2">
        <v>1.0758806727105299</v>
      </c>
      <c r="AO1327" s="2">
        <v>7.7383704889991698E-3</v>
      </c>
      <c r="AP1327" s="2">
        <v>7.7383704889991698E-3</v>
      </c>
      <c r="AQ1327" s="2">
        <v>0</v>
      </c>
      <c r="AR1327" s="2">
        <v>4</v>
      </c>
      <c r="AS1327" s="2">
        <v>4</v>
      </c>
      <c r="AT1327" s="2">
        <v>38</v>
      </c>
      <c r="AU1327" s="2">
        <v>12</v>
      </c>
      <c r="AV1327" s="2">
        <v>20</v>
      </c>
      <c r="AW1327" s="2">
        <v>0</v>
      </c>
      <c r="AX1327" s="2">
        <v>5</v>
      </c>
      <c r="AY1327" s="2">
        <v>14.7</v>
      </c>
      <c r="AZ1327" s="2">
        <v>6.8</v>
      </c>
      <c r="BA1327" s="2">
        <v>17.3</v>
      </c>
      <c r="BB1327" s="2">
        <v>564</v>
      </c>
      <c r="BC1327" s="2">
        <v>68</v>
      </c>
      <c r="BD1327" s="2">
        <v>1.3</v>
      </c>
      <c r="BE1327" s="2">
        <v>118</v>
      </c>
      <c r="BF1327" s="2">
        <v>25.2</v>
      </c>
      <c r="BG1327" s="2">
        <v>123</v>
      </c>
      <c r="BH1327" s="2">
        <v>7</v>
      </c>
      <c r="BI1327" s="2">
        <v>5.0999999999999996</v>
      </c>
      <c r="BJ1327" s="2">
        <v>12.1</v>
      </c>
      <c r="BK1327" s="2">
        <v>0.32</v>
      </c>
      <c r="BL1327" s="2">
        <v>9.8000000000000007</v>
      </c>
      <c r="BM1327" s="2">
        <v>1</v>
      </c>
      <c r="BN1327" s="2">
        <v>8.1</v>
      </c>
      <c r="BO1327" s="2">
        <v>1.3</v>
      </c>
      <c r="BP1327" s="2">
        <f t="shared" si="40"/>
        <v>5.8518153568678937</v>
      </c>
      <c r="BQ1327" s="2">
        <f t="shared" si="41"/>
        <v>16.085149805764186</v>
      </c>
    </row>
    <row r="1328" spans="1:69" x14ac:dyDescent="0.2">
      <c r="A1328" s="2" t="s">
        <v>2915</v>
      </c>
      <c r="B1328" s="2" t="s">
        <v>47</v>
      </c>
      <c r="C1328" s="2" t="s">
        <v>1935</v>
      </c>
      <c r="D1328" s="2" t="s">
        <v>49</v>
      </c>
      <c r="E1328" s="2" t="s">
        <v>2916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89</v>
      </c>
      <c r="L1328" s="6" t="s">
        <v>90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2917</v>
      </c>
      <c r="R1328" s="2">
        <v>3014705.8820000002</v>
      </c>
      <c r="S1328" s="2">
        <v>0</v>
      </c>
      <c r="T1328" s="2" t="s">
        <v>575</v>
      </c>
      <c r="U1328" s="2" t="s">
        <v>576</v>
      </c>
      <c r="V1328" s="2" t="s">
        <v>56</v>
      </c>
      <c r="W1328" s="2" t="s">
        <v>575</v>
      </c>
      <c r="X1328" s="2" t="s">
        <v>577</v>
      </c>
      <c r="Y1328" s="2">
        <v>2.2960697248248598</v>
      </c>
      <c r="Z1328" s="2">
        <v>2296.0697248248598</v>
      </c>
      <c r="AA1328" s="2">
        <v>4.5725527777777799</v>
      </c>
      <c r="AB1328" s="2">
        <v>-74.083813888888898</v>
      </c>
      <c r="AC1328" s="2">
        <v>2688</v>
      </c>
      <c r="AD1328" s="2">
        <v>0</v>
      </c>
      <c r="AE1328" s="2" t="s">
        <v>59</v>
      </c>
      <c r="AF1328" s="2" t="s">
        <v>86</v>
      </c>
      <c r="AG1328" s="2" t="s">
        <v>61</v>
      </c>
      <c r="AH1328" s="2" t="s">
        <v>62</v>
      </c>
      <c r="AI1328" s="2" t="s">
        <v>966</v>
      </c>
      <c r="AJ1328" s="2">
        <v>0.43195925871037799</v>
      </c>
      <c r="AK1328" s="2">
        <v>2.7689975740012001</v>
      </c>
      <c r="AL1328" s="2">
        <v>0.325455161026455</v>
      </c>
      <c r="AM1328" s="2">
        <v>0.210660315427809</v>
      </c>
      <c r="AN1328" s="2">
        <v>1.1333025368912999</v>
      </c>
      <c r="AO1328" s="2">
        <v>0.118155925567399</v>
      </c>
      <c r="AP1328" s="2">
        <v>0.118155925567399</v>
      </c>
      <c r="AQ1328" s="2">
        <v>2</v>
      </c>
      <c r="AR1328" s="2">
        <v>3</v>
      </c>
      <c r="AS1328" s="2">
        <v>0</v>
      </c>
      <c r="AT1328" s="2">
        <v>0</v>
      </c>
      <c r="AU1328" s="2">
        <v>2</v>
      </c>
      <c r="AV1328" s="2">
        <v>36</v>
      </c>
      <c r="AW1328" s="2">
        <v>0</v>
      </c>
      <c r="AX1328" s="2">
        <v>0</v>
      </c>
      <c r="AY1328" s="2">
        <v>14.7</v>
      </c>
      <c r="AZ1328" s="2">
        <v>6.8</v>
      </c>
      <c r="BA1328" s="2">
        <v>17.3</v>
      </c>
      <c r="BB1328" s="2">
        <v>564</v>
      </c>
      <c r="BC1328" s="2">
        <v>68</v>
      </c>
      <c r="BD1328" s="2">
        <v>1.3</v>
      </c>
      <c r="BE1328" s="2">
        <v>118</v>
      </c>
      <c r="BF1328" s="2">
        <v>25.2</v>
      </c>
      <c r="BG1328" s="2">
        <v>123</v>
      </c>
      <c r="BH1328" s="2">
        <v>7</v>
      </c>
      <c r="BI1328" s="2">
        <v>5.0999999999999996</v>
      </c>
      <c r="BJ1328" s="2">
        <v>12.1</v>
      </c>
      <c r="BK1328" s="2">
        <v>0.32</v>
      </c>
      <c r="BL1328" s="2">
        <v>9.8000000000000007</v>
      </c>
      <c r="BM1328" s="2">
        <v>1</v>
      </c>
      <c r="BN1328" s="2">
        <v>8.1</v>
      </c>
      <c r="BO1328" s="2">
        <v>1.3</v>
      </c>
      <c r="BP1328" s="2">
        <f t="shared" si="40"/>
        <v>6.0694449586702302</v>
      </c>
      <c r="BQ1328" s="2">
        <f t="shared" si="41"/>
        <v>16.372462834432227</v>
      </c>
    </row>
    <row r="1329" spans="1:69" x14ac:dyDescent="0.2">
      <c r="A1329" s="2" t="s">
        <v>3186</v>
      </c>
      <c r="B1329" s="2" t="s">
        <v>47</v>
      </c>
      <c r="C1329" s="2" t="s">
        <v>1935</v>
      </c>
      <c r="D1329" s="2" t="s">
        <v>49</v>
      </c>
      <c r="E1329" s="2" t="s">
        <v>2400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89</v>
      </c>
      <c r="L1329" s="6" t="s">
        <v>141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3187</v>
      </c>
      <c r="R1329" s="2">
        <v>4166666.6669999999</v>
      </c>
      <c r="S1329" s="2">
        <v>0</v>
      </c>
      <c r="T1329" s="2" t="s">
        <v>575</v>
      </c>
      <c r="U1329" s="2" t="s">
        <v>576</v>
      </c>
      <c r="V1329" s="2" t="s">
        <v>56</v>
      </c>
      <c r="W1329" s="2" t="s">
        <v>575</v>
      </c>
      <c r="X1329" s="2" t="s">
        <v>577</v>
      </c>
      <c r="Y1329" s="2">
        <v>2.4015847161697601</v>
      </c>
      <c r="Z1329" s="2">
        <v>2401.5847161697602</v>
      </c>
      <c r="AA1329" s="2">
        <v>4.5725527777777799</v>
      </c>
      <c r="AB1329" s="2">
        <v>-74.083813888888898</v>
      </c>
      <c r="AC1329" s="2">
        <v>2688</v>
      </c>
      <c r="AD1329" s="2">
        <v>0</v>
      </c>
      <c r="AE1329" s="2" t="s">
        <v>59</v>
      </c>
      <c r="AF1329" s="2" t="s">
        <v>86</v>
      </c>
      <c r="AG1329" s="2" t="s">
        <v>61</v>
      </c>
      <c r="AH1329" s="2" t="s">
        <v>62</v>
      </c>
      <c r="AI1329" s="2" t="s">
        <v>966</v>
      </c>
      <c r="AJ1329" s="2">
        <v>0.33131000180993497</v>
      </c>
      <c r="AK1329" s="2">
        <v>3.1829760171269701</v>
      </c>
      <c r="AL1329" s="2">
        <v>0.46820004500275803</v>
      </c>
      <c r="AM1329" s="2">
        <v>0.10827353605158201</v>
      </c>
      <c r="AN1329" s="2">
        <v>0.210304653806554</v>
      </c>
      <c r="AO1329" s="2">
        <v>0.22630238486954901</v>
      </c>
      <c r="AP1329" s="2">
        <v>0.22630238486954901</v>
      </c>
      <c r="AQ1329" s="2">
        <v>2</v>
      </c>
      <c r="AR1329" s="2">
        <v>4</v>
      </c>
      <c r="AS1329" s="2">
        <v>0</v>
      </c>
      <c r="AT1329" s="2">
        <v>0</v>
      </c>
      <c r="AU1329" s="2">
        <v>1</v>
      </c>
      <c r="AV1329" s="2">
        <v>76</v>
      </c>
      <c r="AW1329" s="2">
        <v>1</v>
      </c>
      <c r="AX1329" s="2">
        <v>0</v>
      </c>
      <c r="AY1329" s="2">
        <v>14.7</v>
      </c>
      <c r="AZ1329" s="2">
        <v>6.8</v>
      </c>
      <c r="BA1329" s="2">
        <v>17.3</v>
      </c>
      <c r="BB1329" s="2">
        <v>564</v>
      </c>
      <c r="BC1329" s="2">
        <v>68</v>
      </c>
      <c r="BD1329" s="2">
        <v>1.3</v>
      </c>
      <c r="BE1329" s="2">
        <v>118</v>
      </c>
      <c r="BF1329" s="2">
        <v>25.2</v>
      </c>
      <c r="BG1329" s="2">
        <v>123</v>
      </c>
      <c r="BH1329" s="2">
        <v>7</v>
      </c>
      <c r="BI1329" s="2">
        <v>5.0999999999999996</v>
      </c>
      <c r="BJ1329" s="2">
        <v>12.1</v>
      </c>
      <c r="BK1329" s="2">
        <v>0.32</v>
      </c>
      <c r="BL1329" s="2">
        <v>9.8000000000000007</v>
      </c>
      <c r="BM1329" s="2">
        <v>1</v>
      </c>
      <c r="BN1329" s="2">
        <v>8.1</v>
      </c>
      <c r="BO1329" s="2">
        <v>1.3</v>
      </c>
      <c r="BP1329" s="2">
        <f t="shared" si="40"/>
        <v>6.0378269379852627</v>
      </c>
      <c r="BQ1329" s="2">
        <f t="shared" si="41"/>
        <v>16.331054320606356</v>
      </c>
    </row>
    <row r="1330" spans="1:69" x14ac:dyDescent="0.2">
      <c r="A1330" s="2" t="s">
        <v>2265</v>
      </c>
      <c r="B1330" s="2" t="s">
        <v>47</v>
      </c>
      <c r="C1330" s="2" t="s">
        <v>1935</v>
      </c>
      <c r="D1330" s="2" t="s">
        <v>49</v>
      </c>
      <c r="E1330" s="2" t="s">
        <v>2266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89</v>
      </c>
      <c r="L1330" s="6" t="s">
        <v>103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2267</v>
      </c>
      <c r="R1330" s="2">
        <v>5297619.0480000004</v>
      </c>
      <c r="S1330" s="2">
        <v>0</v>
      </c>
      <c r="T1330" s="2" t="s">
        <v>575</v>
      </c>
      <c r="U1330" s="2" t="s">
        <v>576</v>
      </c>
      <c r="V1330" s="2" t="s">
        <v>56</v>
      </c>
      <c r="W1330" s="2" t="s">
        <v>575</v>
      </c>
      <c r="X1330" s="2" t="s">
        <v>577</v>
      </c>
      <c r="Y1330" s="2">
        <v>2.18507382880773</v>
      </c>
      <c r="Z1330" s="2">
        <v>2185.07382880773</v>
      </c>
      <c r="AA1330" s="2">
        <v>4.5725527777777799</v>
      </c>
      <c r="AB1330" s="2">
        <v>-74.083813888888898</v>
      </c>
      <c r="AC1330" s="2">
        <v>2688</v>
      </c>
      <c r="AD1330" s="2">
        <v>0</v>
      </c>
      <c r="AE1330" s="2" t="s">
        <v>59</v>
      </c>
      <c r="AF1330" s="2" t="s">
        <v>86</v>
      </c>
      <c r="AG1330" s="2" t="s">
        <v>61</v>
      </c>
      <c r="AH1330" s="2" t="s">
        <v>62</v>
      </c>
      <c r="AI1330" s="2" t="s">
        <v>1826</v>
      </c>
      <c r="AJ1330" s="2">
        <v>0.53692903702794803</v>
      </c>
      <c r="AK1330" s="2">
        <v>2.8698379010504702</v>
      </c>
      <c r="AL1330" s="2">
        <v>1.74832380273261</v>
      </c>
      <c r="AM1330" s="2">
        <v>0.51765447006945198</v>
      </c>
      <c r="AN1330" s="2">
        <v>1.6574315828039701</v>
      </c>
      <c r="AO1330" s="2">
        <v>0.23129304322270999</v>
      </c>
      <c r="AP1330" s="2">
        <v>0.23129304322270999</v>
      </c>
      <c r="AQ1330" s="2">
        <v>0</v>
      </c>
      <c r="AR1330" s="2">
        <v>2</v>
      </c>
      <c r="AS1330" s="2">
        <v>0</v>
      </c>
      <c r="AT1330" s="2">
        <v>0</v>
      </c>
      <c r="AU1330" s="2">
        <v>0</v>
      </c>
      <c r="AV1330" s="2">
        <v>8</v>
      </c>
      <c r="AW1330" s="2">
        <v>0</v>
      </c>
      <c r="AX1330" s="2">
        <v>0</v>
      </c>
      <c r="AY1330" s="2">
        <v>14.7</v>
      </c>
      <c r="AZ1330" s="2">
        <v>6.8</v>
      </c>
      <c r="BA1330" s="2">
        <v>17.3</v>
      </c>
      <c r="BB1330" s="2">
        <v>564</v>
      </c>
      <c r="BC1330" s="2">
        <v>68</v>
      </c>
      <c r="BD1330" s="2">
        <v>1.3</v>
      </c>
      <c r="BE1330" s="2">
        <v>118</v>
      </c>
      <c r="BF1330" s="2">
        <v>25.2</v>
      </c>
      <c r="BG1330" s="2">
        <v>123</v>
      </c>
      <c r="BH1330" s="2">
        <v>7</v>
      </c>
      <c r="BI1330" s="2">
        <v>5.0999999999999996</v>
      </c>
      <c r="BJ1330" s="2">
        <v>12.1</v>
      </c>
      <c r="BK1330" s="2">
        <v>0.32</v>
      </c>
      <c r="BL1330" s="2">
        <v>9.8000000000000007</v>
      </c>
      <c r="BM1330" s="2">
        <v>1</v>
      </c>
      <c r="BN1330" s="2">
        <v>8.1</v>
      </c>
      <c r="BO1330" s="2">
        <v>1.3</v>
      </c>
      <c r="BP1330" s="2">
        <f t="shared" si="40"/>
        <v>6.1028840690850856</v>
      </c>
      <c r="BQ1330" s="2">
        <f t="shared" si="41"/>
        <v>16.416135606963497</v>
      </c>
    </row>
    <row r="1331" spans="1:69" x14ac:dyDescent="0.2">
      <c r="A1331" s="2" t="s">
        <v>2255</v>
      </c>
      <c r="B1331" s="2" t="s">
        <v>47</v>
      </c>
      <c r="C1331" s="2" t="s">
        <v>1935</v>
      </c>
      <c r="D1331" s="2" t="s">
        <v>49</v>
      </c>
      <c r="E1331" s="2" t="s">
        <v>2256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89</v>
      </c>
      <c r="L1331" s="6" t="s">
        <v>141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2257</v>
      </c>
      <c r="R1331" s="2">
        <v>2408759.1239999998</v>
      </c>
      <c r="S1331" s="2">
        <v>0</v>
      </c>
      <c r="T1331" s="2" t="s">
        <v>575</v>
      </c>
      <c r="U1331" s="2" t="s">
        <v>576</v>
      </c>
      <c r="V1331" s="2" t="s">
        <v>56</v>
      </c>
      <c r="W1331" s="2" t="s">
        <v>575</v>
      </c>
      <c r="X1331" s="2" t="s">
        <v>577</v>
      </c>
      <c r="Y1331" s="2">
        <v>2.5548154991221601</v>
      </c>
      <c r="Z1331" s="2">
        <v>2554.81549912216</v>
      </c>
      <c r="AA1331" s="2">
        <v>4.5725527777777799</v>
      </c>
      <c r="AB1331" s="2">
        <v>-74.083813888888898</v>
      </c>
      <c r="AC1331" s="2">
        <v>2688</v>
      </c>
      <c r="AD1331" s="2">
        <v>0</v>
      </c>
      <c r="AE1331" s="2" t="s">
        <v>59</v>
      </c>
      <c r="AF1331" s="2" t="s">
        <v>86</v>
      </c>
      <c r="AG1331" s="2" t="s">
        <v>61</v>
      </c>
      <c r="AH1331" s="2" t="s">
        <v>62</v>
      </c>
      <c r="AI1331" s="2" t="s">
        <v>578</v>
      </c>
      <c r="AJ1331" s="2">
        <v>1.0711933529378099</v>
      </c>
      <c r="AK1331" s="2">
        <v>2.0018035188806298</v>
      </c>
      <c r="AL1331" s="2">
        <v>2.67304514318946</v>
      </c>
      <c r="AM1331" s="2">
        <v>0.72320401192054595</v>
      </c>
      <c r="AN1331" s="2">
        <v>2.1881199327847298</v>
      </c>
      <c r="AO1331" s="2">
        <v>0.26117700412468098</v>
      </c>
      <c r="AP1331" s="2">
        <v>0.26117700412468098</v>
      </c>
      <c r="AQ1331" s="2">
        <v>0</v>
      </c>
      <c r="AR1331" s="2">
        <v>0</v>
      </c>
      <c r="AS1331" s="2">
        <v>0</v>
      </c>
      <c r="AT1331" s="2">
        <v>0</v>
      </c>
      <c r="AU1331" s="2">
        <v>0</v>
      </c>
      <c r="AV1331" s="2">
        <v>4</v>
      </c>
      <c r="AW1331" s="2">
        <v>0</v>
      </c>
      <c r="AX1331" s="2">
        <v>0</v>
      </c>
      <c r="AY1331" s="2">
        <v>14.7</v>
      </c>
      <c r="AZ1331" s="2">
        <v>6.8</v>
      </c>
      <c r="BA1331" s="2">
        <v>17.3</v>
      </c>
      <c r="BB1331" s="2">
        <v>564</v>
      </c>
      <c r="BC1331" s="2">
        <v>68</v>
      </c>
      <c r="BD1331" s="2">
        <v>1.3</v>
      </c>
      <c r="BE1331" s="2">
        <v>118</v>
      </c>
      <c r="BF1331" s="2">
        <v>25.2</v>
      </c>
      <c r="BG1331" s="2">
        <v>123</v>
      </c>
      <c r="BH1331" s="2">
        <v>7</v>
      </c>
      <c r="BI1331" s="2">
        <v>5.0999999999999996</v>
      </c>
      <c r="BJ1331" s="2">
        <v>12.1</v>
      </c>
      <c r="BK1331" s="2">
        <v>0.32</v>
      </c>
      <c r="BL1331" s="2">
        <v>9.8000000000000007</v>
      </c>
      <c r="BM1331" s="2">
        <v>1</v>
      </c>
      <c r="BN1331" s="2">
        <v>8.1</v>
      </c>
      <c r="BO1331" s="2">
        <v>1.3</v>
      </c>
      <c r="BP1331" s="2">
        <f t="shared" si="40"/>
        <v>5.9922037240366519</v>
      </c>
      <c r="BQ1331" s="2">
        <f t="shared" si="41"/>
        <v>16.271106532567291</v>
      </c>
    </row>
    <row r="1332" spans="1:69" x14ac:dyDescent="0.2">
      <c r="A1332" s="2" t="s">
        <v>2399</v>
      </c>
      <c r="B1332" s="2" t="s">
        <v>47</v>
      </c>
      <c r="C1332" s="2" t="s">
        <v>1935</v>
      </c>
      <c r="D1332" s="2" t="s">
        <v>49</v>
      </c>
      <c r="E1332" s="2" t="s">
        <v>2400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89</v>
      </c>
      <c r="L1332" s="6" t="s">
        <v>141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2401</v>
      </c>
      <c r="R1332" s="2">
        <v>6635441.0619999999</v>
      </c>
      <c r="S1332" s="2">
        <v>0</v>
      </c>
      <c r="T1332" s="2" t="s">
        <v>575</v>
      </c>
      <c r="U1332" s="2" t="s">
        <v>576</v>
      </c>
      <c r="V1332" s="2" t="s">
        <v>56</v>
      </c>
      <c r="W1332" s="2" t="s">
        <v>575</v>
      </c>
      <c r="X1332" s="2" t="s">
        <v>577</v>
      </c>
      <c r="Y1332" s="2">
        <v>2.1742160258965701</v>
      </c>
      <c r="Z1332" s="2">
        <v>2174.21602589657</v>
      </c>
      <c r="AA1332" s="2">
        <v>4.5725527777777799</v>
      </c>
      <c r="AB1332" s="2">
        <v>-74.083813888888898</v>
      </c>
      <c r="AC1332" s="2">
        <v>2688</v>
      </c>
      <c r="AD1332" s="2">
        <v>0</v>
      </c>
      <c r="AE1332" s="2" t="s">
        <v>59</v>
      </c>
      <c r="AF1332" s="2" t="s">
        <v>86</v>
      </c>
      <c r="AG1332" s="2" t="s">
        <v>61</v>
      </c>
      <c r="AH1332" s="2" t="s">
        <v>62</v>
      </c>
      <c r="AI1332" s="2" t="s">
        <v>966</v>
      </c>
      <c r="AJ1332" s="2">
        <v>0.33550221742102199</v>
      </c>
      <c r="AK1332" s="2">
        <v>2.89444949524942</v>
      </c>
      <c r="AL1332" s="2">
        <v>0.15241891159215301</v>
      </c>
      <c r="AM1332" s="2">
        <v>7.69713446333605E-2</v>
      </c>
      <c r="AN1332" s="2">
        <v>0.54354419449658897</v>
      </c>
      <c r="AO1332" s="2">
        <v>5.3238499686156099E-2</v>
      </c>
      <c r="AP1332" s="2">
        <v>5.3238499686156099E-2</v>
      </c>
      <c r="AQ1332" s="2">
        <v>2</v>
      </c>
      <c r="AR1332" s="2">
        <v>4</v>
      </c>
      <c r="AS1332" s="2">
        <v>0</v>
      </c>
      <c r="AT1332" s="2">
        <v>0</v>
      </c>
      <c r="AU1332" s="2">
        <v>2</v>
      </c>
      <c r="AV1332" s="2">
        <v>57</v>
      </c>
      <c r="AW1332" s="2">
        <v>1</v>
      </c>
      <c r="AX1332" s="2">
        <v>0</v>
      </c>
      <c r="AY1332" s="2">
        <v>14.7</v>
      </c>
      <c r="AZ1332" s="2">
        <v>6.8</v>
      </c>
      <c r="BA1332" s="2">
        <v>17.3</v>
      </c>
      <c r="BB1332" s="2">
        <v>564</v>
      </c>
      <c r="BC1332" s="2">
        <v>68</v>
      </c>
      <c r="BD1332" s="2">
        <v>1.3</v>
      </c>
      <c r="BE1332" s="2">
        <v>118</v>
      </c>
      <c r="BF1332" s="2">
        <v>25.2</v>
      </c>
      <c r="BG1332" s="2">
        <v>123</v>
      </c>
      <c r="BH1332" s="2">
        <v>7</v>
      </c>
      <c r="BI1332" s="2">
        <v>5.0999999999999996</v>
      </c>
      <c r="BJ1332" s="2">
        <v>12.1</v>
      </c>
      <c r="BK1332" s="2">
        <v>0.32</v>
      </c>
      <c r="BL1332" s="2">
        <v>9.8000000000000007</v>
      </c>
      <c r="BM1332" s="2">
        <v>1</v>
      </c>
      <c r="BN1332" s="2">
        <v>8.1</v>
      </c>
      <c r="BO1332" s="2">
        <v>1.3</v>
      </c>
      <c r="BP1332" s="2">
        <f t="shared" si="40"/>
        <v>6.1061650143609549</v>
      </c>
      <c r="BQ1332" s="2">
        <f t="shared" si="41"/>
        <v>16.420414000346312</v>
      </c>
    </row>
    <row r="1333" spans="1:69" x14ac:dyDescent="0.2">
      <c r="A1333" s="2" t="s">
        <v>572</v>
      </c>
      <c r="B1333" s="2" t="s">
        <v>47</v>
      </c>
      <c r="C1333" s="2" t="s">
        <v>48</v>
      </c>
      <c r="D1333" s="2" t="s">
        <v>49</v>
      </c>
      <c r="E1333" s="2" t="s">
        <v>573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89</v>
      </c>
      <c r="L1333" s="6" t="s">
        <v>112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574</v>
      </c>
      <c r="R1333" s="2">
        <v>4852941.176</v>
      </c>
      <c r="S1333" s="2">
        <v>0</v>
      </c>
      <c r="T1333" s="2" t="s">
        <v>575</v>
      </c>
      <c r="U1333" s="2" t="s">
        <v>576</v>
      </c>
      <c r="V1333" s="2" t="s">
        <v>56</v>
      </c>
      <c r="W1333" s="2" t="s">
        <v>575</v>
      </c>
      <c r="X1333" s="2" t="s">
        <v>577</v>
      </c>
      <c r="Y1333" s="2">
        <v>0.97258045542723304</v>
      </c>
      <c r="Z1333" s="2">
        <v>972.58045542723301</v>
      </c>
      <c r="AA1333" s="2">
        <v>4.5725527777777799</v>
      </c>
      <c r="AB1333" s="2">
        <v>-74.083813888888898</v>
      </c>
      <c r="AC1333" s="2">
        <v>2688</v>
      </c>
      <c r="AD1333" s="2">
        <v>0</v>
      </c>
      <c r="AE1333" s="2" t="s">
        <v>59</v>
      </c>
      <c r="AF1333" s="2" t="s">
        <v>86</v>
      </c>
      <c r="AG1333" s="2" t="s">
        <v>61</v>
      </c>
      <c r="AH1333" s="2" t="s">
        <v>62</v>
      </c>
      <c r="AI1333" s="2" t="s">
        <v>578</v>
      </c>
      <c r="AJ1333" s="2">
        <v>0.83665733790510899</v>
      </c>
      <c r="AK1333" s="2">
        <v>1.0273651741251699</v>
      </c>
      <c r="AL1333" s="2">
        <v>1.0333620617148001</v>
      </c>
      <c r="AM1333" s="2">
        <v>0.51300906507308297</v>
      </c>
      <c r="AN1333" s="2">
        <v>1.1886306408798299</v>
      </c>
      <c r="AO1333" s="2">
        <v>8.8191099866231595E-2</v>
      </c>
      <c r="AP1333" s="2">
        <v>8.8191099866231595E-2</v>
      </c>
      <c r="AQ1333" s="2">
        <v>0</v>
      </c>
      <c r="AR1333" s="2">
        <v>2</v>
      </c>
      <c r="AS1333" s="2">
        <v>0</v>
      </c>
      <c r="AT1333" s="2">
        <v>0</v>
      </c>
      <c r="AU1333" s="2">
        <v>0</v>
      </c>
      <c r="AV1333" s="2">
        <v>8</v>
      </c>
      <c r="AW1333" s="2">
        <v>0</v>
      </c>
      <c r="AX1333" s="2">
        <v>0</v>
      </c>
      <c r="AY1333" s="2">
        <v>14.7</v>
      </c>
      <c r="AZ1333" s="2">
        <v>6.8</v>
      </c>
      <c r="BA1333" s="2">
        <v>17.3</v>
      </c>
      <c r="BB1333" s="2">
        <v>564</v>
      </c>
      <c r="BC1333" s="2">
        <v>68</v>
      </c>
      <c r="BD1333" s="2">
        <v>1.3</v>
      </c>
      <c r="BE1333" s="2">
        <v>118</v>
      </c>
      <c r="BF1333" s="2">
        <v>25.2</v>
      </c>
      <c r="BG1333" s="2">
        <v>123</v>
      </c>
      <c r="BH1333" s="2">
        <v>7</v>
      </c>
      <c r="BI1333" s="2">
        <v>5.0999999999999996</v>
      </c>
      <c r="BJ1333" s="2">
        <v>12.1</v>
      </c>
      <c r="BK1333" s="2">
        <v>0.32</v>
      </c>
      <c r="BL1333" s="2">
        <v>9.8000000000000007</v>
      </c>
      <c r="BM1333" s="2">
        <v>1</v>
      </c>
      <c r="BN1333" s="2">
        <v>8.1</v>
      </c>
      <c r="BO1333" s="2">
        <v>1.3</v>
      </c>
      <c r="BP1333" s="2">
        <f t="shared" si="40"/>
        <v>6.4803847243172967</v>
      </c>
      <c r="BQ1333" s="2">
        <f t="shared" si="41"/>
        <v>16.900861054025818</v>
      </c>
    </row>
    <row r="1334" spans="1:69" x14ac:dyDescent="0.2">
      <c r="A1334" s="2" t="s">
        <v>1233</v>
      </c>
      <c r="B1334" s="2" t="s">
        <v>47</v>
      </c>
      <c r="C1334" s="2" t="s">
        <v>48</v>
      </c>
      <c r="D1334" s="2" t="s">
        <v>49</v>
      </c>
      <c r="E1334" s="2" t="s">
        <v>1234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89</v>
      </c>
      <c r="L1334" s="6" t="s">
        <v>141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1235</v>
      </c>
      <c r="R1334" s="2">
        <v>4354838.71</v>
      </c>
      <c r="S1334" s="2">
        <v>0</v>
      </c>
      <c r="T1334" s="2" t="s">
        <v>575</v>
      </c>
      <c r="U1334" s="2" t="s">
        <v>576</v>
      </c>
      <c r="V1334" s="2" t="s">
        <v>56</v>
      </c>
      <c r="W1334" s="2" t="s">
        <v>575</v>
      </c>
      <c r="X1334" s="2" t="s">
        <v>577</v>
      </c>
      <c r="Y1334" s="2">
        <v>0.21821449146566699</v>
      </c>
      <c r="Z1334" s="2">
        <v>218.21449146566701</v>
      </c>
      <c r="AA1334" s="2">
        <v>4.5725527777777799</v>
      </c>
      <c r="AB1334" s="2">
        <v>-74.083813888888898</v>
      </c>
      <c r="AC1334" s="2">
        <v>2688</v>
      </c>
      <c r="AD1334" s="2">
        <v>0</v>
      </c>
      <c r="AE1334" s="2" t="s">
        <v>59</v>
      </c>
      <c r="AF1334" s="2" t="s">
        <v>86</v>
      </c>
      <c r="AG1334" s="2" t="s">
        <v>61</v>
      </c>
      <c r="AH1334" s="2" t="s">
        <v>62</v>
      </c>
      <c r="AI1334" s="2" t="s">
        <v>578</v>
      </c>
      <c r="AJ1334" s="2">
        <v>1.31565494411704</v>
      </c>
      <c r="AK1334" s="2">
        <v>0.81268202374137599</v>
      </c>
      <c r="AL1334" s="2">
        <v>0.17357235573232899</v>
      </c>
      <c r="AM1334" s="2">
        <v>0.232268641369724</v>
      </c>
      <c r="AN1334" s="2">
        <v>0.55552909605034495</v>
      </c>
      <c r="AO1334" s="2">
        <v>0.15159344007442399</v>
      </c>
      <c r="AP1334" s="2">
        <v>0.15159344007442399</v>
      </c>
      <c r="AQ1334" s="2">
        <v>0</v>
      </c>
      <c r="AR1334" s="2">
        <v>0</v>
      </c>
      <c r="AS1334" s="2">
        <v>0</v>
      </c>
      <c r="AT1334" s="2">
        <v>5</v>
      </c>
      <c r="AU1334" s="2">
        <v>1</v>
      </c>
      <c r="AV1334" s="2">
        <v>4</v>
      </c>
      <c r="AW1334" s="2">
        <v>1</v>
      </c>
      <c r="AX1334" s="2">
        <v>0</v>
      </c>
      <c r="AY1334" s="2">
        <v>14.7</v>
      </c>
      <c r="AZ1334" s="2">
        <v>6.8</v>
      </c>
      <c r="BA1334" s="2">
        <v>17.3</v>
      </c>
      <c r="BB1334" s="2">
        <v>564</v>
      </c>
      <c r="BC1334" s="2">
        <v>68</v>
      </c>
      <c r="BD1334" s="2">
        <v>1.3</v>
      </c>
      <c r="BE1334" s="2">
        <v>118</v>
      </c>
      <c r="BF1334" s="2">
        <v>25.2</v>
      </c>
      <c r="BG1334" s="2">
        <v>123</v>
      </c>
      <c r="BH1334" s="2">
        <v>7</v>
      </c>
      <c r="BI1334" s="2">
        <v>5.0999999999999996</v>
      </c>
      <c r="BJ1334" s="2">
        <v>12.1</v>
      </c>
      <c r="BK1334" s="2">
        <v>0.32</v>
      </c>
      <c r="BL1334" s="2">
        <v>9.8000000000000007</v>
      </c>
      <c r="BM1334" s="2">
        <v>1</v>
      </c>
      <c r="BN1334" s="2">
        <v>8.1</v>
      </c>
      <c r="BO1334" s="2">
        <v>1.3</v>
      </c>
      <c r="BP1334" s="2">
        <f t="shared" si="40"/>
        <v>6.7269442724917061</v>
      </c>
      <c r="BQ1334" s="2">
        <f t="shared" si="41"/>
        <v>17.209634179266782</v>
      </c>
    </row>
    <row r="1335" spans="1:69" x14ac:dyDescent="0.2">
      <c r="A1335" s="2" t="s">
        <v>1092</v>
      </c>
      <c r="B1335" s="2" t="s">
        <v>47</v>
      </c>
      <c r="C1335" s="2" t="s">
        <v>48</v>
      </c>
      <c r="D1335" s="2" t="s">
        <v>49</v>
      </c>
      <c r="E1335" s="2" t="s">
        <v>1093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89</v>
      </c>
      <c r="L1335" s="6" t="s">
        <v>103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1094</v>
      </c>
      <c r="R1335" s="2">
        <v>4538230.62</v>
      </c>
      <c r="S1335" s="2">
        <v>0</v>
      </c>
      <c r="T1335" s="2" t="s">
        <v>575</v>
      </c>
      <c r="U1335" s="2" t="s">
        <v>576</v>
      </c>
      <c r="V1335" s="2" t="s">
        <v>56</v>
      </c>
      <c r="W1335" s="2" t="s">
        <v>575</v>
      </c>
      <c r="X1335" s="2" t="s">
        <v>577</v>
      </c>
      <c r="Y1335" s="2">
        <v>2.05370095691059</v>
      </c>
      <c r="Z1335" s="2">
        <v>2053.7009569105899</v>
      </c>
      <c r="AA1335" s="2">
        <v>4.5725527777777799</v>
      </c>
      <c r="AB1335" s="2">
        <v>-74.083813888888898</v>
      </c>
      <c r="AC1335" s="2">
        <v>2688</v>
      </c>
      <c r="AD1335" s="2">
        <v>0</v>
      </c>
      <c r="AE1335" s="2" t="s">
        <v>59</v>
      </c>
      <c r="AF1335" s="2" t="s">
        <v>86</v>
      </c>
      <c r="AG1335" s="2" t="s">
        <v>61</v>
      </c>
      <c r="AH1335" s="2" t="s">
        <v>62</v>
      </c>
      <c r="AI1335" s="2" t="s">
        <v>578</v>
      </c>
      <c r="AJ1335" s="2">
        <v>0.53487263824710496</v>
      </c>
      <c r="AK1335" s="2">
        <v>2.5248309659278898</v>
      </c>
      <c r="AL1335" s="2">
        <v>1.99436889985143</v>
      </c>
      <c r="AM1335" s="2">
        <v>0.43854769902207102</v>
      </c>
      <c r="AN1335" s="2">
        <v>1.77042829413696</v>
      </c>
      <c r="AO1335" s="2">
        <v>0.22046556065171199</v>
      </c>
      <c r="AP1335" s="2">
        <v>0.22046556065171199</v>
      </c>
      <c r="AQ1335" s="2">
        <v>0</v>
      </c>
      <c r="AR1335" s="2">
        <v>2</v>
      </c>
      <c r="AS1335" s="2">
        <v>0</v>
      </c>
      <c r="AT1335" s="2">
        <v>0</v>
      </c>
      <c r="AU1335" s="2">
        <v>0</v>
      </c>
      <c r="AV1335" s="2">
        <v>8</v>
      </c>
      <c r="AW1335" s="2">
        <v>0</v>
      </c>
      <c r="AX1335" s="2">
        <v>0</v>
      </c>
      <c r="AY1335" s="2">
        <v>14.7</v>
      </c>
      <c r="AZ1335" s="2">
        <v>6.8</v>
      </c>
      <c r="BA1335" s="2">
        <v>17.3</v>
      </c>
      <c r="BB1335" s="2">
        <v>564</v>
      </c>
      <c r="BC1335" s="2">
        <v>68</v>
      </c>
      <c r="BD1335" s="2">
        <v>1.3</v>
      </c>
      <c r="BE1335" s="2">
        <v>118</v>
      </c>
      <c r="BF1335" s="2">
        <v>25.2</v>
      </c>
      <c r="BG1335" s="2">
        <v>123</v>
      </c>
      <c r="BH1335" s="2">
        <v>7</v>
      </c>
      <c r="BI1335" s="2">
        <v>5.0999999999999996</v>
      </c>
      <c r="BJ1335" s="2">
        <v>12.1</v>
      </c>
      <c r="BK1335" s="2">
        <v>0.32</v>
      </c>
      <c r="BL1335" s="2">
        <v>9.8000000000000007</v>
      </c>
      <c r="BM1335" s="2">
        <v>1</v>
      </c>
      <c r="BN1335" s="2">
        <v>8.1</v>
      </c>
      <c r="BO1335" s="2">
        <v>1.3</v>
      </c>
      <c r="BP1335" s="2">
        <f t="shared" si="40"/>
        <v>6.1427001836624076</v>
      </c>
      <c r="BQ1335" s="2">
        <f t="shared" si="41"/>
        <v>16.467976527027208</v>
      </c>
    </row>
    <row r="1336" spans="1:69" x14ac:dyDescent="0.2">
      <c r="A1336" s="2" t="s">
        <v>1413</v>
      </c>
      <c r="B1336" s="2" t="s">
        <v>47</v>
      </c>
      <c r="C1336" s="2" t="s">
        <v>48</v>
      </c>
      <c r="D1336" s="2" t="s">
        <v>49</v>
      </c>
      <c r="E1336" s="2" t="s">
        <v>1414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89</v>
      </c>
      <c r="L1336" s="6" t="s">
        <v>112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1415</v>
      </c>
      <c r="R1336" s="2">
        <v>9722222.2219999991</v>
      </c>
      <c r="S1336" s="2">
        <v>0</v>
      </c>
      <c r="T1336" s="2" t="s">
        <v>575</v>
      </c>
      <c r="U1336" s="2" t="s">
        <v>576</v>
      </c>
      <c r="V1336" s="2" t="s">
        <v>56</v>
      </c>
      <c r="W1336" s="2" t="s">
        <v>575</v>
      </c>
      <c r="X1336" s="2" t="s">
        <v>577</v>
      </c>
      <c r="Y1336" s="2">
        <v>2.9812481378625901</v>
      </c>
      <c r="Z1336" s="2">
        <v>2981.2481378625898</v>
      </c>
      <c r="AA1336" s="2">
        <v>4.5725527777777799</v>
      </c>
      <c r="AB1336" s="2">
        <v>-74.083813888888898</v>
      </c>
      <c r="AC1336" s="2">
        <v>2688</v>
      </c>
      <c r="AD1336" s="2">
        <v>0</v>
      </c>
      <c r="AE1336" s="2" t="s">
        <v>59</v>
      </c>
      <c r="AF1336" s="2" t="s">
        <v>86</v>
      </c>
      <c r="AG1336" s="2" t="s">
        <v>61</v>
      </c>
      <c r="AH1336" s="2" t="s">
        <v>62</v>
      </c>
      <c r="AI1336" s="2" t="s">
        <v>516</v>
      </c>
      <c r="AJ1336" s="2">
        <v>0.45742788782550498</v>
      </c>
      <c r="AK1336" s="2">
        <v>0.72555999768620905</v>
      </c>
      <c r="AL1336" s="2">
        <v>9.0224544235419202E-2</v>
      </c>
      <c r="AM1336" s="2">
        <v>0.30292992505161898</v>
      </c>
      <c r="AN1336" s="2">
        <v>0.91155512207713096</v>
      </c>
      <c r="AO1336" s="2">
        <v>8.6294774090784093E-2</v>
      </c>
      <c r="AP1336" s="2">
        <v>8.6294774090784093E-2</v>
      </c>
      <c r="AQ1336" s="2">
        <v>1</v>
      </c>
      <c r="AR1336" s="2">
        <v>4</v>
      </c>
      <c r="AS1336" s="2">
        <v>0</v>
      </c>
      <c r="AT1336" s="2">
        <v>29</v>
      </c>
      <c r="AU1336" s="2">
        <v>13</v>
      </c>
      <c r="AV1336" s="2">
        <v>34</v>
      </c>
      <c r="AW1336" s="2">
        <v>1</v>
      </c>
      <c r="AX1336" s="2">
        <v>5</v>
      </c>
      <c r="AY1336" s="2">
        <v>14.7</v>
      </c>
      <c r="AZ1336" s="2">
        <v>6.8</v>
      </c>
      <c r="BA1336" s="2">
        <v>17.3</v>
      </c>
      <c r="BB1336" s="2">
        <v>564</v>
      </c>
      <c r="BC1336" s="2">
        <v>68</v>
      </c>
      <c r="BD1336" s="2">
        <v>1.3</v>
      </c>
      <c r="BE1336" s="2">
        <v>118</v>
      </c>
      <c r="BF1336" s="2">
        <v>25.2</v>
      </c>
      <c r="BG1336" s="2">
        <v>123</v>
      </c>
      <c r="BH1336" s="2">
        <v>7</v>
      </c>
      <c r="BI1336" s="2">
        <v>5.0999999999999996</v>
      </c>
      <c r="BJ1336" s="2">
        <v>12.1</v>
      </c>
      <c r="BK1336" s="2">
        <v>0.32</v>
      </c>
      <c r="BL1336" s="2">
        <v>9.8000000000000007</v>
      </c>
      <c r="BM1336" s="2">
        <v>1</v>
      </c>
      <c r="BN1336" s="2">
        <v>8.1</v>
      </c>
      <c r="BO1336" s="2">
        <v>1.3</v>
      </c>
      <c r="BP1336" s="2">
        <f t="shared" si="40"/>
        <v>5.8670434125233726</v>
      </c>
      <c r="BQ1336" s="2">
        <f t="shared" si="41"/>
        <v>16.105431030516048</v>
      </c>
    </row>
    <row r="1337" spans="1:69" x14ac:dyDescent="0.2">
      <c r="A1337" s="2" t="s">
        <v>1264</v>
      </c>
      <c r="B1337" s="2" t="s">
        <v>47</v>
      </c>
      <c r="C1337" s="2" t="s">
        <v>48</v>
      </c>
      <c r="D1337" s="2" t="s">
        <v>49</v>
      </c>
      <c r="E1337" s="2" t="s">
        <v>1265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89</v>
      </c>
      <c r="L1337" s="6" t="s">
        <v>90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1266</v>
      </c>
      <c r="R1337" s="2">
        <v>5697720.9119999995</v>
      </c>
      <c r="S1337" s="2">
        <v>0</v>
      </c>
      <c r="T1337" s="2" t="s">
        <v>575</v>
      </c>
      <c r="U1337" s="2" t="s">
        <v>576</v>
      </c>
      <c r="V1337" s="2" t="s">
        <v>56</v>
      </c>
      <c r="W1337" s="2" t="s">
        <v>575</v>
      </c>
      <c r="X1337" s="2" t="s">
        <v>577</v>
      </c>
      <c r="Y1337" s="2">
        <v>2.8005610316965299</v>
      </c>
      <c r="Z1337" s="2">
        <v>2800.5610316965299</v>
      </c>
      <c r="AA1337" s="2">
        <v>4.5725527777777799</v>
      </c>
      <c r="AB1337" s="2">
        <v>-74.083813888888898</v>
      </c>
      <c r="AC1337" s="2">
        <v>2688</v>
      </c>
      <c r="AD1337" s="2">
        <v>0</v>
      </c>
      <c r="AE1337" s="2" t="s">
        <v>59</v>
      </c>
      <c r="AF1337" s="2" t="s">
        <v>86</v>
      </c>
      <c r="AG1337" s="2" t="s">
        <v>61</v>
      </c>
      <c r="AH1337" s="2" t="s">
        <v>62</v>
      </c>
      <c r="AI1337" s="2" t="s">
        <v>287</v>
      </c>
      <c r="AJ1337" s="2">
        <v>0.54697669707154895</v>
      </c>
      <c r="AK1337" s="2">
        <v>2.8686779158949598</v>
      </c>
      <c r="AL1337" s="2">
        <v>0.70986795186642104</v>
      </c>
      <c r="AM1337" s="2">
        <v>0.42014647958177098</v>
      </c>
      <c r="AN1337" s="2">
        <v>1.4548747529483701</v>
      </c>
      <c r="AO1337" s="2">
        <v>0.11840619113894001</v>
      </c>
      <c r="AP1337" s="2">
        <v>0.11840619113894001</v>
      </c>
      <c r="AQ1337" s="2">
        <v>0</v>
      </c>
      <c r="AR1337" s="2">
        <v>5</v>
      </c>
      <c r="AS1337" s="2">
        <v>0</v>
      </c>
      <c r="AT1337" s="2">
        <v>0</v>
      </c>
      <c r="AU1337" s="2">
        <v>2</v>
      </c>
      <c r="AV1337" s="2">
        <v>16</v>
      </c>
      <c r="AW1337" s="2">
        <v>0</v>
      </c>
      <c r="AX1337" s="2">
        <v>0</v>
      </c>
      <c r="AY1337" s="2">
        <v>14.7</v>
      </c>
      <c r="AZ1337" s="2">
        <v>6.8</v>
      </c>
      <c r="BA1337" s="2">
        <v>17.3</v>
      </c>
      <c r="BB1337" s="2">
        <v>564</v>
      </c>
      <c r="BC1337" s="2">
        <v>68</v>
      </c>
      <c r="BD1337" s="2">
        <v>1.3</v>
      </c>
      <c r="BE1337" s="2">
        <v>118</v>
      </c>
      <c r="BF1337" s="2">
        <v>25.2</v>
      </c>
      <c r="BG1337" s="2">
        <v>123</v>
      </c>
      <c r="BH1337" s="2">
        <v>7</v>
      </c>
      <c r="BI1337" s="2">
        <v>5.0999999999999996</v>
      </c>
      <c r="BJ1337" s="2">
        <v>12.1</v>
      </c>
      <c r="BK1337" s="2">
        <v>0.32</v>
      </c>
      <c r="BL1337" s="2">
        <v>9.8000000000000007</v>
      </c>
      <c r="BM1337" s="2">
        <v>1</v>
      </c>
      <c r="BN1337" s="2">
        <v>8.1</v>
      </c>
      <c r="BO1337" s="2">
        <v>1.3</v>
      </c>
      <c r="BP1337" s="2">
        <f t="shared" si="40"/>
        <v>5.9197536870499405</v>
      </c>
      <c r="BQ1337" s="2">
        <f t="shared" si="41"/>
        <v>16.175423731609232</v>
      </c>
    </row>
    <row r="1338" spans="1:69" x14ac:dyDescent="0.2">
      <c r="A1338" s="2" t="s">
        <v>614</v>
      </c>
      <c r="B1338" s="2" t="s">
        <v>47</v>
      </c>
      <c r="C1338" s="2" t="s">
        <v>48</v>
      </c>
      <c r="D1338" s="2" t="s">
        <v>49</v>
      </c>
      <c r="E1338" s="2" t="s">
        <v>615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51</v>
      </c>
      <c r="L1338" s="6" t="s">
        <v>52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616</v>
      </c>
      <c r="R1338" s="2">
        <v>5438844.3399999999</v>
      </c>
      <c r="S1338" s="2">
        <v>0</v>
      </c>
      <c r="T1338" s="2" t="s">
        <v>575</v>
      </c>
      <c r="U1338" s="2" t="s">
        <v>576</v>
      </c>
      <c r="V1338" s="2" t="s">
        <v>56</v>
      </c>
      <c r="W1338" s="2" t="s">
        <v>575</v>
      </c>
      <c r="X1338" s="2" t="s">
        <v>577</v>
      </c>
      <c r="Y1338" s="2">
        <v>2.19475048133258</v>
      </c>
      <c r="Z1338" s="2">
        <v>2194.75048133258</v>
      </c>
      <c r="AA1338" s="2">
        <v>4.5725527777777799</v>
      </c>
      <c r="AB1338" s="2">
        <v>-74.083813888888898</v>
      </c>
      <c r="AC1338" s="2">
        <v>2688</v>
      </c>
      <c r="AD1338" s="2">
        <v>0</v>
      </c>
      <c r="AE1338" s="2" t="s">
        <v>59</v>
      </c>
      <c r="AF1338" s="2" t="s">
        <v>86</v>
      </c>
      <c r="AG1338" s="2" t="s">
        <v>61</v>
      </c>
      <c r="AH1338" s="2" t="s">
        <v>62</v>
      </c>
      <c r="AI1338" s="2" t="s">
        <v>578</v>
      </c>
      <c r="AJ1338" s="2">
        <v>2.1318103437654101</v>
      </c>
      <c r="AK1338" s="2">
        <v>0.24142839016586201</v>
      </c>
      <c r="AL1338" s="2">
        <v>2.0784744798968999</v>
      </c>
      <c r="AM1338" s="2">
        <v>0.16085053247008799</v>
      </c>
      <c r="AN1338" s="2">
        <v>1.9289495008914599</v>
      </c>
      <c r="AO1338" s="2">
        <v>0.25346354770746898</v>
      </c>
      <c r="AP1338" s="2">
        <v>0.25346354770746898</v>
      </c>
      <c r="AQ1338" s="2">
        <v>0</v>
      </c>
      <c r="AR1338" s="2">
        <v>0</v>
      </c>
      <c r="AS1338" s="2">
        <v>10</v>
      </c>
      <c r="AT1338" s="2">
        <v>43</v>
      </c>
      <c r="AU1338" s="2">
        <v>0</v>
      </c>
      <c r="AV1338" s="2">
        <v>2</v>
      </c>
      <c r="AW1338" s="2">
        <v>0</v>
      </c>
      <c r="AX1338" s="2">
        <v>0</v>
      </c>
      <c r="AY1338" s="2">
        <v>14.7</v>
      </c>
      <c r="AZ1338" s="2">
        <v>6.8</v>
      </c>
      <c r="BA1338" s="2">
        <v>17.3</v>
      </c>
      <c r="BB1338" s="2">
        <v>564</v>
      </c>
      <c r="BC1338" s="2">
        <v>68</v>
      </c>
      <c r="BD1338" s="2">
        <v>1.3</v>
      </c>
      <c r="BE1338" s="2">
        <v>118</v>
      </c>
      <c r="BF1338" s="2">
        <v>25.2</v>
      </c>
      <c r="BG1338" s="2">
        <v>123</v>
      </c>
      <c r="BH1338" s="2">
        <v>7</v>
      </c>
      <c r="BI1338" s="2">
        <v>5.0999999999999996</v>
      </c>
      <c r="BJ1338" s="2">
        <v>12.1</v>
      </c>
      <c r="BK1338" s="2">
        <v>0.32</v>
      </c>
      <c r="BL1338" s="2">
        <v>9.8000000000000007</v>
      </c>
      <c r="BM1338" s="2">
        <v>1</v>
      </c>
      <c r="BN1338" s="2">
        <v>8.1</v>
      </c>
      <c r="BO1338" s="2">
        <v>1.3</v>
      </c>
      <c r="BP1338" s="2">
        <f t="shared" si="40"/>
        <v>6.0999615224000339</v>
      </c>
      <c r="BQ1338" s="2">
        <f t="shared" si="41"/>
        <v>16.412323571871834</v>
      </c>
    </row>
    <row r="1339" spans="1:69" x14ac:dyDescent="0.2">
      <c r="A1339" s="2" t="s">
        <v>3834</v>
      </c>
      <c r="B1339" s="2" t="s">
        <v>47</v>
      </c>
      <c r="C1339" s="2" t="s">
        <v>3273</v>
      </c>
      <c r="D1339" s="2" t="s">
        <v>49</v>
      </c>
      <c r="E1339" s="2" t="s">
        <v>3446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89</v>
      </c>
      <c r="L1339" s="6" t="s">
        <v>112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3835</v>
      </c>
      <c r="R1339" s="2">
        <v>6333333.3329999996</v>
      </c>
      <c r="S1339" s="2">
        <v>0</v>
      </c>
      <c r="T1339" s="2" t="s">
        <v>575</v>
      </c>
      <c r="U1339" s="2" t="s">
        <v>576</v>
      </c>
      <c r="V1339" s="2" t="s">
        <v>56</v>
      </c>
      <c r="W1339" s="2" t="s">
        <v>575</v>
      </c>
      <c r="X1339" s="2" t="s">
        <v>577</v>
      </c>
      <c r="Y1339" s="2">
        <v>3.1002568219256998</v>
      </c>
      <c r="Z1339" s="2">
        <v>3100.2568219257</v>
      </c>
      <c r="AA1339" s="2">
        <v>4.5725527777777799</v>
      </c>
      <c r="AB1339" s="2">
        <v>-74.083813888888898</v>
      </c>
      <c r="AC1339" s="2">
        <v>2688</v>
      </c>
      <c r="AD1339" s="2">
        <v>0</v>
      </c>
      <c r="AE1339" s="2" t="s">
        <v>59</v>
      </c>
      <c r="AF1339" s="2" t="s">
        <v>86</v>
      </c>
      <c r="AG1339" s="2" t="s">
        <v>61</v>
      </c>
      <c r="AH1339" s="2" t="s">
        <v>62</v>
      </c>
      <c r="AI1339" s="2" t="s">
        <v>287</v>
      </c>
      <c r="AJ1339" s="2">
        <v>9.18553028753748E-2</v>
      </c>
      <c r="AK1339" s="2">
        <v>2.4330059959829899</v>
      </c>
      <c r="AL1339" s="2">
        <v>0.33962851708498099</v>
      </c>
      <c r="AM1339" s="2">
        <v>0.40177341015076101</v>
      </c>
      <c r="AN1339" s="2">
        <v>0.97925199446015598</v>
      </c>
      <c r="AO1339" s="2">
        <v>0.31336492684066503</v>
      </c>
      <c r="AP1339" s="2">
        <v>0.31336492684066503</v>
      </c>
      <c r="AQ1339" s="2">
        <v>1</v>
      </c>
      <c r="AR1339" s="2">
        <v>8</v>
      </c>
      <c r="AS1339" s="2">
        <v>0</v>
      </c>
      <c r="AT1339" s="2">
        <v>0</v>
      </c>
      <c r="AU1339" s="2">
        <v>2</v>
      </c>
      <c r="AV1339" s="2">
        <v>8</v>
      </c>
      <c r="AW1339" s="2">
        <v>1</v>
      </c>
      <c r="AX1339" s="2">
        <v>0</v>
      </c>
      <c r="AY1339" s="2">
        <v>14.7</v>
      </c>
      <c r="AZ1339" s="2">
        <v>6.8</v>
      </c>
      <c r="BA1339" s="2">
        <v>17.3</v>
      </c>
      <c r="BB1339" s="2">
        <v>564</v>
      </c>
      <c r="BC1339" s="2">
        <v>68</v>
      </c>
      <c r="BD1339" s="2">
        <v>1.3</v>
      </c>
      <c r="BE1339" s="2">
        <v>118</v>
      </c>
      <c r="BF1339" s="2">
        <v>25.2</v>
      </c>
      <c r="BG1339" s="2">
        <v>123</v>
      </c>
      <c r="BH1339" s="2">
        <v>7</v>
      </c>
      <c r="BI1339" s="2">
        <v>5.0999999999999996</v>
      </c>
      <c r="BJ1339" s="2">
        <v>12.1</v>
      </c>
      <c r="BK1339" s="2">
        <v>0.32</v>
      </c>
      <c r="BL1339" s="2">
        <v>9.8000000000000007</v>
      </c>
      <c r="BM1339" s="2">
        <v>1</v>
      </c>
      <c r="BN1339" s="2">
        <v>8.1</v>
      </c>
      <c r="BO1339" s="2">
        <v>1.3</v>
      </c>
      <c r="BP1339" s="2">
        <f t="shared" si="40"/>
        <v>5.8325826738429765</v>
      </c>
      <c r="BQ1339" s="2">
        <f t="shared" si="41"/>
        <v>16.059496193800378</v>
      </c>
    </row>
    <row r="1340" spans="1:69" x14ac:dyDescent="0.2">
      <c r="A1340" s="2" t="s">
        <v>3947</v>
      </c>
      <c r="B1340" s="2" t="s">
        <v>47</v>
      </c>
      <c r="C1340" s="2" t="s">
        <v>3273</v>
      </c>
      <c r="D1340" s="2" t="s">
        <v>49</v>
      </c>
      <c r="E1340" s="2" t="s">
        <v>3446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89</v>
      </c>
      <c r="L1340" s="6" t="s">
        <v>112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3948</v>
      </c>
      <c r="R1340" s="2">
        <v>5972222.2220000001</v>
      </c>
      <c r="S1340" s="2">
        <v>0</v>
      </c>
      <c r="T1340" s="2" t="s">
        <v>575</v>
      </c>
      <c r="U1340" s="2" t="s">
        <v>576</v>
      </c>
      <c r="V1340" s="2" t="s">
        <v>56</v>
      </c>
      <c r="W1340" s="2" t="s">
        <v>575</v>
      </c>
      <c r="X1340" s="2" t="s">
        <v>577</v>
      </c>
      <c r="Y1340" s="2">
        <v>3.1002568219256998</v>
      </c>
      <c r="Z1340" s="2">
        <v>3100.2568219257</v>
      </c>
      <c r="AA1340" s="2">
        <v>4.5725527777777799</v>
      </c>
      <c r="AB1340" s="2">
        <v>-74.083813888888898</v>
      </c>
      <c r="AC1340" s="2">
        <v>2688</v>
      </c>
      <c r="AD1340" s="2">
        <v>0</v>
      </c>
      <c r="AE1340" s="2" t="s">
        <v>59</v>
      </c>
      <c r="AF1340" s="2" t="s">
        <v>86</v>
      </c>
      <c r="AG1340" s="2" t="s">
        <v>61</v>
      </c>
      <c r="AH1340" s="2" t="s">
        <v>62</v>
      </c>
      <c r="AI1340" s="2" t="s">
        <v>287</v>
      </c>
      <c r="AJ1340" s="2">
        <v>9.18553028753748E-2</v>
      </c>
      <c r="AK1340" s="2">
        <v>2.4330059959829899</v>
      </c>
      <c r="AL1340" s="2">
        <v>0.33962851708498099</v>
      </c>
      <c r="AM1340" s="2">
        <v>0.40177341015076101</v>
      </c>
      <c r="AN1340" s="2">
        <v>0.97925199446015598</v>
      </c>
      <c r="AO1340" s="2">
        <v>0.31336492684066503</v>
      </c>
      <c r="AP1340" s="2">
        <v>0.31336492684066503</v>
      </c>
      <c r="AQ1340" s="2">
        <v>1</v>
      </c>
      <c r="AR1340" s="2">
        <v>8</v>
      </c>
      <c r="AS1340" s="2">
        <v>0</v>
      </c>
      <c r="AT1340" s="2">
        <v>0</v>
      </c>
      <c r="AU1340" s="2">
        <v>2</v>
      </c>
      <c r="AV1340" s="2">
        <v>8</v>
      </c>
      <c r="AW1340" s="2">
        <v>1</v>
      </c>
      <c r="AX1340" s="2">
        <v>0</v>
      </c>
      <c r="AY1340" s="2">
        <v>14.7</v>
      </c>
      <c r="AZ1340" s="2">
        <v>6.8</v>
      </c>
      <c r="BA1340" s="2">
        <v>17.3</v>
      </c>
      <c r="BB1340" s="2">
        <v>564</v>
      </c>
      <c r="BC1340" s="2">
        <v>68</v>
      </c>
      <c r="BD1340" s="2">
        <v>1.3</v>
      </c>
      <c r="BE1340" s="2">
        <v>118</v>
      </c>
      <c r="BF1340" s="2">
        <v>25.2</v>
      </c>
      <c r="BG1340" s="2">
        <v>123</v>
      </c>
      <c r="BH1340" s="2">
        <v>7</v>
      </c>
      <c r="BI1340" s="2">
        <v>5.0999999999999996</v>
      </c>
      <c r="BJ1340" s="2">
        <v>12.1</v>
      </c>
      <c r="BK1340" s="2">
        <v>0.32</v>
      </c>
      <c r="BL1340" s="2">
        <v>9.8000000000000007</v>
      </c>
      <c r="BM1340" s="2">
        <v>1</v>
      </c>
      <c r="BN1340" s="2">
        <v>8.1</v>
      </c>
      <c r="BO1340" s="2">
        <v>1.3</v>
      </c>
      <c r="BP1340" s="2">
        <f t="shared" si="40"/>
        <v>5.8325826738429765</v>
      </c>
      <c r="BQ1340" s="2">
        <f t="shared" si="41"/>
        <v>16.059496193800378</v>
      </c>
    </row>
    <row r="1341" spans="1:69" x14ac:dyDescent="0.2">
      <c r="A1341" s="2" t="s">
        <v>4219</v>
      </c>
      <c r="B1341" s="2" t="s">
        <v>47</v>
      </c>
      <c r="C1341" s="2" t="s">
        <v>3273</v>
      </c>
      <c r="D1341" s="2" t="s">
        <v>49</v>
      </c>
      <c r="E1341" s="2" t="s">
        <v>3552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89</v>
      </c>
      <c r="L1341" s="6" t="s">
        <v>90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4220</v>
      </c>
      <c r="R1341" s="2">
        <v>7006250</v>
      </c>
      <c r="S1341" s="2">
        <v>0</v>
      </c>
      <c r="T1341" s="2" t="s">
        <v>575</v>
      </c>
      <c r="U1341" s="2" t="s">
        <v>576</v>
      </c>
      <c r="V1341" s="2" t="s">
        <v>56</v>
      </c>
      <c r="W1341" s="2" t="s">
        <v>575</v>
      </c>
      <c r="X1341" s="2" t="s">
        <v>577</v>
      </c>
      <c r="Y1341" s="2">
        <v>2.41871081390084</v>
      </c>
      <c r="Z1341" s="2">
        <v>2418.7108139008401</v>
      </c>
      <c r="AA1341" s="2">
        <v>4.5725527777777799</v>
      </c>
      <c r="AB1341" s="2">
        <v>-74.083813888888898</v>
      </c>
      <c r="AC1341" s="2">
        <v>2688</v>
      </c>
      <c r="AD1341" s="2">
        <v>0</v>
      </c>
      <c r="AE1341" s="2" t="s">
        <v>59</v>
      </c>
      <c r="AF1341" s="2" t="s">
        <v>86</v>
      </c>
      <c r="AG1341" s="2" t="s">
        <v>61</v>
      </c>
      <c r="AH1341" s="2" t="s">
        <v>62</v>
      </c>
      <c r="AI1341" s="2" t="s">
        <v>516</v>
      </c>
      <c r="AJ1341" s="2">
        <v>0.81407377752250798</v>
      </c>
      <c r="AK1341" s="2">
        <v>0.95117915264695896</v>
      </c>
      <c r="AL1341" s="2">
        <v>0.32831541981415402</v>
      </c>
      <c r="AM1341" s="2">
        <v>0.31939287990835302</v>
      </c>
      <c r="AN1341" s="2">
        <v>0.47730753121272101</v>
      </c>
      <c r="AO1341" s="2">
        <v>0.26963746018599599</v>
      </c>
      <c r="AP1341" s="2">
        <v>0.26963746018599599</v>
      </c>
      <c r="AQ1341" s="2">
        <v>0</v>
      </c>
      <c r="AR1341" s="2">
        <v>2</v>
      </c>
      <c r="AS1341" s="2">
        <v>0</v>
      </c>
      <c r="AT1341" s="2">
        <v>6</v>
      </c>
      <c r="AU1341" s="2">
        <v>8</v>
      </c>
      <c r="AV1341" s="2">
        <v>7</v>
      </c>
      <c r="AW1341" s="2">
        <v>1</v>
      </c>
      <c r="AX1341" s="2">
        <v>1</v>
      </c>
      <c r="AY1341" s="2">
        <v>14.7</v>
      </c>
      <c r="AZ1341" s="2">
        <v>6.8</v>
      </c>
      <c r="BA1341" s="2">
        <v>17.3</v>
      </c>
      <c r="BB1341" s="2">
        <v>564</v>
      </c>
      <c r="BC1341" s="2">
        <v>68</v>
      </c>
      <c r="BD1341" s="2">
        <v>1.3</v>
      </c>
      <c r="BE1341" s="2">
        <v>118</v>
      </c>
      <c r="BF1341" s="2">
        <v>25.2</v>
      </c>
      <c r="BG1341" s="2">
        <v>123</v>
      </c>
      <c r="BH1341" s="2">
        <v>7</v>
      </c>
      <c r="BI1341" s="2">
        <v>5.0999999999999996</v>
      </c>
      <c r="BJ1341" s="2">
        <v>12.1</v>
      </c>
      <c r="BK1341" s="2">
        <v>0.32</v>
      </c>
      <c r="BL1341" s="2">
        <v>9.8000000000000007</v>
      </c>
      <c r="BM1341" s="2">
        <v>1</v>
      </c>
      <c r="BN1341" s="2">
        <v>8.1</v>
      </c>
      <c r="BO1341" s="2">
        <v>1.3</v>
      </c>
      <c r="BP1341" s="2">
        <f t="shared" si="40"/>
        <v>6.0327105884593974</v>
      </c>
      <c r="BQ1341" s="2">
        <f t="shared" si="41"/>
        <v>16.324343206346914</v>
      </c>
    </row>
    <row r="1342" spans="1:69" x14ac:dyDescent="0.2">
      <c r="A1342" s="2" t="s">
        <v>3748</v>
      </c>
      <c r="B1342" s="2" t="s">
        <v>47</v>
      </c>
      <c r="C1342" s="2" t="s">
        <v>3273</v>
      </c>
      <c r="D1342" s="2" t="s">
        <v>49</v>
      </c>
      <c r="E1342" s="2" t="s">
        <v>3446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89</v>
      </c>
      <c r="L1342" s="6" t="s">
        <v>90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3749</v>
      </c>
      <c r="R1342" s="2">
        <v>6937500</v>
      </c>
      <c r="S1342" s="2">
        <v>0</v>
      </c>
      <c r="T1342" s="2" t="s">
        <v>575</v>
      </c>
      <c r="U1342" s="2" t="s">
        <v>576</v>
      </c>
      <c r="V1342" s="2" t="s">
        <v>56</v>
      </c>
      <c r="W1342" s="2" t="s">
        <v>575</v>
      </c>
      <c r="X1342" s="2" t="s">
        <v>577</v>
      </c>
      <c r="Y1342" s="2">
        <v>3.0903064636084401</v>
      </c>
      <c r="Z1342" s="2">
        <v>3090.30646360844</v>
      </c>
      <c r="AA1342" s="2">
        <v>4.5725527777777799</v>
      </c>
      <c r="AB1342" s="2">
        <v>-74.083813888888898</v>
      </c>
      <c r="AC1342" s="2">
        <v>2688</v>
      </c>
      <c r="AD1342" s="2">
        <v>0</v>
      </c>
      <c r="AE1342" s="2" t="s">
        <v>59</v>
      </c>
      <c r="AF1342" s="2" t="s">
        <v>86</v>
      </c>
      <c r="AG1342" s="2" t="s">
        <v>61</v>
      </c>
      <c r="AH1342" s="2" t="s">
        <v>62</v>
      </c>
      <c r="AI1342" s="2" t="s">
        <v>287</v>
      </c>
      <c r="AJ1342" s="2">
        <v>9.6375190892342102E-2</v>
      </c>
      <c r="AK1342" s="2">
        <v>2.4239999436435902</v>
      </c>
      <c r="AL1342" s="2">
        <v>0.34721083832299998</v>
      </c>
      <c r="AM1342" s="2">
        <v>0.40640792990414898</v>
      </c>
      <c r="AN1342" s="2">
        <v>0.98865394039629295</v>
      </c>
      <c r="AO1342" s="2">
        <v>0.30492885417983501</v>
      </c>
      <c r="AP1342" s="2">
        <v>0.30492885417983501</v>
      </c>
      <c r="AQ1342" s="2">
        <v>2</v>
      </c>
      <c r="AR1342" s="2">
        <v>8</v>
      </c>
      <c r="AS1342" s="2">
        <v>0</v>
      </c>
      <c r="AT1342" s="2">
        <v>0</v>
      </c>
      <c r="AU1342" s="2">
        <v>2</v>
      </c>
      <c r="AV1342" s="2">
        <v>7</v>
      </c>
      <c r="AW1342" s="2">
        <v>1</v>
      </c>
      <c r="AX1342" s="2">
        <v>0</v>
      </c>
      <c r="AY1342" s="2">
        <v>14.7</v>
      </c>
      <c r="AZ1342" s="2">
        <v>6.8</v>
      </c>
      <c r="BA1342" s="2">
        <v>17.3</v>
      </c>
      <c r="BB1342" s="2">
        <v>564</v>
      </c>
      <c r="BC1342" s="2">
        <v>68</v>
      </c>
      <c r="BD1342" s="2">
        <v>1.3</v>
      </c>
      <c r="BE1342" s="2">
        <v>118</v>
      </c>
      <c r="BF1342" s="2">
        <v>25.2</v>
      </c>
      <c r="BG1342" s="2">
        <v>123</v>
      </c>
      <c r="BH1342" s="2">
        <v>7</v>
      </c>
      <c r="BI1342" s="2">
        <v>5.0999999999999996</v>
      </c>
      <c r="BJ1342" s="2">
        <v>12.1</v>
      </c>
      <c r="BK1342" s="2">
        <v>0.32</v>
      </c>
      <c r="BL1342" s="2">
        <v>9.8000000000000007</v>
      </c>
      <c r="BM1342" s="2">
        <v>1</v>
      </c>
      <c r="BN1342" s="2">
        <v>8.1</v>
      </c>
      <c r="BO1342" s="2">
        <v>1.3</v>
      </c>
      <c r="BP1342" s="2">
        <f t="shared" si="40"/>
        <v>5.835456177678835</v>
      </c>
      <c r="BQ1342" s="2">
        <f t="shared" si="41"/>
        <v>16.063331797566281</v>
      </c>
    </row>
    <row r="1343" spans="1:69" x14ac:dyDescent="0.2">
      <c r="A1343" s="2" t="s">
        <v>3670</v>
      </c>
      <c r="B1343" s="2" t="s">
        <v>47</v>
      </c>
      <c r="C1343" s="2" t="s">
        <v>3273</v>
      </c>
      <c r="D1343" s="2" t="s">
        <v>49</v>
      </c>
      <c r="E1343" s="2" t="s">
        <v>3671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89</v>
      </c>
      <c r="L1343" s="6" t="s">
        <v>90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3672</v>
      </c>
      <c r="R1343" s="2">
        <v>5093750</v>
      </c>
      <c r="S1343" s="2">
        <v>0</v>
      </c>
      <c r="T1343" s="2" t="s">
        <v>575</v>
      </c>
      <c r="U1343" s="2" t="s">
        <v>576</v>
      </c>
      <c r="V1343" s="2" t="s">
        <v>56</v>
      </c>
      <c r="W1343" s="2" t="s">
        <v>575</v>
      </c>
      <c r="X1343" s="2" t="s">
        <v>577</v>
      </c>
      <c r="Y1343" s="2">
        <v>1.02778134655211</v>
      </c>
      <c r="Z1343" s="2">
        <v>1027.7813465521101</v>
      </c>
      <c r="AA1343" s="2">
        <v>4.5725527777777799</v>
      </c>
      <c r="AB1343" s="2">
        <v>-74.083813888888898</v>
      </c>
      <c r="AC1343" s="2">
        <v>2688</v>
      </c>
      <c r="AD1343" s="2">
        <v>0</v>
      </c>
      <c r="AE1343" s="2" t="s">
        <v>59</v>
      </c>
      <c r="AF1343" s="2" t="s">
        <v>86</v>
      </c>
      <c r="AG1343" s="2" t="s">
        <v>61</v>
      </c>
      <c r="AH1343" s="2" t="s">
        <v>62</v>
      </c>
      <c r="AI1343" s="2" t="s">
        <v>578</v>
      </c>
      <c r="AJ1343" s="2">
        <v>0.57035930595908302</v>
      </c>
      <c r="AK1343" s="2">
        <v>1.3278619985921001</v>
      </c>
      <c r="AL1343" s="2">
        <v>1.1630796687661</v>
      </c>
      <c r="AM1343" s="2">
        <v>0.19078164742916801</v>
      </c>
      <c r="AN1343" s="2">
        <v>1.2244028458913401</v>
      </c>
      <c r="AO1343" s="2">
        <v>3.9617715075487003E-2</v>
      </c>
      <c r="AP1343" s="2">
        <v>3.9617715075487003E-2</v>
      </c>
      <c r="AQ1343" s="2">
        <v>0</v>
      </c>
      <c r="AR1343" s="2">
        <v>3</v>
      </c>
      <c r="AS1343" s="2">
        <v>0</v>
      </c>
      <c r="AT1343" s="2">
        <v>0</v>
      </c>
      <c r="AU1343" s="2">
        <v>0</v>
      </c>
      <c r="AV1343" s="2">
        <v>13</v>
      </c>
      <c r="AW1343" s="2">
        <v>0</v>
      </c>
      <c r="AX1343" s="2">
        <v>0</v>
      </c>
      <c r="AY1343" s="2">
        <v>14.7</v>
      </c>
      <c r="AZ1343" s="2">
        <v>6.8</v>
      </c>
      <c r="BA1343" s="2">
        <v>17.3</v>
      </c>
      <c r="BB1343" s="2">
        <v>564</v>
      </c>
      <c r="BC1343" s="2">
        <v>68</v>
      </c>
      <c r="BD1343" s="2">
        <v>1.3</v>
      </c>
      <c r="BE1343" s="2">
        <v>118</v>
      </c>
      <c r="BF1343" s="2">
        <v>25.2</v>
      </c>
      <c r="BG1343" s="2">
        <v>123</v>
      </c>
      <c r="BH1343" s="2">
        <v>7</v>
      </c>
      <c r="BI1343" s="2">
        <v>5.0999999999999996</v>
      </c>
      <c r="BJ1343" s="2">
        <v>12.1</v>
      </c>
      <c r="BK1343" s="2">
        <v>0.32</v>
      </c>
      <c r="BL1343" s="2">
        <v>9.8000000000000007</v>
      </c>
      <c r="BM1343" s="2">
        <v>1</v>
      </c>
      <c r="BN1343" s="2">
        <v>8.1</v>
      </c>
      <c r="BO1343" s="2">
        <v>1.3</v>
      </c>
      <c r="BP1343" s="2">
        <f t="shared" si="40"/>
        <v>6.4627016053117945</v>
      </c>
      <c r="BQ1343" s="2">
        <f t="shared" si="41"/>
        <v>16.878485257082694</v>
      </c>
    </row>
    <row r="1344" spans="1:69" x14ac:dyDescent="0.2">
      <c r="A1344" s="2" t="s">
        <v>4443</v>
      </c>
      <c r="B1344" s="2" t="s">
        <v>47</v>
      </c>
      <c r="C1344" s="2" t="s">
        <v>3273</v>
      </c>
      <c r="D1344" s="2" t="s">
        <v>49</v>
      </c>
      <c r="E1344" s="2" t="s">
        <v>4337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89</v>
      </c>
      <c r="L1344" s="6" t="s">
        <v>112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4444</v>
      </c>
      <c r="R1344" s="2">
        <v>5806451.6129999999</v>
      </c>
      <c r="S1344" s="2">
        <v>0</v>
      </c>
      <c r="T1344" s="2" t="s">
        <v>575</v>
      </c>
      <c r="U1344" s="2" t="s">
        <v>576</v>
      </c>
      <c r="V1344" s="2" t="s">
        <v>56</v>
      </c>
      <c r="W1344" s="2" t="s">
        <v>575</v>
      </c>
      <c r="X1344" s="2" t="s">
        <v>577</v>
      </c>
      <c r="Y1344" s="2">
        <v>0.62449702987656297</v>
      </c>
      <c r="Z1344" s="2">
        <v>624.49702987656303</v>
      </c>
      <c r="AA1344" s="2">
        <v>4.5725527777777799</v>
      </c>
      <c r="AB1344" s="2">
        <v>-74.083813888888898</v>
      </c>
      <c r="AC1344" s="2">
        <v>2688</v>
      </c>
      <c r="AD1344" s="2">
        <v>0</v>
      </c>
      <c r="AE1344" s="2" t="s">
        <v>59</v>
      </c>
      <c r="AF1344" s="2" t="s">
        <v>86</v>
      </c>
      <c r="AG1344" s="2" t="s">
        <v>61</v>
      </c>
      <c r="AH1344" s="2" t="s">
        <v>62</v>
      </c>
      <c r="AI1344" s="2" t="s">
        <v>578</v>
      </c>
      <c r="AJ1344" s="2">
        <v>0.67196129237299396</v>
      </c>
      <c r="AK1344" s="2">
        <v>1.2579202074318201</v>
      </c>
      <c r="AL1344" s="2">
        <v>0.82220341938041297</v>
      </c>
      <c r="AM1344" s="2">
        <v>0.425432435077994</v>
      </c>
      <c r="AN1344" s="2">
        <v>0.87176546761889195</v>
      </c>
      <c r="AO1344" s="2">
        <v>0.17254175935893001</v>
      </c>
      <c r="AP1344" s="2">
        <v>0.17254175935893001</v>
      </c>
      <c r="AQ1344" s="2">
        <v>0</v>
      </c>
      <c r="AR1344" s="2">
        <v>3</v>
      </c>
      <c r="AS1344" s="2">
        <v>0</v>
      </c>
      <c r="AT1344" s="2">
        <v>0</v>
      </c>
      <c r="AU1344" s="2">
        <v>1</v>
      </c>
      <c r="AV1344" s="2">
        <v>9</v>
      </c>
      <c r="AW1344" s="2">
        <v>1</v>
      </c>
      <c r="AX1344" s="2">
        <v>0</v>
      </c>
      <c r="AY1344" s="2">
        <v>14.7</v>
      </c>
      <c r="AZ1344" s="2">
        <v>6.8</v>
      </c>
      <c r="BA1344" s="2">
        <v>17.3</v>
      </c>
      <c r="BB1344" s="2">
        <v>564</v>
      </c>
      <c r="BC1344" s="2">
        <v>68</v>
      </c>
      <c r="BD1344" s="2">
        <v>1.3</v>
      </c>
      <c r="BE1344" s="2">
        <v>118</v>
      </c>
      <c r="BF1344" s="2">
        <v>25.2</v>
      </c>
      <c r="BG1344" s="2">
        <v>123</v>
      </c>
      <c r="BH1344" s="2">
        <v>7</v>
      </c>
      <c r="BI1344" s="2">
        <v>5.0999999999999996</v>
      </c>
      <c r="BJ1344" s="2">
        <v>12.1</v>
      </c>
      <c r="BK1344" s="2">
        <v>0.32</v>
      </c>
      <c r="BL1344" s="2">
        <v>9.8000000000000007</v>
      </c>
      <c r="BM1344" s="2">
        <v>1</v>
      </c>
      <c r="BN1344" s="2">
        <v>8.1</v>
      </c>
      <c r="BO1344" s="2">
        <v>1.3</v>
      </c>
      <c r="BP1344" s="2">
        <f t="shared" si="40"/>
        <v>6.5930100811794592</v>
      </c>
      <c r="BQ1344" s="2">
        <f t="shared" si="41"/>
        <v>17.042642280448693</v>
      </c>
    </row>
    <row r="1345" spans="1:69" x14ac:dyDescent="0.2">
      <c r="A1345" s="2" t="s">
        <v>4367</v>
      </c>
      <c r="B1345" s="2" t="s">
        <v>47</v>
      </c>
      <c r="C1345" s="2" t="s">
        <v>3273</v>
      </c>
      <c r="D1345" s="2" t="s">
        <v>49</v>
      </c>
      <c r="E1345" s="2" t="s">
        <v>927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89</v>
      </c>
      <c r="L1345" s="6" t="s">
        <v>90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4368</v>
      </c>
      <c r="R1345" s="2">
        <v>8748275.8619999997</v>
      </c>
      <c r="S1345" s="2">
        <v>0</v>
      </c>
      <c r="T1345" s="2" t="s">
        <v>575</v>
      </c>
      <c r="U1345" s="2" t="s">
        <v>576</v>
      </c>
      <c r="V1345" s="2" t="s">
        <v>56</v>
      </c>
      <c r="W1345" s="2" t="s">
        <v>575</v>
      </c>
      <c r="X1345" s="2" t="s">
        <v>577</v>
      </c>
      <c r="Y1345" s="2">
        <v>1.70198124644154</v>
      </c>
      <c r="Z1345" s="2">
        <v>1701.98124644154</v>
      </c>
      <c r="AA1345" s="2">
        <v>4.5725527777777799</v>
      </c>
      <c r="AB1345" s="2">
        <v>-74.083813888888898</v>
      </c>
      <c r="AC1345" s="2">
        <v>2688</v>
      </c>
      <c r="AD1345" s="2">
        <v>0</v>
      </c>
      <c r="AE1345" s="2" t="s">
        <v>59</v>
      </c>
      <c r="AF1345" s="2" t="s">
        <v>86</v>
      </c>
      <c r="AG1345" s="2" t="s">
        <v>61</v>
      </c>
      <c r="AH1345" s="2" t="s">
        <v>62</v>
      </c>
      <c r="AI1345" s="2" t="s">
        <v>578</v>
      </c>
      <c r="AJ1345" s="2">
        <v>9.7163574275330705E-2</v>
      </c>
      <c r="AK1345" s="2">
        <v>2.48013584880117</v>
      </c>
      <c r="AL1345" s="2">
        <v>1.6124630540985401</v>
      </c>
      <c r="AM1345" s="2">
        <v>0.25381062714865699</v>
      </c>
      <c r="AN1345" s="2">
        <v>1.4612869042287799</v>
      </c>
      <c r="AO1345" s="2">
        <v>0.13902026455222399</v>
      </c>
      <c r="AP1345" s="2">
        <v>0.13902026455222399</v>
      </c>
      <c r="AQ1345" s="2">
        <v>1</v>
      </c>
      <c r="AR1345" s="2">
        <v>3</v>
      </c>
      <c r="AS1345" s="2">
        <v>0</v>
      </c>
      <c r="AT1345" s="2">
        <v>0</v>
      </c>
      <c r="AU1345" s="2">
        <v>0</v>
      </c>
      <c r="AV1345" s="2">
        <v>15</v>
      </c>
      <c r="AW1345" s="2">
        <v>0</v>
      </c>
      <c r="AX1345" s="2">
        <v>0</v>
      </c>
      <c r="AY1345" s="2">
        <v>14.7</v>
      </c>
      <c r="AZ1345" s="2">
        <v>6.8</v>
      </c>
      <c r="BA1345" s="2">
        <v>17.3</v>
      </c>
      <c r="BB1345" s="2">
        <v>564</v>
      </c>
      <c r="BC1345" s="2">
        <v>68</v>
      </c>
      <c r="BD1345" s="2">
        <v>1.3</v>
      </c>
      <c r="BE1345" s="2">
        <v>118</v>
      </c>
      <c r="BF1345" s="2">
        <v>25.2</v>
      </c>
      <c r="BG1345" s="2">
        <v>123</v>
      </c>
      <c r="BH1345" s="2">
        <v>7</v>
      </c>
      <c r="BI1345" s="2">
        <v>5.0999999999999996</v>
      </c>
      <c r="BJ1345" s="2">
        <v>12.1</v>
      </c>
      <c r="BK1345" s="2">
        <v>0.32</v>
      </c>
      <c r="BL1345" s="2">
        <v>9.8000000000000007</v>
      </c>
      <c r="BM1345" s="2">
        <v>1</v>
      </c>
      <c r="BN1345" s="2">
        <v>8.1</v>
      </c>
      <c r="BO1345" s="2">
        <v>1.3</v>
      </c>
      <c r="BP1345" s="2">
        <f t="shared" si="40"/>
        <v>6.2505817566666773</v>
      </c>
      <c r="BQ1345" s="2">
        <f t="shared" si="41"/>
        <v>16.607575581433885</v>
      </c>
    </row>
    <row r="1346" spans="1:69" x14ac:dyDescent="0.2">
      <c r="A1346" s="2" t="s">
        <v>3637</v>
      </c>
      <c r="B1346" s="2" t="s">
        <v>47</v>
      </c>
      <c r="C1346" s="2" t="s">
        <v>3273</v>
      </c>
      <c r="D1346" s="2" t="s">
        <v>49</v>
      </c>
      <c r="E1346" s="2" t="s">
        <v>3446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89</v>
      </c>
      <c r="L1346" s="6" t="s">
        <v>90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3638</v>
      </c>
      <c r="R1346" s="2">
        <v>6521739.1299999999</v>
      </c>
      <c r="S1346" s="2">
        <v>0</v>
      </c>
      <c r="T1346" s="2" t="s">
        <v>575</v>
      </c>
      <c r="U1346" s="2" t="s">
        <v>576</v>
      </c>
      <c r="V1346" s="2" t="s">
        <v>56</v>
      </c>
      <c r="W1346" s="2" t="s">
        <v>575</v>
      </c>
      <c r="X1346" s="2" t="s">
        <v>577</v>
      </c>
      <c r="Y1346" s="2">
        <v>3.1002568219256998</v>
      </c>
      <c r="Z1346" s="2">
        <v>3100.2568219257</v>
      </c>
      <c r="AA1346" s="2">
        <v>4.5725527777777799</v>
      </c>
      <c r="AB1346" s="2">
        <v>-74.083813888888898</v>
      </c>
      <c r="AC1346" s="2">
        <v>2688</v>
      </c>
      <c r="AD1346" s="2">
        <v>0</v>
      </c>
      <c r="AE1346" s="2" t="s">
        <v>59</v>
      </c>
      <c r="AF1346" s="2" t="s">
        <v>86</v>
      </c>
      <c r="AG1346" s="2" t="s">
        <v>61</v>
      </c>
      <c r="AH1346" s="2" t="s">
        <v>62</v>
      </c>
      <c r="AI1346" s="2" t="s">
        <v>287</v>
      </c>
      <c r="AJ1346" s="2">
        <v>9.18553028753748E-2</v>
      </c>
      <c r="AK1346" s="2">
        <v>2.4330059959829899</v>
      </c>
      <c r="AL1346" s="2">
        <v>0.33962851708498099</v>
      </c>
      <c r="AM1346" s="2">
        <v>0.40177341015076101</v>
      </c>
      <c r="AN1346" s="2">
        <v>0.97925199446015598</v>
      </c>
      <c r="AO1346" s="2">
        <v>0.31336492684066503</v>
      </c>
      <c r="AP1346" s="2">
        <v>0.31336492684066503</v>
      </c>
      <c r="AQ1346" s="2">
        <v>1</v>
      </c>
      <c r="AR1346" s="2">
        <v>8</v>
      </c>
      <c r="AS1346" s="2">
        <v>0</v>
      </c>
      <c r="AT1346" s="2">
        <v>0</v>
      </c>
      <c r="AU1346" s="2">
        <v>2</v>
      </c>
      <c r="AV1346" s="2">
        <v>8</v>
      </c>
      <c r="AW1346" s="2">
        <v>1</v>
      </c>
      <c r="AX1346" s="2">
        <v>0</v>
      </c>
      <c r="AY1346" s="2">
        <v>14.7</v>
      </c>
      <c r="AZ1346" s="2">
        <v>6.8</v>
      </c>
      <c r="BA1346" s="2">
        <v>17.3</v>
      </c>
      <c r="BB1346" s="2">
        <v>564</v>
      </c>
      <c r="BC1346" s="2">
        <v>68</v>
      </c>
      <c r="BD1346" s="2">
        <v>1.3</v>
      </c>
      <c r="BE1346" s="2">
        <v>118</v>
      </c>
      <c r="BF1346" s="2">
        <v>25.2</v>
      </c>
      <c r="BG1346" s="2">
        <v>123</v>
      </c>
      <c r="BH1346" s="2">
        <v>7</v>
      </c>
      <c r="BI1346" s="2">
        <v>5.0999999999999996</v>
      </c>
      <c r="BJ1346" s="2">
        <v>12.1</v>
      </c>
      <c r="BK1346" s="2">
        <v>0.32</v>
      </c>
      <c r="BL1346" s="2">
        <v>9.8000000000000007</v>
      </c>
      <c r="BM1346" s="2">
        <v>1</v>
      </c>
      <c r="BN1346" s="2">
        <v>8.1</v>
      </c>
      <c r="BO1346" s="2">
        <v>1.3</v>
      </c>
      <c r="BP1346" s="2">
        <f t="shared" ref="BP1346:BP1409" si="42">+AZ1346*EXP(-0.0495*Y1346)</f>
        <v>5.8325826738429765</v>
      </c>
      <c r="BQ1346" s="2">
        <f t="shared" ref="BQ1346:BQ1409" si="43">+BA1346*EXP(-0.024*Y1346)</f>
        <v>16.059496193800378</v>
      </c>
    </row>
    <row r="1347" spans="1:69" x14ac:dyDescent="0.2">
      <c r="A1347" s="2" t="s">
        <v>4020</v>
      </c>
      <c r="B1347" s="2" t="s">
        <v>47</v>
      </c>
      <c r="C1347" s="2" t="s">
        <v>3273</v>
      </c>
      <c r="D1347" s="2" t="s">
        <v>49</v>
      </c>
      <c r="E1347" s="2" t="s">
        <v>3552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89</v>
      </c>
      <c r="L1347" s="6" t="s">
        <v>90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4021</v>
      </c>
      <c r="R1347" s="2">
        <v>8750000</v>
      </c>
      <c r="S1347" s="2">
        <v>0</v>
      </c>
      <c r="T1347" s="2" t="s">
        <v>575</v>
      </c>
      <c r="U1347" s="2" t="s">
        <v>576</v>
      </c>
      <c r="V1347" s="2" t="s">
        <v>56</v>
      </c>
      <c r="W1347" s="2" t="s">
        <v>575</v>
      </c>
      <c r="X1347" s="2" t="s">
        <v>577</v>
      </c>
      <c r="Y1347" s="2">
        <v>2.4051879537040199</v>
      </c>
      <c r="Z1347" s="2">
        <v>2405.1879537040199</v>
      </c>
      <c r="AA1347" s="2">
        <v>4.5725527777777799</v>
      </c>
      <c r="AB1347" s="2">
        <v>-74.083813888888898</v>
      </c>
      <c r="AC1347" s="2">
        <v>2688</v>
      </c>
      <c r="AD1347" s="2">
        <v>0</v>
      </c>
      <c r="AE1347" s="2" t="s">
        <v>59</v>
      </c>
      <c r="AF1347" s="2" t="s">
        <v>86</v>
      </c>
      <c r="AG1347" s="2" t="s">
        <v>61</v>
      </c>
      <c r="AH1347" s="2" t="s">
        <v>62</v>
      </c>
      <c r="AI1347" s="2" t="s">
        <v>516</v>
      </c>
      <c r="AJ1347" s="2">
        <v>0.81644888645812597</v>
      </c>
      <c r="AK1347" s="2">
        <v>0.95465949922670001</v>
      </c>
      <c r="AL1347" s="2">
        <v>0.34121955911528801</v>
      </c>
      <c r="AM1347" s="2">
        <v>0.32622476909847098</v>
      </c>
      <c r="AN1347" s="2">
        <v>0.47352123264151003</v>
      </c>
      <c r="AO1347" s="2">
        <v>0.27611193643834298</v>
      </c>
      <c r="AP1347" s="2">
        <v>0.27611193643834298</v>
      </c>
      <c r="AQ1347" s="2">
        <v>0</v>
      </c>
      <c r="AR1347" s="2">
        <v>1</v>
      </c>
      <c r="AS1347" s="2">
        <v>0</v>
      </c>
      <c r="AT1347" s="2">
        <v>6</v>
      </c>
      <c r="AU1347" s="2">
        <v>8</v>
      </c>
      <c r="AV1347" s="2">
        <v>7</v>
      </c>
      <c r="AW1347" s="2">
        <v>1</v>
      </c>
      <c r="AX1347" s="2">
        <v>1</v>
      </c>
      <c r="AY1347" s="2">
        <v>14.7</v>
      </c>
      <c r="AZ1347" s="2">
        <v>6.8</v>
      </c>
      <c r="BA1347" s="2">
        <v>17.3</v>
      </c>
      <c r="BB1347" s="2">
        <v>564</v>
      </c>
      <c r="BC1347" s="2">
        <v>68</v>
      </c>
      <c r="BD1347" s="2">
        <v>1.3</v>
      </c>
      <c r="BE1347" s="2">
        <v>118</v>
      </c>
      <c r="BF1347" s="2">
        <v>25.2</v>
      </c>
      <c r="BG1347" s="2">
        <v>123</v>
      </c>
      <c r="BH1347" s="2">
        <v>7</v>
      </c>
      <c r="BI1347" s="2">
        <v>5.0999999999999996</v>
      </c>
      <c r="BJ1347" s="2">
        <v>12.1</v>
      </c>
      <c r="BK1347" s="2">
        <v>0.32</v>
      </c>
      <c r="BL1347" s="2">
        <v>9.8000000000000007</v>
      </c>
      <c r="BM1347" s="2">
        <v>1</v>
      </c>
      <c r="BN1347" s="2">
        <v>8.1</v>
      </c>
      <c r="BO1347" s="2">
        <v>1.3</v>
      </c>
      <c r="BP1347" s="2">
        <f t="shared" si="42"/>
        <v>6.0367501256482887</v>
      </c>
      <c r="BQ1347" s="2">
        <f t="shared" si="43"/>
        <v>16.329642109639963</v>
      </c>
    </row>
    <row r="1348" spans="1:69" x14ac:dyDescent="0.2">
      <c r="A1348" s="2" t="s">
        <v>4363</v>
      </c>
      <c r="B1348" s="2" t="s">
        <v>47</v>
      </c>
      <c r="C1348" s="2" t="s">
        <v>3273</v>
      </c>
      <c r="D1348" s="2" t="s">
        <v>49</v>
      </c>
      <c r="E1348" s="2" t="s">
        <v>1265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89</v>
      </c>
      <c r="L1348" s="6" t="s">
        <v>90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4364</v>
      </c>
      <c r="R1348" s="2">
        <v>8518518.5189999994</v>
      </c>
      <c r="S1348" s="2">
        <v>0</v>
      </c>
      <c r="T1348" s="2" t="s">
        <v>575</v>
      </c>
      <c r="U1348" s="2" t="s">
        <v>576</v>
      </c>
      <c r="V1348" s="2" t="s">
        <v>56</v>
      </c>
      <c r="W1348" s="2" t="s">
        <v>575</v>
      </c>
      <c r="X1348" s="2" t="s">
        <v>577</v>
      </c>
      <c r="Y1348" s="2">
        <v>2.7065226468547201</v>
      </c>
      <c r="Z1348" s="2">
        <v>2706.5226468547198</v>
      </c>
      <c r="AA1348" s="2">
        <v>4.5725527777777799</v>
      </c>
      <c r="AB1348" s="2">
        <v>-74.083813888888898</v>
      </c>
      <c r="AC1348" s="2">
        <v>2688</v>
      </c>
      <c r="AD1348" s="2">
        <v>0</v>
      </c>
      <c r="AE1348" s="2" t="s">
        <v>59</v>
      </c>
      <c r="AF1348" s="2" t="s">
        <v>86</v>
      </c>
      <c r="AG1348" s="2" t="s">
        <v>61</v>
      </c>
      <c r="AH1348" s="2" t="s">
        <v>62</v>
      </c>
      <c r="AI1348" s="2" t="s">
        <v>287</v>
      </c>
      <c r="AJ1348" s="2">
        <v>0.361333344746195</v>
      </c>
      <c r="AK1348" s="2">
        <v>2.53872717056566</v>
      </c>
      <c r="AL1348" s="2">
        <v>0.73267162071291303</v>
      </c>
      <c r="AM1348" s="2">
        <v>0.37188627580232603</v>
      </c>
      <c r="AN1348" s="2">
        <v>1.2650683255686701</v>
      </c>
      <c r="AO1348" s="2">
        <v>8.1339482063039606E-2</v>
      </c>
      <c r="AP1348" s="2">
        <v>8.1339482063039606E-2</v>
      </c>
      <c r="AQ1348" s="2">
        <v>2</v>
      </c>
      <c r="AR1348" s="2">
        <v>6</v>
      </c>
      <c r="AS1348" s="2">
        <v>0</v>
      </c>
      <c r="AT1348" s="2">
        <v>0</v>
      </c>
      <c r="AU1348" s="2">
        <v>2</v>
      </c>
      <c r="AV1348" s="2">
        <v>13</v>
      </c>
      <c r="AW1348" s="2">
        <v>0</v>
      </c>
      <c r="AX1348" s="2">
        <v>0</v>
      </c>
      <c r="AY1348" s="2">
        <v>14.7</v>
      </c>
      <c r="AZ1348" s="2">
        <v>6.8</v>
      </c>
      <c r="BA1348" s="2">
        <v>17.3</v>
      </c>
      <c r="BB1348" s="2">
        <v>564</v>
      </c>
      <c r="BC1348" s="2">
        <v>68</v>
      </c>
      <c r="BD1348" s="2">
        <v>1.3</v>
      </c>
      <c r="BE1348" s="2">
        <v>118</v>
      </c>
      <c r="BF1348" s="2">
        <v>25.2</v>
      </c>
      <c r="BG1348" s="2">
        <v>123</v>
      </c>
      <c r="BH1348" s="2">
        <v>7</v>
      </c>
      <c r="BI1348" s="2">
        <v>5.0999999999999996</v>
      </c>
      <c r="BJ1348" s="2">
        <v>12.1</v>
      </c>
      <c r="BK1348" s="2">
        <v>0.32</v>
      </c>
      <c r="BL1348" s="2">
        <v>9.8000000000000007</v>
      </c>
      <c r="BM1348" s="2">
        <v>1</v>
      </c>
      <c r="BN1348" s="2">
        <v>8.1</v>
      </c>
      <c r="BO1348" s="2">
        <v>1.3</v>
      </c>
      <c r="BP1348" s="2">
        <f t="shared" si="42"/>
        <v>5.9473737833026439</v>
      </c>
      <c r="BQ1348" s="2">
        <f t="shared" si="43"/>
        <v>16.211971616268563</v>
      </c>
    </row>
    <row r="1349" spans="1:69" x14ac:dyDescent="0.2">
      <c r="A1349" s="2" t="s">
        <v>3887</v>
      </c>
      <c r="B1349" s="2" t="s">
        <v>47</v>
      </c>
      <c r="C1349" s="2" t="s">
        <v>3273</v>
      </c>
      <c r="D1349" s="2" t="s">
        <v>49</v>
      </c>
      <c r="E1349" s="2" t="s">
        <v>3888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89</v>
      </c>
      <c r="L1349" s="6" t="s">
        <v>112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3889</v>
      </c>
      <c r="R1349" s="2">
        <v>8518518.5189999994</v>
      </c>
      <c r="S1349" s="2">
        <v>0</v>
      </c>
      <c r="T1349" s="2" t="s">
        <v>575</v>
      </c>
      <c r="U1349" s="2" t="s">
        <v>576</v>
      </c>
      <c r="V1349" s="2" t="s">
        <v>56</v>
      </c>
      <c r="W1349" s="2" t="s">
        <v>575</v>
      </c>
      <c r="X1349" s="2" t="s">
        <v>577</v>
      </c>
      <c r="Y1349" s="2">
        <v>2.3460098454918001</v>
      </c>
      <c r="Z1349" s="2">
        <v>2346.0098454918002</v>
      </c>
      <c r="AA1349" s="2">
        <v>4.5725527777777799</v>
      </c>
      <c r="AB1349" s="2">
        <v>-74.083813888888898</v>
      </c>
      <c r="AC1349" s="2">
        <v>2688</v>
      </c>
      <c r="AD1349" s="2">
        <v>0</v>
      </c>
      <c r="AE1349" s="2" t="s">
        <v>59</v>
      </c>
      <c r="AF1349" s="2" t="s">
        <v>86</v>
      </c>
      <c r="AG1349" s="2" t="s">
        <v>61</v>
      </c>
      <c r="AH1349" s="2" t="s">
        <v>62</v>
      </c>
      <c r="AI1349" s="2" t="s">
        <v>966</v>
      </c>
      <c r="AJ1349" s="2">
        <v>0.46755763201579298</v>
      </c>
      <c r="AK1349" s="2">
        <v>2.8548664417335599</v>
      </c>
      <c r="AL1349" s="2">
        <v>0.439910343855268</v>
      </c>
      <c r="AM1349" s="2">
        <v>0.32484094166099098</v>
      </c>
      <c r="AN1349" s="2">
        <v>1.0249542313176701</v>
      </c>
      <c r="AO1349" s="2">
        <v>0.20271613705408101</v>
      </c>
      <c r="AP1349" s="2">
        <v>0.20271613705408101</v>
      </c>
      <c r="AQ1349" s="2">
        <v>1</v>
      </c>
      <c r="AR1349" s="2">
        <v>3</v>
      </c>
      <c r="AS1349" s="2">
        <v>0</v>
      </c>
      <c r="AT1349" s="2">
        <v>0</v>
      </c>
      <c r="AU1349" s="2">
        <v>2</v>
      </c>
      <c r="AV1349" s="2">
        <v>36</v>
      </c>
      <c r="AW1349" s="2">
        <v>0</v>
      </c>
      <c r="AX1349" s="2">
        <v>0</v>
      </c>
      <c r="AY1349" s="2">
        <v>14.7</v>
      </c>
      <c r="AZ1349" s="2">
        <v>6.8</v>
      </c>
      <c r="BA1349" s="2">
        <v>17.3</v>
      </c>
      <c r="BB1349" s="2">
        <v>564</v>
      </c>
      <c r="BC1349" s="2">
        <v>68</v>
      </c>
      <c r="BD1349" s="2">
        <v>1.3</v>
      </c>
      <c r="BE1349" s="2">
        <v>118</v>
      </c>
      <c r="BF1349" s="2">
        <v>25.2</v>
      </c>
      <c r="BG1349" s="2">
        <v>123</v>
      </c>
      <c r="BH1349" s="2">
        <v>7</v>
      </c>
      <c r="BI1349" s="2">
        <v>5.0999999999999996</v>
      </c>
      <c r="BJ1349" s="2">
        <v>12.1</v>
      </c>
      <c r="BK1349" s="2">
        <v>0.32</v>
      </c>
      <c r="BL1349" s="2">
        <v>9.8000000000000007</v>
      </c>
      <c r="BM1349" s="2">
        <v>1</v>
      </c>
      <c r="BN1349" s="2">
        <v>8.1</v>
      </c>
      <c r="BO1349" s="2">
        <v>1.3</v>
      </c>
      <c r="BP1349" s="2">
        <f t="shared" si="42"/>
        <v>6.0544596021975501</v>
      </c>
      <c r="BQ1349" s="2">
        <f t="shared" si="43"/>
        <v>16.352851163221121</v>
      </c>
    </row>
    <row r="1350" spans="1:69" x14ac:dyDescent="0.2">
      <c r="A1350" s="2" t="s">
        <v>3445</v>
      </c>
      <c r="B1350" s="2" t="s">
        <v>47</v>
      </c>
      <c r="C1350" s="2" t="s">
        <v>3273</v>
      </c>
      <c r="D1350" s="2" t="s">
        <v>49</v>
      </c>
      <c r="E1350" s="2" t="s">
        <v>3446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89</v>
      </c>
      <c r="L1350" s="6" t="s">
        <v>90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3447</v>
      </c>
      <c r="R1350" s="2">
        <v>6538461.5379999997</v>
      </c>
      <c r="S1350" s="2">
        <v>0</v>
      </c>
      <c r="T1350" s="2" t="s">
        <v>575</v>
      </c>
      <c r="U1350" s="2" t="s">
        <v>576</v>
      </c>
      <c r="V1350" s="2" t="s">
        <v>56</v>
      </c>
      <c r="W1350" s="2" t="s">
        <v>575</v>
      </c>
      <c r="X1350" s="2" t="s">
        <v>577</v>
      </c>
      <c r="Y1350" s="2">
        <v>3.1002568219256998</v>
      </c>
      <c r="Z1350" s="2">
        <v>3100.2568219257</v>
      </c>
      <c r="AA1350" s="2">
        <v>4.5725527777777799</v>
      </c>
      <c r="AB1350" s="2">
        <v>-74.083813888888898</v>
      </c>
      <c r="AC1350" s="2">
        <v>2688</v>
      </c>
      <c r="AD1350" s="2">
        <v>0</v>
      </c>
      <c r="AE1350" s="2" t="s">
        <v>59</v>
      </c>
      <c r="AF1350" s="2" t="s">
        <v>86</v>
      </c>
      <c r="AG1350" s="2" t="s">
        <v>61</v>
      </c>
      <c r="AH1350" s="2" t="s">
        <v>62</v>
      </c>
      <c r="AI1350" s="2" t="s">
        <v>287</v>
      </c>
      <c r="AJ1350" s="2">
        <v>9.18553028753748E-2</v>
      </c>
      <c r="AK1350" s="2">
        <v>2.4330059959829899</v>
      </c>
      <c r="AL1350" s="2">
        <v>0.33962851708498099</v>
      </c>
      <c r="AM1350" s="2">
        <v>0.40177341015076101</v>
      </c>
      <c r="AN1350" s="2">
        <v>0.97925199446015598</v>
      </c>
      <c r="AO1350" s="2">
        <v>0.31336492684066503</v>
      </c>
      <c r="AP1350" s="2">
        <v>0.31336492684066503</v>
      </c>
      <c r="AQ1350" s="2">
        <v>1</v>
      </c>
      <c r="AR1350" s="2">
        <v>8</v>
      </c>
      <c r="AS1350" s="2">
        <v>0</v>
      </c>
      <c r="AT1350" s="2">
        <v>0</v>
      </c>
      <c r="AU1350" s="2">
        <v>2</v>
      </c>
      <c r="AV1350" s="2">
        <v>8</v>
      </c>
      <c r="AW1350" s="2">
        <v>1</v>
      </c>
      <c r="AX1350" s="2">
        <v>0</v>
      </c>
      <c r="AY1350" s="2">
        <v>14.7</v>
      </c>
      <c r="AZ1350" s="2">
        <v>6.8</v>
      </c>
      <c r="BA1350" s="2">
        <v>17.3</v>
      </c>
      <c r="BB1350" s="2">
        <v>564</v>
      </c>
      <c r="BC1350" s="2">
        <v>68</v>
      </c>
      <c r="BD1350" s="2">
        <v>1.3</v>
      </c>
      <c r="BE1350" s="2">
        <v>118</v>
      </c>
      <c r="BF1350" s="2">
        <v>25.2</v>
      </c>
      <c r="BG1350" s="2">
        <v>123</v>
      </c>
      <c r="BH1350" s="2">
        <v>7</v>
      </c>
      <c r="BI1350" s="2">
        <v>5.0999999999999996</v>
      </c>
      <c r="BJ1350" s="2">
        <v>12.1</v>
      </c>
      <c r="BK1350" s="2">
        <v>0.32</v>
      </c>
      <c r="BL1350" s="2">
        <v>9.8000000000000007</v>
      </c>
      <c r="BM1350" s="2">
        <v>1</v>
      </c>
      <c r="BN1350" s="2">
        <v>8.1</v>
      </c>
      <c r="BO1350" s="2">
        <v>1.3</v>
      </c>
      <c r="BP1350" s="2">
        <f t="shared" si="42"/>
        <v>5.8325826738429765</v>
      </c>
      <c r="BQ1350" s="2">
        <f t="shared" si="43"/>
        <v>16.059496193800378</v>
      </c>
    </row>
    <row r="1351" spans="1:69" x14ac:dyDescent="0.2">
      <c r="A1351" s="2" t="s">
        <v>4472</v>
      </c>
      <c r="B1351" s="2" t="s">
        <v>47</v>
      </c>
      <c r="C1351" s="2" t="s">
        <v>3273</v>
      </c>
      <c r="D1351" s="2" t="s">
        <v>49</v>
      </c>
      <c r="E1351" s="2" t="s">
        <v>1265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89</v>
      </c>
      <c r="L1351" s="6" t="s">
        <v>90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4473</v>
      </c>
      <c r="R1351" s="2">
        <v>11600000</v>
      </c>
      <c r="S1351" s="2">
        <v>0</v>
      </c>
      <c r="T1351" s="2" t="s">
        <v>575</v>
      </c>
      <c r="U1351" s="2" t="s">
        <v>576</v>
      </c>
      <c r="V1351" s="2" t="s">
        <v>56</v>
      </c>
      <c r="W1351" s="2" t="s">
        <v>575</v>
      </c>
      <c r="X1351" s="2" t="s">
        <v>577</v>
      </c>
      <c r="Y1351" s="2">
        <v>2.7065226468547201</v>
      </c>
      <c r="Z1351" s="2">
        <v>2706.5226468547198</v>
      </c>
      <c r="AA1351" s="2">
        <v>4.5725527777777799</v>
      </c>
      <c r="AB1351" s="2">
        <v>-74.083813888888898</v>
      </c>
      <c r="AC1351" s="2">
        <v>2688</v>
      </c>
      <c r="AD1351" s="2">
        <v>0</v>
      </c>
      <c r="AE1351" s="2" t="s">
        <v>59</v>
      </c>
      <c r="AF1351" s="2" t="s">
        <v>86</v>
      </c>
      <c r="AG1351" s="2" t="s">
        <v>61</v>
      </c>
      <c r="AH1351" s="2" t="s">
        <v>62</v>
      </c>
      <c r="AI1351" s="2" t="s">
        <v>287</v>
      </c>
      <c r="AJ1351" s="2">
        <v>0.361333344746195</v>
      </c>
      <c r="AK1351" s="2">
        <v>2.53872717056566</v>
      </c>
      <c r="AL1351" s="2">
        <v>0.73267162071291303</v>
      </c>
      <c r="AM1351" s="2">
        <v>0.37188627580232603</v>
      </c>
      <c r="AN1351" s="2">
        <v>1.2650683255686701</v>
      </c>
      <c r="AO1351" s="2">
        <v>8.1339482063039606E-2</v>
      </c>
      <c r="AP1351" s="2">
        <v>8.1339482063039606E-2</v>
      </c>
      <c r="AQ1351" s="2">
        <v>2</v>
      </c>
      <c r="AR1351" s="2">
        <v>6</v>
      </c>
      <c r="AS1351" s="2">
        <v>0</v>
      </c>
      <c r="AT1351" s="2">
        <v>0</v>
      </c>
      <c r="AU1351" s="2">
        <v>2</v>
      </c>
      <c r="AV1351" s="2">
        <v>13</v>
      </c>
      <c r="AW1351" s="2">
        <v>0</v>
      </c>
      <c r="AX1351" s="2">
        <v>0</v>
      </c>
      <c r="AY1351" s="2">
        <v>14.7</v>
      </c>
      <c r="AZ1351" s="2">
        <v>6.8</v>
      </c>
      <c r="BA1351" s="2">
        <v>17.3</v>
      </c>
      <c r="BB1351" s="2">
        <v>564</v>
      </c>
      <c r="BC1351" s="2">
        <v>68</v>
      </c>
      <c r="BD1351" s="2">
        <v>1.3</v>
      </c>
      <c r="BE1351" s="2">
        <v>118</v>
      </c>
      <c r="BF1351" s="2">
        <v>25.2</v>
      </c>
      <c r="BG1351" s="2">
        <v>123</v>
      </c>
      <c r="BH1351" s="2">
        <v>7</v>
      </c>
      <c r="BI1351" s="2">
        <v>5.0999999999999996</v>
      </c>
      <c r="BJ1351" s="2">
        <v>12.1</v>
      </c>
      <c r="BK1351" s="2">
        <v>0.32</v>
      </c>
      <c r="BL1351" s="2">
        <v>9.8000000000000007</v>
      </c>
      <c r="BM1351" s="2">
        <v>1</v>
      </c>
      <c r="BN1351" s="2">
        <v>8.1</v>
      </c>
      <c r="BO1351" s="2">
        <v>1.3</v>
      </c>
      <c r="BP1351" s="2">
        <f t="shared" si="42"/>
        <v>5.9473737833026439</v>
      </c>
      <c r="BQ1351" s="2">
        <f t="shared" si="43"/>
        <v>16.211971616268563</v>
      </c>
    </row>
    <row r="1352" spans="1:69" x14ac:dyDescent="0.2">
      <c r="A1352" s="2" t="s">
        <v>4410</v>
      </c>
      <c r="B1352" s="2" t="s">
        <v>47</v>
      </c>
      <c r="C1352" s="2" t="s">
        <v>3273</v>
      </c>
      <c r="D1352" s="2" t="s">
        <v>49</v>
      </c>
      <c r="E1352" s="2" t="s">
        <v>1265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89</v>
      </c>
      <c r="L1352" s="6" t="s">
        <v>90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4411</v>
      </c>
      <c r="R1352" s="2">
        <v>10400000</v>
      </c>
      <c r="S1352" s="2">
        <v>0</v>
      </c>
      <c r="T1352" s="2" t="s">
        <v>575</v>
      </c>
      <c r="U1352" s="2" t="s">
        <v>576</v>
      </c>
      <c r="V1352" s="2" t="s">
        <v>56</v>
      </c>
      <c r="W1352" s="2" t="s">
        <v>575</v>
      </c>
      <c r="X1352" s="2" t="s">
        <v>577</v>
      </c>
      <c r="Y1352" s="2">
        <v>2.7065226468547201</v>
      </c>
      <c r="Z1352" s="2">
        <v>2706.5226468547198</v>
      </c>
      <c r="AA1352" s="2">
        <v>4.5725527777777799</v>
      </c>
      <c r="AB1352" s="2">
        <v>-74.083813888888898</v>
      </c>
      <c r="AC1352" s="2">
        <v>2688</v>
      </c>
      <c r="AD1352" s="2">
        <v>0</v>
      </c>
      <c r="AE1352" s="2" t="s">
        <v>59</v>
      </c>
      <c r="AF1352" s="2" t="s">
        <v>86</v>
      </c>
      <c r="AG1352" s="2" t="s">
        <v>61</v>
      </c>
      <c r="AH1352" s="2" t="s">
        <v>62</v>
      </c>
      <c r="AI1352" s="2" t="s">
        <v>287</v>
      </c>
      <c r="AJ1352" s="2">
        <v>0.361333344746195</v>
      </c>
      <c r="AK1352" s="2">
        <v>2.53872717056566</v>
      </c>
      <c r="AL1352" s="2">
        <v>0.73267162071291303</v>
      </c>
      <c r="AM1352" s="2">
        <v>0.37188627580232603</v>
      </c>
      <c r="AN1352" s="2">
        <v>1.2650683255686701</v>
      </c>
      <c r="AO1352" s="2">
        <v>8.1339482063039606E-2</v>
      </c>
      <c r="AP1352" s="2">
        <v>8.1339482063039606E-2</v>
      </c>
      <c r="AQ1352" s="2">
        <v>2</v>
      </c>
      <c r="AR1352" s="2">
        <v>6</v>
      </c>
      <c r="AS1352" s="2">
        <v>0</v>
      </c>
      <c r="AT1352" s="2">
        <v>0</v>
      </c>
      <c r="AU1352" s="2">
        <v>2</v>
      </c>
      <c r="AV1352" s="2">
        <v>13</v>
      </c>
      <c r="AW1352" s="2">
        <v>0</v>
      </c>
      <c r="AX1352" s="2">
        <v>0</v>
      </c>
      <c r="AY1352" s="2">
        <v>14.7</v>
      </c>
      <c r="AZ1352" s="2">
        <v>6.8</v>
      </c>
      <c r="BA1352" s="2">
        <v>17.3</v>
      </c>
      <c r="BB1352" s="2">
        <v>564</v>
      </c>
      <c r="BC1352" s="2">
        <v>68</v>
      </c>
      <c r="BD1352" s="2">
        <v>1.3</v>
      </c>
      <c r="BE1352" s="2">
        <v>118</v>
      </c>
      <c r="BF1352" s="2">
        <v>25.2</v>
      </c>
      <c r="BG1352" s="2">
        <v>123</v>
      </c>
      <c r="BH1352" s="2">
        <v>7</v>
      </c>
      <c r="BI1352" s="2">
        <v>5.0999999999999996</v>
      </c>
      <c r="BJ1352" s="2">
        <v>12.1</v>
      </c>
      <c r="BK1352" s="2">
        <v>0.32</v>
      </c>
      <c r="BL1352" s="2">
        <v>9.8000000000000007</v>
      </c>
      <c r="BM1352" s="2">
        <v>1</v>
      </c>
      <c r="BN1352" s="2">
        <v>8.1</v>
      </c>
      <c r="BO1352" s="2">
        <v>1.3</v>
      </c>
      <c r="BP1352" s="2">
        <f t="shared" si="42"/>
        <v>5.9473737833026439</v>
      </c>
      <c r="BQ1352" s="2">
        <f t="shared" si="43"/>
        <v>16.211971616268563</v>
      </c>
    </row>
    <row r="1353" spans="1:69" x14ac:dyDescent="0.2">
      <c r="A1353" s="2" t="s">
        <v>4091</v>
      </c>
      <c r="B1353" s="2" t="s">
        <v>47</v>
      </c>
      <c r="C1353" s="2" t="s">
        <v>3273</v>
      </c>
      <c r="D1353" s="2" t="s">
        <v>49</v>
      </c>
      <c r="E1353" s="2" t="s">
        <v>3446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89</v>
      </c>
      <c r="L1353" s="6" t="s">
        <v>90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4092</v>
      </c>
      <c r="R1353" s="2">
        <v>7200000</v>
      </c>
      <c r="S1353" s="2">
        <v>0</v>
      </c>
      <c r="T1353" s="2" t="s">
        <v>575</v>
      </c>
      <c r="U1353" s="2" t="s">
        <v>576</v>
      </c>
      <c r="V1353" s="2" t="s">
        <v>56</v>
      </c>
      <c r="W1353" s="2" t="s">
        <v>575</v>
      </c>
      <c r="X1353" s="2" t="s">
        <v>577</v>
      </c>
      <c r="Y1353" s="2">
        <v>3.0903064636084401</v>
      </c>
      <c r="Z1353" s="2">
        <v>3090.30646360844</v>
      </c>
      <c r="AA1353" s="2">
        <v>4.5725527777777799</v>
      </c>
      <c r="AB1353" s="2">
        <v>-74.083813888888898</v>
      </c>
      <c r="AC1353" s="2">
        <v>2688</v>
      </c>
      <c r="AD1353" s="2">
        <v>0</v>
      </c>
      <c r="AE1353" s="2" t="s">
        <v>59</v>
      </c>
      <c r="AF1353" s="2" t="s">
        <v>86</v>
      </c>
      <c r="AG1353" s="2" t="s">
        <v>61</v>
      </c>
      <c r="AH1353" s="2" t="s">
        <v>62</v>
      </c>
      <c r="AI1353" s="2" t="s">
        <v>287</v>
      </c>
      <c r="AJ1353" s="2">
        <v>9.6375190892342102E-2</v>
      </c>
      <c r="AK1353" s="2">
        <v>2.4239999436435902</v>
      </c>
      <c r="AL1353" s="2">
        <v>0.34721083832299998</v>
      </c>
      <c r="AM1353" s="2">
        <v>0.40640792990414898</v>
      </c>
      <c r="AN1353" s="2">
        <v>0.98865394039629295</v>
      </c>
      <c r="AO1353" s="2">
        <v>0.30492885417983501</v>
      </c>
      <c r="AP1353" s="2">
        <v>0.30492885417983501</v>
      </c>
      <c r="AQ1353" s="2">
        <v>2</v>
      </c>
      <c r="AR1353" s="2">
        <v>8</v>
      </c>
      <c r="AS1353" s="2">
        <v>0</v>
      </c>
      <c r="AT1353" s="2">
        <v>0</v>
      </c>
      <c r="AU1353" s="2">
        <v>2</v>
      </c>
      <c r="AV1353" s="2">
        <v>7</v>
      </c>
      <c r="AW1353" s="2">
        <v>1</v>
      </c>
      <c r="AX1353" s="2">
        <v>0</v>
      </c>
      <c r="AY1353" s="2">
        <v>14.7</v>
      </c>
      <c r="AZ1353" s="2">
        <v>6.8</v>
      </c>
      <c r="BA1353" s="2">
        <v>17.3</v>
      </c>
      <c r="BB1353" s="2">
        <v>564</v>
      </c>
      <c r="BC1353" s="2">
        <v>68</v>
      </c>
      <c r="BD1353" s="2">
        <v>1.3</v>
      </c>
      <c r="BE1353" s="2">
        <v>118</v>
      </c>
      <c r="BF1353" s="2">
        <v>25.2</v>
      </c>
      <c r="BG1353" s="2">
        <v>123</v>
      </c>
      <c r="BH1353" s="2">
        <v>7</v>
      </c>
      <c r="BI1353" s="2">
        <v>5.0999999999999996</v>
      </c>
      <c r="BJ1353" s="2">
        <v>12.1</v>
      </c>
      <c r="BK1353" s="2">
        <v>0.32</v>
      </c>
      <c r="BL1353" s="2">
        <v>9.8000000000000007</v>
      </c>
      <c r="BM1353" s="2">
        <v>1</v>
      </c>
      <c r="BN1353" s="2">
        <v>8.1</v>
      </c>
      <c r="BO1353" s="2">
        <v>1.3</v>
      </c>
      <c r="BP1353" s="2">
        <f t="shared" si="42"/>
        <v>5.835456177678835</v>
      </c>
      <c r="BQ1353" s="2">
        <f t="shared" si="43"/>
        <v>16.063331797566281</v>
      </c>
    </row>
    <row r="1354" spans="1:69" x14ac:dyDescent="0.2">
      <c r="A1354" s="2" t="s">
        <v>4336</v>
      </c>
      <c r="B1354" s="2" t="s">
        <v>47</v>
      </c>
      <c r="C1354" s="2" t="s">
        <v>3273</v>
      </c>
      <c r="D1354" s="2" t="s">
        <v>49</v>
      </c>
      <c r="E1354" s="2" t="s">
        <v>4337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89</v>
      </c>
      <c r="L1354" s="6" t="s">
        <v>112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4338</v>
      </c>
      <c r="R1354" s="2">
        <v>7916666.6670000004</v>
      </c>
      <c r="S1354" s="2">
        <v>0</v>
      </c>
      <c r="T1354" s="2" t="s">
        <v>575</v>
      </c>
      <c r="U1354" s="2" t="s">
        <v>576</v>
      </c>
      <c r="V1354" s="2" t="s">
        <v>56</v>
      </c>
      <c r="W1354" s="2" t="s">
        <v>575</v>
      </c>
      <c r="X1354" s="2" t="s">
        <v>577</v>
      </c>
      <c r="Y1354" s="2">
        <v>0.67863112090141497</v>
      </c>
      <c r="Z1354" s="2">
        <v>678.63112090141499</v>
      </c>
      <c r="AA1354" s="2">
        <v>4.5725527777777799</v>
      </c>
      <c r="AB1354" s="2">
        <v>-74.083813888888898</v>
      </c>
      <c r="AC1354" s="2">
        <v>2688</v>
      </c>
      <c r="AD1354" s="2">
        <v>0</v>
      </c>
      <c r="AE1354" s="2" t="s">
        <v>59</v>
      </c>
      <c r="AF1354" s="2" t="s">
        <v>86</v>
      </c>
      <c r="AG1354" s="2" t="s">
        <v>61</v>
      </c>
      <c r="AH1354" s="2" t="s">
        <v>62</v>
      </c>
      <c r="AI1354" s="2" t="s">
        <v>578</v>
      </c>
      <c r="AJ1354" s="2">
        <v>0.67178347606335698</v>
      </c>
      <c r="AK1354" s="2">
        <v>1.2395125493924199</v>
      </c>
      <c r="AL1354" s="2">
        <v>0.85810789565479995</v>
      </c>
      <c r="AM1354" s="2">
        <v>0.42377325348442402</v>
      </c>
      <c r="AN1354" s="2">
        <v>0.94162265652260702</v>
      </c>
      <c r="AO1354" s="2">
        <v>0.171711847837552</v>
      </c>
      <c r="AP1354" s="2">
        <v>0.171711847837552</v>
      </c>
      <c r="AQ1354" s="2">
        <v>0</v>
      </c>
      <c r="AR1354" s="2">
        <v>3</v>
      </c>
      <c r="AS1354" s="2">
        <v>0</v>
      </c>
      <c r="AT1354" s="2">
        <v>0</v>
      </c>
      <c r="AU1354" s="2">
        <v>1</v>
      </c>
      <c r="AV1354" s="2">
        <v>9</v>
      </c>
      <c r="AW1354" s="2">
        <v>1</v>
      </c>
      <c r="AX1354" s="2">
        <v>0</v>
      </c>
      <c r="AY1354" s="2">
        <v>14.7</v>
      </c>
      <c r="AZ1354" s="2">
        <v>6.8</v>
      </c>
      <c r="BA1354" s="2">
        <v>17.3</v>
      </c>
      <c r="BB1354" s="2">
        <v>564</v>
      </c>
      <c r="BC1354" s="2">
        <v>68</v>
      </c>
      <c r="BD1354" s="2">
        <v>1.3</v>
      </c>
      <c r="BE1354" s="2">
        <v>118</v>
      </c>
      <c r="BF1354" s="2">
        <v>25.2</v>
      </c>
      <c r="BG1354" s="2">
        <v>123</v>
      </c>
      <c r="BH1354" s="2">
        <v>7</v>
      </c>
      <c r="BI1354" s="2">
        <v>5.0999999999999996</v>
      </c>
      <c r="BJ1354" s="2">
        <v>12.1</v>
      </c>
      <c r="BK1354" s="2">
        <v>0.32</v>
      </c>
      <c r="BL1354" s="2">
        <v>9.8000000000000007</v>
      </c>
      <c r="BM1354" s="2">
        <v>1</v>
      </c>
      <c r="BN1354" s="2">
        <v>8.1</v>
      </c>
      <c r="BO1354" s="2">
        <v>1.3</v>
      </c>
      <c r="BP1354" s="2">
        <f t="shared" si="42"/>
        <v>6.5753668533749501</v>
      </c>
      <c r="BQ1354" s="2">
        <f t="shared" si="43"/>
        <v>17.020514547173665</v>
      </c>
    </row>
    <row r="1355" spans="1:69" x14ac:dyDescent="0.2">
      <c r="A1355" s="2" t="s">
        <v>4397</v>
      </c>
      <c r="B1355" s="2" t="s">
        <v>47</v>
      </c>
      <c r="C1355" s="2" t="s">
        <v>3273</v>
      </c>
      <c r="D1355" s="2" t="s">
        <v>49</v>
      </c>
      <c r="E1355" s="2" t="s">
        <v>2400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89</v>
      </c>
      <c r="L1355" s="6" t="s">
        <v>90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4398</v>
      </c>
      <c r="R1355" s="2">
        <v>9413875.5789999999</v>
      </c>
      <c r="S1355" s="2">
        <v>0</v>
      </c>
      <c r="T1355" s="2" t="s">
        <v>575</v>
      </c>
      <c r="U1355" s="2" t="s">
        <v>576</v>
      </c>
      <c r="V1355" s="2" t="s">
        <v>56</v>
      </c>
      <c r="W1355" s="2" t="s">
        <v>575</v>
      </c>
      <c r="X1355" s="2" t="s">
        <v>577</v>
      </c>
      <c r="Y1355" s="2">
        <v>2.4577426855099702</v>
      </c>
      <c r="Z1355" s="2">
        <v>2457.7426855099702</v>
      </c>
      <c r="AA1355" s="2">
        <v>4.5725527777777799</v>
      </c>
      <c r="AB1355" s="2">
        <v>-74.083813888888898</v>
      </c>
      <c r="AC1355" s="2">
        <v>2688</v>
      </c>
      <c r="AD1355" s="2">
        <v>0</v>
      </c>
      <c r="AE1355" s="2" t="s">
        <v>59</v>
      </c>
      <c r="AF1355" s="2" t="s">
        <v>86</v>
      </c>
      <c r="AG1355" s="2" t="s">
        <v>61</v>
      </c>
      <c r="AH1355" s="2" t="s">
        <v>62</v>
      </c>
      <c r="AI1355" s="2" t="s">
        <v>966</v>
      </c>
      <c r="AJ1355" s="2">
        <v>0.246620465295666</v>
      </c>
      <c r="AK1355" s="2">
        <v>3.3111137245903302</v>
      </c>
      <c r="AL1355" s="2">
        <v>0.72585916317519805</v>
      </c>
      <c r="AM1355" s="2">
        <v>4.5436673017484899E-2</v>
      </c>
      <c r="AN1355" s="2">
        <v>0.27907278599188901</v>
      </c>
      <c r="AO1355" s="2">
        <v>0.53639878925059103</v>
      </c>
      <c r="AP1355" s="2">
        <v>0.53639878925059103</v>
      </c>
      <c r="AQ1355" s="2">
        <v>2</v>
      </c>
      <c r="AR1355" s="2">
        <v>3</v>
      </c>
      <c r="AS1355" s="2">
        <v>0</v>
      </c>
      <c r="AT1355" s="2">
        <v>0</v>
      </c>
      <c r="AU1355" s="2">
        <v>1</v>
      </c>
      <c r="AV1355" s="2">
        <v>79</v>
      </c>
      <c r="AW1355" s="2">
        <v>2</v>
      </c>
      <c r="AX1355" s="2">
        <v>0</v>
      </c>
      <c r="AY1355" s="2">
        <v>14.7</v>
      </c>
      <c r="AZ1355" s="2">
        <v>6.8</v>
      </c>
      <c r="BA1355" s="2">
        <v>17.3</v>
      </c>
      <c r="BB1355" s="2">
        <v>564</v>
      </c>
      <c r="BC1355" s="2">
        <v>68</v>
      </c>
      <c r="BD1355" s="2">
        <v>1.3</v>
      </c>
      <c r="BE1355" s="2">
        <v>118</v>
      </c>
      <c r="BF1355" s="2">
        <v>25.2</v>
      </c>
      <c r="BG1355" s="2">
        <v>123</v>
      </c>
      <c r="BH1355" s="2">
        <v>7</v>
      </c>
      <c r="BI1355" s="2">
        <v>5.0999999999999996</v>
      </c>
      <c r="BJ1355" s="2">
        <v>12.1</v>
      </c>
      <c r="BK1355" s="2">
        <v>0.32</v>
      </c>
      <c r="BL1355" s="2">
        <v>9.8000000000000007</v>
      </c>
      <c r="BM1355" s="2">
        <v>1</v>
      </c>
      <c r="BN1355" s="2">
        <v>8.1</v>
      </c>
      <c r="BO1355" s="2">
        <v>1.3</v>
      </c>
      <c r="BP1355" s="2">
        <f t="shared" si="42"/>
        <v>6.021066175771808</v>
      </c>
      <c r="BQ1355" s="2">
        <f t="shared" si="43"/>
        <v>16.309058294614001</v>
      </c>
    </row>
    <row r="1356" spans="1:69" x14ac:dyDescent="0.2">
      <c r="A1356" s="2" t="s">
        <v>2420</v>
      </c>
      <c r="B1356" s="2" t="s">
        <v>47</v>
      </c>
      <c r="C1356" s="2" t="s">
        <v>1935</v>
      </c>
      <c r="D1356" s="2" t="s">
        <v>49</v>
      </c>
      <c r="E1356" s="2" t="s">
        <v>87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89</v>
      </c>
      <c r="L1356" s="6" t="s">
        <v>103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2421</v>
      </c>
      <c r="R1356" s="2">
        <v>4500000</v>
      </c>
      <c r="S1356" s="2">
        <v>0</v>
      </c>
      <c r="T1356" s="2" t="s">
        <v>83</v>
      </c>
      <c r="U1356" s="2" t="s">
        <v>84</v>
      </c>
      <c r="V1356" s="2" t="s">
        <v>56</v>
      </c>
      <c r="W1356" s="2" t="s">
        <v>83</v>
      </c>
      <c r="X1356" s="2" t="s">
        <v>85</v>
      </c>
      <c r="Y1356" s="2">
        <v>1.98350213297867</v>
      </c>
      <c r="Z1356" s="2">
        <v>1983.50213297867</v>
      </c>
      <c r="AA1356" s="2">
        <v>4.71035</v>
      </c>
      <c r="AB1356" s="2">
        <v>-74.030416666666696</v>
      </c>
      <c r="AC1356" s="2">
        <v>2570</v>
      </c>
      <c r="AD1356" s="2">
        <v>10</v>
      </c>
      <c r="AE1356" s="2" t="s">
        <v>59</v>
      </c>
      <c r="AF1356" s="2" t="s">
        <v>86</v>
      </c>
      <c r="AG1356" s="2" t="s">
        <v>61</v>
      </c>
      <c r="AH1356" s="2" t="s">
        <v>62</v>
      </c>
      <c r="AI1356" s="2" t="s">
        <v>87</v>
      </c>
      <c r="AJ1356" s="2">
        <v>2.5106164066644299</v>
      </c>
      <c r="AK1356" s="2">
        <v>0.74573091997506102</v>
      </c>
      <c r="AL1356" s="2">
        <v>0.440366830393352</v>
      </c>
      <c r="AM1356" s="2">
        <v>9.3531879565894094E-2</v>
      </c>
      <c r="AN1356" s="2">
        <v>5.4388309971358204</v>
      </c>
      <c r="AO1356" s="2">
        <v>0.44491302343466799</v>
      </c>
      <c r="AP1356" s="2">
        <v>0.44491302343466799</v>
      </c>
      <c r="AQ1356" s="2">
        <v>0</v>
      </c>
      <c r="AR1356" s="2">
        <v>0</v>
      </c>
      <c r="AS1356" s="2">
        <v>0</v>
      </c>
      <c r="AT1356" s="2">
        <v>9</v>
      </c>
      <c r="AU1356" s="2">
        <v>2</v>
      </c>
      <c r="AV1356" s="2">
        <v>117</v>
      </c>
      <c r="AW1356" s="2">
        <v>0</v>
      </c>
      <c r="AX1356" s="2">
        <v>0</v>
      </c>
      <c r="AY1356" s="2">
        <v>15.5</v>
      </c>
      <c r="AZ1356" s="2">
        <v>2.4</v>
      </c>
      <c r="BA1356" s="2">
        <v>10.9</v>
      </c>
      <c r="BB1356" s="2">
        <v>564</v>
      </c>
      <c r="BC1356" s="2">
        <v>68</v>
      </c>
      <c r="BD1356" s="2">
        <v>1.5</v>
      </c>
      <c r="BE1356" s="2">
        <v>135</v>
      </c>
      <c r="BF1356" s="2">
        <v>0</v>
      </c>
      <c r="BG1356" s="2">
        <v>162</v>
      </c>
      <c r="BH1356" s="2">
        <v>9.1</v>
      </c>
      <c r="BI1356" s="2">
        <v>9.1999999999999993</v>
      </c>
      <c r="BJ1356" s="2">
        <v>18.3</v>
      </c>
      <c r="BK1356" s="2">
        <v>0.34</v>
      </c>
      <c r="BL1356" s="2">
        <v>7.3</v>
      </c>
      <c r="BM1356" s="2">
        <v>0.9</v>
      </c>
      <c r="BN1356" s="2">
        <v>7.5</v>
      </c>
      <c r="BO1356" s="2">
        <v>2.9</v>
      </c>
      <c r="BP1356" s="2">
        <f t="shared" si="42"/>
        <v>2.1755584316534549</v>
      </c>
      <c r="BQ1356" s="2">
        <f t="shared" si="43"/>
        <v>10.393272668476895</v>
      </c>
    </row>
    <row r="1357" spans="1:69" x14ac:dyDescent="0.2">
      <c r="A1357" s="2" t="s">
        <v>2160</v>
      </c>
      <c r="B1357" s="2" t="s">
        <v>47</v>
      </c>
      <c r="C1357" s="2" t="s">
        <v>1935</v>
      </c>
      <c r="D1357" s="2" t="s">
        <v>49</v>
      </c>
      <c r="E1357" s="2" t="s">
        <v>81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89</v>
      </c>
      <c r="L1357" s="6" t="s">
        <v>141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2161</v>
      </c>
      <c r="R1357" s="2">
        <v>6666666.6670000004</v>
      </c>
      <c r="S1357" s="2">
        <v>0</v>
      </c>
      <c r="T1357" s="2" t="s">
        <v>83</v>
      </c>
      <c r="U1357" s="2" t="s">
        <v>84</v>
      </c>
      <c r="V1357" s="2" t="s">
        <v>56</v>
      </c>
      <c r="W1357" s="2" t="s">
        <v>83</v>
      </c>
      <c r="X1357" s="2" t="s">
        <v>85</v>
      </c>
      <c r="Y1357" s="2">
        <v>1.6334337965344501</v>
      </c>
      <c r="Z1357" s="2">
        <v>1633.43379653445</v>
      </c>
      <c r="AA1357" s="2">
        <v>4.71035</v>
      </c>
      <c r="AB1357" s="2">
        <v>-74.030416666666696</v>
      </c>
      <c r="AC1357" s="2">
        <v>2570</v>
      </c>
      <c r="AD1357" s="2">
        <v>10</v>
      </c>
      <c r="AE1357" s="2" t="s">
        <v>59</v>
      </c>
      <c r="AF1357" s="2" t="s">
        <v>86</v>
      </c>
      <c r="AG1357" s="2" t="s">
        <v>61</v>
      </c>
      <c r="AH1357" s="2" t="s">
        <v>62</v>
      </c>
      <c r="AI1357" s="2" t="s">
        <v>87</v>
      </c>
      <c r="AJ1357" s="2">
        <v>1.57958184745623</v>
      </c>
      <c r="AK1357" s="2">
        <v>1.6555632076105</v>
      </c>
      <c r="AL1357" s="2">
        <v>0.93472143551390197</v>
      </c>
      <c r="AM1357" s="2">
        <v>1.5189608539149999E-2</v>
      </c>
      <c r="AN1357" s="2">
        <v>4.8552351167030796</v>
      </c>
      <c r="AO1357" s="2">
        <v>0.1093653024449</v>
      </c>
      <c r="AP1357" s="2">
        <v>0.1093653024449</v>
      </c>
      <c r="AQ1357" s="2">
        <v>0</v>
      </c>
      <c r="AR1357" s="2">
        <v>0</v>
      </c>
      <c r="AS1357" s="2">
        <v>0</v>
      </c>
      <c r="AT1357" s="2">
        <v>0</v>
      </c>
      <c r="AU1357" s="2">
        <v>1</v>
      </c>
      <c r="AV1357" s="2">
        <v>119</v>
      </c>
      <c r="AW1357" s="2">
        <v>0</v>
      </c>
      <c r="AX1357" s="2">
        <v>0</v>
      </c>
      <c r="AY1357" s="2">
        <v>15.5</v>
      </c>
      <c r="AZ1357" s="2">
        <v>2.4</v>
      </c>
      <c r="BA1357" s="2">
        <v>10.9</v>
      </c>
      <c r="BB1357" s="2">
        <v>564</v>
      </c>
      <c r="BC1357" s="2">
        <v>68</v>
      </c>
      <c r="BD1357" s="2">
        <v>1.5</v>
      </c>
      <c r="BE1357" s="2">
        <v>135</v>
      </c>
      <c r="BF1357" s="2">
        <v>0</v>
      </c>
      <c r="BG1357" s="2">
        <v>162</v>
      </c>
      <c r="BH1357" s="2">
        <v>9.1</v>
      </c>
      <c r="BI1357" s="2">
        <v>9.1999999999999993</v>
      </c>
      <c r="BJ1357" s="2">
        <v>18.3</v>
      </c>
      <c r="BK1357" s="2">
        <v>0.34</v>
      </c>
      <c r="BL1357" s="2">
        <v>7.3</v>
      </c>
      <c r="BM1357" s="2">
        <v>0.9</v>
      </c>
      <c r="BN1357" s="2">
        <v>7.5</v>
      </c>
      <c r="BO1357" s="2">
        <v>2.9</v>
      </c>
      <c r="BP1357" s="2">
        <f t="shared" si="42"/>
        <v>2.2135858660649412</v>
      </c>
      <c r="BQ1357" s="2">
        <f t="shared" si="43"/>
        <v>10.480961051945117</v>
      </c>
    </row>
    <row r="1358" spans="1:69" x14ac:dyDescent="0.2">
      <c r="A1358" s="2" t="s">
        <v>3134</v>
      </c>
      <c r="B1358" s="2" t="s">
        <v>47</v>
      </c>
      <c r="C1358" s="2" t="s">
        <v>1935</v>
      </c>
      <c r="D1358" s="2" t="s">
        <v>49</v>
      </c>
      <c r="E1358" s="2" t="s">
        <v>323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89</v>
      </c>
      <c r="L1358" s="6" t="s">
        <v>103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3135</v>
      </c>
      <c r="R1358" s="2">
        <v>5393258.4270000001</v>
      </c>
      <c r="S1358" s="2">
        <v>0</v>
      </c>
      <c r="T1358" s="2" t="s">
        <v>83</v>
      </c>
      <c r="U1358" s="2" t="s">
        <v>84</v>
      </c>
      <c r="V1358" s="2" t="s">
        <v>56</v>
      </c>
      <c r="W1358" s="2" t="s">
        <v>83</v>
      </c>
      <c r="X1358" s="2" t="s">
        <v>85</v>
      </c>
      <c r="Y1358" s="2">
        <v>3.3641292696896699</v>
      </c>
      <c r="Z1358" s="2">
        <v>3364.1292696896699</v>
      </c>
      <c r="AA1358" s="2">
        <v>4.71035</v>
      </c>
      <c r="AB1358" s="2">
        <v>-74.030416666666696</v>
      </c>
      <c r="AC1358" s="2">
        <v>2570</v>
      </c>
      <c r="AD1358" s="2">
        <v>10</v>
      </c>
      <c r="AE1358" s="2" t="s">
        <v>59</v>
      </c>
      <c r="AF1358" s="2" t="s">
        <v>86</v>
      </c>
      <c r="AG1358" s="2" t="s">
        <v>61</v>
      </c>
      <c r="AH1358" s="2" t="s">
        <v>62</v>
      </c>
      <c r="AI1358" s="2" t="s">
        <v>100</v>
      </c>
      <c r="AJ1358" s="2">
        <v>0.587995178415188</v>
      </c>
      <c r="AK1358" s="2">
        <v>3.6069430039963501</v>
      </c>
      <c r="AL1358" s="2">
        <v>1.2017667715284699</v>
      </c>
      <c r="AM1358" s="2">
        <v>6.0796814668973E-2</v>
      </c>
      <c r="AN1358" s="2">
        <v>3.9446435426578699</v>
      </c>
      <c r="AO1358" s="2">
        <v>2.14438808091982E-2</v>
      </c>
      <c r="AP1358" s="2">
        <v>2.14438808091982E-2</v>
      </c>
      <c r="AQ1358" s="2">
        <v>0</v>
      </c>
      <c r="AR1358" s="2">
        <v>2</v>
      </c>
      <c r="AS1358" s="2">
        <v>0</v>
      </c>
      <c r="AT1358" s="2">
        <v>0</v>
      </c>
      <c r="AU1358" s="2">
        <v>0</v>
      </c>
      <c r="AV1358" s="2">
        <v>82</v>
      </c>
      <c r="AW1358" s="2">
        <v>0</v>
      </c>
      <c r="AX1358" s="2">
        <v>0</v>
      </c>
      <c r="AY1358" s="2">
        <v>15.5</v>
      </c>
      <c r="AZ1358" s="2">
        <v>2.4</v>
      </c>
      <c r="BA1358" s="2">
        <v>10.9</v>
      </c>
      <c r="BB1358" s="2">
        <v>564</v>
      </c>
      <c r="BC1358" s="2">
        <v>68</v>
      </c>
      <c r="BD1358" s="2">
        <v>1.5</v>
      </c>
      <c r="BE1358" s="2">
        <v>135</v>
      </c>
      <c r="BF1358" s="2">
        <v>0</v>
      </c>
      <c r="BG1358" s="2">
        <v>162</v>
      </c>
      <c r="BH1358" s="2">
        <v>9.1</v>
      </c>
      <c r="BI1358" s="2">
        <v>9.1999999999999993</v>
      </c>
      <c r="BJ1358" s="2">
        <v>18.3</v>
      </c>
      <c r="BK1358" s="2">
        <v>0.34</v>
      </c>
      <c r="BL1358" s="2">
        <v>7.3</v>
      </c>
      <c r="BM1358" s="2">
        <v>0.9</v>
      </c>
      <c r="BN1358" s="2">
        <v>7.5</v>
      </c>
      <c r="BO1358" s="2">
        <v>2.9</v>
      </c>
      <c r="BP1358" s="2">
        <f t="shared" si="42"/>
        <v>2.0318451853551012</v>
      </c>
      <c r="BQ1358" s="2">
        <f t="shared" si="43"/>
        <v>10.054534097668109</v>
      </c>
    </row>
    <row r="1359" spans="1:69" x14ac:dyDescent="0.2">
      <c r="A1359" s="2" t="s">
        <v>2756</v>
      </c>
      <c r="B1359" s="2" t="s">
        <v>47</v>
      </c>
      <c r="C1359" s="2" t="s">
        <v>1935</v>
      </c>
      <c r="D1359" s="2" t="s">
        <v>49</v>
      </c>
      <c r="E1359" s="2" t="s">
        <v>323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89</v>
      </c>
      <c r="L1359" s="6" t="s">
        <v>90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2757</v>
      </c>
      <c r="R1359" s="2">
        <v>3090909.091</v>
      </c>
      <c r="S1359" s="2">
        <v>0</v>
      </c>
      <c r="T1359" s="2" t="s">
        <v>83</v>
      </c>
      <c r="U1359" s="2" t="s">
        <v>84</v>
      </c>
      <c r="V1359" s="2" t="s">
        <v>56</v>
      </c>
      <c r="W1359" s="2" t="s">
        <v>83</v>
      </c>
      <c r="X1359" s="2" t="s">
        <v>85</v>
      </c>
      <c r="Y1359" s="2">
        <v>3.09227655457941</v>
      </c>
      <c r="Z1359" s="2">
        <v>3092.27655457941</v>
      </c>
      <c r="AA1359" s="2">
        <v>4.71035</v>
      </c>
      <c r="AB1359" s="2">
        <v>-74.030416666666696</v>
      </c>
      <c r="AC1359" s="2">
        <v>2570</v>
      </c>
      <c r="AD1359" s="2">
        <v>10</v>
      </c>
      <c r="AE1359" s="2" t="s">
        <v>59</v>
      </c>
      <c r="AF1359" s="2" t="s">
        <v>86</v>
      </c>
      <c r="AG1359" s="2" t="s">
        <v>61</v>
      </c>
      <c r="AH1359" s="2" t="s">
        <v>62</v>
      </c>
      <c r="AI1359" s="2" t="s">
        <v>100</v>
      </c>
      <c r="AJ1359" s="2">
        <v>0.42397409488945198</v>
      </c>
      <c r="AK1359" s="2">
        <v>3.4609608905310698</v>
      </c>
      <c r="AL1359" s="2">
        <v>1.2466723864560301</v>
      </c>
      <c r="AM1359" s="2">
        <v>0.113616746840524</v>
      </c>
      <c r="AN1359" s="2">
        <v>4.1597212525700398</v>
      </c>
      <c r="AO1359" s="2">
        <v>0.14321875678533</v>
      </c>
      <c r="AP1359" s="2">
        <v>0.14321875678533</v>
      </c>
      <c r="AQ1359" s="2">
        <v>2</v>
      </c>
      <c r="AR1359" s="2">
        <v>2</v>
      </c>
      <c r="AS1359" s="2">
        <v>0</v>
      </c>
      <c r="AT1359" s="2">
        <v>0</v>
      </c>
      <c r="AU1359" s="2">
        <v>0</v>
      </c>
      <c r="AV1359" s="2">
        <v>138</v>
      </c>
      <c r="AW1359" s="2">
        <v>0</v>
      </c>
      <c r="AX1359" s="2">
        <v>0</v>
      </c>
      <c r="AY1359" s="2">
        <v>15.5</v>
      </c>
      <c r="AZ1359" s="2">
        <v>2.4</v>
      </c>
      <c r="BA1359" s="2">
        <v>10.9</v>
      </c>
      <c r="BB1359" s="2">
        <v>564</v>
      </c>
      <c r="BC1359" s="2">
        <v>68</v>
      </c>
      <c r="BD1359" s="2">
        <v>1.5</v>
      </c>
      <c r="BE1359" s="2">
        <v>135</v>
      </c>
      <c r="BF1359" s="2">
        <v>0</v>
      </c>
      <c r="BG1359" s="2">
        <v>162</v>
      </c>
      <c r="BH1359" s="2">
        <v>9.1</v>
      </c>
      <c r="BI1359" s="2">
        <v>9.1999999999999993</v>
      </c>
      <c r="BJ1359" s="2">
        <v>18.3</v>
      </c>
      <c r="BK1359" s="2">
        <v>0.34</v>
      </c>
      <c r="BL1359" s="2">
        <v>7.3</v>
      </c>
      <c r="BM1359" s="2">
        <v>0.9</v>
      </c>
      <c r="BN1359" s="2">
        <v>7.5</v>
      </c>
      <c r="BO1359" s="2">
        <v>2.9</v>
      </c>
      <c r="BP1359" s="2">
        <f t="shared" si="42"/>
        <v>2.0593719298726199</v>
      </c>
      <c r="BQ1359" s="2">
        <f t="shared" si="43"/>
        <v>10.120349025245201</v>
      </c>
    </row>
    <row r="1360" spans="1:69" x14ac:dyDescent="0.2">
      <c r="A1360" s="2" t="s">
        <v>865</v>
      </c>
      <c r="B1360" s="2" t="s">
        <v>47</v>
      </c>
      <c r="C1360" s="2" t="s">
        <v>48</v>
      </c>
      <c r="D1360" s="2" t="s">
        <v>49</v>
      </c>
      <c r="E1360" s="2" t="s">
        <v>727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89</v>
      </c>
      <c r="L1360" s="6" t="s">
        <v>141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866</v>
      </c>
      <c r="R1360" s="2">
        <v>6177606.1780000003</v>
      </c>
      <c r="S1360" s="2">
        <v>0</v>
      </c>
      <c r="T1360" s="2" t="s">
        <v>83</v>
      </c>
      <c r="U1360" s="2" t="s">
        <v>84</v>
      </c>
      <c r="V1360" s="2" t="s">
        <v>56</v>
      </c>
      <c r="W1360" s="2" t="s">
        <v>83</v>
      </c>
      <c r="X1360" s="2" t="s">
        <v>85</v>
      </c>
      <c r="Y1360" s="2">
        <v>2.2925458073395899</v>
      </c>
      <c r="Z1360" s="2">
        <v>2292.5458073395898</v>
      </c>
      <c r="AA1360" s="2">
        <v>4.71035</v>
      </c>
      <c r="AB1360" s="2">
        <v>-74.030416666666696</v>
      </c>
      <c r="AC1360" s="2">
        <v>2570</v>
      </c>
      <c r="AD1360" s="2">
        <v>10</v>
      </c>
      <c r="AE1360" s="2" t="s">
        <v>59</v>
      </c>
      <c r="AF1360" s="2" t="s">
        <v>86</v>
      </c>
      <c r="AG1360" s="2" t="s">
        <v>61</v>
      </c>
      <c r="AH1360" s="2" t="s">
        <v>62</v>
      </c>
      <c r="AI1360" s="2" t="s">
        <v>87</v>
      </c>
      <c r="AJ1360" s="2">
        <v>1.6320462915839899</v>
      </c>
      <c r="AK1360" s="2">
        <v>1.6439204965659899</v>
      </c>
      <c r="AL1360" s="2">
        <v>0.93077043858701702</v>
      </c>
      <c r="AM1360" s="2">
        <v>0.27881923417531501</v>
      </c>
      <c r="AN1360" s="2">
        <v>4.9533986250858302</v>
      </c>
      <c r="AO1360" s="2">
        <v>0.34814648183115898</v>
      </c>
      <c r="AP1360" s="2">
        <v>0.34814648183115898</v>
      </c>
      <c r="AQ1360" s="2">
        <v>0</v>
      </c>
      <c r="AR1360" s="2">
        <v>0</v>
      </c>
      <c r="AS1360" s="2">
        <v>0</v>
      </c>
      <c r="AT1360" s="2">
        <v>0</v>
      </c>
      <c r="AU1360" s="2">
        <v>1</v>
      </c>
      <c r="AV1360" s="2">
        <v>108</v>
      </c>
      <c r="AW1360" s="2">
        <v>0</v>
      </c>
      <c r="AX1360" s="2">
        <v>0</v>
      </c>
      <c r="AY1360" s="2">
        <v>15.5</v>
      </c>
      <c r="AZ1360" s="2">
        <v>2.4</v>
      </c>
      <c r="BA1360" s="2">
        <v>10.9</v>
      </c>
      <c r="BB1360" s="2">
        <v>564</v>
      </c>
      <c r="BC1360" s="2">
        <v>68</v>
      </c>
      <c r="BD1360" s="2">
        <v>1.5</v>
      </c>
      <c r="BE1360" s="2">
        <v>135</v>
      </c>
      <c r="BF1360" s="2">
        <v>0</v>
      </c>
      <c r="BG1360" s="2">
        <v>162</v>
      </c>
      <c r="BH1360" s="2">
        <v>9.1</v>
      </c>
      <c r="BI1360" s="2">
        <v>9.1999999999999993</v>
      </c>
      <c r="BJ1360" s="2">
        <v>18.3</v>
      </c>
      <c r="BK1360" s="2">
        <v>0.34</v>
      </c>
      <c r="BL1360" s="2">
        <v>7.3</v>
      </c>
      <c r="BM1360" s="2">
        <v>0.9</v>
      </c>
      <c r="BN1360" s="2">
        <v>7.5</v>
      </c>
      <c r="BO1360" s="2">
        <v>2.9</v>
      </c>
      <c r="BP1360" s="2">
        <f t="shared" si="42"/>
        <v>2.1425307416692441</v>
      </c>
      <c r="BQ1360" s="2">
        <f t="shared" si="43"/>
        <v>10.316470439306254</v>
      </c>
    </row>
    <row r="1361" spans="1:69" x14ac:dyDescent="0.2">
      <c r="A1361" s="2" t="s">
        <v>975</v>
      </c>
      <c r="B1361" s="2" t="s">
        <v>47</v>
      </c>
      <c r="C1361" s="2" t="s">
        <v>48</v>
      </c>
      <c r="D1361" s="2" t="s">
        <v>49</v>
      </c>
      <c r="E1361" s="2" t="s">
        <v>447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89</v>
      </c>
      <c r="L1361" s="6" t="s">
        <v>112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976</v>
      </c>
      <c r="R1361" s="2">
        <v>7000000</v>
      </c>
      <c r="S1361" s="2">
        <v>0</v>
      </c>
      <c r="T1361" s="2" t="s">
        <v>83</v>
      </c>
      <c r="U1361" s="2" t="s">
        <v>84</v>
      </c>
      <c r="V1361" s="2" t="s">
        <v>56</v>
      </c>
      <c r="W1361" s="2" t="s">
        <v>83</v>
      </c>
      <c r="X1361" s="2" t="s">
        <v>85</v>
      </c>
      <c r="Y1361" s="2">
        <v>3.0216687431307099</v>
      </c>
      <c r="Z1361" s="2">
        <v>3021.66874313071</v>
      </c>
      <c r="AA1361" s="2">
        <v>4.71035</v>
      </c>
      <c r="AB1361" s="2">
        <v>-74.030416666666696</v>
      </c>
      <c r="AC1361" s="2">
        <v>2570</v>
      </c>
      <c r="AD1361" s="2">
        <v>10</v>
      </c>
      <c r="AE1361" s="2" t="s">
        <v>59</v>
      </c>
      <c r="AF1361" s="2" t="s">
        <v>86</v>
      </c>
      <c r="AG1361" s="2" t="s">
        <v>61</v>
      </c>
      <c r="AH1361" s="2" t="s">
        <v>62</v>
      </c>
      <c r="AI1361" s="2" t="s">
        <v>87</v>
      </c>
      <c r="AJ1361" s="2">
        <v>0.93450628892023602</v>
      </c>
      <c r="AK1361" s="2">
        <v>1.8341055739074199</v>
      </c>
      <c r="AL1361" s="2">
        <v>0.335035110802122</v>
      </c>
      <c r="AM1361" s="2">
        <v>0.17351961802684801</v>
      </c>
      <c r="AN1361" s="2">
        <v>4.1212861721434804</v>
      </c>
      <c r="AO1361" s="2">
        <v>0.16916018828488899</v>
      </c>
      <c r="AP1361" s="2">
        <v>0.16916018828488899</v>
      </c>
      <c r="AQ1361" s="2">
        <v>0</v>
      </c>
      <c r="AR1361" s="2">
        <v>1</v>
      </c>
      <c r="AS1361" s="2">
        <v>0</v>
      </c>
      <c r="AT1361" s="2">
        <v>0</v>
      </c>
      <c r="AU1361" s="2">
        <v>5</v>
      </c>
      <c r="AV1361" s="2">
        <v>145</v>
      </c>
      <c r="AW1361" s="2">
        <v>0</v>
      </c>
      <c r="AX1361" s="2">
        <v>0</v>
      </c>
      <c r="AY1361" s="2">
        <v>15.5</v>
      </c>
      <c r="AZ1361" s="2">
        <v>2.4</v>
      </c>
      <c r="BA1361" s="2">
        <v>10.9</v>
      </c>
      <c r="BB1361" s="2">
        <v>564</v>
      </c>
      <c r="BC1361" s="2">
        <v>68</v>
      </c>
      <c r="BD1361" s="2">
        <v>1.5</v>
      </c>
      <c r="BE1361" s="2">
        <v>135</v>
      </c>
      <c r="BF1361" s="2">
        <v>0</v>
      </c>
      <c r="BG1361" s="2">
        <v>162</v>
      </c>
      <c r="BH1361" s="2">
        <v>9.1</v>
      </c>
      <c r="BI1361" s="2">
        <v>9.1999999999999993</v>
      </c>
      <c r="BJ1361" s="2">
        <v>18.3</v>
      </c>
      <c r="BK1361" s="2">
        <v>0.34</v>
      </c>
      <c r="BL1361" s="2">
        <v>7.3</v>
      </c>
      <c r="BM1361" s="2">
        <v>0.9</v>
      </c>
      <c r="BN1361" s="2">
        <v>7.5</v>
      </c>
      <c r="BO1361" s="2">
        <v>2.9</v>
      </c>
      <c r="BP1361" s="2">
        <f t="shared" si="42"/>
        <v>2.0665822061769652</v>
      </c>
      <c r="BQ1361" s="2">
        <f t="shared" si="43"/>
        <v>10.137513381087413</v>
      </c>
    </row>
    <row r="1362" spans="1:69" x14ac:dyDescent="0.2">
      <c r="A1362" s="2" t="s">
        <v>2544</v>
      </c>
      <c r="B1362" s="2" t="s">
        <v>47</v>
      </c>
      <c r="C1362" s="2" t="s">
        <v>1935</v>
      </c>
      <c r="D1362" s="2" t="s">
        <v>49</v>
      </c>
      <c r="E1362" s="2" t="s">
        <v>251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89</v>
      </c>
      <c r="L1362" s="6" t="s">
        <v>141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2545</v>
      </c>
      <c r="R1362" s="2">
        <v>7600000</v>
      </c>
      <c r="S1362" s="2">
        <v>60000</v>
      </c>
      <c r="T1362" s="2" t="s">
        <v>83</v>
      </c>
      <c r="U1362" s="2" t="s">
        <v>84</v>
      </c>
      <c r="V1362" s="2" t="s">
        <v>56</v>
      </c>
      <c r="W1362" s="2" t="s">
        <v>83</v>
      </c>
      <c r="X1362" s="2" t="s">
        <v>85</v>
      </c>
      <c r="Y1362" s="2">
        <v>2.5930561542663702</v>
      </c>
      <c r="Z1362" s="2">
        <v>2593.05615426637</v>
      </c>
      <c r="AA1362" s="2">
        <v>4.71035</v>
      </c>
      <c r="AB1362" s="2">
        <v>-74.030416666666696</v>
      </c>
      <c r="AC1362" s="2">
        <v>2570</v>
      </c>
      <c r="AD1362" s="2">
        <v>10</v>
      </c>
      <c r="AE1362" s="2" t="s">
        <v>59</v>
      </c>
      <c r="AF1362" s="2" t="s">
        <v>86</v>
      </c>
      <c r="AG1362" s="2" t="s">
        <v>61</v>
      </c>
      <c r="AH1362" s="2" t="s">
        <v>62</v>
      </c>
      <c r="AI1362" s="2" t="s">
        <v>87</v>
      </c>
      <c r="AJ1362" s="2">
        <v>2.52970848728746</v>
      </c>
      <c r="AK1362" s="2">
        <v>0.84161090733537502</v>
      </c>
      <c r="AL1362" s="2">
        <v>0.749095171028764</v>
      </c>
      <c r="AM1362" s="2">
        <v>0.37835216612517197</v>
      </c>
      <c r="AN1362" s="2">
        <v>5.5060446014629596</v>
      </c>
      <c r="AO1362" s="2">
        <v>0.30810608242008802</v>
      </c>
      <c r="AP1362" s="2">
        <v>0.30810608242008802</v>
      </c>
      <c r="AQ1362" s="2">
        <v>0</v>
      </c>
      <c r="AR1362" s="2">
        <v>0</v>
      </c>
      <c r="AS1362" s="2">
        <v>0</v>
      </c>
      <c r="AT1362" s="2">
        <v>18</v>
      </c>
      <c r="AU1362" s="2">
        <v>4</v>
      </c>
      <c r="AV1362" s="2">
        <v>57</v>
      </c>
      <c r="AW1362" s="2">
        <v>0</v>
      </c>
      <c r="AX1362" s="2">
        <v>0</v>
      </c>
      <c r="AY1362" s="2">
        <v>15.5</v>
      </c>
      <c r="AZ1362" s="2">
        <v>2.4</v>
      </c>
      <c r="BA1362" s="2">
        <v>10.9</v>
      </c>
      <c r="BB1362" s="2">
        <v>564</v>
      </c>
      <c r="BC1362" s="2">
        <v>68</v>
      </c>
      <c r="BD1362" s="2">
        <v>1.5</v>
      </c>
      <c r="BE1362" s="2">
        <v>135</v>
      </c>
      <c r="BF1362" s="2">
        <v>0</v>
      </c>
      <c r="BG1362" s="2">
        <v>162</v>
      </c>
      <c r="BH1362" s="2">
        <v>9.1</v>
      </c>
      <c r="BI1362" s="2">
        <v>9.1999999999999993</v>
      </c>
      <c r="BJ1362" s="2">
        <v>18.3</v>
      </c>
      <c r="BK1362" s="2">
        <v>0.34</v>
      </c>
      <c r="BL1362" s="2">
        <v>7.3</v>
      </c>
      <c r="BM1362" s="2">
        <v>0.9</v>
      </c>
      <c r="BN1362" s="2">
        <v>7.5</v>
      </c>
      <c r="BO1362" s="2">
        <v>2.9</v>
      </c>
      <c r="BP1362" s="2">
        <f t="shared" si="42"/>
        <v>2.1108959067320825</v>
      </c>
      <c r="BQ1362" s="2">
        <f t="shared" si="43"/>
        <v>10.242333162237218</v>
      </c>
    </row>
    <row r="1363" spans="1:69" x14ac:dyDescent="0.2">
      <c r="A1363" s="2" t="s">
        <v>3230</v>
      </c>
      <c r="B1363" s="2" t="s">
        <v>47</v>
      </c>
      <c r="C1363" s="2" t="s">
        <v>1935</v>
      </c>
      <c r="D1363" s="2" t="s">
        <v>49</v>
      </c>
      <c r="E1363" s="2" t="s">
        <v>541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89</v>
      </c>
      <c r="L1363" s="6" t="s">
        <v>141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3231</v>
      </c>
      <c r="R1363" s="2">
        <v>8064516.1289999997</v>
      </c>
      <c r="S1363" s="2">
        <v>0</v>
      </c>
      <c r="T1363" s="2" t="s">
        <v>83</v>
      </c>
      <c r="U1363" s="2" t="s">
        <v>84</v>
      </c>
      <c r="V1363" s="2" t="s">
        <v>56</v>
      </c>
      <c r="W1363" s="2" t="s">
        <v>83</v>
      </c>
      <c r="X1363" s="2" t="s">
        <v>85</v>
      </c>
      <c r="Y1363" s="2">
        <v>2.2225736212645102</v>
      </c>
      <c r="Z1363" s="2">
        <v>2222.5736212645102</v>
      </c>
      <c r="AA1363" s="2">
        <v>4.71035</v>
      </c>
      <c r="AB1363" s="2">
        <v>-74.030416666666696</v>
      </c>
      <c r="AC1363" s="2">
        <v>2570</v>
      </c>
      <c r="AD1363" s="2">
        <v>10</v>
      </c>
      <c r="AE1363" s="2" t="s">
        <v>59</v>
      </c>
      <c r="AF1363" s="2" t="s">
        <v>86</v>
      </c>
      <c r="AG1363" s="2" t="s">
        <v>61</v>
      </c>
      <c r="AH1363" s="2" t="s">
        <v>62</v>
      </c>
      <c r="AI1363" s="2" t="s">
        <v>87</v>
      </c>
      <c r="AJ1363" s="2">
        <v>2.9122832508346699</v>
      </c>
      <c r="AK1363" s="2">
        <v>0.38143562588220897</v>
      </c>
      <c r="AL1363" s="2">
        <v>0.45121698255704801</v>
      </c>
      <c r="AM1363" s="2">
        <v>0.28057465504944401</v>
      </c>
      <c r="AN1363" s="2">
        <v>5.6645226445565804</v>
      </c>
      <c r="AO1363" s="2">
        <v>0.80671417061018502</v>
      </c>
      <c r="AP1363" s="2">
        <v>0.80671417061018502</v>
      </c>
      <c r="AQ1363" s="2">
        <v>0</v>
      </c>
      <c r="AR1363" s="2">
        <v>0</v>
      </c>
      <c r="AS1363" s="2">
        <v>3</v>
      </c>
      <c r="AT1363" s="2">
        <v>30</v>
      </c>
      <c r="AU1363" s="2">
        <v>1</v>
      </c>
      <c r="AV1363" s="2">
        <v>87</v>
      </c>
      <c r="AW1363" s="2">
        <v>0</v>
      </c>
      <c r="AX1363" s="2">
        <v>0</v>
      </c>
      <c r="AY1363" s="2">
        <v>15.5</v>
      </c>
      <c r="AZ1363" s="2">
        <v>2.4</v>
      </c>
      <c r="BA1363" s="2">
        <v>10.9</v>
      </c>
      <c r="BB1363" s="2">
        <v>564</v>
      </c>
      <c r="BC1363" s="2">
        <v>68</v>
      </c>
      <c r="BD1363" s="2">
        <v>1.5</v>
      </c>
      <c r="BE1363" s="2">
        <v>135</v>
      </c>
      <c r="BF1363" s="2">
        <v>0</v>
      </c>
      <c r="BG1363" s="2">
        <v>162</v>
      </c>
      <c r="BH1363" s="2">
        <v>9.1</v>
      </c>
      <c r="BI1363" s="2">
        <v>9.1999999999999993</v>
      </c>
      <c r="BJ1363" s="2">
        <v>18.3</v>
      </c>
      <c r="BK1363" s="2">
        <v>0.34</v>
      </c>
      <c r="BL1363" s="2">
        <v>7.3</v>
      </c>
      <c r="BM1363" s="2">
        <v>0.9</v>
      </c>
      <c r="BN1363" s="2">
        <v>7.5</v>
      </c>
      <c r="BO1363" s="2">
        <v>2.9</v>
      </c>
      <c r="BP1363" s="2">
        <f t="shared" si="42"/>
        <v>2.1499645273603636</v>
      </c>
      <c r="BQ1363" s="2">
        <f t="shared" si="43"/>
        <v>10.33380977822989</v>
      </c>
    </row>
    <row r="1364" spans="1:69" x14ac:dyDescent="0.2">
      <c r="A1364" s="2" t="s">
        <v>2059</v>
      </c>
      <c r="B1364" s="2" t="s">
        <v>47</v>
      </c>
      <c r="C1364" s="2" t="s">
        <v>1935</v>
      </c>
      <c r="D1364" s="2" t="s">
        <v>49</v>
      </c>
      <c r="E1364" s="2" t="s">
        <v>541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89</v>
      </c>
      <c r="L1364" s="6" t="s">
        <v>141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2060</v>
      </c>
      <c r="R1364" s="2">
        <v>8130081.301</v>
      </c>
      <c r="S1364" s="2">
        <v>0</v>
      </c>
      <c r="T1364" s="2" t="s">
        <v>83</v>
      </c>
      <c r="U1364" s="2" t="s">
        <v>84</v>
      </c>
      <c r="V1364" s="2" t="s">
        <v>56</v>
      </c>
      <c r="W1364" s="2" t="s">
        <v>83</v>
      </c>
      <c r="X1364" s="2" t="s">
        <v>85</v>
      </c>
      <c r="Y1364" s="2">
        <v>2.2225736212645102</v>
      </c>
      <c r="Z1364" s="2">
        <v>2222.5736212645102</v>
      </c>
      <c r="AA1364" s="2">
        <v>4.71035</v>
      </c>
      <c r="AB1364" s="2">
        <v>-74.030416666666696</v>
      </c>
      <c r="AC1364" s="2">
        <v>2570</v>
      </c>
      <c r="AD1364" s="2">
        <v>10</v>
      </c>
      <c r="AE1364" s="2" t="s">
        <v>59</v>
      </c>
      <c r="AF1364" s="2" t="s">
        <v>86</v>
      </c>
      <c r="AG1364" s="2" t="s">
        <v>61</v>
      </c>
      <c r="AH1364" s="2" t="s">
        <v>62</v>
      </c>
      <c r="AI1364" s="2" t="s">
        <v>87</v>
      </c>
      <c r="AJ1364" s="2">
        <v>2.9122832508346699</v>
      </c>
      <c r="AK1364" s="2">
        <v>0.38143562588220897</v>
      </c>
      <c r="AL1364" s="2">
        <v>0.45121698255704801</v>
      </c>
      <c r="AM1364" s="2">
        <v>0.28057465504944401</v>
      </c>
      <c r="AN1364" s="2">
        <v>5.6645226445565804</v>
      </c>
      <c r="AO1364" s="2">
        <v>0.80671417061018502</v>
      </c>
      <c r="AP1364" s="2">
        <v>0.80671417061018502</v>
      </c>
      <c r="AQ1364" s="2">
        <v>0</v>
      </c>
      <c r="AR1364" s="2">
        <v>0</v>
      </c>
      <c r="AS1364" s="2">
        <v>3</v>
      </c>
      <c r="AT1364" s="2">
        <v>30</v>
      </c>
      <c r="AU1364" s="2">
        <v>1</v>
      </c>
      <c r="AV1364" s="2">
        <v>87</v>
      </c>
      <c r="AW1364" s="2">
        <v>0</v>
      </c>
      <c r="AX1364" s="2">
        <v>0</v>
      </c>
      <c r="AY1364" s="2">
        <v>15.5</v>
      </c>
      <c r="AZ1364" s="2">
        <v>2.4</v>
      </c>
      <c r="BA1364" s="2">
        <v>10.9</v>
      </c>
      <c r="BB1364" s="2">
        <v>564</v>
      </c>
      <c r="BC1364" s="2">
        <v>68</v>
      </c>
      <c r="BD1364" s="2">
        <v>1.5</v>
      </c>
      <c r="BE1364" s="2">
        <v>135</v>
      </c>
      <c r="BF1364" s="2">
        <v>0</v>
      </c>
      <c r="BG1364" s="2">
        <v>162</v>
      </c>
      <c r="BH1364" s="2">
        <v>9.1</v>
      </c>
      <c r="BI1364" s="2">
        <v>9.1999999999999993</v>
      </c>
      <c r="BJ1364" s="2">
        <v>18.3</v>
      </c>
      <c r="BK1364" s="2">
        <v>0.34</v>
      </c>
      <c r="BL1364" s="2">
        <v>7.3</v>
      </c>
      <c r="BM1364" s="2">
        <v>0.9</v>
      </c>
      <c r="BN1364" s="2">
        <v>7.5</v>
      </c>
      <c r="BO1364" s="2">
        <v>2.9</v>
      </c>
      <c r="BP1364" s="2">
        <f t="shared" si="42"/>
        <v>2.1499645273603636</v>
      </c>
      <c r="BQ1364" s="2">
        <f t="shared" si="43"/>
        <v>10.33380977822989</v>
      </c>
    </row>
    <row r="1365" spans="1:69" x14ac:dyDescent="0.2">
      <c r="A1365" s="2" t="s">
        <v>2736</v>
      </c>
      <c r="B1365" s="2" t="s">
        <v>47</v>
      </c>
      <c r="C1365" s="2" t="s">
        <v>1935</v>
      </c>
      <c r="D1365" s="2" t="s">
        <v>49</v>
      </c>
      <c r="E1365" s="2" t="s">
        <v>541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89</v>
      </c>
      <c r="L1365" s="6" t="s">
        <v>94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2737</v>
      </c>
      <c r="R1365" s="2">
        <v>8130081.301</v>
      </c>
      <c r="S1365" s="2">
        <v>0</v>
      </c>
      <c r="T1365" s="2" t="s">
        <v>83</v>
      </c>
      <c r="U1365" s="2" t="s">
        <v>84</v>
      </c>
      <c r="V1365" s="2" t="s">
        <v>56</v>
      </c>
      <c r="W1365" s="2" t="s">
        <v>83</v>
      </c>
      <c r="X1365" s="2" t="s">
        <v>85</v>
      </c>
      <c r="Y1365" s="2">
        <v>2.1178301116573599</v>
      </c>
      <c r="Z1365" s="2">
        <v>2117.8301116573598</v>
      </c>
      <c r="AA1365" s="2">
        <v>4.71035</v>
      </c>
      <c r="AB1365" s="2">
        <v>-74.030416666666696</v>
      </c>
      <c r="AC1365" s="2">
        <v>2570</v>
      </c>
      <c r="AD1365" s="2">
        <v>10</v>
      </c>
      <c r="AE1365" s="2" t="s">
        <v>59</v>
      </c>
      <c r="AF1365" s="2" t="s">
        <v>86</v>
      </c>
      <c r="AG1365" s="2" t="s">
        <v>61</v>
      </c>
      <c r="AH1365" s="2" t="s">
        <v>62</v>
      </c>
      <c r="AI1365" s="2" t="s">
        <v>87</v>
      </c>
      <c r="AJ1365" s="2">
        <v>2.88071553534393</v>
      </c>
      <c r="AK1365" s="2">
        <v>0.388676804788607</v>
      </c>
      <c r="AL1365" s="2">
        <v>0.35072361174194799</v>
      </c>
      <c r="AM1365" s="2">
        <v>0.192494371024831</v>
      </c>
      <c r="AN1365" s="2">
        <v>5.5624175019725497</v>
      </c>
      <c r="AO1365" s="2">
        <v>0.70679026224377794</v>
      </c>
      <c r="AP1365" s="2">
        <v>0.70679026224377794</v>
      </c>
      <c r="AQ1365" s="2">
        <v>0</v>
      </c>
      <c r="AR1365" s="2">
        <v>0</v>
      </c>
      <c r="AS1365" s="2">
        <v>3</v>
      </c>
      <c r="AT1365" s="2">
        <v>31</v>
      </c>
      <c r="AU1365" s="2">
        <v>1</v>
      </c>
      <c r="AV1365" s="2">
        <v>104</v>
      </c>
      <c r="AW1365" s="2">
        <v>0</v>
      </c>
      <c r="AX1365" s="2">
        <v>0</v>
      </c>
      <c r="AY1365" s="2">
        <v>15.5</v>
      </c>
      <c r="AZ1365" s="2">
        <v>2.4</v>
      </c>
      <c r="BA1365" s="2">
        <v>10.9</v>
      </c>
      <c r="BB1365" s="2">
        <v>564</v>
      </c>
      <c r="BC1365" s="2">
        <v>68</v>
      </c>
      <c r="BD1365" s="2">
        <v>1.5</v>
      </c>
      <c r="BE1365" s="2">
        <v>135</v>
      </c>
      <c r="BF1365" s="2">
        <v>0</v>
      </c>
      <c r="BG1365" s="2">
        <v>162</v>
      </c>
      <c r="BH1365" s="2">
        <v>9.1</v>
      </c>
      <c r="BI1365" s="2">
        <v>9.1999999999999993</v>
      </c>
      <c r="BJ1365" s="2">
        <v>18.3</v>
      </c>
      <c r="BK1365" s="2">
        <v>0.34</v>
      </c>
      <c r="BL1365" s="2">
        <v>7.3</v>
      </c>
      <c r="BM1365" s="2">
        <v>0.9</v>
      </c>
      <c r="BN1365" s="2">
        <v>7.5</v>
      </c>
      <c r="BO1365" s="2">
        <v>2.9</v>
      </c>
      <c r="BP1365" s="2">
        <f t="shared" si="42"/>
        <v>2.1611406193368148</v>
      </c>
      <c r="BQ1365" s="2">
        <f t="shared" si="43"/>
        <v>10.359820045503414</v>
      </c>
    </row>
    <row r="1366" spans="1:69" x14ac:dyDescent="0.2">
      <c r="A1366" s="2" t="s">
        <v>224</v>
      </c>
      <c r="B1366" s="2" t="s">
        <v>47</v>
      </c>
      <c r="C1366" s="2" t="s">
        <v>48</v>
      </c>
      <c r="D1366" s="2" t="s">
        <v>49</v>
      </c>
      <c r="E1366" s="2" t="s">
        <v>225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89</v>
      </c>
      <c r="L1366" s="6" t="s">
        <v>141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226</v>
      </c>
      <c r="R1366" s="2">
        <v>6875000</v>
      </c>
      <c r="S1366" s="2">
        <v>0</v>
      </c>
      <c r="T1366" s="2" t="s">
        <v>83</v>
      </c>
      <c r="U1366" s="2" t="s">
        <v>84</v>
      </c>
      <c r="V1366" s="2" t="s">
        <v>56</v>
      </c>
      <c r="W1366" s="2" t="s">
        <v>83</v>
      </c>
      <c r="X1366" s="2" t="s">
        <v>85</v>
      </c>
      <c r="Y1366" s="2">
        <v>0.89342510542708198</v>
      </c>
      <c r="Z1366" s="2">
        <v>893.42510542708203</v>
      </c>
      <c r="AA1366" s="2">
        <v>4.71035</v>
      </c>
      <c r="AB1366" s="2">
        <v>-74.030416666666696</v>
      </c>
      <c r="AC1366" s="2">
        <v>2570</v>
      </c>
      <c r="AD1366" s="2">
        <v>10</v>
      </c>
      <c r="AE1366" s="2" t="s">
        <v>59</v>
      </c>
      <c r="AF1366" s="2" t="s">
        <v>86</v>
      </c>
      <c r="AG1366" s="2" t="s">
        <v>61</v>
      </c>
      <c r="AH1366" s="2" t="s">
        <v>62</v>
      </c>
      <c r="AI1366" s="2" t="s">
        <v>87</v>
      </c>
      <c r="AJ1366" s="2">
        <v>3.0077675406813902</v>
      </c>
      <c r="AK1366" s="2">
        <v>0.15781739542821299</v>
      </c>
      <c r="AL1366" s="2">
        <v>1.0644954566462299</v>
      </c>
      <c r="AM1366" s="2">
        <v>0.51751288040806298</v>
      </c>
      <c r="AN1366" s="2">
        <v>2.81873652359209</v>
      </c>
      <c r="AO1366" s="2">
        <v>0.481269011828796</v>
      </c>
      <c r="AP1366" s="2">
        <v>0.481269011828796</v>
      </c>
      <c r="AQ1366" s="2">
        <v>0</v>
      </c>
      <c r="AR1366" s="2">
        <v>0</v>
      </c>
      <c r="AS1366" s="2">
        <v>26</v>
      </c>
      <c r="AT1366" s="2">
        <v>33</v>
      </c>
      <c r="AU1366" s="2">
        <v>0</v>
      </c>
      <c r="AV1366" s="2">
        <v>65</v>
      </c>
      <c r="AW1366" s="2">
        <v>0</v>
      </c>
      <c r="AX1366" s="2">
        <v>0</v>
      </c>
      <c r="AY1366" s="2">
        <v>15.5</v>
      </c>
      <c r="AZ1366" s="2">
        <v>2.4</v>
      </c>
      <c r="BA1366" s="2">
        <v>10.9</v>
      </c>
      <c r="BB1366" s="2">
        <v>564</v>
      </c>
      <c r="BC1366" s="2">
        <v>68</v>
      </c>
      <c r="BD1366" s="2">
        <v>1.5</v>
      </c>
      <c r="BE1366" s="2">
        <v>135</v>
      </c>
      <c r="BF1366" s="2">
        <v>0</v>
      </c>
      <c r="BG1366" s="2">
        <v>162</v>
      </c>
      <c r="BH1366" s="2">
        <v>9.1</v>
      </c>
      <c r="BI1366" s="2">
        <v>9.1999999999999993</v>
      </c>
      <c r="BJ1366" s="2">
        <v>18.3</v>
      </c>
      <c r="BK1366" s="2">
        <v>0.34</v>
      </c>
      <c r="BL1366" s="2">
        <v>7.3</v>
      </c>
      <c r="BM1366" s="2">
        <v>0.9</v>
      </c>
      <c r="BN1366" s="2">
        <v>7.5</v>
      </c>
      <c r="BO1366" s="2">
        <v>2.9</v>
      </c>
      <c r="BP1366" s="2">
        <f t="shared" si="42"/>
        <v>2.2961738509261296</v>
      </c>
      <c r="BQ1366" s="2">
        <f t="shared" si="43"/>
        <v>10.668767914385091</v>
      </c>
    </row>
    <row r="1367" spans="1:69" x14ac:dyDescent="0.2">
      <c r="A1367" s="2" t="s">
        <v>1886</v>
      </c>
      <c r="B1367" s="2" t="s">
        <v>47</v>
      </c>
      <c r="C1367" s="2" t="s">
        <v>48</v>
      </c>
      <c r="D1367" s="2" t="s">
        <v>49</v>
      </c>
      <c r="E1367" s="2" t="s">
        <v>1628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89</v>
      </c>
      <c r="L1367" s="6" t="s">
        <v>141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1887</v>
      </c>
      <c r="R1367" s="2">
        <v>5888650.9639999997</v>
      </c>
      <c r="S1367" s="2">
        <v>0</v>
      </c>
      <c r="T1367" s="2" t="s">
        <v>83</v>
      </c>
      <c r="U1367" s="2" t="s">
        <v>84</v>
      </c>
      <c r="V1367" s="2" t="s">
        <v>56</v>
      </c>
      <c r="W1367" s="2" t="s">
        <v>83</v>
      </c>
      <c r="X1367" s="2" t="s">
        <v>85</v>
      </c>
      <c r="Y1367" s="2">
        <v>3.64379422645706</v>
      </c>
      <c r="Z1367" s="2">
        <v>3643.7942264570602</v>
      </c>
      <c r="AA1367" s="2">
        <v>4.71035</v>
      </c>
      <c r="AB1367" s="2">
        <v>-74.030416666666696</v>
      </c>
      <c r="AC1367" s="2">
        <v>2570</v>
      </c>
      <c r="AD1367" s="2">
        <v>10</v>
      </c>
      <c r="AE1367" s="2" t="s">
        <v>59</v>
      </c>
      <c r="AF1367" s="2" t="s">
        <v>86</v>
      </c>
      <c r="AG1367" s="2" t="s">
        <v>61</v>
      </c>
      <c r="AH1367" s="2" t="s">
        <v>62</v>
      </c>
      <c r="AI1367" s="2" t="s">
        <v>87</v>
      </c>
      <c r="AJ1367" s="2">
        <v>0.422688703718679</v>
      </c>
      <c r="AK1367" s="2">
        <v>2.42567408684328</v>
      </c>
      <c r="AL1367" s="2">
        <v>0.48508485296533199</v>
      </c>
      <c r="AM1367" s="2">
        <v>0.130681739157884</v>
      </c>
      <c r="AN1367" s="2">
        <v>3.3828229500232001</v>
      </c>
      <c r="AO1367" s="2">
        <v>0.47491804928029002</v>
      </c>
      <c r="AP1367" s="2">
        <v>0.47491804928029002</v>
      </c>
      <c r="AQ1367" s="2">
        <v>1</v>
      </c>
      <c r="AR1367" s="2">
        <v>4</v>
      </c>
      <c r="AS1367" s="2">
        <v>0</v>
      </c>
      <c r="AT1367" s="2">
        <v>0</v>
      </c>
      <c r="AU1367" s="2">
        <v>5</v>
      </c>
      <c r="AV1367" s="2">
        <v>213</v>
      </c>
      <c r="AW1367" s="2">
        <v>0</v>
      </c>
      <c r="AX1367" s="2">
        <v>0</v>
      </c>
      <c r="AY1367" s="2">
        <v>15.5</v>
      </c>
      <c r="AZ1367" s="2">
        <v>2.4</v>
      </c>
      <c r="BA1367" s="2">
        <v>10.9</v>
      </c>
      <c r="BB1367" s="2">
        <v>564</v>
      </c>
      <c r="BC1367" s="2">
        <v>68</v>
      </c>
      <c r="BD1367" s="2">
        <v>1.5</v>
      </c>
      <c r="BE1367" s="2">
        <v>135</v>
      </c>
      <c r="BF1367" s="2">
        <v>0</v>
      </c>
      <c r="BG1367" s="2">
        <v>162</v>
      </c>
      <c r="BH1367" s="2">
        <v>9.1</v>
      </c>
      <c r="BI1367" s="2">
        <v>9.1999999999999993</v>
      </c>
      <c r="BJ1367" s="2">
        <v>18.3</v>
      </c>
      <c r="BK1367" s="2">
        <v>0.34</v>
      </c>
      <c r="BL1367" s="2">
        <v>7.3</v>
      </c>
      <c r="BM1367" s="2">
        <v>0.9</v>
      </c>
      <c r="BN1367" s="2">
        <v>7.5</v>
      </c>
      <c r="BO1367" s="2">
        <v>2.9</v>
      </c>
      <c r="BP1367" s="2">
        <f t="shared" si="42"/>
        <v>2.0039113047658441</v>
      </c>
      <c r="BQ1367" s="2">
        <f t="shared" si="43"/>
        <v>9.9872744519153276</v>
      </c>
    </row>
    <row r="1368" spans="1:69" x14ac:dyDescent="0.2">
      <c r="A1368" s="2" t="s">
        <v>1890</v>
      </c>
      <c r="B1368" s="2" t="s">
        <v>47</v>
      </c>
      <c r="C1368" s="2" t="s">
        <v>48</v>
      </c>
      <c r="D1368" s="2" t="s">
        <v>49</v>
      </c>
      <c r="E1368" s="2" t="s">
        <v>1628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89</v>
      </c>
      <c r="L1368" s="6" t="s">
        <v>141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1891</v>
      </c>
      <c r="R1368" s="2">
        <v>5888650.9639999997</v>
      </c>
      <c r="S1368" s="2">
        <v>0</v>
      </c>
      <c r="T1368" s="2" t="s">
        <v>83</v>
      </c>
      <c r="U1368" s="2" t="s">
        <v>84</v>
      </c>
      <c r="V1368" s="2" t="s">
        <v>56</v>
      </c>
      <c r="W1368" s="2" t="s">
        <v>83</v>
      </c>
      <c r="X1368" s="2" t="s">
        <v>85</v>
      </c>
      <c r="Y1368" s="2">
        <v>3.64379422645706</v>
      </c>
      <c r="Z1368" s="2">
        <v>3643.7942264570602</v>
      </c>
      <c r="AA1368" s="2">
        <v>4.71035</v>
      </c>
      <c r="AB1368" s="2">
        <v>-74.030416666666696</v>
      </c>
      <c r="AC1368" s="2">
        <v>2570</v>
      </c>
      <c r="AD1368" s="2">
        <v>10</v>
      </c>
      <c r="AE1368" s="2" t="s">
        <v>59</v>
      </c>
      <c r="AF1368" s="2" t="s">
        <v>86</v>
      </c>
      <c r="AG1368" s="2" t="s">
        <v>61</v>
      </c>
      <c r="AH1368" s="2" t="s">
        <v>62</v>
      </c>
      <c r="AI1368" s="2" t="s">
        <v>87</v>
      </c>
      <c r="AJ1368" s="2">
        <v>0.422688703718679</v>
      </c>
      <c r="AK1368" s="2">
        <v>2.42567408684328</v>
      </c>
      <c r="AL1368" s="2">
        <v>0.48508485296533199</v>
      </c>
      <c r="AM1368" s="2">
        <v>0.130681739157884</v>
      </c>
      <c r="AN1368" s="2">
        <v>3.3828229500232001</v>
      </c>
      <c r="AO1368" s="2">
        <v>0.47491804928029002</v>
      </c>
      <c r="AP1368" s="2">
        <v>0.47491804928029002</v>
      </c>
      <c r="AQ1368" s="2">
        <v>1</v>
      </c>
      <c r="AR1368" s="2">
        <v>4</v>
      </c>
      <c r="AS1368" s="2">
        <v>0</v>
      </c>
      <c r="AT1368" s="2">
        <v>0</v>
      </c>
      <c r="AU1368" s="2">
        <v>5</v>
      </c>
      <c r="AV1368" s="2">
        <v>213</v>
      </c>
      <c r="AW1368" s="2">
        <v>0</v>
      </c>
      <c r="AX1368" s="2">
        <v>0</v>
      </c>
      <c r="AY1368" s="2">
        <v>15.5</v>
      </c>
      <c r="AZ1368" s="2">
        <v>2.4</v>
      </c>
      <c r="BA1368" s="2">
        <v>10.9</v>
      </c>
      <c r="BB1368" s="2">
        <v>564</v>
      </c>
      <c r="BC1368" s="2">
        <v>68</v>
      </c>
      <c r="BD1368" s="2">
        <v>1.5</v>
      </c>
      <c r="BE1368" s="2">
        <v>135</v>
      </c>
      <c r="BF1368" s="2">
        <v>0</v>
      </c>
      <c r="BG1368" s="2">
        <v>162</v>
      </c>
      <c r="BH1368" s="2">
        <v>9.1</v>
      </c>
      <c r="BI1368" s="2">
        <v>9.1999999999999993</v>
      </c>
      <c r="BJ1368" s="2">
        <v>18.3</v>
      </c>
      <c r="BK1368" s="2">
        <v>0.34</v>
      </c>
      <c r="BL1368" s="2">
        <v>7.3</v>
      </c>
      <c r="BM1368" s="2">
        <v>0.9</v>
      </c>
      <c r="BN1368" s="2">
        <v>7.5</v>
      </c>
      <c r="BO1368" s="2">
        <v>2.9</v>
      </c>
      <c r="BP1368" s="2">
        <f t="shared" si="42"/>
        <v>2.0039113047658441</v>
      </c>
      <c r="BQ1368" s="2">
        <f t="shared" si="43"/>
        <v>9.9872744519153276</v>
      </c>
    </row>
    <row r="1369" spans="1:69" x14ac:dyDescent="0.2">
      <c r="A1369" s="2" t="s">
        <v>2335</v>
      </c>
      <c r="B1369" s="2" t="s">
        <v>47</v>
      </c>
      <c r="C1369" s="2" t="s">
        <v>1935</v>
      </c>
      <c r="D1369" s="2" t="s">
        <v>49</v>
      </c>
      <c r="E1369" s="2" t="s">
        <v>980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89</v>
      </c>
      <c r="L1369" s="6" t="s">
        <v>141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2336</v>
      </c>
      <c r="R1369" s="2">
        <v>5191771.0429999996</v>
      </c>
      <c r="S1369" s="2">
        <v>0</v>
      </c>
      <c r="T1369" s="2" t="s">
        <v>83</v>
      </c>
      <c r="U1369" s="2" t="s">
        <v>84</v>
      </c>
      <c r="V1369" s="2" t="s">
        <v>56</v>
      </c>
      <c r="W1369" s="2" t="s">
        <v>83</v>
      </c>
      <c r="X1369" s="2" t="s">
        <v>85</v>
      </c>
      <c r="Y1369" s="2">
        <v>4.1773926033196096</v>
      </c>
      <c r="Z1369" s="2">
        <v>4177.3926033196103</v>
      </c>
      <c r="AA1369" s="2">
        <v>4.71035</v>
      </c>
      <c r="AB1369" s="2">
        <v>-74.030416666666696</v>
      </c>
      <c r="AC1369" s="2">
        <v>2570</v>
      </c>
      <c r="AD1369" s="2">
        <v>10</v>
      </c>
      <c r="AE1369" s="2" t="s">
        <v>59</v>
      </c>
      <c r="AF1369" s="2" t="s">
        <v>86</v>
      </c>
      <c r="AG1369" s="2" t="s">
        <v>61</v>
      </c>
      <c r="AH1369" s="2" t="s">
        <v>62</v>
      </c>
      <c r="AI1369" s="2" t="s">
        <v>100</v>
      </c>
      <c r="AJ1369" s="2">
        <v>0.35248253820400299</v>
      </c>
      <c r="AK1369" s="2">
        <v>3.46404726006458</v>
      </c>
      <c r="AL1369" s="2">
        <v>0.78593028555199196</v>
      </c>
      <c r="AM1369" s="2">
        <v>0.15243771773603301</v>
      </c>
      <c r="AN1369" s="2">
        <v>2.93504893771716</v>
      </c>
      <c r="AO1369" s="2">
        <v>0.142758483451494</v>
      </c>
      <c r="AP1369" s="2">
        <v>0.142758483451494</v>
      </c>
      <c r="AQ1369" s="2">
        <v>1</v>
      </c>
      <c r="AR1369" s="2">
        <v>5</v>
      </c>
      <c r="AS1369" s="2">
        <v>0</v>
      </c>
      <c r="AT1369" s="2">
        <v>0</v>
      </c>
      <c r="AU1369" s="2">
        <v>1</v>
      </c>
      <c r="AV1369" s="2">
        <v>111</v>
      </c>
      <c r="AW1369" s="2">
        <v>0</v>
      </c>
      <c r="AX1369" s="2">
        <v>0</v>
      </c>
      <c r="AY1369" s="2">
        <v>15.5</v>
      </c>
      <c r="AZ1369" s="2">
        <v>2.4</v>
      </c>
      <c r="BA1369" s="2">
        <v>10.9</v>
      </c>
      <c r="BB1369" s="2">
        <v>564</v>
      </c>
      <c r="BC1369" s="2">
        <v>68</v>
      </c>
      <c r="BD1369" s="2">
        <v>1.5</v>
      </c>
      <c r="BE1369" s="2">
        <v>135</v>
      </c>
      <c r="BF1369" s="2">
        <v>0</v>
      </c>
      <c r="BG1369" s="2">
        <v>162</v>
      </c>
      <c r="BH1369" s="2">
        <v>9.1</v>
      </c>
      <c r="BI1369" s="2">
        <v>9.1999999999999993</v>
      </c>
      <c r="BJ1369" s="2">
        <v>18.3</v>
      </c>
      <c r="BK1369" s="2">
        <v>0.34</v>
      </c>
      <c r="BL1369" s="2">
        <v>7.3</v>
      </c>
      <c r="BM1369" s="2">
        <v>0.9</v>
      </c>
      <c r="BN1369" s="2">
        <v>7.5</v>
      </c>
      <c r="BO1369" s="2">
        <v>2.9</v>
      </c>
      <c r="BP1369" s="2">
        <f t="shared" si="42"/>
        <v>1.9516746589688274</v>
      </c>
      <c r="BQ1369" s="2">
        <f t="shared" si="43"/>
        <v>9.8601892954861654</v>
      </c>
    </row>
    <row r="1370" spans="1:69" x14ac:dyDescent="0.2">
      <c r="A1370" s="2" t="s">
        <v>2201</v>
      </c>
      <c r="B1370" s="2" t="s">
        <v>47</v>
      </c>
      <c r="C1370" s="2" t="s">
        <v>1935</v>
      </c>
      <c r="D1370" s="2" t="s">
        <v>49</v>
      </c>
      <c r="E1370" s="2" t="s">
        <v>989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89</v>
      </c>
      <c r="L1370" s="6" t="s">
        <v>103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2202</v>
      </c>
      <c r="R1370" s="2">
        <v>7032967.0329999998</v>
      </c>
      <c r="S1370" s="2">
        <v>0</v>
      </c>
      <c r="T1370" s="2" t="s">
        <v>83</v>
      </c>
      <c r="U1370" s="2" t="s">
        <v>84</v>
      </c>
      <c r="V1370" s="2" t="s">
        <v>56</v>
      </c>
      <c r="W1370" s="2" t="s">
        <v>83</v>
      </c>
      <c r="X1370" s="2" t="s">
        <v>85</v>
      </c>
      <c r="Y1370" s="2">
        <v>3.8341492780887099</v>
      </c>
      <c r="Z1370" s="2">
        <v>3834.1492780887102</v>
      </c>
      <c r="AA1370" s="2">
        <v>4.71035</v>
      </c>
      <c r="AB1370" s="2">
        <v>-74.030416666666696</v>
      </c>
      <c r="AC1370" s="2">
        <v>2570</v>
      </c>
      <c r="AD1370" s="2">
        <v>10</v>
      </c>
      <c r="AE1370" s="2" t="s">
        <v>59</v>
      </c>
      <c r="AF1370" s="2" t="s">
        <v>86</v>
      </c>
      <c r="AG1370" s="2" t="s">
        <v>61</v>
      </c>
      <c r="AH1370" s="2" t="s">
        <v>62</v>
      </c>
      <c r="AI1370" s="2" t="s">
        <v>100</v>
      </c>
      <c r="AJ1370" s="2">
        <v>0.468270051422009</v>
      </c>
      <c r="AK1370" s="2">
        <v>3.1195878559921399</v>
      </c>
      <c r="AL1370" s="2">
        <v>1.14108009061391</v>
      </c>
      <c r="AM1370" s="2">
        <v>0.26747949217998501</v>
      </c>
      <c r="AN1370" s="2">
        <v>3.2037890555125701</v>
      </c>
      <c r="AO1370" s="2">
        <v>5.8671481378792599E-2</v>
      </c>
      <c r="AP1370" s="2">
        <v>5.8671481378792599E-2</v>
      </c>
      <c r="AQ1370" s="2">
        <v>1</v>
      </c>
      <c r="AR1370" s="2">
        <v>5</v>
      </c>
      <c r="AS1370" s="2">
        <v>0</v>
      </c>
      <c r="AT1370" s="2">
        <v>0</v>
      </c>
      <c r="AU1370" s="2">
        <v>0</v>
      </c>
      <c r="AV1370" s="2">
        <v>123</v>
      </c>
      <c r="AW1370" s="2">
        <v>0</v>
      </c>
      <c r="AX1370" s="2">
        <v>0</v>
      </c>
      <c r="AY1370" s="2">
        <v>15.5</v>
      </c>
      <c r="AZ1370" s="2">
        <v>2.4</v>
      </c>
      <c r="BA1370" s="2">
        <v>10.9</v>
      </c>
      <c r="BB1370" s="2">
        <v>564</v>
      </c>
      <c r="BC1370" s="2">
        <v>68</v>
      </c>
      <c r="BD1370" s="2">
        <v>1.5</v>
      </c>
      <c r="BE1370" s="2">
        <v>135</v>
      </c>
      <c r="BF1370" s="2">
        <v>0</v>
      </c>
      <c r="BG1370" s="2">
        <v>162</v>
      </c>
      <c r="BH1370" s="2">
        <v>9.1</v>
      </c>
      <c r="BI1370" s="2">
        <v>9.1999999999999993</v>
      </c>
      <c r="BJ1370" s="2">
        <v>18.3</v>
      </c>
      <c r="BK1370" s="2">
        <v>0.34</v>
      </c>
      <c r="BL1370" s="2">
        <v>7.3</v>
      </c>
      <c r="BM1370" s="2">
        <v>0.9</v>
      </c>
      <c r="BN1370" s="2">
        <v>7.5</v>
      </c>
      <c r="BO1370" s="2">
        <v>2.9</v>
      </c>
      <c r="BP1370" s="2">
        <f t="shared" si="42"/>
        <v>1.9851179798954404</v>
      </c>
      <c r="BQ1370" s="2">
        <f t="shared" si="43"/>
        <v>9.941751442056475</v>
      </c>
    </row>
    <row r="1371" spans="1:69" x14ac:dyDescent="0.2">
      <c r="A1371" s="2" t="s">
        <v>1739</v>
      </c>
      <c r="B1371" s="2" t="s">
        <v>47</v>
      </c>
      <c r="C1371" s="2" t="s">
        <v>48</v>
      </c>
      <c r="D1371" s="2" t="s">
        <v>49</v>
      </c>
      <c r="E1371" s="2" t="s">
        <v>81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89</v>
      </c>
      <c r="L1371" s="6" t="s">
        <v>141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1740</v>
      </c>
      <c r="R1371" s="2">
        <v>6365638.767</v>
      </c>
      <c r="S1371" s="2">
        <v>0</v>
      </c>
      <c r="T1371" s="2" t="s">
        <v>83</v>
      </c>
      <c r="U1371" s="2" t="s">
        <v>84</v>
      </c>
      <c r="V1371" s="2" t="s">
        <v>56</v>
      </c>
      <c r="W1371" s="2" t="s">
        <v>83</v>
      </c>
      <c r="X1371" s="2" t="s">
        <v>85</v>
      </c>
      <c r="Y1371" s="2">
        <v>1.1698394339564899</v>
      </c>
      <c r="Z1371" s="2">
        <v>1169.83943395649</v>
      </c>
      <c r="AA1371" s="2">
        <v>4.71035</v>
      </c>
      <c r="AB1371" s="2">
        <v>-74.030416666666696</v>
      </c>
      <c r="AC1371" s="2">
        <v>2570</v>
      </c>
      <c r="AD1371" s="2">
        <v>10</v>
      </c>
      <c r="AE1371" s="2" t="s">
        <v>59</v>
      </c>
      <c r="AF1371" s="2" t="s">
        <v>86</v>
      </c>
      <c r="AG1371" s="2" t="s">
        <v>61</v>
      </c>
      <c r="AH1371" s="2" t="s">
        <v>62</v>
      </c>
      <c r="AI1371" s="2" t="s">
        <v>87</v>
      </c>
      <c r="AJ1371" s="2">
        <v>2.0856124414703801</v>
      </c>
      <c r="AK1371" s="2">
        <v>1.11332721263274</v>
      </c>
      <c r="AL1371" s="2">
        <v>0.36084483886090701</v>
      </c>
      <c r="AM1371" s="2">
        <v>0.27310072545275998</v>
      </c>
      <c r="AN1371" s="2">
        <v>4.5606053606345496</v>
      </c>
      <c r="AO1371" s="2">
        <v>0.349415256263091</v>
      </c>
      <c r="AP1371" s="2">
        <v>0.349415256263091</v>
      </c>
      <c r="AQ1371" s="2">
        <v>0</v>
      </c>
      <c r="AR1371" s="2">
        <v>0</v>
      </c>
      <c r="AS1371" s="2">
        <v>0</v>
      </c>
      <c r="AT1371" s="2">
        <v>0</v>
      </c>
      <c r="AU1371" s="2">
        <v>1</v>
      </c>
      <c r="AV1371" s="2">
        <v>158</v>
      </c>
      <c r="AW1371" s="2">
        <v>0</v>
      </c>
      <c r="AX1371" s="2">
        <v>0</v>
      </c>
      <c r="AY1371" s="2">
        <v>15.5</v>
      </c>
      <c r="AZ1371" s="2">
        <v>2.4</v>
      </c>
      <c r="BA1371" s="2">
        <v>10.9</v>
      </c>
      <c r="BB1371" s="2">
        <v>564</v>
      </c>
      <c r="BC1371" s="2">
        <v>68</v>
      </c>
      <c r="BD1371" s="2">
        <v>1.5</v>
      </c>
      <c r="BE1371" s="2">
        <v>135</v>
      </c>
      <c r="BF1371" s="2">
        <v>0</v>
      </c>
      <c r="BG1371" s="2">
        <v>162</v>
      </c>
      <c r="BH1371" s="2">
        <v>9.1</v>
      </c>
      <c r="BI1371" s="2">
        <v>9.1999999999999993</v>
      </c>
      <c r="BJ1371" s="2">
        <v>18.3</v>
      </c>
      <c r="BK1371" s="2">
        <v>0.34</v>
      </c>
      <c r="BL1371" s="2">
        <v>7.3</v>
      </c>
      <c r="BM1371" s="2">
        <v>0.9</v>
      </c>
      <c r="BN1371" s="2">
        <v>7.5</v>
      </c>
      <c r="BO1371" s="2">
        <v>2.9</v>
      </c>
      <c r="BP1371" s="2">
        <f t="shared" si="42"/>
        <v>2.2649703885757613</v>
      </c>
      <c r="BQ1371" s="2">
        <f t="shared" si="43"/>
        <v>10.598226150480839</v>
      </c>
    </row>
    <row r="1372" spans="1:69" x14ac:dyDescent="0.2">
      <c r="A1372" s="2" t="s">
        <v>2789</v>
      </c>
      <c r="B1372" s="2" t="s">
        <v>47</v>
      </c>
      <c r="C1372" s="2" t="s">
        <v>1935</v>
      </c>
      <c r="D1372" s="2" t="s">
        <v>49</v>
      </c>
      <c r="E1372" s="2" t="s">
        <v>853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89</v>
      </c>
      <c r="L1372" s="6" t="s">
        <v>141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2790</v>
      </c>
      <c r="R1372" s="2">
        <v>7972665.148</v>
      </c>
      <c r="S1372" s="2">
        <v>0</v>
      </c>
      <c r="T1372" s="2" t="s">
        <v>83</v>
      </c>
      <c r="U1372" s="2" t="s">
        <v>84</v>
      </c>
      <c r="V1372" s="2" t="s">
        <v>56</v>
      </c>
      <c r="W1372" s="2" t="s">
        <v>83</v>
      </c>
      <c r="X1372" s="2" t="s">
        <v>85</v>
      </c>
      <c r="Y1372" s="2">
        <v>1.90747136823556</v>
      </c>
      <c r="Z1372" s="2">
        <v>1907.47136823556</v>
      </c>
      <c r="AA1372" s="2">
        <v>4.71035</v>
      </c>
      <c r="AB1372" s="2">
        <v>-74.030416666666696</v>
      </c>
      <c r="AC1372" s="2">
        <v>2570</v>
      </c>
      <c r="AD1372" s="2">
        <v>10</v>
      </c>
      <c r="AE1372" s="2" t="s">
        <v>59</v>
      </c>
      <c r="AF1372" s="2" t="s">
        <v>86</v>
      </c>
      <c r="AG1372" s="2" t="s">
        <v>61</v>
      </c>
      <c r="AH1372" s="2" t="s">
        <v>62</v>
      </c>
      <c r="AI1372" s="2" t="s">
        <v>87</v>
      </c>
      <c r="AJ1372" s="2">
        <v>3.30184432263116</v>
      </c>
      <c r="AK1372" s="2">
        <v>3.5060062805115901E-2</v>
      </c>
      <c r="AL1372" s="2">
        <v>2.02465960151005</v>
      </c>
      <c r="AM1372" s="2">
        <v>0.54443617269334299</v>
      </c>
      <c r="AN1372" s="2">
        <v>1.99732371304127</v>
      </c>
      <c r="AO1372" s="2">
        <v>0.87128956840130001</v>
      </c>
      <c r="AP1372" s="2">
        <v>0.87128956840130001</v>
      </c>
      <c r="AQ1372" s="2">
        <v>0</v>
      </c>
      <c r="AR1372" s="2">
        <v>0</v>
      </c>
      <c r="AS1372" s="2">
        <v>16</v>
      </c>
      <c r="AT1372" s="2">
        <v>42</v>
      </c>
      <c r="AU1372" s="2">
        <v>0</v>
      </c>
      <c r="AV1372" s="2">
        <v>3</v>
      </c>
      <c r="AW1372" s="2">
        <v>0</v>
      </c>
      <c r="AX1372" s="2">
        <v>0</v>
      </c>
      <c r="AY1372" s="2">
        <v>15.5</v>
      </c>
      <c r="AZ1372" s="2">
        <v>2.4</v>
      </c>
      <c r="BA1372" s="2">
        <v>10.9</v>
      </c>
      <c r="BB1372" s="2">
        <v>564</v>
      </c>
      <c r="BC1372" s="2">
        <v>68</v>
      </c>
      <c r="BD1372" s="2">
        <v>1.5</v>
      </c>
      <c r="BE1372" s="2">
        <v>135</v>
      </c>
      <c r="BF1372" s="2">
        <v>0</v>
      </c>
      <c r="BG1372" s="2">
        <v>162</v>
      </c>
      <c r="BH1372" s="2">
        <v>9.1</v>
      </c>
      <c r="BI1372" s="2">
        <v>9.1999999999999993</v>
      </c>
      <c r="BJ1372" s="2">
        <v>18.3</v>
      </c>
      <c r="BK1372" s="2">
        <v>0.34</v>
      </c>
      <c r="BL1372" s="2">
        <v>7.3</v>
      </c>
      <c r="BM1372" s="2">
        <v>0.9</v>
      </c>
      <c r="BN1372" s="2">
        <v>7.5</v>
      </c>
      <c r="BO1372" s="2">
        <v>2.9</v>
      </c>
      <c r="BP1372" s="2">
        <f t="shared" si="42"/>
        <v>2.1837616222980691</v>
      </c>
      <c r="BQ1372" s="2">
        <f t="shared" si="43"/>
        <v>10.412254985350677</v>
      </c>
    </row>
    <row r="1373" spans="1:69" x14ac:dyDescent="0.2">
      <c r="A1373" s="2" t="s">
        <v>213</v>
      </c>
      <c r="B1373" s="2" t="s">
        <v>47</v>
      </c>
      <c r="C1373" s="2" t="s">
        <v>48</v>
      </c>
      <c r="D1373" s="2" t="s">
        <v>49</v>
      </c>
      <c r="E1373" s="2" t="s">
        <v>214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89</v>
      </c>
      <c r="L1373" s="6" t="s">
        <v>141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215</v>
      </c>
      <c r="R1373" s="2">
        <v>8372093.023</v>
      </c>
      <c r="S1373" s="2">
        <v>0</v>
      </c>
      <c r="T1373" s="2" t="s">
        <v>83</v>
      </c>
      <c r="U1373" s="2" t="s">
        <v>84</v>
      </c>
      <c r="V1373" s="2" t="s">
        <v>56</v>
      </c>
      <c r="W1373" s="2" t="s">
        <v>83</v>
      </c>
      <c r="X1373" s="2" t="s">
        <v>85</v>
      </c>
      <c r="Y1373" s="2">
        <v>0.86470070855195202</v>
      </c>
      <c r="Z1373" s="2">
        <v>864.70070855195195</v>
      </c>
      <c r="AA1373" s="2">
        <v>4.71035</v>
      </c>
      <c r="AB1373" s="2">
        <v>-74.030416666666696</v>
      </c>
      <c r="AC1373" s="2">
        <v>2570</v>
      </c>
      <c r="AD1373" s="2">
        <v>10</v>
      </c>
      <c r="AE1373" s="2" t="s">
        <v>59</v>
      </c>
      <c r="AF1373" s="2" t="s">
        <v>86</v>
      </c>
      <c r="AG1373" s="2" t="s">
        <v>61</v>
      </c>
      <c r="AH1373" s="2" t="s">
        <v>62</v>
      </c>
      <c r="AI1373" s="2" t="s">
        <v>87</v>
      </c>
      <c r="AJ1373" s="2">
        <v>1.9574093959291301</v>
      </c>
      <c r="AK1373" s="2">
        <v>1.2777913188869101</v>
      </c>
      <c r="AL1373" s="2">
        <v>0.65906319848178796</v>
      </c>
      <c r="AM1373" s="2">
        <v>0.22131735313870499</v>
      </c>
      <c r="AN1373" s="2">
        <v>4.11736973953301</v>
      </c>
      <c r="AO1373" s="2">
        <v>0.21823092854884399</v>
      </c>
      <c r="AP1373" s="2">
        <v>0.21823092854884399</v>
      </c>
      <c r="AQ1373" s="2">
        <v>0</v>
      </c>
      <c r="AR1373" s="2">
        <v>0</v>
      </c>
      <c r="AS1373" s="2">
        <v>0</v>
      </c>
      <c r="AT1373" s="2">
        <v>0</v>
      </c>
      <c r="AU1373" s="2">
        <v>2</v>
      </c>
      <c r="AV1373" s="2">
        <v>122</v>
      </c>
      <c r="AW1373" s="2">
        <v>0</v>
      </c>
      <c r="AX1373" s="2">
        <v>0</v>
      </c>
      <c r="AY1373" s="2">
        <v>15.5</v>
      </c>
      <c r="AZ1373" s="2">
        <v>2.4</v>
      </c>
      <c r="BA1373" s="2">
        <v>10.9</v>
      </c>
      <c r="BB1373" s="2">
        <v>564</v>
      </c>
      <c r="BC1373" s="2">
        <v>68</v>
      </c>
      <c r="BD1373" s="2">
        <v>1.5</v>
      </c>
      <c r="BE1373" s="2">
        <v>135</v>
      </c>
      <c r="BF1373" s="2">
        <v>0</v>
      </c>
      <c r="BG1373" s="2">
        <v>162</v>
      </c>
      <c r="BH1373" s="2">
        <v>9.1</v>
      </c>
      <c r="BI1373" s="2">
        <v>9.1999999999999993</v>
      </c>
      <c r="BJ1373" s="2">
        <v>18.3</v>
      </c>
      <c r="BK1373" s="2">
        <v>0.34</v>
      </c>
      <c r="BL1373" s="2">
        <v>7.3</v>
      </c>
      <c r="BM1373" s="2">
        <v>0.9</v>
      </c>
      <c r="BN1373" s="2">
        <v>7.5</v>
      </c>
      <c r="BO1373" s="2">
        <v>2.9</v>
      </c>
      <c r="BP1373" s="2">
        <f t="shared" si="42"/>
        <v>2.2994410054349306</v>
      </c>
      <c r="BQ1373" s="2">
        <f t="shared" si="43"/>
        <v>10.676125344316347</v>
      </c>
    </row>
    <row r="1374" spans="1:69" x14ac:dyDescent="0.2">
      <c r="A1374" s="2" t="s">
        <v>1505</v>
      </c>
      <c r="B1374" s="2" t="s">
        <v>47</v>
      </c>
      <c r="C1374" s="2" t="s">
        <v>48</v>
      </c>
      <c r="D1374" s="2" t="s">
        <v>49</v>
      </c>
      <c r="E1374" s="2" t="s">
        <v>1506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89</v>
      </c>
      <c r="L1374" s="6" t="s">
        <v>141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1507</v>
      </c>
      <c r="R1374" s="2">
        <v>6904761.9050000003</v>
      </c>
      <c r="S1374" s="2">
        <v>0</v>
      </c>
      <c r="T1374" s="2" t="s">
        <v>83</v>
      </c>
      <c r="U1374" s="2" t="s">
        <v>84</v>
      </c>
      <c r="V1374" s="2" t="s">
        <v>56</v>
      </c>
      <c r="W1374" s="2" t="s">
        <v>83</v>
      </c>
      <c r="X1374" s="2" t="s">
        <v>85</v>
      </c>
      <c r="Y1374" s="2">
        <v>4.4601808675256001</v>
      </c>
      <c r="Z1374" s="2">
        <v>4460.1808675255998</v>
      </c>
      <c r="AA1374" s="2">
        <v>4.71035</v>
      </c>
      <c r="AB1374" s="2">
        <v>-74.030416666666696</v>
      </c>
      <c r="AC1374" s="2">
        <v>2570</v>
      </c>
      <c r="AD1374" s="2">
        <v>10</v>
      </c>
      <c r="AE1374" s="2" t="s">
        <v>59</v>
      </c>
      <c r="AF1374" s="2" t="s">
        <v>86</v>
      </c>
      <c r="AG1374" s="2" t="s">
        <v>61</v>
      </c>
      <c r="AH1374" s="2" t="s">
        <v>62</v>
      </c>
      <c r="AI1374" s="2" t="s">
        <v>109</v>
      </c>
      <c r="AJ1374" s="2">
        <v>2.18878844353699</v>
      </c>
      <c r="AK1374" s="2">
        <v>5.09398682531867E-2</v>
      </c>
      <c r="AL1374" s="2">
        <v>1.1496952939312299</v>
      </c>
      <c r="AM1374" s="2">
        <v>0.47565937270626402</v>
      </c>
      <c r="AN1374" s="2">
        <v>3.8823609308522</v>
      </c>
      <c r="AO1374" s="2">
        <v>1.16529564412383</v>
      </c>
      <c r="AP1374" s="2">
        <v>1.16529564412383</v>
      </c>
      <c r="AQ1374" s="2">
        <v>0</v>
      </c>
      <c r="AR1374" s="2">
        <v>0</v>
      </c>
      <c r="AS1374" s="2">
        <v>19</v>
      </c>
      <c r="AT1374" s="2">
        <v>30</v>
      </c>
      <c r="AU1374" s="2">
        <v>0</v>
      </c>
      <c r="AV1374" s="2">
        <v>10</v>
      </c>
      <c r="AW1374" s="2">
        <v>0</v>
      </c>
      <c r="AX1374" s="2">
        <v>0</v>
      </c>
      <c r="AY1374" s="2">
        <v>15.5</v>
      </c>
      <c r="AZ1374" s="2">
        <v>2.4</v>
      </c>
      <c r="BA1374" s="2">
        <v>10.9</v>
      </c>
      <c r="BB1374" s="2">
        <v>564</v>
      </c>
      <c r="BC1374" s="2">
        <v>68</v>
      </c>
      <c r="BD1374" s="2">
        <v>1.5</v>
      </c>
      <c r="BE1374" s="2">
        <v>135</v>
      </c>
      <c r="BF1374" s="2">
        <v>0</v>
      </c>
      <c r="BG1374" s="2">
        <v>162</v>
      </c>
      <c r="BH1374" s="2">
        <v>9.1</v>
      </c>
      <c r="BI1374" s="2">
        <v>9.1999999999999993</v>
      </c>
      <c r="BJ1374" s="2">
        <v>18.3</v>
      </c>
      <c r="BK1374" s="2">
        <v>0.34</v>
      </c>
      <c r="BL1374" s="2">
        <v>7.3</v>
      </c>
      <c r="BM1374" s="2">
        <v>0.9</v>
      </c>
      <c r="BN1374" s="2">
        <v>7.5</v>
      </c>
      <c r="BO1374" s="2">
        <v>2.9</v>
      </c>
      <c r="BP1374" s="2">
        <f t="shared" si="42"/>
        <v>1.9245454007793894</v>
      </c>
      <c r="BQ1374" s="2">
        <f t="shared" si="43"/>
        <v>9.7934955743362018</v>
      </c>
    </row>
    <row r="1375" spans="1:69" x14ac:dyDescent="0.2">
      <c r="A1375" s="2" t="s">
        <v>1167</v>
      </c>
      <c r="B1375" s="2" t="s">
        <v>47</v>
      </c>
      <c r="C1375" s="2" t="s">
        <v>48</v>
      </c>
      <c r="D1375" s="2" t="s">
        <v>49</v>
      </c>
      <c r="E1375" s="2" t="s">
        <v>447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89</v>
      </c>
      <c r="L1375" s="6" t="s">
        <v>141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1168</v>
      </c>
      <c r="R1375" s="2">
        <v>6724949.5630000001</v>
      </c>
      <c r="S1375" s="2">
        <v>0</v>
      </c>
      <c r="T1375" s="2" t="s">
        <v>83</v>
      </c>
      <c r="U1375" s="2" t="s">
        <v>84</v>
      </c>
      <c r="V1375" s="2" t="s">
        <v>56</v>
      </c>
      <c r="W1375" s="2" t="s">
        <v>83</v>
      </c>
      <c r="X1375" s="2" t="s">
        <v>85</v>
      </c>
      <c r="Y1375" s="2">
        <v>3.2835384009698898</v>
      </c>
      <c r="Z1375" s="2">
        <v>3283.5384009698901</v>
      </c>
      <c r="AA1375" s="2">
        <v>4.71035</v>
      </c>
      <c r="AB1375" s="2">
        <v>-74.030416666666696</v>
      </c>
      <c r="AC1375" s="2">
        <v>2570</v>
      </c>
      <c r="AD1375" s="2">
        <v>10</v>
      </c>
      <c r="AE1375" s="2" t="s">
        <v>59</v>
      </c>
      <c r="AF1375" s="2" t="s">
        <v>86</v>
      </c>
      <c r="AG1375" s="2" t="s">
        <v>61</v>
      </c>
      <c r="AH1375" s="2" t="s">
        <v>62</v>
      </c>
      <c r="AI1375" s="2" t="s">
        <v>87</v>
      </c>
      <c r="AJ1375" s="2">
        <v>0.77497166876244405</v>
      </c>
      <c r="AK1375" s="2">
        <v>1.94401701467002</v>
      </c>
      <c r="AL1375" s="2">
        <v>7.4569548341072697E-2</v>
      </c>
      <c r="AM1375" s="2">
        <v>0.118917203605947</v>
      </c>
      <c r="AN1375" s="2">
        <v>3.8409686520228399</v>
      </c>
      <c r="AO1375" s="2">
        <v>0.386549919038919</v>
      </c>
      <c r="AP1375" s="2">
        <v>0.386549919038919</v>
      </c>
      <c r="AQ1375" s="2">
        <v>0</v>
      </c>
      <c r="AR1375" s="2">
        <v>2</v>
      </c>
      <c r="AS1375" s="2">
        <v>0</v>
      </c>
      <c r="AT1375" s="2">
        <v>0</v>
      </c>
      <c r="AU1375" s="2">
        <v>5</v>
      </c>
      <c r="AV1375" s="2">
        <v>187</v>
      </c>
      <c r="AW1375" s="2">
        <v>0</v>
      </c>
      <c r="AX1375" s="2">
        <v>0</v>
      </c>
      <c r="AY1375" s="2">
        <v>15.5</v>
      </c>
      <c r="AZ1375" s="2">
        <v>2.4</v>
      </c>
      <c r="BA1375" s="2">
        <v>10.9</v>
      </c>
      <c r="BB1375" s="2">
        <v>564</v>
      </c>
      <c r="BC1375" s="2">
        <v>68</v>
      </c>
      <c r="BD1375" s="2">
        <v>1.5</v>
      </c>
      <c r="BE1375" s="2">
        <v>135</v>
      </c>
      <c r="BF1375" s="2">
        <v>0</v>
      </c>
      <c r="BG1375" s="2">
        <v>162</v>
      </c>
      <c r="BH1375" s="2">
        <v>9.1</v>
      </c>
      <c r="BI1375" s="2">
        <v>9.1999999999999993</v>
      </c>
      <c r="BJ1375" s="2">
        <v>18.3</v>
      </c>
      <c r="BK1375" s="2">
        <v>0.34</v>
      </c>
      <c r="BL1375" s="2">
        <v>7.3</v>
      </c>
      <c r="BM1375" s="2">
        <v>0.9</v>
      </c>
      <c r="BN1375" s="2">
        <v>7.5</v>
      </c>
      <c r="BO1375" s="2">
        <v>2.9</v>
      </c>
      <c r="BP1375" s="2">
        <f t="shared" si="42"/>
        <v>2.0399669087139145</v>
      </c>
      <c r="BQ1375" s="2">
        <f t="shared" si="43"/>
        <v>10.07400020438496</v>
      </c>
    </row>
    <row r="1376" spans="1:69" x14ac:dyDescent="0.2">
      <c r="A1376" s="2" t="s">
        <v>2098</v>
      </c>
      <c r="B1376" s="2" t="s">
        <v>47</v>
      </c>
      <c r="C1376" s="2" t="s">
        <v>1935</v>
      </c>
      <c r="D1376" s="2" t="s">
        <v>49</v>
      </c>
      <c r="E1376" s="2" t="s">
        <v>205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89</v>
      </c>
      <c r="L1376" s="6" t="s">
        <v>141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2099</v>
      </c>
      <c r="R1376" s="2">
        <v>3849878.9350000001</v>
      </c>
      <c r="S1376" s="2">
        <v>0</v>
      </c>
      <c r="T1376" s="2" t="s">
        <v>83</v>
      </c>
      <c r="U1376" s="2" t="s">
        <v>84</v>
      </c>
      <c r="V1376" s="2" t="s">
        <v>56</v>
      </c>
      <c r="W1376" s="2" t="s">
        <v>83</v>
      </c>
      <c r="X1376" s="2" t="s">
        <v>85</v>
      </c>
      <c r="Y1376" s="2">
        <v>2.1374754373078</v>
      </c>
      <c r="Z1376" s="2">
        <v>2137.4754373077999</v>
      </c>
      <c r="AA1376" s="2">
        <v>4.71035</v>
      </c>
      <c r="AB1376" s="2">
        <v>-74.030416666666696</v>
      </c>
      <c r="AC1376" s="2">
        <v>2570</v>
      </c>
      <c r="AD1376" s="2">
        <v>10</v>
      </c>
      <c r="AE1376" s="2" t="s">
        <v>59</v>
      </c>
      <c r="AF1376" s="2" t="s">
        <v>86</v>
      </c>
      <c r="AG1376" s="2" t="s">
        <v>61</v>
      </c>
      <c r="AH1376" s="2" t="s">
        <v>62</v>
      </c>
      <c r="AI1376" s="2" t="s">
        <v>87</v>
      </c>
      <c r="AJ1376" s="2">
        <v>1.4408829332575399</v>
      </c>
      <c r="AK1376" s="2">
        <v>1.8158291635891199</v>
      </c>
      <c r="AL1376" s="2">
        <v>0.84034559994782598</v>
      </c>
      <c r="AM1376" s="2">
        <v>6.3029592167782797E-2</v>
      </c>
      <c r="AN1376" s="2">
        <v>4.9689189326265604</v>
      </c>
      <c r="AO1376" s="2">
        <v>0.28454107249999</v>
      </c>
      <c r="AP1376" s="2">
        <v>0.28454107249999</v>
      </c>
      <c r="AQ1376" s="2">
        <v>0</v>
      </c>
      <c r="AR1376" s="2">
        <v>0</v>
      </c>
      <c r="AS1376" s="2">
        <v>0</v>
      </c>
      <c r="AT1376" s="2">
        <v>0</v>
      </c>
      <c r="AU1376" s="2">
        <v>1</v>
      </c>
      <c r="AV1376" s="2">
        <v>133</v>
      </c>
      <c r="AW1376" s="2">
        <v>0</v>
      </c>
      <c r="AX1376" s="2">
        <v>0</v>
      </c>
      <c r="AY1376" s="2">
        <v>15.5</v>
      </c>
      <c r="AZ1376" s="2">
        <v>2.4</v>
      </c>
      <c r="BA1376" s="2">
        <v>10.9</v>
      </c>
      <c r="BB1376" s="2">
        <v>564</v>
      </c>
      <c r="BC1376" s="2">
        <v>68</v>
      </c>
      <c r="BD1376" s="2">
        <v>1.5</v>
      </c>
      <c r="BE1376" s="2">
        <v>135</v>
      </c>
      <c r="BF1376" s="2">
        <v>0</v>
      </c>
      <c r="BG1376" s="2">
        <v>162</v>
      </c>
      <c r="BH1376" s="2">
        <v>9.1</v>
      </c>
      <c r="BI1376" s="2">
        <v>9.1999999999999993</v>
      </c>
      <c r="BJ1376" s="2">
        <v>18.3</v>
      </c>
      <c r="BK1376" s="2">
        <v>0.34</v>
      </c>
      <c r="BL1376" s="2">
        <v>7.3</v>
      </c>
      <c r="BM1376" s="2">
        <v>0.9</v>
      </c>
      <c r="BN1376" s="2">
        <v>7.5</v>
      </c>
      <c r="BO1376" s="2">
        <v>2.9</v>
      </c>
      <c r="BP1376" s="2">
        <f t="shared" si="42"/>
        <v>2.1590400534367595</v>
      </c>
      <c r="BQ1376" s="2">
        <f t="shared" si="43"/>
        <v>10.354936667897025</v>
      </c>
    </row>
    <row r="1377" spans="1:69" x14ac:dyDescent="0.2">
      <c r="A1377" s="2" t="s">
        <v>2318</v>
      </c>
      <c r="B1377" s="2" t="s">
        <v>47</v>
      </c>
      <c r="C1377" s="2" t="s">
        <v>1935</v>
      </c>
      <c r="D1377" s="2" t="s">
        <v>49</v>
      </c>
      <c r="E1377" s="2" t="s">
        <v>541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89</v>
      </c>
      <c r="L1377" s="6" t="s">
        <v>141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2319</v>
      </c>
      <c r="R1377" s="2">
        <v>5147058.824</v>
      </c>
      <c r="S1377" s="2">
        <v>0</v>
      </c>
      <c r="T1377" s="2" t="s">
        <v>83</v>
      </c>
      <c r="U1377" s="2" t="s">
        <v>84</v>
      </c>
      <c r="V1377" s="2" t="s">
        <v>56</v>
      </c>
      <c r="W1377" s="2" t="s">
        <v>83</v>
      </c>
      <c r="X1377" s="2" t="s">
        <v>85</v>
      </c>
      <c r="Y1377" s="2">
        <v>1.98763095458497</v>
      </c>
      <c r="Z1377" s="2">
        <v>1987.6309545849699</v>
      </c>
      <c r="AA1377" s="2">
        <v>4.71035</v>
      </c>
      <c r="AB1377" s="2">
        <v>-74.030416666666696</v>
      </c>
      <c r="AC1377" s="2">
        <v>2570</v>
      </c>
      <c r="AD1377" s="2">
        <v>10</v>
      </c>
      <c r="AE1377" s="2" t="s">
        <v>59</v>
      </c>
      <c r="AF1377" s="2" t="s">
        <v>86</v>
      </c>
      <c r="AG1377" s="2" t="s">
        <v>61</v>
      </c>
      <c r="AH1377" s="2" t="s">
        <v>62</v>
      </c>
      <c r="AI1377" s="2" t="s">
        <v>87</v>
      </c>
      <c r="AJ1377" s="2">
        <v>2.8373623317762302</v>
      </c>
      <c r="AK1377" s="2">
        <v>0.41941551998646298</v>
      </c>
      <c r="AL1377" s="2">
        <v>0.22789257304708499</v>
      </c>
      <c r="AM1377" s="2">
        <v>0.14056199959108001</v>
      </c>
      <c r="AN1377" s="2">
        <v>5.4344911325178398</v>
      </c>
      <c r="AO1377" s="2">
        <v>0.59263819994200095</v>
      </c>
      <c r="AP1377" s="2">
        <v>0.59263819994200095</v>
      </c>
      <c r="AQ1377" s="2">
        <v>0</v>
      </c>
      <c r="AR1377" s="2">
        <v>0</v>
      </c>
      <c r="AS1377" s="2">
        <v>2</v>
      </c>
      <c r="AT1377" s="2">
        <v>22</v>
      </c>
      <c r="AU1377" s="2">
        <v>1</v>
      </c>
      <c r="AV1377" s="2">
        <v>108</v>
      </c>
      <c r="AW1377" s="2">
        <v>0</v>
      </c>
      <c r="AX1377" s="2">
        <v>0</v>
      </c>
      <c r="AY1377" s="2">
        <v>15.5</v>
      </c>
      <c r="AZ1377" s="2">
        <v>2.4</v>
      </c>
      <c r="BA1377" s="2">
        <v>10.9</v>
      </c>
      <c r="BB1377" s="2">
        <v>564</v>
      </c>
      <c r="BC1377" s="2">
        <v>68</v>
      </c>
      <c r="BD1377" s="2">
        <v>1.5</v>
      </c>
      <c r="BE1377" s="2">
        <v>135</v>
      </c>
      <c r="BF1377" s="2">
        <v>0</v>
      </c>
      <c r="BG1377" s="2">
        <v>162</v>
      </c>
      <c r="BH1377" s="2">
        <v>9.1</v>
      </c>
      <c r="BI1377" s="2">
        <v>9.1999999999999993</v>
      </c>
      <c r="BJ1377" s="2">
        <v>18.3</v>
      </c>
      <c r="BK1377" s="2">
        <v>0.34</v>
      </c>
      <c r="BL1377" s="2">
        <v>7.3</v>
      </c>
      <c r="BM1377" s="2">
        <v>0.9</v>
      </c>
      <c r="BN1377" s="2">
        <v>7.5</v>
      </c>
      <c r="BO1377" s="2">
        <v>2.9</v>
      </c>
      <c r="BP1377" s="2">
        <f t="shared" si="42"/>
        <v>2.1751138437001152</v>
      </c>
      <c r="BQ1377" s="2">
        <f t="shared" si="43"/>
        <v>10.392242832251767</v>
      </c>
    </row>
    <row r="1378" spans="1:69" x14ac:dyDescent="0.2">
      <c r="A1378" s="2" t="s">
        <v>1159</v>
      </c>
      <c r="B1378" s="2" t="s">
        <v>47</v>
      </c>
      <c r="C1378" s="2" t="s">
        <v>48</v>
      </c>
      <c r="D1378" s="2" t="s">
        <v>49</v>
      </c>
      <c r="E1378" s="2" t="s">
        <v>1160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89</v>
      </c>
      <c r="L1378" s="6" t="s">
        <v>141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1161</v>
      </c>
      <c r="R1378" s="2">
        <v>9950248.7559999991</v>
      </c>
      <c r="S1378" s="2">
        <v>0</v>
      </c>
      <c r="T1378" s="2" t="s">
        <v>83</v>
      </c>
      <c r="U1378" s="2" t="s">
        <v>84</v>
      </c>
      <c r="V1378" s="2" t="s">
        <v>56</v>
      </c>
      <c r="W1378" s="2" t="s">
        <v>83</v>
      </c>
      <c r="X1378" s="2" t="s">
        <v>85</v>
      </c>
      <c r="Y1378" s="2">
        <v>4.5874006550149602</v>
      </c>
      <c r="Z1378" s="2">
        <v>4587.4006550149597</v>
      </c>
      <c r="AA1378" s="2">
        <v>4.71035</v>
      </c>
      <c r="AB1378" s="2">
        <v>-74.030416666666696</v>
      </c>
      <c r="AC1378" s="2">
        <v>2570</v>
      </c>
      <c r="AD1378" s="2">
        <v>10</v>
      </c>
      <c r="AE1378" s="2" t="s">
        <v>59</v>
      </c>
      <c r="AF1378" s="2" t="s">
        <v>86</v>
      </c>
      <c r="AG1378" s="2" t="s">
        <v>61</v>
      </c>
      <c r="AH1378" s="2" t="s">
        <v>62</v>
      </c>
      <c r="AI1378" s="2" t="s">
        <v>109</v>
      </c>
      <c r="AJ1378" s="2">
        <v>1.67219583864826</v>
      </c>
      <c r="AK1378" s="2">
        <v>0.38836419354459101</v>
      </c>
      <c r="AL1378" s="2">
        <v>1.25824960476814</v>
      </c>
      <c r="AM1378" s="2">
        <v>0.51245431742255598</v>
      </c>
      <c r="AN1378" s="2">
        <v>3.6540592351285501</v>
      </c>
      <c r="AO1378" s="2">
        <v>0.75774982013083902</v>
      </c>
      <c r="AP1378" s="2">
        <v>0.75774982013083902</v>
      </c>
      <c r="AQ1378" s="2">
        <v>0</v>
      </c>
      <c r="AR1378" s="2">
        <v>0</v>
      </c>
      <c r="AS1378" s="2">
        <v>6</v>
      </c>
      <c r="AT1378" s="2">
        <v>31</v>
      </c>
      <c r="AU1378" s="2">
        <v>0</v>
      </c>
      <c r="AV1378" s="2">
        <v>38</v>
      </c>
      <c r="AW1378" s="2">
        <v>0</v>
      </c>
      <c r="AX1378" s="2">
        <v>0</v>
      </c>
      <c r="AY1378" s="2">
        <v>15.5</v>
      </c>
      <c r="AZ1378" s="2">
        <v>2.4</v>
      </c>
      <c r="BA1378" s="2">
        <v>10.9</v>
      </c>
      <c r="BB1378" s="2">
        <v>564</v>
      </c>
      <c r="BC1378" s="2">
        <v>68</v>
      </c>
      <c r="BD1378" s="2">
        <v>1.5</v>
      </c>
      <c r="BE1378" s="2">
        <v>135</v>
      </c>
      <c r="BF1378" s="2">
        <v>0</v>
      </c>
      <c r="BG1378" s="2">
        <v>162</v>
      </c>
      <c r="BH1378" s="2">
        <v>9.1</v>
      </c>
      <c r="BI1378" s="2">
        <v>9.1999999999999993</v>
      </c>
      <c r="BJ1378" s="2">
        <v>18.3</v>
      </c>
      <c r="BK1378" s="2">
        <v>0.34</v>
      </c>
      <c r="BL1378" s="2">
        <v>7.3</v>
      </c>
      <c r="BM1378" s="2">
        <v>0.9</v>
      </c>
      <c r="BN1378" s="2">
        <v>7.5</v>
      </c>
      <c r="BO1378" s="2">
        <v>2.9</v>
      </c>
      <c r="BP1378" s="2">
        <f t="shared" si="42"/>
        <v>1.9124638889215737</v>
      </c>
      <c r="BQ1378" s="2">
        <f t="shared" si="43"/>
        <v>9.7636389435638211</v>
      </c>
    </row>
    <row r="1379" spans="1:69" x14ac:dyDescent="0.2">
      <c r="A1379" s="2" t="s">
        <v>1685</v>
      </c>
      <c r="B1379" s="2" t="s">
        <v>47</v>
      </c>
      <c r="C1379" s="2" t="s">
        <v>48</v>
      </c>
      <c r="D1379" s="2" t="s">
        <v>49</v>
      </c>
      <c r="E1379" s="2" t="s">
        <v>1686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89</v>
      </c>
      <c r="L1379" s="6" t="s">
        <v>141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1687</v>
      </c>
      <c r="R1379" s="2">
        <v>6716417.9100000001</v>
      </c>
      <c r="S1379" s="2">
        <v>0</v>
      </c>
      <c r="T1379" s="2" t="s">
        <v>83</v>
      </c>
      <c r="U1379" s="2" t="s">
        <v>84</v>
      </c>
      <c r="V1379" s="2" t="s">
        <v>56</v>
      </c>
      <c r="W1379" s="2" t="s">
        <v>83</v>
      </c>
      <c r="X1379" s="2" t="s">
        <v>85</v>
      </c>
      <c r="Y1379" s="2">
        <v>1.0870068647438</v>
      </c>
      <c r="Z1379" s="2">
        <v>1087.0068647438</v>
      </c>
      <c r="AA1379" s="2">
        <v>4.71035</v>
      </c>
      <c r="AB1379" s="2">
        <v>-74.030416666666696</v>
      </c>
      <c r="AC1379" s="2">
        <v>2570</v>
      </c>
      <c r="AD1379" s="2">
        <v>10</v>
      </c>
      <c r="AE1379" s="2" t="s">
        <v>59</v>
      </c>
      <c r="AF1379" s="2" t="s">
        <v>86</v>
      </c>
      <c r="AG1379" s="2" t="s">
        <v>61</v>
      </c>
      <c r="AH1379" s="2" t="s">
        <v>62</v>
      </c>
      <c r="AI1379" s="2" t="s">
        <v>87</v>
      </c>
      <c r="AJ1379" s="2">
        <v>3.1751156759663899</v>
      </c>
      <c r="AK1379" s="2">
        <v>7.1089377615250998E-2</v>
      </c>
      <c r="AL1379" s="2">
        <v>1.26631163095744</v>
      </c>
      <c r="AM1379" s="2">
        <v>0.70228327644065403</v>
      </c>
      <c r="AN1379" s="2">
        <v>2.7528873948267201</v>
      </c>
      <c r="AO1379" s="2">
        <v>0.60070654022855297</v>
      </c>
      <c r="AP1379" s="2">
        <v>0.60070654022855297</v>
      </c>
      <c r="AQ1379" s="2">
        <v>0</v>
      </c>
      <c r="AR1379" s="2">
        <v>0</v>
      </c>
      <c r="AS1379" s="2">
        <v>25</v>
      </c>
      <c r="AT1379" s="2">
        <v>38</v>
      </c>
      <c r="AU1379" s="2">
        <v>0</v>
      </c>
      <c r="AV1379" s="2">
        <v>39</v>
      </c>
      <c r="AW1379" s="2">
        <v>0</v>
      </c>
      <c r="AX1379" s="2">
        <v>0</v>
      </c>
      <c r="AY1379" s="2">
        <v>15.5</v>
      </c>
      <c r="AZ1379" s="2">
        <v>2.4</v>
      </c>
      <c r="BA1379" s="2">
        <v>10.9</v>
      </c>
      <c r="BB1379" s="2">
        <v>564</v>
      </c>
      <c r="BC1379" s="2">
        <v>68</v>
      </c>
      <c r="BD1379" s="2">
        <v>1.5</v>
      </c>
      <c r="BE1379" s="2">
        <v>135</v>
      </c>
      <c r="BF1379" s="2">
        <v>0</v>
      </c>
      <c r="BG1379" s="2">
        <v>162</v>
      </c>
      <c r="BH1379" s="2">
        <v>9.1</v>
      </c>
      <c r="BI1379" s="2">
        <v>9.1999999999999993</v>
      </c>
      <c r="BJ1379" s="2">
        <v>18.3</v>
      </c>
      <c r="BK1379" s="2">
        <v>0.34</v>
      </c>
      <c r="BL1379" s="2">
        <v>7.3</v>
      </c>
      <c r="BM1379" s="2">
        <v>0.9</v>
      </c>
      <c r="BN1379" s="2">
        <v>7.5</v>
      </c>
      <c r="BO1379" s="2">
        <v>2.9</v>
      </c>
      <c r="BP1379" s="2">
        <f t="shared" si="42"/>
        <v>2.2742763128359287</v>
      </c>
      <c r="BQ1379" s="2">
        <f t="shared" si="43"/>
        <v>10.619316186064443</v>
      </c>
    </row>
    <row r="1380" spans="1:69" x14ac:dyDescent="0.2">
      <c r="A1380" s="2" t="s">
        <v>869</v>
      </c>
      <c r="B1380" s="2" t="s">
        <v>47</v>
      </c>
      <c r="C1380" s="2" t="s">
        <v>48</v>
      </c>
      <c r="D1380" s="2" t="s">
        <v>49</v>
      </c>
      <c r="E1380" s="2" t="s">
        <v>870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89</v>
      </c>
      <c r="L1380" s="6" t="s">
        <v>103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871</v>
      </c>
      <c r="R1380" s="2">
        <v>8750000</v>
      </c>
      <c r="S1380" s="2">
        <v>0</v>
      </c>
      <c r="T1380" s="2" t="s">
        <v>83</v>
      </c>
      <c r="U1380" s="2" t="s">
        <v>84</v>
      </c>
      <c r="V1380" s="2" t="s">
        <v>56</v>
      </c>
      <c r="W1380" s="2" t="s">
        <v>83</v>
      </c>
      <c r="X1380" s="2" t="s">
        <v>85</v>
      </c>
      <c r="Y1380" s="2">
        <v>4.2166846244701102</v>
      </c>
      <c r="Z1380" s="2">
        <v>4216.6846244701101</v>
      </c>
      <c r="AA1380" s="2">
        <v>4.71035</v>
      </c>
      <c r="AB1380" s="2">
        <v>-74.030416666666696</v>
      </c>
      <c r="AC1380" s="2">
        <v>2570</v>
      </c>
      <c r="AD1380" s="2">
        <v>10</v>
      </c>
      <c r="AE1380" s="2" t="s">
        <v>59</v>
      </c>
      <c r="AF1380" s="2" t="s">
        <v>86</v>
      </c>
      <c r="AG1380" s="2" t="s">
        <v>61</v>
      </c>
      <c r="AH1380" s="2" t="s">
        <v>62</v>
      </c>
      <c r="AI1380" s="2" t="s">
        <v>109</v>
      </c>
      <c r="AJ1380" s="2">
        <v>1.5038318193588101</v>
      </c>
      <c r="AK1380" s="2">
        <v>0.67790609230999199</v>
      </c>
      <c r="AL1380" s="2">
        <v>1.02352164553092</v>
      </c>
      <c r="AM1380" s="2">
        <v>0.13712165647140601</v>
      </c>
      <c r="AN1380" s="2">
        <v>4.0166863926072303</v>
      </c>
      <c r="AO1380" s="2">
        <v>1.0785416572804101</v>
      </c>
      <c r="AP1380" s="2">
        <v>1.0785416572804101</v>
      </c>
      <c r="AQ1380" s="2">
        <v>0</v>
      </c>
      <c r="AR1380" s="2">
        <v>0</v>
      </c>
      <c r="AS1380" s="2">
        <v>0</v>
      </c>
      <c r="AT1380" s="2">
        <v>18</v>
      </c>
      <c r="AU1380" s="2">
        <v>0</v>
      </c>
      <c r="AV1380" s="2">
        <v>86</v>
      </c>
      <c r="AW1380" s="2">
        <v>0</v>
      </c>
      <c r="AX1380" s="2">
        <v>0</v>
      </c>
      <c r="AY1380" s="2">
        <v>15.5</v>
      </c>
      <c r="AZ1380" s="2">
        <v>2.4</v>
      </c>
      <c r="BA1380" s="2">
        <v>10.9</v>
      </c>
      <c r="BB1380" s="2">
        <v>564</v>
      </c>
      <c r="BC1380" s="2">
        <v>68</v>
      </c>
      <c r="BD1380" s="2">
        <v>1.5</v>
      </c>
      <c r="BE1380" s="2">
        <v>135</v>
      </c>
      <c r="BF1380" s="2">
        <v>0</v>
      </c>
      <c r="BG1380" s="2">
        <v>162</v>
      </c>
      <c r="BH1380" s="2">
        <v>9.1</v>
      </c>
      <c r="BI1380" s="2">
        <v>9.1999999999999993</v>
      </c>
      <c r="BJ1380" s="2">
        <v>18.3</v>
      </c>
      <c r="BK1380" s="2">
        <v>0.34</v>
      </c>
      <c r="BL1380" s="2">
        <v>7.3</v>
      </c>
      <c r="BM1380" s="2">
        <v>0.9</v>
      </c>
      <c r="BN1380" s="2">
        <v>7.5</v>
      </c>
      <c r="BO1380" s="2">
        <v>2.9</v>
      </c>
      <c r="BP1380" s="2">
        <f t="shared" si="42"/>
        <v>1.9478824285451659</v>
      </c>
      <c r="BQ1380" s="2">
        <f t="shared" si="43"/>
        <v>9.8508954358769216</v>
      </c>
    </row>
    <row r="1381" spans="1:69" x14ac:dyDescent="0.2">
      <c r="A1381" s="2" t="s">
        <v>2660</v>
      </c>
      <c r="B1381" s="2" t="s">
        <v>47</v>
      </c>
      <c r="C1381" s="2" t="s">
        <v>1935</v>
      </c>
      <c r="D1381" s="2" t="s">
        <v>49</v>
      </c>
      <c r="E1381" s="2" t="s">
        <v>323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89</v>
      </c>
      <c r="L1381" s="6" t="s">
        <v>90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2661</v>
      </c>
      <c r="R1381" s="2">
        <v>5225000</v>
      </c>
      <c r="S1381" s="2">
        <v>0</v>
      </c>
      <c r="T1381" s="2" t="s">
        <v>83</v>
      </c>
      <c r="U1381" s="2" t="s">
        <v>84</v>
      </c>
      <c r="V1381" s="2" t="s">
        <v>56</v>
      </c>
      <c r="W1381" s="2" t="s">
        <v>83</v>
      </c>
      <c r="X1381" s="2" t="s">
        <v>85</v>
      </c>
      <c r="Y1381" s="2">
        <v>3.6814317506401499</v>
      </c>
      <c r="Z1381" s="2">
        <v>3681.4317506401499</v>
      </c>
      <c r="AA1381" s="2">
        <v>4.71035</v>
      </c>
      <c r="AB1381" s="2">
        <v>-74.030416666666696</v>
      </c>
      <c r="AC1381" s="2">
        <v>2570</v>
      </c>
      <c r="AD1381" s="2">
        <v>10</v>
      </c>
      <c r="AE1381" s="2" t="s">
        <v>59</v>
      </c>
      <c r="AF1381" s="2" t="s">
        <v>86</v>
      </c>
      <c r="AG1381" s="2" t="s">
        <v>61</v>
      </c>
      <c r="AH1381" s="2" t="s">
        <v>62</v>
      </c>
      <c r="AI1381" s="2" t="s">
        <v>100</v>
      </c>
      <c r="AJ1381" s="2">
        <v>0.70579309451306904</v>
      </c>
      <c r="AK1381" s="2">
        <v>3.6074106137531201</v>
      </c>
      <c r="AL1381" s="2">
        <v>0.89801036556459402</v>
      </c>
      <c r="AM1381" s="2">
        <v>0.24523718339433201</v>
      </c>
      <c r="AN1381" s="2">
        <v>3.58189485012793</v>
      </c>
      <c r="AO1381" s="2">
        <v>9.2323187370896106E-2</v>
      </c>
      <c r="AP1381" s="2">
        <v>9.2323187370896106E-2</v>
      </c>
      <c r="AQ1381" s="2">
        <v>0</v>
      </c>
      <c r="AR1381" s="2">
        <v>4</v>
      </c>
      <c r="AS1381" s="2">
        <v>0</v>
      </c>
      <c r="AT1381" s="2">
        <v>0</v>
      </c>
      <c r="AU1381" s="2">
        <v>1</v>
      </c>
      <c r="AV1381" s="2">
        <v>76</v>
      </c>
      <c r="AW1381" s="2">
        <v>0</v>
      </c>
      <c r="AX1381" s="2">
        <v>0</v>
      </c>
      <c r="AY1381" s="2">
        <v>15.5</v>
      </c>
      <c r="AZ1381" s="2">
        <v>2.4</v>
      </c>
      <c r="BA1381" s="2">
        <v>10.9</v>
      </c>
      <c r="BB1381" s="2">
        <v>564</v>
      </c>
      <c r="BC1381" s="2">
        <v>68</v>
      </c>
      <c r="BD1381" s="2">
        <v>1.5</v>
      </c>
      <c r="BE1381" s="2">
        <v>135</v>
      </c>
      <c r="BF1381" s="2">
        <v>0</v>
      </c>
      <c r="BG1381" s="2">
        <v>162</v>
      </c>
      <c r="BH1381" s="2">
        <v>9.1</v>
      </c>
      <c r="BI1381" s="2">
        <v>9.1999999999999993</v>
      </c>
      <c r="BJ1381" s="2">
        <v>18.3</v>
      </c>
      <c r="BK1381" s="2">
        <v>0.34</v>
      </c>
      <c r="BL1381" s="2">
        <v>7.3</v>
      </c>
      <c r="BM1381" s="2">
        <v>0.9</v>
      </c>
      <c r="BN1381" s="2">
        <v>7.5</v>
      </c>
      <c r="BO1381" s="2">
        <v>2.9</v>
      </c>
      <c r="BP1381" s="2">
        <f t="shared" si="42"/>
        <v>2.0001813784985769</v>
      </c>
      <c r="BQ1381" s="2">
        <f t="shared" si="43"/>
        <v>9.9782570144477543</v>
      </c>
    </row>
    <row r="1382" spans="1:69" x14ac:dyDescent="0.2">
      <c r="A1382" s="2" t="s">
        <v>2743</v>
      </c>
      <c r="B1382" s="2" t="s">
        <v>47</v>
      </c>
      <c r="C1382" s="2" t="s">
        <v>1935</v>
      </c>
      <c r="D1382" s="2" t="s">
        <v>49</v>
      </c>
      <c r="E1382" s="2" t="s">
        <v>2744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89</v>
      </c>
      <c r="L1382" s="6" t="s">
        <v>141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2745</v>
      </c>
      <c r="R1382" s="2">
        <v>4500000</v>
      </c>
      <c r="S1382" s="2">
        <v>0</v>
      </c>
      <c r="T1382" s="2" t="s">
        <v>83</v>
      </c>
      <c r="U1382" s="2" t="s">
        <v>84</v>
      </c>
      <c r="V1382" s="2" t="s">
        <v>56</v>
      </c>
      <c r="W1382" s="2" t="s">
        <v>83</v>
      </c>
      <c r="X1382" s="2" t="s">
        <v>85</v>
      </c>
      <c r="Y1382" s="2">
        <v>2.0048074955311299</v>
      </c>
      <c r="Z1382" s="2">
        <v>2004.8074955311299</v>
      </c>
      <c r="AA1382" s="2">
        <v>4.71035</v>
      </c>
      <c r="AB1382" s="2">
        <v>-74.030416666666696</v>
      </c>
      <c r="AC1382" s="2">
        <v>2570</v>
      </c>
      <c r="AD1382" s="2">
        <v>10</v>
      </c>
      <c r="AE1382" s="2" t="s">
        <v>59</v>
      </c>
      <c r="AF1382" s="2" t="s">
        <v>86</v>
      </c>
      <c r="AG1382" s="2" t="s">
        <v>61</v>
      </c>
      <c r="AH1382" s="2" t="s">
        <v>62</v>
      </c>
      <c r="AI1382" s="2" t="s">
        <v>87</v>
      </c>
      <c r="AJ1382" s="2">
        <v>0.72385635439185503</v>
      </c>
      <c r="AK1382" s="2">
        <v>2.5674103216287198</v>
      </c>
      <c r="AL1382" s="2">
        <v>1.5442418300408001</v>
      </c>
      <c r="AM1382" s="2">
        <v>0.14544788952815499</v>
      </c>
      <c r="AN1382" s="2">
        <v>4.4824948568540899</v>
      </c>
      <c r="AO1382" s="2">
        <v>0.28342745562864602</v>
      </c>
      <c r="AP1382" s="2">
        <v>0.28342745562864602</v>
      </c>
      <c r="AQ1382" s="2">
        <v>0</v>
      </c>
      <c r="AR1382" s="2">
        <v>2</v>
      </c>
      <c r="AS1382" s="2">
        <v>0</v>
      </c>
      <c r="AT1382" s="2">
        <v>0</v>
      </c>
      <c r="AU1382" s="2">
        <v>0</v>
      </c>
      <c r="AV1382" s="2">
        <v>146</v>
      </c>
      <c r="AW1382" s="2">
        <v>0</v>
      </c>
      <c r="AX1382" s="2">
        <v>0</v>
      </c>
      <c r="AY1382" s="2">
        <v>15.5</v>
      </c>
      <c r="AZ1382" s="2">
        <v>2.4</v>
      </c>
      <c r="BA1382" s="2">
        <v>10.9</v>
      </c>
      <c r="BB1382" s="2">
        <v>564</v>
      </c>
      <c r="BC1382" s="2">
        <v>68</v>
      </c>
      <c r="BD1382" s="2">
        <v>1.5</v>
      </c>
      <c r="BE1382" s="2">
        <v>135</v>
      </c>
      <c r="BF1382" s="2">
        <v>0</v>
      </c>
      <c r="BG1382" s="2">
        <v>162</v>
      </c>
      <c r="BH1382" s="2">
        <v>9.1</v>
      </c>
      <c r="BI1382" s="2">
        <v>9.1999999999999993</v>
      </c>
      <c r="BJ1382" s="2">
        <v>18.3</v>
      </c>
      <c r="BK1382" s="2">
        <v>0.34</v>
      </c>
      <c r="BL1382" s="2">
        <v>7.3</v>
      </c>
      <c r="BM1382" s="2">
        <v>0.9</v>
      </c>
      <c r="BN1382" s="2">
        <v>7.5</v>
      </c>
      <c r="BO1382" s="2">
        <v>2.9</v>
      </c>
      <c r="BP1382" s="2">
        <f t="shared" si="42"/>
        <v>2.1732652635447987</v>
      </c>
      <c r="BQ1382" s="2">
        <f t="shared" si="43"/>
        <v>10.387959648327099</v>
      </c>
    </row>
    <row r="1383" spans="1:69" x14ac:dyDescent="0.2">
      <c r="A1383" s="2" t="s">
        <v>1779</v>
      </c>
      <c r="B1383" s="2" t="s">
        <v>47</v>
      </c>
      <c r="C1383" s="2" t="s">
        <v>48</v>
      </c>
      <c r="D1383" s="2" t="s">
        <v>49</v>
      </c>
      <c r="E1383" s="2" t="s">
        <v>1686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89</v>
      </c>
      <c r="L1383" s="6" t="s">
        <v>141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1780</v>
      </c>
      <c r="R1383" s="2">
        <v>8250000</v>
      </c>
      <c r="S1383" s="2">
        <v>0</v>
      </c>
      <c r="T1383" s="2" t="s">
        <v>83</v>
      </c>
      <c r="U1383" s="2" t="s">
        <v>84</v>
      </c>
      <c r="V1383" s="2" t="s">
        <v>56</v>
      </c>
      <c r="W1383" s="2" t="s">
        <v>83</v>
      </c>
      <c r="X1383" s="2" t="s">
        <v>85</v>
      </c>
      <c r="Y1383" s="2">
        <v>1.0870068647438</v>
      </c>
      <c r="Z1383" s="2">
        <v>1087.0068647438</v>
      </c>
      <c r="AA1383" s="2">
        <v>4.71035</v>
      </c>
      <c r="AB1383" s="2">
        <v>-74.030416666666696</v>
      </c>
      <c r="AC1383" s="2">
        <v>2570</v>
      </c>
      <c r="AD1383" s="2">
        <v>10</v>
      </c>
      <c r="AE1383" s="2" t="s">
        <v>59</v>
      </c>
      <c r="AF1383" s="2" t="s">
        <v>86</v>
      </c>
      <c r="AG1383" s="2" t="s">
        <v>61</v>
      </c>
      <c r="AH1383" s="2" t="s">
        <v>62</v>
      </c>
      <c r="AI1383" s="2" t="s">
        <v>87</v>
      </c>
      <c r="AJ1383" s="2">
        <v>3.1751156759663899</v>
      </c>
      <c r="AK1383" s="2">
        <v>7.1089377615250998E-2</v>
      </c>
      <c r="AL1383" s="2">
        <v>1.26631163095744</v>
      </c>
      <c r="AM1383" s="2">
        <v>0.70228327644065403</v>
      </c>
      <c r="AN1383" s="2">
        <v>2.7528873948267201</v>
      </c>
      <c r="AO1383" s="2">
        <v>0.60070654022855297</v>
      </c>
      <c r="AP1383" s="2">
        <v>0.60070654022855297</v>
      </c>
      <c r="AQ1383" s="2">
        <v>0</v>
      </c>
      <c r="AR1383" s="2">
        <v>0</v>
      </c>
      <c r="AS1383" s="2">
        <v>25</v>
      </c>
      <c r="AT1383" s="2">
        <v>38</v>
      </c>
      <c r="AU1383" s="2">
        <v>0</v>
      </c>
      <c r="AV1383" s="2">
        <v>39</v>
      </c>
      <c r="AW1383" s="2">
        <v>0</v>
      </c>
      <c r="AX1383" s="2">
        <v>0</v>
      </c>
      <c r="AY1383" s="2">
        <v>15.5</v>
      </c>
      <c r="AZ1383" s="2">
        <v>2.4</v>
      </c>
      <c r="BA1383" s="2">
        <v>10.9</v>
      </c>
      <c r="BB1383" s="2">
        <v>564</v>
      </c>
      <c r="BC1383" s="2">
        <v>68</v>
      </c>
      <c r="BD1383" s="2">
        <v>1.5</v>
      </c>
      <c r="BE1383" s="2">
        <v>135</v>
      </c>
      <c r="BF1383" s="2">
        <v>0</v>
      </c>
      <c r="BG1383" s="2">
        <v>162</v>
      </c>
      <c r="BH1383" s="2">
        <v>9.1</v>
      </c>
      <c r="BI1383" s="2">
        <v>9.1999999999999993</v>
      </c>
      <c r="BJ1383" s="2">
        <v>18.3</v>
      </c>
      <c r="BK1383" s="2">
        <v>0.34</v>
      </c>
      <c r="BL1383" s="2">
        <v>7.3</v>
      </c>
      <c r="BM1383" s="2">
        <v>0.9</v>
      </c>
      <c r="BN1383" s="2">
        <v>7.5</v>
      </c>
      <c r="BO1383" s="2">
        <v>2.9</v>
      </c>
      <c r="BP1383" s="2">
        <f t="shared" si="42"/>
        <v>2.2742763128359287</v>
      </c>
      <c r="BQ1383" s="2">
        <f t="shared" si="43"/>
        <v>10.619316186064443</v>
      </c>
    </row>
    <row r="1384" spans="1:69" x14ac:dyDescent="0.2">
      <c r="A1384" s="2" t="s">
        <v>2945</v>
      </c>
      <c r="B1384" s="2" t="s">
        <v>47</v>
      </c>
      <c r="C1384" s="2" t="s">
        <v>1935</v>
      </c>
      <c r="D1384" s="2" t="s">
        <v>49</v>
      </c>
      <c r="E1384" s="2" t="s">
        <v>411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89</v>
      </c>
      <c r="L1384" s="6" t="s">
        <v>141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2946</v>
      </c>
      <c r="R1384" s="2">
        <v>3508771.93</v>
      </c>
      <c r="S1384" s="2">
        <v>0</v>
      </c>
      <c r="T1384" s="2" t="s">
        <v>83</v>
      </c>
      <c r="U1384" s="2" t="s">
        <v>84</v>
      </c>
      <c r="V1384" s="2" t="s">
        <v>56</v>
      </c>
      <c r="W1384" s="2" t="s">
        <v>83</v>
      </c>
      <c r="X1384" s="2" t="s">
        <v>85</v>
      </c>
      <c r="Y1384" s="2">
        <v>3.9921685564190801</v>
      </c>
      <c r="Z1384" s="2">
        <v>3992.1685564190798</v>
      </c>
      <c r="AA1384" s="2">
        <v>4.71035</v>
      </c>
      <c r="AB1384" s="2">
        <v>-74.030416666666696</v>
      </c>
      <c r="AC1384" s="2">
        <v>2570</v>
      </c>
      <c r="AD1384" s="2">
        <v>10</v>
      </c>
      <c r="AE1384" s="2" t="s">
        <v>59</v>
      </c>
      <c r="AF1384" s="2" t="s">
        <v>86</v>
      </c>
      <c r="AG1384" s="2" t="s">
        <v>61</v>
      </c>
      <c r="AH1384" s="2" t="s">
        <v>62</v>
      </c>
      <c r="AI1384" s="2" t="s">
        <v>100</v>
      </c>
      <c r="AJ1384" s="2">
        <v>0.54050692915227705</v>
      </c>
      <c r="AK1384" s="2">
        <v>2.8816928736482699</v>
      </c>
      <c r="AL1384" s="2">
        <v>0.92890731399241799</v>
      </c>
      <c r="AM1384" s="2">
        <v>0.108002561519125</v>
      </c>
      <c r="AN1384" s="2">
        <v>3.0086431284389801</v>
      </c>
      <c r="AO1384" s="2">
        <v>0.15614391902274299</v>
      </c>
      <c r="AP1384" s="2">
        <v>0.15614391902274299</v>
      </c>
      <c r="AQ1384" s="2">
        <v>0</v>
      </c>
      <c r="AR1384" s="2">
        <v>5</v>
      </c>
      <c r="AS1384" s="2">
        <v>0</v>
      </c>
      <c r="AT1384" s="2">
        <v>0</v>
      </c>
      <c r="AU1384" s="2">
        <v>1</v>
      </c>
      <c r="AV1384" s="2">
        <v>194</v>
      </c>
      <c r="AW1384" s="2">
        <v>0</v>
      </c>
      <c r="AX1384" s="2">
        <v>0</v>
      </c>
      <c r="AY1384" s="2">
        <v>15.5</v>
      </c>
      <c r="AZ1384" s="2">
        <v>2.4</v>
      </c>
      <c r="BA1384" s="2">
        <v>10.9</v>
      </c>
      <c r="BB1384" s="2">
        <v>564</v>
      </c>
      <c r="BC1384" s="2">
        <v>68</v>
      </c>
      <c r="BD1384" s="2">
        <v>1.5</v>
      </c>
      <c r="BE1384" s="2">
        <v>135</v>
      </c>
      <c r="BF1384" s="2">
        <v>0</v>
      </c>
      <c r="BG1384" s="2">
        <v>162</v>
      </c>
      <c r="BH1384" s="2">
        <v>9.1</v>
      </c>
      <c r="BI1384" s="2">
        <v>9.1999999999999993</v>
      </c>
      <c r="BJ1384" s="2">
        <v>18.3</v>
      </c>
      <c r="BK1384" s="2">
        <v>0.34</v>
      </c>
      <c r="BL1384" s="2">
        <v>7.3</v>
      </c>
      <c r="BM1384" s="2">
        <v>0.9</v>
      </c>
      <c r="BN1384" s="2">
        <v>7.5</v>
      </c>
      <c r="BO1384" s="2">
        <v>2.9</v>
      </c>
      <c r="BP1384" s="2">
        <f t="shared" si="42"/>
        <v>1.9696510474998741</v>
      </c>
      <c r="BQ1384" s="2">
        <f t="shared" si="43"/>
        <v>9.9041191254222891</v>
      </c>
    </row>
    <row r="1385" spans="1:69" x14ac:dyDescent="0.2">
      <c r="A1385" s="2" t="s">
        <v>2924</v>
      </c>
      <c r="B1385" s="2" t="s">
        <v>47</v>
      </c>
      <c r="C1385" s="2" t="s">
        <v>1935</v>
      </c>
      <c r="D1385" s="2" t="s">
        <v>49</v>
      </c>
      <c r="E1385" s="2" t="s">
        <v>541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89</v>
      </c>
      <c r="L1385" s="6" t="s">
        <v>141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2925</v>
      </c>
      <c r="R1385" s="2">
        <v>7614213.1979999999</v>
      </c>
      <c r="S1385" s="2">
        <v>0</v>
      </c>
      <c r="T1385" s="2" t="s">
        <v>83</v>
      </c>
      <c r="U1385" s="2" t="s">
        <v>84</v>
      </c>
      <c r="V1385" s="2" t="s">
        <v>56</v>
      </c>
      <c r="W1385" s="2" t="s">
        <v>83</v>
      </c>
      <c r="X1385" s="2" t="s">
        <v>85</v>
      </c>
      <c r="Y1385" s="2">
        <v>1.9654536584790201</v>
      </c>
      <c r="Z1385" s="2">
        <v>1965.4536584790201</v>
      </c>
      <c r="AA1385" s="2">
        <v>4.71035</v>
      </c>
      <c r="AB1385" s="2">
        <v>-74.030416666666696</v>
      </c>
      <c r="AC1385" s="2">
        <v>2570</v>
      </c>
      <c r="AD1385" s="2">
        <v>10</v>
      </c>
      <c r="AE1385" s="2" t="s">
        <v>59</v>
      </c>
      <c r="AF1385" s="2" t="s">
        <v>86</v>
      </c>
      <c r="AG1385" s="2" t="s">
        <v>61</v>
      </c>
      <c r="AH1385" s="2" t="s">
        <v>62</v>
      </c>
      <c r="AI1385" s="2" t="s">
        <v>87</v>
      </c>
      <c r="AJ1385" s="2">
        <v>2.7425909676882698</v>
      </c>
      <c r="AK1385" s="2">
        <v>0.51419048018620805</v>
      </c>
      <c r="AL1385" s="2">
        <v>0.25201749952332297</v>
      </c>
      <c r="AM1385" s="2">
        <v>6.0067891675904199E-2</v>
      </c>
      <c r="AN1385" s="2">
        <v>5.41835626898773</v>
      </c>
      <c r="AO1385" s="2">
        <v>0.52190146648384195</v>
      </c>
      <c r="AP1385" s="2">
        <v>0.52190146648384195</v>
      </c>
      <c r="AQ1385" s="2">
        <v>0</v>
      </c>
      <c r="AR1385" s="2">
        <v>0</v>
      </c>
      <c r="AS1385" s="2">
        <v>0</v>
      </c>
      <c r="AT1385" s="2">
        <v>20</v>
      </c>
      <c r="AU1385" s="2">
        <v>2</v>
      </c>
      <c r="AV1385" s="2">
        <v>109</v>
      </c>
      <c r="AW1385" s="2">
        <v>0</v>
      </c>
      <c r="AX1385" s="2">
        <v>0</v>
      </c>
      <c r="AY1385" s="2">
        <v>15.5</v>
      </c>
      <c r="AZ1385" s="2">
        <v>2.4</v>
      </c>
      <c r="BA1385" s="2">
        <v>10.9</v>
      </c>
      <c r="BB1385" s="2">
        <v>564</v>
      </c>
      <c r="BC1385" s="2">
        <v>68</v>
      </c>
      <c r="BD1385" s="2">
        <v>1.5</v>
      </c>
      <c r="BE1385" s="2">
        <v>135</v>
      </c>
      <c r="BF1385" s="2">
        <v>0</v>
      </c>
      <c r="BG1385" s="2">
        <v>162</v>
      </c>
      <c r="BH1385" s="2">
        <v>9.1</v>
      </c>
      <c r="BI1385" s="2">
        <v>9.1999999999999993</v>
      </c>
      <c r="BJ1385" s="2">
        <v>18.3</v>
      </c>
      <c r="BK1385" s="2">
        <v>0.34</v>
      </c>
      <c r="BL1385" s="2">
        <v>7.3</v>
      </c>
      <c r="BM1385" s="2">
        <v>0.9</v>
      </c>
      <c r="BN1385" s="2">
        <v>7.5</v>
      </c>
      <c r="BO1385" s="2">
        <v>2.9</v>
      </c>
      <c r="BP1385" s="2">
        <f t="shared" si="42"/>
        <v>2.1775029429251775</v>
      </c>
      <c r="BQ1385" s="2">
        <f t="shared" si="43"/>
        <v>10.397775628866674</v>
      </c>
    </row>
    <row r="1386" spans="1:69" x14ac:dyDescent="0.2">
      <c r="A1386" s="2" t="s">
        <v>2725</v>
      </c>
      <c r="B1386" s="2" t="s">
        <v>47</v>
      </c>
      <c r="C1386" s="2" t="s">
        <v>1935</v>
      </c>
      <c r="D1386" s="2" t="s">
        <v>49</v>
      </c>
      <c r="E1386" s="2" t="s">
        <v>1258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89</v>
      </c>
      <c r="L1386" s="6" t="s">
        <v>141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2726</v>
      </c>
      <c r="R1386" s="2">
        <v>2378516.6239999998</v>
      </c>
      <c r="S1386" s="2">
        <v>0</v>
      </c>
      <c r="T1386" s="2" t="s">
        <v>83</v>
      </c>
      <c r="U1386" s="2" t="s">
        <v>84</v>
      </c>
      <c r="V1386" s="2" t="s">
        <v>56</v>
      </c>
      <c r="W1386" s="2" t="s">
        <v>83</v>
      </c>
      <c r="X1386" s="2" t="s">
        <v>85</v>
      </c>
      <c r="Y1386" s="2">
        <v>3.35879988344848</v>
      </c>
      <c r="Z1386" s="2">
        <v>3358.7998834484802</v>
      </c>
      <c r="AA1386" s="2">
        <v>4.71035</v>
      </c>
      <c r="AB1386" s="2">
        <v>-74.030416666666696</v>
      </c>
      <c r="AC1386" s="2">
        <v>2570</v>
      </c>
      <c r="AD1386" s="2">
        <v>10</v>
      </c>
      <c r="AE1386" s="2" t="s">
        <v>59</v>
      </c>
      <c r="AF1386" s="2" t="s">
        <v>86</v>
      </c>
      <c r="AG1386" s="2" t="s">
        <v>61</v>
      </c>
      <c r="AH1386" s="2" t="s">
        <v>62</v>
      </c>
      <c r="AI1386" s="2" t="s">
        <v>100</v>
      </c>
      <c r="AJ1386" s="2">
        <v>0.64371974327405002</v>
      </c>
      <c r="AK1386" s="2">
        <v>3.7261988008491702</v>
      </c>
      <c r="AL1386" s="2">
        <v>1.22433873805603</v>
      </c>
      <c r="AM1386" s="2">
        <v>0.13979593211390201</v>
      </c>
      <c r="AN1386" s="2">
        <v>4.0306361298799001</v>
      </c>
      <c r="AO1386" s="2">
        <v>7.6909055449124006E-2</v>
      </c>
      <c r="AP1386" s="2">
        <v>7.6909055449124006E-2</v>
      </c>
      <c r="AQ1386" s="2">
        <v>0</v>
      </c>
      <c r="AR1386" s="2">
        <v>2</v>
      </c>
      <c r="AS1386" s="2">
        <v>0</v>
      </c>
      <c r="AT1386" s="2">
        <v>0</v>
      </c>
      <c r="AU1386" s="2">
        <v>0</v>
      </c>
      <c r="AV1386" s="2">
        <v>74</v>
      </c>
      <c r="AW1386" s="2">
        <v>0</v>
      </c>
      <c r="AX1386" s="2">
        <v>0</v>
      </c>
      <c r="AY1386" s="2">
        <v>15.5</v>
      </c>
      <c r="AZ1386" s="2">
        <v>2.4</v>
      </c>
      <c r="BA1386" s="2">
        <v>10.9</v>
      </c>
      <c r="BB1386" s="2">
        <v>564</v>
      </c>
      <c r="BC1386" s="2">
        <v>68</v>
      </c>
      <c r="BD1386" s="2">
        <v>1.5</v>
      </c>
      <c r="BE1386" s="2">
        <v>135</v>
      </c>
      <c r="BF1386" s="2">
        <v>0</v>
      </c>
      <c r="BG1386" s="2">
        <v>162</v>
      </c>
      <c r="BH1386" s="2">
        <v>9.1</v>
      </c>
      <c r="BI1386" s="2">
        <v>9.1999999999999993</v>
      </c>
      <c r="BJ1386" s="2">
        <v>18.3</v>
      </c>
      <c r="BK1386" s="2">
        <v>0.34</v>
      </c>
      <c r="BL1386" s="2">
        <v>7.3</v>
      </c>
      <c r="BM1386" s="2">
        <v>0.9</v>
      </c>
      <c r="BN1386" s="2">
        <v>7.5</v>
      </c>
      <c r="BO1386" s="2">
        <v>2.9</v>
      </c>
      <c r="BP1386" s="2">
        <f t="shared" si="42"/>
        <v>2.0323812662071599</v>
      </c>
      <c r="BQ1386" s="2">
        <f t="shared" si="43"/>
        <v>10.055820207812848</v>
      </c>
    </row>
    <row r="1387" spans="1:69" x14ac:dyDescent="0.2">
      <c r="A1387" s="2" t="s">
        <v>726</v>
      </c>
      <c r="B1387" s="2" t="s">
        <v>47</v>
      </c>
      <c r="C1387" s="2" t="s">
        <v>48</v>
      </c>
      <c r="D1387" s="2" t="s">
        <v>49</v>
      </c>
      <c r="E1387" s="2" t="s">
        <v>727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89</v>
      </c>
      <c r="L1387" s="6" t="s">
        <v>103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728</v>
      </c>
      <c r="R1387" s="2">
        <v>6410256.4100000001</v>
      </c>
      <c r="S1387" s="2">
        <v>0</v>
      </c>
      <c r="T1387" s="2" t="s">
        <v>83</v>
      </c>
      <c r="U1387" s="2" t="s">
        <v>84</v>
      </c>
      <c r="V1387" s="2" t="s">
        <v>56</v>
      </c>
      <c r="W1387" s="2" t="s">
        <v>83</v>
      </c>
      <c r="X1387" s="2" t="s">
        <v>85</v>
      </c>
      <c r="Y1387" s="2">
        <v>2.3075950456274801</v>
      </c>
      <c r="Z1387" s="2">
        <v>2307.59504562748</v>
      </c>
      <c r="AA1387" s="2">
        <v>4.71035</v>
      </c>
      <c r="AB1387" s="2">
        <v>-74.030416666666696</v>
      </c>
      <c r="AC1387" s="2">
        <v>2570</v>
      </c>
      <c r="AD1387" s="2">
        <v>10</v>
      </c>
      <c r="AE1387" s="2" t="s">
        <v>59</v>
      </c>
      <c r="AF1387" s="2" t="s">
        <v>86</v>
      </c>
      <c r="AG1387" s="2" t="s">
        <v>61</v>
      </c>
      <c r="AH1387" s="2" t="s">
        <v>62</v>
      </c>
      <c r="AI1387" s="2" t="s">
        <v>87</v>
      </c>
      <c r="AJ1387" s="2">
        <v>1.63052768434225</v>
      </c>
      <c r="AK1387" s="2">
        <v>1.64393272308927</v>
      </c>
      <c r="AL1387" s="2">
        <v>0.92996307121532296</v>
      </c>
      <c r="AM1387" s="2">
        <v>0.26725121734341201</v>
      </c>
      <c r="AN1387" s="2">
        <v>4.9448330507736999</v>
      </c>
      <c r="AO1387" s="2">
        <v>0.36375982159352699</v>
      </c>
      <c r="AP1387" s="2">
        <v>0.36375982159352699</v>
      </c>
      <c r="AQ1387" s="2">
        <v>0</v>
      </c>
      <c r="AR1387" s="2">
        <v>0</v>
      </c>
      <c r="AS1387" s="2">
        <v>0</v>
      </c>
      <c r="AT1387" s="2">
        <v>0</v>
      </c>
      <c r="AU1387" s="2">
        <v>1</v>
      </c>
      <c r="AV1387" s="2">
        <v>107</v>
      </c>
      <c r="AW1387" s="2">
        <v>0</v>
      </c>
      <c r="AX1387" s="2">
        <v>0</v>
      </c>
      <c r="AY1387" s="2">
        <v>15.5</v>
      </c>
      <c r="AZ1387" s="2">
        <v>2.4</v>
      </c>
      <c r="BA1387" s="2">
        <v>10.9</v>
      </c>
      <c r="BB1387" s="2">
        <v>564</v>
      </c>
      <c r="BC1387" s="2">
        <v>68</v>
      </c>
      <c r="BD1387" s="2">
        <v>1.5</v>
      </c>
      <c r="BE1387" s="2">
        <v>135</v>
      </c>
      <c r="BF1387" s="2">
        <v>0</v>
      </c>
      <c r="BG1387" s="2">
        <v>162</v>
      </c>
      <c r="BH1387" s="2">
        <v>9.1</v>
      </c>
      <c r="BI1387" s="2">
        <v>9.1999999999999993</v>
      </c>
      <c r="BJ1387" s="2">
        <v>18.3</v>
      </c>
      <c r="BK1387" s="2">
        <v>0.34</v>
      </c>
      <c r="BL1387" s="2">
        <v>7.3</v>
      </c>
      <c r="BM1387" s="2">
        <v>0.9</v>
      </c>
      <c r="BN1387" s="2">
        <v>7.5</v>
      </c>
      <c r="BO1387" s="2">
        <v>2.9</v>
      </c>
      <c r="BP1387" s="2">
        <f t="shared" si="42"/>
        <v>2.140935284944943</v>
      </c>
      <c r="BQ1387" s="2">
        <f t="shared" si="43"/>
        <v>10.31274499160221</v>
      </c>
    </row>
    <row r="1388" spans="1:69" x14ac:dyDescent="0.2">
      <c r="A1388" s="2" t="s">
        <v>3011</v>
      </c>
      <c r="B1388" s="2" t="s">
        <v>47</v>
      </c>
      <c r="C1388" s="2" t="s">
        <v>1935</v>
      </c>
      <c r="D1388" s="2" t="s">
        <v>49</v>
      </c>
      <c r="E1388" s="2" t="s">
        <v>541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89</v>
      </c>
      <c r="L1388" s="6" t="s">
        <v>141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3012</v>
      </c>
      <c r="R1388" s="2">
        <v>8461538.4619999994</v>
      </c>
      <c r="S1388" s="2">
        <v>0</v>
      </c>
      <c r="T1388" s="2" t="s">
        <v>83</v>
      </c>
      <c r="U1388" s="2" t="s">
        <v>84</v>
      </c>
      <c r="V1388" s="2" t="s">
        <v>56</v>
      </c>
      <c r="W1388" s="2" t="s">
        <v>83</v>
      </c>
      <c r="X1388" s="2" t="s">
        <v>85</v>
      </c>
      <c r="Y1388" s="2">
        <v>1.94952286851906</v>
      </c>
      <c r="Z1388" s="2">
        <v>1949.52286851906</v>
      </c>
      <c r="AA1388" s="2">
        <v>4.71035</v>
      </c>
      <c r="AB1388" s="2">
        <v>-74.030416666666696</v>
      </c>
      <c r="AC1388" s="2">
        <v>2570</v>
      </c>
      <c r="AD1388" s="2">
        <v>10</v>
      </c>
      <c r="AE1388" s="2" t="s">
        <v>59</v>
      </c>
      <c r="AF1388" s="2" t="s">
        <v>86</v>
      </c>
      <c r="AG1388" s="2" t="s">
        <v>61</v>
      </c>
      <c r="AH1388" s="2" t="s">
        <v>62</v>
      </c>
      <c r="AI1388" s="2" t="s">
        <v>87</v>
      </c>
      <c r="AJ1388" s="2">
        <v>2.7479228231239898</v>
      </c>
      <c r="AK1388" s="2">
        <v>0.51026647176749795</v>
      </c>
      <c r="AL1388" s="2">
        <v>0.234485381402879</v>
      </c>
      <c r="AM1388" s="2">
        <v>7.6741301944738494E-2</v>
      </c>
      <c r="AN1388" s="2">
        <v>5.4021481819572399</v>
      </c>
      <c r="AO1388" s="2">
        <v>0.51327163188087699</v>
      </c>
      <c r="AP1388" s="2">
        <v>0.51327163188087699</v>
      </c>
      <c r="AQ1388" s="2">
        <v>0</v>
      </c>
      <c r="AR1388" s="2">
        <v>0</v>
      </c>
      <c r="AS1388" s="2">
        <v>0</v>
      </c>
      <c r="AT1388" s="2">
        <v>20</v>
      </c>
      <c r="AU1388" s="2">
        <v>2</v>
      </c>
      <c r="AV1388" s="2">
        <v>109</v>
      </c>
      <c r="AW1388" s="2">
        <v>0</v>
      </c>
      <c r="AX1388" s="2">
        <v>0</v>
      </c>
      <c r="AY1388" s="2">
        <v>15.5</v>
      </c>
      <c r="AZ1388" s="2">
        <v>2.4</v>
      </c>
      <c r="BA1388" s="2">
        <v>10.9</v>
      </c>
      <c r="BB1388" s="2">
        <v>564</v>
      </c>
      <c r="BC1388" s="2">
        <v>68</v>
      </c>
      <c r="BD1388" s="2">
        <v>1.5</v>
      </c>
      <c r="BE1388" s="2">
        <v>135</v>
      </c>
      <c r="BF1388" s="2">
        <v>0</v>
      </c>
      <c r="BG1388" s="2">
        <v>162</v>
      </c>
      <c r="BH1388" s="2">
        <v>9.1</v>
      </c>
      <c r="BI1388" s="2">
        <v>9.1999999999999993</v>
      </c>
      <c r="BJ1388" s="2">
        <v>18.3</v>
      </c>
      <c r="BK1388" s="2">
        <v>0.34</v>
      </c>
      <c r="BL1388" s="2">
        <v>7.3</v>
      </c>
      <c r="BM1388" s="2">
        <v>0.9</v>
      </c>
      <c r="BN1388" s="2">
        <v>7.5</v>
      </c>
      <c r="BO1388" s="2">
        <v>2.9</v>
      </c>
      <c r="BP1388" s="2">
        <f t="shared" si="42"/>
        <v>2.1792207425723542</v>
      </c>
      <c r="BQ1388" s="2">
        <f t="shared" si="43"/>
        <v>10.401751863663236</v>
      </c>
    </row>
    <row r="1389" spans="1:69" x14ac:dyDescent="0.2">
      <c r="A1389" s="2" t="s">
        <v>2524</v>
      </c>
      <c r="B1389" s="2" t="s">
        <v>47</v>
      </c>
      <c r="C1389" s="2" t="s">
        <v>1935</v>
      </c>
      <c r="D1389" s="2" t="s">
        <v>49</v>
      </c>
      <c r="E1389" s="2" t="s">
        <v>1524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89</v>
      </c>
      <c r="L1389" s="6" t="s">
        <v>141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2525</v>
      </c>
      <c r="R1389" s="2">
        <v>8190224.5710000005</v>
      </c>
      <c r="S1389" s="2">
        <v>0</v>
      </c>
      <c r="T1389" s="2" t="s">
        <v>83</v>
      </c>
      <c r="U1389" s="2" t="s">
        <v>84</v>
      </c>
      <c r="V1389" s="2" t="s">
        <v>56</v>
      </c>
      <c r="W1389" s="2" t="s">
        <v>83</v>
      </c>
      <c r="X1389" s="2" t="s">
        <v>85</v>
      </c>
      <c r="Y1389" s="2">
        <v>0.453789659251146</v>
      </c>
      <c r="Z1389" s="2">
        <v>453.78965925114602</v>
      </c>
      <c r="AA1389" s="2">
        <v>4.71035</v>
      </c>
      <c r="AB1389" s="2">
        <v>-74.030416666666696</v>
      </c>
      <c r="AC1389" s="2">
        <v>2570</v>
      </c>
      <c r="AD1389" s="2">
        <v>10</v>
      </c>
      <c r="AE1389" s="2" t="s">
        <v>59</v>
      </c>
      <c r="AF1389" s="2" t="s">
        <v>86</v>
      </c>
      <c r="AG1389" s="2" t="s">
        <v>61</v>
      </c>
      <c r="AH1389" s="2" t="s">
        <v>62</v>
      </c>
      <c r="AI1389" s="2" t="s">
        <v>87</v>
      </c>
      <c r="AJ1389" s="2">
        <v>2.9519741749371802</v>
      </c>
      <c r="AK1389" s="2">
        <v>0.15202734664571799</v>
      </c>
      <c r="AL1389" s="2">
        <v>0.71868777391808403</v>
      </c>
      <c r="AM1389" s="2">
        <v>0.420718937119337</v>
      </c>
      <c r="AN1389" s="2">
        <v>3.5373486185783398</v>
      </c>
      <c r="AO1389" s="2">
        <v>0.45981818850020501</v>
      </c>
      <c r="AP1389" s="2">
        <v>0.45981818850020501</v>
      </c>
      <c r="AQ1389" s="2">
        <v>0</v>
      </c>
      <c r="AR1389" s="2">
        <v>0</v>
      </c>
      <c r="AS1389" s="2">
        <v>12</v>
      </c>
      <c r="AT1389" s="2">
        <v>43</v>
      </c>
      <c r="AU1389" s="2">
        <v>1</v>
      </c>
      <c r="AV1389" s="2">
        <v>83</v>
      </c>
      <c r="AW1389" s="2">
        <v>0</v>
      </c>
      <c r="AX1389" s="2">
        <v>0</v>
      </c>
      <c r="AY1389" s="2">
        <v>15.5</v>
      </c>
      <c r="AZ1389" s="2">
        <v>2.4</v>
      </c>
      <c r="BA1389" s="2">
        <v>10.9</v>
      </c>
      <c r="BB1389" s="2">
        <v>564</v>
      </c>
      <c r="BC1389" s="2">
        <v>68</v>
      </c>
      <c r="BD1389" s="2">
        <v>1.5</v>
      </c>
      <c r="BE1389" s="2">
        <v>135</v>
      </c>
      <c r="BF1389" s="2">
        <v>0</v>
      </c>
      <c r="BG1389" s="2">
        <v>162</v>
      </c>
      <c r="BH1389" s="2">
        <v>9.1</v>
      </c>
      <c r="BI1389" s="2">
        <v>9.1999999999999993</v>
      </c>
      <c r="BJ1389" s="2">
        <v>18.3</v>
      </c>
      <c r="BK1389" s="2">
        <v>0.34</v>
      </c>
      <c r="BL1389" s="2">
        <v>7.3</v>
      </c>
      <c r="BM1389" s="2">
        <v>0.9</v>
      </c>
      <c r="BN1389" s="2">
        <v>7.5</v>
      </c>
      <c r="BO1389" s="2">
        <v>2.9</v>
      </c>
      <c r="BP1389" s="2">
        <f t="shared" si="42"/>
        <v>2.3466907617045849</v>
      </c>
      <c r="BQ1389" s="2">
        <f t="shared" si="43"/>
        <v>10.781932724665792</v>
      </c>
    </row>
    <row r="1390" spans="1:69" x14ac:dyDescent="0.2">
      <c r="A1390" s="2" t="s">
        <v>1642</v>
      </c>
      <c r="B1390" s="2" t="s">
        <v>47</v>
      </c>
      <c r="C1390" s="2" t="s">
        <v>48</v>
      </c>
      <c r="D1390" s="2" t="s">
        <v>49</v>
      </c>
      <c r="E1390" s="2" t="s">
        <v>214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89</v>
      </c>
      <c r="L1390" s="6" t="s">
        <v>141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1643</v>
      </c>
      <c r="R1390" s="2">
        <v>8800000</v>
      </c>
      <c r="S1390" s="2">
        <v>0</v>
      </c>
      <c r="T1390" s="2" t="s">
        <v>83</v>
      </c>
      <c r="U1390" s="2" t="s">
        <v>84</v>
      </c>
      <c r="V1390" s="2" t="s">
        <v>56</v>
      </c>
      <c r="W1390" s="2" t="s">
        <v>83</v>
      </c>
      <c r="X1390" s="2" t="s">
        <v>85</v>
      </c>
      <c r="Y1390" s="2">
        <v>1.35537673481406</v>
      </c>
      <c r="Z1390" s="2">
        <v>1355.37673481406</v>
      </c>
      <c r="AA1390" s="2">
        <v>4.71035</v>
      </c>
      <c r="AB1390" s="2">
        <v>-74.030416666666696</v>
      </c>
      <c r="AC1390" s="2">
        <v>2570</v>
      </c>
      <c r="AD1390" s="2">
        <v>10</v>
      </c>
      <c r="AE1390" s="2" t="s">
        <v>59</v>
      </c>
      <c r="AF1390" s="2" t="s">
        <v>86</v>
      </c>
      <c r="AG1390" s="2" t="s">
        <v>61</v>
      </c>
      <c r="AH1390" s="2" t="s">
        <v>62</v>
      </c>
      <c r="AI1390" s="2" t="s">
        <v>87</v>
      </c>
      <c r="AJ1390" s="2">
        <v>1.3306238892107001</v>
      </c>
      <c r="AK1390" s="2">
        <v>1.9277606398419</v>
      </c>
      <c r="AL1390" s="2">
        <v>1.10841090979541</v>
      </c>
      <c r="AM1390" s="2">
        <v>0.12443888441414799</v>
      </c>
      <c r="AN1390" s="2">
        <v>4.0835140842235704</v>
      </c>
      <c r="AO1390" s="2">
        <v>7.18328413785672E-2</v>
      </c>
      <c r="AP1390" s="2">
        <v>7.18328413785672E-2</v>
      </c>
      <c r="AQ1390" s="2">
        <v>0</v>
      </c>
      <c r="AR1390" s="2">
        <v>0</v>
      </c>
      <c r="AS1390" s="2">
        <v>0</v>
      </c>
      <c r="AT1390" s="2">
        <v>0</v>
      </c>
      <c r="AU1390" s="2">
        <v>0</v>
      </c>
      <c r="AV1390" s="2">
        <v>93</v>
      </c>
      <c r="AW1390" s="2">
        <v>0</v>
      </c>
      <c r="AX1390" s="2">
        <v>0</v>
      </c>
      <c r="AY1390" s="2">
        <v>15.5</v>
      </c>
      <c r="AZ1390" s="2">
        <v>2.4</v>
      </c>
      <c r="BA1390" s="2">
        <v>10.9</v>
      </c>
      <c r="BB1390" s="2">
        <v>564</v>
      </c>
      <c r="BC1390" s="2">
        <v>68</v>
      </c>
      <c r="BD1390" s="2">
        <v>1.5</v>
      </c>
      <c r="BE1390" s="2">
        <v>135</v>
      </c>
      <c r="BF1390" s="2">
        <v>0</v>
      </c>
      <c r="BG1390" s="2">
        <v>162</v>
      </c>
      <c r="BH1390" s="2">
        <v>9.1</v>
      </c>
      <c r="BI1390" s="2">
        <v>9.1999999999999993</v>
      </c>
      <c r="BJ1390" s="2">
        <v>18.3</v>
      </c>
      <c r="BK1390" s="2">
        <v>0.34</v>
      </c>
      <c r="BL1390" s="2">
        <v>7.3</v>
      </c>
      <c r="BM1390" s="2">
        <v>0.9</v>
      </c>
      <c r="BN1390" s="2">
        <v>7.5</v>
      </c>
      <c r="BO1390" s="2">
        <v>2.9</v>
      </c>
      <c r="BP1390" s="2">
        <f t="shared" si="42"/>
        <v>2.2442639128803732</v>
      </c>
      <c r="BQ1390" s="2">
        <f t="shared" si="43"/>
        <v>10.551138276399362</v>
      </c>
    </row>
    <row r="1391" spans="1:69" x14ac:dyDescent="0.2">
      <c r="A1391" s="2" t="s">
        <v>2895</v>
      </c>
      <c r="B1391" s="2" t="s">
        <v>47</v>
      </c>
      <c r="C1391" s="2" t="s">
        <v>1935</v>
      </c>
      <c r="D1391" s="2" t="s">
        <v>49</v>
      </c>
      <c r="E1391" s="2" t="s">
        <v>2199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89</v>
      </c>
      <c r="L1391" s="6" t="s">
        <v>141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2896</v>
      </c>
      <c r="R1391" s="2">
        <v>3758490.1609999998</v>
      </c>
      <c r="S1391" s="2">
        <v>0</v>
      </c>
      <c r="T1391" s="2" t="s">
        <v>83</v>
      </c>
      <c r="U1391" s="2" t="s">
        <v>84</v>
      </c>
      <c r="V1391" s="2" t="s">
        <v>56</v>
      </c>
      <c r="W1391" s="2" t="s">
        <v>83</v>
      </c>
      <c r="X1391" s="2" t="s">
        <v>85</v>
      </c>
      <c r="Y1391" s="2">
        <v>3.6866220468240001</v>
      </c>
      <c r="Z1391" s="2">
        <v>3686.6220468239999</v>
      </c>
      <c r="AA1391" s="2">
        <v>4.71035</v>
      </c>
      <c r="AB1391" s="2">
        <v>-74.030416666666696</v>
      </c>
      <c r="AC1391" s="2">
        <v>2570</v>
      </c>
      <c r="AD1391" s="2">
        <v>10</v>
      </c>
      <c r="AE1391" s="2" t="s">
        <v>59</v>
      </c>
      <c r="AF1391" s="2" t="s">
        <v>86</v>
      </c>
      <c r="AG1391" s="2" t="s">
        <v>61</v>
      </c>
      <c r="AH1391" s="2" t="s">
        <v>62</v>
      </c>
      <c r="AI1391" s="2" t="s">
        <v>100</v>
      </c>
      <c r="AJ1391" s="2">
        <v>0.65181399695584596</v>
      </c>
      <c r="AK1391" s="2">
        <v>3.4850418988901901</v>
      </c>
      <c r="AL1391" s="2">
        <v>0.934791707460354</v>
      </c>
      <c r="AM1391" s="2">
        <v>0.179450834914478</v>
      </c>
      <c r="AN1391" s="2">
        <v>3.5077139040603198</v>
      </c>
      <c r="AO1391" s="2">
        <v>8.6887825938218893E-2</v>
      </c>
      <c r="AP1391" s="2">
        <v>8.6887825938218893E-2</v>
      </c>
      <c r="AQ1391" s="2">
        <v>0</v>
      </c>
      <c r="AR1391" s="2">
        <v>4</v>
      </c>
      <c r="AS1391" s="2">
        <v>0</v>
      </c>
      <c r="AT1391" s="2">
        <v>0</v>
      </c>
      <c r="AU1391" s="2">
        <v>1</v>
      </c>
      <c r="AV1391" s="2">
        <v>92</v>
      </c>
      <c r="AW1391" s="2">
        <v>0</v>
      </c>
      <c r="AX1391" s="2">
        <v>0</v>
      </c>
      <c r="AY1391" s="2">
        <v>15.5</v>
      </c>
      <c r="AZ1391" s="2">
        <v>2.4</v>
      </c>
      <c r="BA1391" s="2">
        <v>10.9</v>
      </c>
      <c r="BB1391" s="2">
        <v>564</v>
      </c>
      <c r="BC1391" s="2">
        <v>68</v>
      </c>
      <c r="BD1391" s="2">
        <v>1.5</v>
      </c>
      <c r="BE1391" s="2">
        <v>135</v>
      </c>
      <c r="BF1391" s="2">
        <v>0</v>
      </c>
      <c r="BG1391" s="2">
        <v>162</v>
      </c>
      <c r="BH1391" s="2">
        <v>9.1</v>
      </c>
      <c r="BI1391" s="2">
        <v>9.1999999999999993</v>
      </c>
      <c r="BJ1391" s="2">
        <v>18.3</v>
      </c>
      <c r="BK1391" s="2">
        <v>0.34</v>
      </c>
      <c r="BL1391" s="2">
        <v>7.3</v>
      </c>
      <c r="BM1391" s="2">
        <v>0.9</v>
      </c>
      <c r="BN1391" s="2">
        <v>7.5</v>
      </c>
      <c r="BO1391" s="2">
        <v>2.9</v>
      </c>
      <c r="BP1391" s="2">
        <f t="shared" si="42"/>
        <v>1.9996675585847188</v>
      </c>
      <c r="BQ1391" s="2">
        <f t="shared" si="43"/>
        <v>9.9770141292373857</v>
      </c>
    </row>
    <row r="1392" spans="1:69" x14ac:dyDescent="0.2">
      <c r="A1392" s="2" t="s">
        <v>887</v>
      </c>
      <c r="B1392" s="2" t="s">
        <v>47</v>
      </c>
      <c r="C1392" s="2" t="s">
        <v>48</v>
      </c>
      <c r="D1392" s="2" t="s">
        <v>49</v>
      </c>
      <c r="E1392" s="2" t="s">
        <v>349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89</v>
      </c>
      <c r="L1392" s="6" t="s">
        <v>103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888</v>
      </c>
      <c r="R1392" s="2">
        <v>5918918.9189999998</v>
      </c>
      <c r="S1392" s="2">
        <v>0</v>
      </c>
      <c r="T1392" s="2" t="s">
        <v>83</v>
      </c>
      <c r="U1392" s="2" t="s">
        <v>84</v>
      </c>
      <c r="V1392" s="2" t="s">
        <v>56</v>
      </c>
      <c r="W1392" s="2" t="s">
        <v>83</v>
      </c>
      <c r="X1392" s="2" t="s">
        <v>85</v>
      </c>
      <c r="Y1392" s="2">
        <v>1.84736121803794</v>
      </c>
      <c r="Z1392" s="2">
        <v>1847.36121803794</v>
      </c>
      <c r="AA1392" s="2">
        <v>4.71035</v>
      </c>
      <c r="AB1392" s="2">
        <v>-74.030416666666696</v>
      </c>
      <c r="AC1392" s="2">
        <v>2570</v>
      </c>
      <c r="AD1392" s="2">
        <v>10</v>
      </c>
      <c r="AE1392" s="2" t="s">
        <v>59</v>
      </c>
      <c r="AF1392" s="2" t="s">
        <v>86</v>
      </c>
      <c r="AG1392" s="2" t="s">
        <v>61</v>
      </c>
      <c r="AH1392" s="2" t="s">
        <v>62</v>
      </c>
      <c r="AI1392" s="2" t="s">
        <v>87</v>
      </c>
      <c r="AJ1392" s="2">
        <v>3.1365101705787399</v>
      </c>
      <c r="AK1392" s="2">
        <v>0.13870276792929001</v>
      </c>
      <c r="AL1392" s="2">
        <v>1.94544147221575</v>
      </c>
      <c r="AM1392" s="2">
        <v>0.40696922580357098</v>
      </c>
      <c r="AN1392" s="2">
        <v>1.9196283738826101</v>
      </c>
      <c r="AO1392" s="2">
        <v>0.758519023597099</v>
      </c>
      <c r="AP1392" s="2">
        <v>0.758519023597099</v>
      </c>
      <c r="AQ1392" s="2">
        <v>0</v>
      </c>
      <c r="AR1392" s="2">
        <v>0</v>
      </c>
      <c r="AS1392" s="2">
        <v>16</v>
      </c>
      <c r="AT1392" s="2">
        <v>40</v>
      </c>
      <c r="AU1392" s="2">
        <v>0</v>
      </c>
      <c r="AV1392" s="2">
        <v>6</v>
      </c>
      <c r="AW1392" s="2">
        <v>0</v>
      </c>
      <c r="AX1392" s="2">
        <v>0</v>
      </c>
      <c r="AY1392" s="2">
        <v>15.5</v>
      </c>
      <c r="AZ1392" s="2">
        <v>2.4</v>
      </c>
      <c r="BA1392" s="2">
        <v>10.9</v>
      </c>
      <c r="BB1392" s="2">
        <v>564</v>
      </c>
      <c r="BC1392" s="2">
        <v>68</v>
      </c>
      <c r="BD1392" s="2">
        <v>1.5</v>
      </c>
      <c r="BE1392" s="2">
        <v>135</v>
      </c>
      <c r="BF1392" s="2">
        <v>0</v>
      </c>
      <c r="BG1392" s="2">
        <v>162</v>
      </c>
      <c r="BH1392" s="2">
        <v>9.1</v>
      </c>
      <c r="BI1392" s="2">
        <v>9.1999999999999993</v>
      </c>
      <c r="BJ1392" s="2">
        <v>18.3</v>
      </c>
      <c r="BK1392" s="2">
        <v>0.34</v>
      </c>
      <c r="BL1392" s="2">
        <v>7.3</v>
      </c>
      <c r="BM1392" s="2">
        <v>0.9</v>
      </c>
      <c r="BN1392" s="2">
        <v>7.5</v>
      </c>
      <c r="BO1392" s="2">
        <v>2.9</v>
      </c>
      <c r="BP1392" s="2">
        <f t="shared" si="42"/>
        <v>2.1902689774960811</v>
      </c>
      <c r="BQ1392" s="2">
        <f t="shared" si="43"/>
        <v>10.427286998728151</v>
      </c>
    </row>
    <row r="1393" spans="1:69" x14ac:dyDescent="0.2">
      <c r="A1393" s="2" t="s">
        <v>538</v>
      </c>
      <c r="B1393" s="2" t="s">
        <v>47</v>
      </c>
      <c r="C1393" s="2" t="s">
        <v>48</v>
      </c>
      <c r="D1393" s="2" t="s">
        <v>49</v>
      </c>
      <c r="E1393" s="2" t="s">
        <v>539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89</v>
      </c>
      <c r="L1393" s="6" t="s">
        <v>103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540</v>
      </c>
      <c r="R1393" s="2">
        <v>6264810.8300000001</v>
      </c>
      <c r="S1393" s="2">
        <v>0</v>
      </c>
      <c r="T1393" s="2" t="s">
        <v>83</v>
      </c>
      <c r="U1393" s="2" t="s">
        <v>84</v>
      </c>
      <c r="V1393" s="2" t="s">
        <v>56</v>
      </c>
      <c r="W1393" s="2" t="s">
        <v>83</v>
      </c>
      <c r="X1393" s="2" t="s">
        <v>85</v>
      </c>
      <c r="Y1393" s="2">
        <v>0.39235796952728103</v>
      </c>
      <c r="Z1393" s="2">
        <v>392.357969527281</v>
      </c>
      <c r="AA1393" s="2">
        <v>4.71035</v>
      </c>
      <c r="AB1393" s="2">
        <v>-74.030416666666696</v>
      </c>
      <c r="AC1393" s="2">
        <v>2570</v>
      </c>
      <c r="AD1393" s="2">
        <v>10</v>
      </c>
      <c r="AE1393" s="2" t="s">
        <v>59</v>
      </c>
      <c r="AF1393" s="2" t="s">
        <v>86</v>
      </c>
      <c r="AG1393" s="2" t="s">
        <v>61</v>
      </c>
      <c r="AH1393" s="2" t="s">
        <v>62</v>
      </c>
      <c r="AI1393" s="2" t="s">
        <v>87</v>
      </c>
      <c r="AJ1393" s="2">
        <v>2.3300749421995302</v>
      </c>
      <c r="AK1393" s="2">
        <v>0.77173511149160601</v>
      </c>
      <c r="AL1393" s="2">
        <v>0.35216852575492802</v>
      </c>
      <c r="AM1393" s="2">
        <v>0.11413378332904001</v>
      </c>
      <c r="AN1393" s="2">
        <v>3.12421532485808</v>
      </c>
      <c r="AO1393" s="2">
        <v>0.36998193743465102</v>
      </c>
      <c r="AP1393" s="2">
        <v>0.36998193743465102</v>
      </c>
      <c r="AQ1393" s="2">
        <v>0</v>
      </c>
      <c r="AR1393" s="2">
        <v>0</v>
      </c>
      <c r="AS1393" s="2">
        <v>0</v>
      </c>
      <c r="AT1393" s="2">
        <v>17</v>
      </c>
      <c r="AU1393" s="2">
        <v>1</v>
      </c>
      <c r="AV1393" s="2">
        <v>79</v>
      </c>
      <c r="AW1393" s="2">
        <v>0</v>
      </c>
      <c r="AX1393" s="2">
        <v>0</v>
      </c>
      <c r="AY1393" s="2">
        <v>15.5</v>
      </c>
      <c r="AZ1393" s="2">
        <v>2.4</v>
      </c>
      <c r="BA1393" s="2">
        <v>10.9</v>
      </c>
      <c r="BB1393" s="2">
        <v>564</v>
      </c>
      <c r="BC1393" s="2">
        <v>68</v>
      </c>
      <c r="BD1393" s="2">
        <v>1.5</v>
      </c>
      <c r="BE1393" s="2">
        <v>135</v>
      </c>
      <c r="BF1393" s="2">
        <v>0</v>
      </c>
      <c r="BG1393" s="2">
        <v>162</v>
      </c>
      <c r="BH1393" s="2">
        <v>9.1</v>
      </c>
      <c r="BI1393" s="2">
        <v>9.1999999999999993</v>
      </c>
      <c r="BJ1393" s="2">
        <v>18.3</v>
      </c>
      <c r="BK1393" s="2">
        <v>0.34</v>
      </c>
      <c r="BL1393" s="2">
        <v>7.3</v>
      </c>
      <c r="BM1393" s="2">
        <v>0.9</v>
      </c>
      <c r="BN1393" s="2">
        <v>7.5</v>
      </c>
      <c r="BO1393" s="2">
        <v>2.9</v>
      </c>
      <c r="BP1393" s="2">
        <f t="shared" si="42"/>
        <v>2.3538376008451034</v>
      </c>
      <c r="BQ1393" s="2">
        <f t="shared" si="43"/>
        <v>10.797840905279459</v>
      </c>
    </row>
    <row r="1394" spans="1:69" x14ac:dyDescent="0.2">
      <c r="A1394" s="2" t="s">
        <v>2134</v>
      </c>
      <c r="B1394" s="2" t="s">
        <v>47</v>
      </c>
      <c r="C1394" s="2" t="s">
        <v>1935</v>
      </c>
      <c r="D1394" s="2" t="s">
        <v>49</v>
      </c>
      <c r="E1394" s="2" t="s">
        <v>1656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89</v>
      </c>
      <c r="L1394" s="6" t="s">
        <v>141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2135</v>
      </c>
      <c r="R1394" s="2">
        <v>8219178.0820000004</v>
      </c>
      <c r="S1394" s="2">
        <v>0</v>
      </c>
      <c r="T1394" s="2" t="s">
        <v>83</v>
      </c>
      <c r="U1394" s="2" t="s">
        <v>84</v>
      </c>
      <c r="V1394" s="2" t="s">
        <v>56</v>
      </c>
      <c r="W1394" s="2" t="s">
        <v>83</v>
      </c>
      <c r="X1394" s="2" t="s">
        <v>85</v>
      </c>
      <c r="Y1394" s="2">
        <v>0.475918424657856</v>
      </c>
      <c r="Z1394" s="2">
        <v>475.91842465785601</v>
      </c>
      <c r="AA1394" s="2">
        <v>4.71035</v>
      </c>
      <c r="AB1394" s="2">
        <v>-74.030416666666696</v>
      </c>
      <c r="AC1394" s="2">
        <v>2570</v>
      </c>
      <c r="AD1394" s="2">
        <v>10</v>
      </c>
      <c r="AE1394" s="2" t="s">
        <v>59</v>
      </c>
      <c r="AF1394" s="2" t="s">
        <v>86</v>
      </c>
      <c r="AG1394" s="2" t="s">
        <v>61</v>
      </c>
      <c r="AH1394" s="2" t="s">
        <v>62</v>
      </c>
      <c r="AI1394" s="2" t="s">
        <v>87</v>
      </c>
      <c r="AJ1394" s="2">
        <v>2.9722821155758101</v>
      </c>
      <c r="AK1394" s="2">
        <v>0.139002227816199</v>
      </c>
      <c r="AL1394" s="2">
        <v>0.74053545996980696</v>
      </c>
      <c r="AM1394" s="2">
        <v>0.43113931334412597</v>
      </c>
      <c r="AN1394" s="2">
        <v>3.4892630817999</v>
      </c>
      <c r="AO1394" s="2">
        <v>0.51042977128700096</v>
      </c>
      <c r="AP1394" s="2">
        <v>0.51042977128700096</v>
      </c>
      <c r="AQ1394" s="2">
        <v>0</v>
      </c>
      <c r="AR1394" s="2">
        <v>0</v>
      </c>
      <c r="AS1394" s="2">
        <v>13</v>
      </c>
      <c r="AT1394" s="2">
        <v>46</v>
      </c>
      <c r="AU1394" s="2">
        <v>1</v>
      </c>
      <c r="AV1394" s="2">
        <v>82</v>
      </c>
      <c r="AW1394" s="2">
        <v>0</v>
      </c>
      <c r="AX1394" s="2">
        <v>0</v>
      </c>
      <c r="AY1394" s="2">
        <v>15.5</v>
      </c>
      <c r="AZ1394" s="2">
        <v>2.4</v>
      </c>
      <c r="BA1394" s="2">
        <v>10.9</v>
      </c>
      <c r="BB1394" s="2">
        <v>564</v>
      </c>
      <c r="BC1394" s="2">
        <v>68</v>
      </c>
      <c r="BD1394" s="2">
        <v>1.5</v>
      </c>
      <c r="BE1394" s="2">
        <v>135</v>
      </c>
      <c r="BF1394" s="2">
        <v>0</v>
      </c>
      <c r="BG1394" s="2">
        <v>162</v>
      </c>
      <c r="BH1394" s="2">
        <v>9.1</v>
      </c>
      <c r="BI1394" s="2">
        <v>9.1999999999999993</v>
      </c>
      <c r="BJ1394" s="2">
        <v>18.3</v>
      </c>
      <c r="BK1394" s="2">
        <v>0.34</v>
      </c>
      <c r="BL1394" s="2">
        <v>7.3</v>
      </c>
      <c r="BM1394" s="2">
        <v>0.9</v>
      </c>
      <c r="BN1394" s="2">
        <v>7.5</v>
      </c>
      <c r="BO1394" s="2">
        <v>2.9</v>
      </c>
      <c r="BP1394" s="2">
        <f t="shared" si="42"/>
        <v>2.3441216652393337</v>
      </c>
      <c r="BQ1394" s="2">
        <f t="shared" si="43"/>
        <v>10.776208064318856</v>
      </c>
    </row>
    <row r="1395" spans="1:69" x14ac:dyDescent="0.2">
      <c r="A1395" s="2" t="s">
        <v>2716</v>
      </c>
      <c r="B1395" s="2" t="s">
        <v>47</v>
      </c>
      <c r="C1395" s="2" t="s">
        <v>1935</v>
      </c>
      <c r="D1395" s="2" t="s">
        <v>49</v>
      </c>
      <c r="E1395" s="2" t="s">
        <v>2199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89</v>
      </c>
      <c r="L1395" s="6" t="s">
        <v>141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2717</v>
      </c>
      <c r="R1395" s="2">
        <v>4371229.7110000001</v>
      </c>
      <c r="S1395" s="2">
        <v>0</v>
      </c>
      <c r="T1395" s="2" t="s">
        <v>83</v>
      </c>
      <c r="U1395" s="2" t="s">
        <v>84</v>
      </c>
      <c r="V1395" s="2" t="s">
        <v>56</v>
      </c>
      <c r="W1395" s="2" t="s">
        <v>83</v>
      </c>
      <c r="X1395" s="2" t="s">
        <v>85</v>
      </c>
      <c r="Y1395" s="2">
        <v>3.70902307321925</v>
      </c>
      <c r="Z1395" s="2">
        <v>3709.0230732192499</v>
      </c>
      <c r="AA1395" s="2">
        <v>4.71035</v>
      </c>
      <c r="AB1395" s="2">
        <v>-74.030416666666696</v>
      </c>
      <c r="AC1395" s="2">
        <v>2570</v>
      </c>
      <c r="AD1395" s="2">
        <v>10</v>
      </c>
      <c r="AE1395" s="2" t="s">
        <v>59</v>
      </c>
      <c r="AF1395" s="2" t="s">
        <v>86</v>
      </c>
      <c r="AG1395" s="2" t="s">
        <v>61</v>
      </c>
      <c r="AH1395" s="2" t="s">
        <v>62</v>
      </c>
      <c r="AI1395" s="2" t="s">
        <v>100</v>
      </c>
      <c r="AJ1395" s="2">
        <v>0.84321301255413506</v>
      </c>
      <c r="AK1395" s="2">
        <v>3.9365036561198798</v>
      </c>
      <c r="AL1395" s="2">
        <v>0.89331357687416602</v>
      </c>
      <c r="AM1395" s="2">
        <v>0.43929340028331398</v>
      </c>
      <c r="AN1395" s="2">
        <v>3.7800047144632898</v>
      </c>
      <c r="AO1395" s="2">
        <v>0.18560547652840101</v>
      </c>
      <c r="AP1395" s="2">
        <v>0.18560547652840101</v>
      </c>
      <c r="AQ1395" s="2">
        <v>0</v>
      </c>
      <c r="AR1395" s="2">
        <v>3</v>
      </c>
      <c r="AS1395" s="2">
        <v>0</v>
      </c>
      <c r="AT1395" s="2">
        <v>0</v>
      </c>
      <c r="AU1395" s="2">
        <v>1</v>
      </c>
      <c r="AV1395" s="2">
        <v>37</v>
      </c>
      <c r="AW1395" s="2">
        <v>0</v>
      </c>
      <c r="AX1395" s="2">
        <v>0</v>
      </c>
      <c r="AY1395" s="2">
        <v>15.5</v>
      </c>
      <c r="AZ1395" s="2">
        <v>2.4</v>
      </c>
      <c r="BA1395" s="2">
        <v>10.9</v>
      </c>
      <c r="BB1395" s="2">
        <v>564</v>
      </c>
      <c r="BC1395" s="2">
        <v>68</v>
      </c>
      <c r="BD1395" s="2">
        <v>1.5</v>
      </c>
      <c r="BE1395" s="2">
        <v>135</v>
      </c>
      <c r="BF1395" s="2">
        <v>0</v>
      </c>
      <c r="BG1395" s="2">
        <v>162</v>
      </c>
      <c r="BH1395" s="2">
        <v>9.1</v>
      </c>
      <c r="BI1395" s="2">
        <v>9.1999999999999993</v>
      </c>
      <c r="BJ1395" s="2">
        <v>18.3</v>
      </c>
      <c r="BK1395" s="2">
        <v>0.34</v>
      </c>
      <c r="BL1395" s="2">
        <v>7.3</v>
      </c>
      <c r="BM1395" s="2">
        <v>0.9</v>
      </c>
      <c r="BN1395" s="2">
        <v>7.5</v>
      </c>
      <c r="BO1395" s="2">
        <v>2.9</v>
      </c>
      <c r="BP1395" s="2">
        <f t="shared" si="42"/>
        <v>1.997451454490994</v>
      </c>
      <c r="BQ1395" s="2">
        <f t="shared" si="43"/>
        <v>9.9716516822938193</v>
      </c>
    </row>
    <row r="1396" spans="1:69" x14ac:dyDescent="0.2">
      <c r="A1396" s="2" t="s">
        <v>2758</v>
      </c>
      <c r="B1396" s="2" t="s">
        <v>47</v>
      </c>
      <c r="C1396" s="2" t="s">
        <v>1935</v>
      </c>
      <c r="D1396" s="2" t="s">
        <v>49</v>
      </c>
      <c r="E1396" s="2" t="s">
        <v>1163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89</v>
      </c>
      <c r="L1396" s="6" t="s">
        <v>103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2759</v>
      </c>
      <c r="R1396" s="2">
        <v>5000000</v>
      </c>
      <c r="S1396" s="2">
        <v>0</v>
      </c>
      <c r="T1396" s="2" t="s">
        <v>83</v>
      </c>
      <c r="U1396" s="2" t="s">
        <v>84</v>
      </c>
      <c r="V1396" s="2" t="s">
        <v>56</v>
      </c>
      <c r="W1396" s="2" t="s">
        <v>83</v>
      </c>
      <c r="X1396" s="2" t="s">
        <v>85</v>
      </c>
      <c r="Y1396" s="2">
        <v>1.7279906012375199</v>
      </c>
      <c r="Z1396" s="2">
        <v>1727.99060123752</v>
      </c>
      <c r="AA1396" s="2">
        <v>4.71035</v>
      </c>
      <c r="AB1396" s="2">
        <v>-74.030416666666696</v>
      </c>
      <c r="AC1396" s="2">
        <v>2570</v>
      </c>
      <c r="AD1396" s="2">
        <v>10</v>
      </c>
      <c r="AE1396" s="2" t="s">
        <v>59</v>
      </c>
      <c r="AF1396" s="2" t="s">
        <v>86</v>
      </c>
      <c r="AG1396" s="2" t="s">
        <v>61</v>
      </c>
      <c r="AH1396" s="2" t="s">
        <v>62</v>
      </c>
      <c r="AI1396" s="2" t="s">
        <v>87</v>
      </c>
      <c r="AJ1396" s="2">
        <v>3.0656007304394302</v>
      </c>
      <c r="AK1396" s="2">
        <v>0.204706350117006</v>
      </c>
      <c r="AL1396" s="2">
        <v>1.8226984255713199</v>
      </c>
      <c r="AM1396" s="2">
        <v>0.41458475451016302</v>
      </c>
      <c r="AN1396" s="2">
        <v>1.98175049896203</v>
      </c>
      <c r="AO1396" s="2">
        <v>0.634197398489455</v>
      </c>
      <c r="AP1396" s="2">
        <v>0.634197398489455</v>
      </c>
      <c r="AQ1396" s="2">
        <v>0</v>
      </c>
      <c r="AR1396" s="2">
        <v>0</v>
      </c>
      <c r="AS1396" s="2">
        <v>18</v>
      </c>
      <c r="AT1396" s="2">
        <v>44</v>
      </c>
      <c r="AU1396" s="2">
        <v>0</v>
      </c>
      <c r="AV1396" s="2">
        <v>5</v>
      </c>
      <c r="AW1396" s="2">
        <v>0</v>
      </c>
      <c r="AX1396" s="2">
        <v>0</v>
      </c>
      <c r="AY1396" s="2">
        <v>15.5</v>
      </c>
      <c r="AZ1396" s="2">
        <v>2.4</v>
      </c>
      <c r="BA1396" s="2">
        <v>10.9</v>
      </c>
      <c r="BB1396" s="2">
        <v>564</v>
      </c>
      <c r="BC1396" s="2">
        <v>68</v>
      </c>
      <c r="BD1396" s="2">
        <v>1.5</v>
      </c>
      <c r="BE1396" s="2">
        <v>135</v>
      </c>
      <c r="BF1396" s="2">
        <v>0</v>
      </c>
      <c r="BG1396" s="2">
        <v>162</v>
      </c>
      <c r="BH1396" s="2">
        <v>9.1</v>
      </c>
      <c r="BI1396" s="2">
        <v>9.1999999999999993</v>
      </c>
      <c r="BJ1396" s="2">
        <v>18.3</v>
      </c>
      <c r="BK1396" s="2">
        <v>0.34</v>
      </c>
      <c r="BL1396" s="2">
        <v>7.3</v>
      </c>
      <c r="BM1396" s="2">
        <v>0.9</v>
      </c>
      <c r="BN1396" s="2">
        <v>7.5</v>
      </c>
      <c r="BO1396" s="2">
        <v>2.9</v>
      </c>
      <c r="BP1396" s="2">
        <f t="shared" si="42"/>
        <v>2.2032492500028331</v>
      </c>
      <c r="BQ1396" s="2">
        <f t="shared" si="43"/>
        <v>10.457202911572468</v>
      </c>
    </row>
    <row r="1397" spans="1:69" x14ac:dyDescent="0.2">
      <c r="A1397" s="2" t="s">
        <v>2891</v>
      </c>
      <c r="B1397" s="2" t="s">
        <v>47</v>
      </c>
      <c r="C1397" s="2" t="s">
        <v>1935</v>
      </c>
      <c r="D1397" s="2" t="s">
        <v>49</v>
      </c>
      <c r="E1397" s="2" t="s">
        <v>1656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89</v>
      </c>
      <c r="L1397" s="6" t="s">
        <v>141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2892</v>
      </c>
      <c r="R1397" s="2">
        <v>5972222.2220000001</v>
      </c>
      <c r="S1397" s="2">
        <v>0</v>
      </c>
      <c r="T1397" s="2" t="s">
        <v>83</v>
      </c>
      <c r="U1397" s="2" t="s">
        <v>84</v>
      </c>
      <c r="V1397" s="2" t="s">
        <v>56</v>
      </c>
      <c r="W1397" s="2" t="s">
        <v>83</v>
      </c>
      <c r="X1397" s="2" t="s">
        <v>85</v>
      </c>
      <c r="Y1397" s="2">
        <v>0.431951173445834</v>
      </c>
      <c r="Z1397" s="2">
        <v>431.951173445834</v>
      </c>
      <c r="AA1397" s="2">
        <v>4.71035</v>
      </c>
      <c r="AB1397" s="2">
        <v>-74.030416666666696</v>
      </c>
      <c r="AC1397" s="2">
        <v>2570</v>
      </c>
      <c r="AD1397" s="2">
        <v>10</v>
      </c>
      <c r="AE1397" s="2" t="s">
        <v>59</v>
      </c>
      <c r="AF1397" s="2" t="s">
        <v>86</v>
      </c>
      <c r="AG1397" s="2" t="s">
        <v>61</v>
      </c>
      <c r="AH1397" s="2" t="s">
        <v>62</v>
      </c>
      <c r="AI1397" s="2" t="s">
        <v>87</v>
      </c>
      <c r="AJ1397" s="2">
        <v>2.8898799935576802</v>
      </c>
      <c r="AK1397" s="2">
        <v>0.24739248206677</v>
      </c>
      <c r="AL1397" s="2">
        <v>0.68055624204423304</v>
      </c>
      <c r="AM1397" s="2">
        <v>0.35479457679882698</v>
      </c>
      <c r="AN1397" s="2">
        <v>3.3260974883791801</v>
      </c>
      <c r="AO1397" s="2">
        <v>0.60297364134613796</v>
      </c>
      <c r="AP1397" s="2">
        <v>0.60297364134613796</v>
      </c>
      <c r="AQ1397" s="2">
        <v>0</v>
      </c>
      <c r="AR1397" s="2">
        <v>0</v>
      </c>
      <c r="AS1397" s="2">
        <v>16</v>
      </c>
      <c r="AT1397" s="2">
        <v>45</v>
      </c>
      <c r="AU1397" s="2">
        <v>1</v>
      </c>
      <c r="AV1397" s="2">
        <v>82</v>
      </c>
      <c r="AW1397" s="2">
        <v>0</v>
      </c>
      <c r="AX1397" s="2">
        <v>0</v>
      </c>
      <c r="AY1397" s="2">
        <v>15.5</v>
      </c>
      <c r="AZ1397" s="2">
        <v>2.4</v>
      </c>
      <c r="BA1397" s="2">
        <v>10.9</v>
      </c>
      <c r="BB1397" s="2">
        <v>564</v>
      </c>
      <c r="BC1397" s="2">
        <v>68</v>
      </c>
      <c r="BD1397" s="2">
        <v>1.5</v>
      </c>
      <c r="BE1397" s="2">
        <v>135</v>
      </c>
      <c r="BF1397" s="2">
        <v>0</v>
      </c>
      <c r="BG1397" s="2">
        <v>162</v>
      </c>
      <c r="BH1397" s="2">
        <v>9.1</v>
      </c>
      <c r="BI1397" s="2">
        <v>9.1999999999999993</v>
      </c>
      <c r="BJ1397" s="2">
        <v>18.3</v>
      </c>
      <c r="BK1397" s="2">
        <v>0.34</v>
      </c>
      <c r="BL1397" s="2">
        <v>7.3</v>
      </c>
      <c r="BM1397" s="2">
        <v>0.9</v>
      </c>
      <c r="BN1397" s="2">
        <v>7.5</v>
      </c>
      <c r="BO1397" s="2">
        <v>2.9</v>
      </c>
      <c r="BP1397" s="2">
        <f t="shared" si="42"/>
        <v>2.3492289178952457</v>
      </c>
      <c r="BQ1397" s="2">
        <f t="shared" si="43"/>
        <v>10.787585271887535</v>
      </c>
    </row>
    <row r="1398" spans="1:69" x14ac:dyDescent="0.2">
      <c r="A1398" s="2" t="s">
        <v>2567</v>
      </c>
      <c r="B1398" s="2" t="s">
        <v>47</v>
      </c>
      <c r="C1398" s="2" t="s">
        <v>1935</v>
      </c>
      <c r="D1398" s="2" t="s">
        <v>49</v>
      </c>
      <c r="E1398" s="2" t="s">
        <v>1121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89</v>
      </c>
      <c r="L1398" s="6" t="s">
        <v>141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2568</v>
      </c>
      <c r="R1398" s="2">
        <v>5446927.3739999998</v>
      </c>
      <c r="S1398" s="2">
        <v>0</v>
      </c>
      <c r="T1398" s="2" t="s">
        <v>83</v>
      </c>
      <c r="U1398" s="2" t="s">
        <v>84</v>
      </c>
      <c r="V1398" s="2" t="s">
        <v>56</v>
      </c>
      <c r="W1398" s="2" t="s">
        <v>83</v>
      </c>
      <c r="X1398" s="2" t="s">
        <v>85</v>
      </c>
      <c r="Y1398" s="2">
        <v>2.80502522799561</v>
      </c>
      <c r="Z1398" s="2">
        <v>2805.0252279956098</v>
      </c>
      <c r="AA1398" s="2">
        <v>4.71035</v>
      </c>
      <c r="AB1398" s="2">
        <v>-74.030416666666696</v>
      </c>
      <c r="AC1398" s="2">
        <v>2570</v>
      </c>
      <c r="AD1398" s="2">
        <v>10</v>
      </c>
      <c r="AE1398" s="2" t="s">
        <v>59</v>
      </c>
      <c r="AF1398" s="2" t="s">
        <v>86</v>
      </c>
      <c r="AG1398" s="2" t="s">
        <v>61</v>
      </c>
      <c r="AH1398" s="2" t="s">
        <v>62</v>
      </c>
      <c r="AI1398" s="2" t="s">
        <v>100</v>
      </c>
      <c r="AJ1398" s="2">
        <v>0.109205749089758</v>
      </c>
      <c r="AK1398" s="2">
        <v>3.29184028412203</v>
      </c>
      <c r="AL1398" s="2">
        <v>1.4230071149390899</v>
      </c>
      <c r="AM1398" s="2">
        <v>4.5443514017731799E-2</v>
      </c>
      <c r="AN1398" s="2">
        <v>4.5483745738141002</v>
      </c>
      <c r="AO1398" s="2">
        <v>0.22155961695382001</v>
      </c>
      <c r="AP1398" s="2">
        <v>0.22155961695382001</v>
      </c>
      <c r="AQ1398" s="2">
        <v>1</v>
      </c>
      <c r="AR1398" s="2">
        <v>2</v>
      </c>
      <c r="AS1398" s="2">
        <v>0</v>
      </c>
      <c r="AT1398" s="2">
        <v>0</v>
      </c>
      <c r="AU1398" s="2">
        <v>0</v>
      </c>
      <c r="AV1398" s="2">
        <v>127</v>
      </c>
      <c r="AW1398" s="2">
        <v>0</v>
      </c>
      <c r="AX1398" s="2">
        <v>0</v>
      </c>
      <c r="AY1398" s="2">
        <v>15.5</v>
      </c>
      <c r="AZ1398" s="2">
        <v>2.4</v>
      </c>
      <c r="BA1398" s="2">
        <v>10.9</v>
      </c>
      <c r="BB1398" s="2">
        <v>564</v>
      </c>
      <c r="BC1398" s="2">
        <v>68</v>
      </c>
      <c r="BD1398" s="2">
        <v>1.5</v>
      </c>
      <c r="BE1398" s="2">
        <v>135</v>
      </c>
      <c r="BF1398" s="2">
        <v>0</v>
      </c>
      <c r="BG1398" s="2">
        <v>162</v>
      </c>
      <c r="BH1398" s="2">
        <v>9.1</v>
      </c>
      <c r="BI1398" s="2">
        <v>9.1999999999999993</v>
      </c>
      <c r="BJ1398" s="2">
        <v>18.3</v>
      </c>
      <c r="BK1398" s="2">
        <v>0.34</v>
      </c>
      <c r="BL1398" s="2">
        <v>7.3</v>
      </c>
      <c r="BM1398" s="2">
        <v>0.9</v>
      </c>
      <c r="BN1398" s="2">
        <v>7.5</v>
      </c>
      <c r="BO1398" s="2">
        <v>2.9</v>
      </c>
      <c r="BP1398" s="2">
        <f t="shared" si="42"/>
        <v>2.0888631875010635</v>
      </c>
      <c r="BQ1398" s="2">
        <f t="shared" si="43"/>
        <v>10.190360085588178</v>
      </c>
    </row>
    <row r="1399" spans="1:69" x14ac:dyDescent="0.2">
      <c r="A1399" s="2" t="s">
        <v>248</v>
      </c>
      <c r="B1399" s="2" t="s">
        <v>47</v>
      </c>
      <c r="C1399" s="2" t="s">
        <v>48</v>
      </c>
      <c r="D1399" s="2" t="s">
        <v>49</v>
      </c>
      <c r="E1399" s="2" t="s">
        <v>249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89</v>
      </c>
      <c r="L1399" s="6" t="s">
        <v>141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250</v>
      </c>
      <c r="R1399" s="2">
        <v>10423728.810000001</v>
      </c>
      <c r="S1399" s="2">
        <v>0</v>
      </c>
      <c r="T1399" s="2" t="s">
        <v>83</v>
      </c>
      <c r="U1399" s="2" t="s">
        <v>84</v>
      </c>
      <c r="V1399" s="2" t="s">
        <v>56</v>
      </c>
      <c r="W1399" s="2" t="s">
        <v>83</v>
      </c>
      <c r="X1399" s="2" t="s">
        <v>85</v>
      </c>
      <c r="Y1399" s="2">
        <v>2.09396682281962</v>
      </c>
      <c r="Z1399" s="2">
        <v>2093.9668228196201</v>
      </c>
      <c r="AA1399" s="2">
        <v>4.71035</v>
      </c>
      <c r="AB1399" s="2">
        <v>-74.030416666666696</v>
      </c>
      <c r="AC1399" s="2">
        <v>2570</v>
      </c>
      <c r="AD1399" s="2">
        <v>10</v>
      </c>
      <c r="AE1399" s="2" t="s">
        <v>59</v>
      </c>
      <c r="AF1399" s="2" t="s">
        <v>86</v>
      </c>
      <c r="AG1399" s="2" t="s">
        <v>61</v>
      </c>
      <c r="AH1399" s="2" t="s">
        <v>62</v>
      </c>
      <c r="AI1399" s="2" t="s">
        <v>87</v>
      </c>
      <c r="AJ1399" s="2">
        <v>3.08389656397505</v>
      </c>
      <c r="AK1399" s="2">
        <v>0.17251351816677099</v>
      </c>
      <c r="AL1399" s="2">
        <v>0.34839425484366998</v>
      </c>
      <c r="AM1399" s="2">
        <v>0.38030952448176703</v>
      </c>
      <c r="AN1399" s="2">
        <v>5.5141627876281003</v>
      </c>
      <c r="AO1399" s="2">
        <v>0.815692329272798</v>
      </c>
      <c r="AP1399" s="2">
        <v>0.815692329272798</v>
      </c>
      <c r="AQ1399" s="2">
        <v>0</v>
      </c>
      <c r="AR1399" s="2">
        <v>0</v>
      </c>
      <c r="AS1399" s="2">
        <v>3</v>
      </c>
      <c r="AT1399" s="2">
        <v>31</v>
      </c>
      <c r="AU1399" s="2">
        <v>1</v>
      </c>
      <c r="AV1399" s="2">
        <v>97</v>
      </c>
      <c r="AW1399" s="2">
        <v>0</v>
      </c>
      <c r="AX1399" s="2">
        <v>0</v>
      </c>
      <c r="AY1399" s="2">
        <v>15.5</v>
      </c>
      <c r="AZ1399" s="2">
        <v>2.4</v>
      </c>
      <c r="BA1399" s="2">
        <v>10.9</v>
      </c>
      <c r="BB1399" s="2">
        <v>564</v>
      </c>
      <c r="BC1399" s="2">
        <v>68</v>
      </c>
      <c r="BD1399" s="2">
        <v>1.5</v>
      </c>
      <c r="BE1399" s="2">
        <v>135</v>
      </c>
      <c r="BF1399" s="2">
        <v>0</v>
      </c>
      <c r="BG1399" s="2">
        <v>162</v>
      </c>
      <c r="BH1399" s="2">
        <v>9.1</v>
      </c>
      <c r="BI1399" s="2">
        <v>9.1999999999999993</v>
      </c>
      <c r="BJ1399" s="2">
        <v>18.3</v>
      </c>
      <c r="BK1399" s="2">
        <v>0.34</v>
      </c>
      <c r="BL1399" s="2">
        <v>7.3</v>
      </c>
      <c r="BM1399" s="2">
        <v>0.9</v>
      </c>
      <c r="BN1399" s="2">
        <v>7.5</v>
      </c>
      <c r="BO1399" s="2">
        <v>2.9</v>
      </c>
      <c r="BP1399" s="2">
        <f t="shared" si="42"/>
        <v>2.163694937841707</v>
      </c>
      <c r="BQ1399" s="2">
        <f t="shared" si="43"/>
        <v>10.365755009947705</v>
      </c>
    </row>
    <row r="1400" spans="1:69" x14ac:dyDescent="0.2">
      <c r="A1400" s="2" t="s">
        <v>2198</v>
      </c>
      <c r="B1400" s="2" t="s">
        <v>47</v>
      </c>
      <c r="C1400" s="2" t="s">
        <v>1935</v>
      </c>
      <c r="D1400" s="2" t="s">
        <v>49</v>
      </c>
      <c r="E1400" s="2" t="s">
        <v>2199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89</v>
      </c>
      <c r="L1400" s="6" t="s">
        <v>141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2200</v>
      </c>
      <c r="R1400" s="2">
        <v>4514285.7139999997</v>
      </c>
      <c r="S1400" s="2">
        <v>0</v>
      </c>
      <c r="T1400" s="2" t="s">
        <v>83</v>
      </c>
      <c r="U1400" s="2" t="s">
        <v>84</v>
      </c>
      <c r="V1400" s="2" t="s">
        <v>56</v>
      </c>
      <c r="W1400" s="2" t="s">
        <v>83</v>
      </c>
      <c r="X1400" s="2" t="s">
        <v>85</v>
      </c>
      <c r="Y1400" s="2">
        <v>3.66120727613235</v>
      </c>
      <c r="Z1400" s="2">
        <v>3661.2072761323502</v>
      </c>
      <c r="AA1400" s="2">
        <v>4.71035</v>
      </c>
      <c r="AB1400" s="2">
        <v>-74.030416666666696</v>
      </c>
      <c r="AC1400" s="2">
        <v>2570</v>
      </c>
      <c r="AD1400" s="2">
        <v>10</v>
      </c>
      <c r="AE1400" s="2" t="s">
        <v>59</v>
      </c>
      <c r="AF1400" s="2" t="s">
        <v>86</v>
      </c>
      <c r="AG1400" s="2" t="s">
        <v>61</v>
      </c>
      <c r="AH1400" s="2" t="s">
        <v>62</v>
      </c>
      <c r="AI1400" s="2" t="s">
        <v>100</v>
      </c>
      <c r="AJ1400" s="2">
        <v>0.91407170454232101</v>
      </c>
      <c r="AK1400" s="2">
        <v>4.0016751889873499</v>
      </c>
      <c r="AL1400" s="2">
        <v>0.97916087326158796</v>
      </c>
      <c r="AM1400" s="2">
        <v>0.45694486408866197</v>
      </c>
      <c r="AN1400" s="2">
        <v>3.8907313475849401</v>
      </c>
      <c r="AO1400" s="2">
        <v>0.118472689652751</v>
      </c>
      <c r="AP1400" s="2">
        <v>0.118472689652751</v>
      </c>
      <c r="AQ1400" s="2">
        <v>0</v>
      </c>
      <c r="AR1400" s="2">
        <v>3</v>
      </c>
      <c r="AS1400" s="2">
        <v>0</v>
      </c>
      <c r="AT1400" s="2">
        <v>0</v>
      </c>
      <c r="AU1400" s="2">
        <v>1</v>
      </c>
      <c r="AV1400" s="2">
        <v>34</v>
      </c>
      <c r="AW1400" s="2">
        <v>0</v>
      </c>
      <c r="AX1400" s="2">
        <v>0</v>
      </c>
      <c r="AY1400" s="2">
        <v>15.5</v>
      </c>
      <c r="AZ1400" s="2">
        <v>2.4</v>
      </c>
      <c r="BA1400" s="2">
        <v>10.9</v>
      </c>
      <c r="BB1400" s="2">
        <v>564</v>
      </c>
      <c r="BC1400" s="2">
        <v>68</v>
      </c>
      <c r="BD1400" s="2">
        <v>1.5</v>
      </c>
      <c r="BE1400" s="2">
        <v>135</v>
      </c>
      <c r="BF1400" s="2">
        <v>0</v>
      </c>
      <c r="BG1400" s="2">
        <v>162</v>
      </c>
      <c r="BH1400" s="2">
        <v>9.1</v>
      </c>
      <c r="BI1400" s="2">
        <v>9.1999999999999993</v>
      </c>
      <c r="BJ1400" s="2">
        <v>18.3</v>
      </c>
      <c r="BK1400" s="2">
        <v>0.34</v>
      </c>
      <c r="BL1400" s="2">
        <v>7.3</v>
      </c>
      <c r="BM1400" s="2">
        <v>0.9</v>
      </c>
      <c r="BN1400" s="2">
        <v>7.5</v>
      </c>
      <c r="BO1400" s="2">
        <v>2.9</v>
      </c>
      <c r="BP1400" s="2">
        <f t="shared" si="42"/>
        <v>2.0021847857046104</v>
      </c>
      <c r="BQ1400" s="2">
        <f t="shared" si="43"/>
        <v>9.9831015101921121</v>
      </c>
    </row>
    <row r="1401" spans="1:69" x14ac:dyDescent="0.2">
      <c r="A1401" s="2" t="s">
        <v>2424</v>
      </c>
      <c r="B1401" s="2" t="s">
        <v>47</v>
      </c>
      <c r="C1401" s="2" t="s">
        <v>1935</v>
      </c>
      <c r="D1401" s="2" t="s">
        <v>49</v>
      </c>
      <c r="E1401" s="2" t="s">
        <v>323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89</v>
      </c>
      <c r="L1401" s="6" t="s">
        <v>141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2425</v>
      </c>
      <c r="R1401" s="2">
        <v>5428571.4289999995</v>
      </c>
      <c r="S1401" s="2">
        <v>0</v>
      </c>
      <c r="T1401" s="2" t="s">
        <v>83</v>
      </c>
      <c r="U1401" s="2" t="s">
        <v>84</v>
      </c>
      <c r="V1401" s="2" t="s">
        <v>56</v>
      </c>
      <c r="W1401" s="2" t="s">
        <v>83</v>
      </c>
      <c r="X1401" s="2" t="s">
        <v>85</v>
      </c>
      <c r="Y1401" s="2">
        <v>3.3411877637136702</v>
      </c>
      <c r="Z1401" s="2">
        <v>3341.1877637136699</v>
      </c>
      <c r="AA1401" s="2">
        <v>4.71035</v>
      </c>
      <c r="AB1401" s="2">
        <v>-74.030416666666696</v>
      </c>
      <c r="AC1401" s="2">
        <v>2570</v>
      </c>
      <c r="AD1401" s="2">
        <v>10</v>
      </c>
      <c r="AE1401" s="2" t="s">
        <v>59</v>
      </c>
      <c r="AF1401" s="2" t="s">
        <v>86</v>
      </c>
      <c r="AG1401" s="2" t="s">
        <v>61</v>
      </c>
      <c r="AH1401" s="2" t="s">
        <v>62</v>
      </c>
      <c r="AI1401" s="2" t="s">
        <v>100</v>
      </c>
      <c r="AJ1401" s="2">
        <v>0.32839692276740001</v>
      </c>
      <c r="AK1401" s="2">
        <v>3.3023639027527398</v>
      </c>
      <c r="AL1401" s="2">
        <v>1.1060595891073499</v>
      </c>
      <c r="AM1401" s="2">
        <v>3.4958729130208401E-2</v>
      </c>
      <c r="AN1401" s="2">
        <v>3.8065966178419299</v>
      </c>
      <c r="AO1401" s="2">
        <v>0.16017537931545001</v>
      </c>
      <c r="AP1401" s="2">
        <v>0.16017537931545001</v>
      </c>
      <c r="AQ1401" s="2">
        <v>1</v>
      </c>
      <c r="AR1401" s="2">
        <v>3</v>
      </c>
      <c r="AS1401" s="2">
        <v>0</v>
      </c>
      <c r="AT1401" s="2">
        <v>0</v>
      </c>
      <c r="AU1401" s="2">
        <v>0</v>
      </c>
      <c r="AV1401" s="2">
        <v>113</v>
      </c>
      <c r="AW1401" s="2">
        <v>0</v>
      </c>
      <c r="AX1401" s="2">
        <v>0</v>
      </c>
      <c r="AY1401" s="2">
        <v>15.5</v>
      </c>
      <c r="AZ1401" s="2">
        <v>2.4</v>
      </c>
      <c r="BA1401" s="2">
        <v>10.9</v>
      </c>
      <c r="BB1401" s="2">
        <v>564</v>
      </c>
      <c r="BC1401" s="2">
        <v>68</v>
      </c>
      <c r="BD1401" s="2">
        <v>1.5</v>
      </c>
      <c r="BE1401" s="2">
        <v>135</v>
      </c>
      <c r="BF1401" s="2">
        <v>0</v>
      </c>
      <c r="BG1401" s="2">
        <v>162</v>
      </c>
      <c r="BH1401" s="2">
        <v>9.1</v>
      </c>
      <c r="BI1401" s="2">
        <v>9.1999999999999993</v>
      </c>
      <c r="BJ1401" s="2">
        <v>18.3</v>
      </c>
      <c r="BK1401" s="2">
        <v>0.34</v>
      </c>
      <c r="BL1401" s="2">
        <v>7.3</v>
      </c>
      <c r="BM1401" s="2">
        <v>0.9</v>
      </c>
      <c r="BN1401" s="2">
        <v>7.5</v>
      </c>
      <c r="BO1401" s="2">
        <v>2.9</v>
      </c>
      <c r="BP1401" s="2">
        <f t="shared" si="42"/>
        <v>2.0341538686114706</v>
      </c>
      <c r="BQ1401" s="2">
        <f t="shared" si="43"/>
        <v>10.060071609692697</v>
      </c>
    </row>
    <row r="1402" spans="1:69" x14ac:dyDescent="0.2">
      <c r="A1402" s="2" t="s">
        <v>2552</v>
      </c>
      <c r="B1402" s="2" t="s">
        <v>47</v>
      </c>
      <c r="C1402" s="2" t="s">
        <v>1935</v>
      </c>
      <c r="D1402" s="2" t="s">
        <v>49</v>
      </c>
      <c r="E1402" s="2" t="s">
        <v>323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89</v>
      </c>
      <c r="L1402" s="6" t="s">
        <v>141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2553</v>
      </c>
      <c r="R1402" s="2">
        <v>4857142.8569999998</v>
      </c>
      <c r="S1402" s="2">
        <v>0</v>
      </c>
      <c r="T1402" s="2" t="s">
        <v>83</v>
      </c>
      <c r="U1402" s="2" t="s">
        <v>84</v>
      </c>
      <c r="V1402" s="2" t="s">
        <v>56</v>
      </c>
      <c r="W1402" s="2" t="s">
        <v>83</v>
      </c>
      <c r="X1402" s="2" t="s">
        <v>85</v>
      </c>
      <c r="Y1402" s="2">
        <v>3.0418728781829998</v>
      </c>
      <c r="Z1402" s="2">
        <v>3041.872878183</v>
      </c>
      <c r="AA1402" s="2">
        <v>4.71035</v>
      </c>
      <c r="AB1402" s="2">
        <v>-74.030416666666696</v>
      </c>
      <c r="AC1402" s="2">
        <v>2570</v>
      </c>
      <c r="AD1402" s="2">
        <v>10</v>
      </c>
      <c r="AE1402" s="2" t="s">
        <v>59</v>
      </c>
      <c r="AF1402" s="2" t="s">
        <v>86</v>
      </c>
      <c r="AG1402" s="2" t="s">
        <v>61</v>
      </c>
      <c r="AH1402" s="2" t="s">
        <v>62</v>
      </c>
      <c r="AI1402" s="2" t="s">
        <v>100</v>
      </c>
      <c r="AJ1402" s="2">
        <v>0.36425268931050903</v>
      </c>
      <c r="AK1402" s="2">
        <v>3.3479862206564799</v>
      </c>
      <c r="AL1402" s="2">
        <v>1.1341255955439</v>
      </c>
      <c r="AM1402" s="2">
        <v>4.91548054642389E-2</v>
      </c>
      <c r="AN1402" s="2">
        <v>4.1543258521982898</v>
      </c>
      <c r="AO1402" s="2">
        <v>0.20876188663443901</v>
      </c>
      <c r="AP1402" s="2">
        <v>0.20876188663443901</v>
      </c>
      <c r="AQ1402" s="2">
        <v>2</v>
      </c>
      <c r="AR1402" s="2">
        <v>3</v>
      </c>
      <c r="AS1402" s="2">
        <v>0</v>
      </c>
      <c r="AT1402" s="2">
        <v>0</v>
      </c>
      <c r="AU1402" s="2">
        <v>0</v>
      </c>
      <c r="AV1402" s="2">
        <v>144</v>
      </c>
      <c r="AW1402" s="2">
        <v>0</v>
      </c>
      <c r="AX1402" s="2">
        <v>0</v>
      </c>
      <c r="AY1402" s="2">
        <v>15.5</v>
      </c>
      <c r="AZ1402" s="2">
        <v>2.4</v>
      </c>
      <c r="BA1402" s="2">
        <v>10.9</v>
      </c>
      <c r="BB1402" s="2">
        <v>564</v>
      </c>
      <c r="BC1402" s="2">
        <v>68</v>
      </c>
      <c r="BD1402" s="2">
        <v>1.5</v>
      </c>
      <c r="BE1402" s="2">
        <v>135</v>
      </c>
      <c r="BF1402" s="2">
        <v>0</v>
      </c>
      <c r="BG1402" s="2">
        <v>162</v>
      </c>
      <c r="BH1402" s="2">
        <v>9.1</v>
      </c>
      <c r="BI1402" s="2">
        <v>9.1999999999999993</v>
      </c>
      <c r="BJ1402" s="2">
        <v>18.3</v>
      </c>
      <c r="BK1402" s="2">
        <v>0.34</v>
      </c>
      <c r="BL1402" s="2">
        <v>7.3</v>
      </c>
      <c r="BM1402" s="2">
        <v>0.9</v>
      </c>
      <c r="BN1402" s="2">
        <v>7.5</v>
      </c>
      <c r="BO1402" s="2">
        <v>2.9</v>
      </c>
      <c r="BP1402" s="2">
        <f t="shared" si="42"/>
        <v>2.06451644079345</v>
      </c>
      <c r="BQ1402" s="2">
        <f t="shared" si="43"/>
        <v>10.132598900151043</v>
      </c>
    </row>
    <row r="1403" spans="1:69" x14ac:dyDescent="0.2">
      <c r="A1403" s="2" t="s">
        <v>3040</v>
      </c>
      <c r="B1403" s="2" t="s">
        <v>47</v>
      </c>
      <c r="C1403" s="2" t="s">
        <v>1935</v>
      </c>
      <c r="D1403" s="2" t="s">
        <v>49</v>
      </c>
      <c r="E1403" s="2" t="s">
        <v>421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89</v>
      </c>
      <c r="L1403" s="6" t="s">
        <v>141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3041</v>
      </c>
      <c r="R1403" s="2">
        <v>9770114.943</v>
      </c>
      <c r="S1403" s="2">
        <v>0</v>
      </c>
      <c r="T1403" s="2" t="s">
        <v>83</v>
      </c>
      <c r="U1403" s="2" t="s">
        <v>84</v>
      </c>
      <c r="V1403" s="2" t="s">
        <v>56</v>
      </c>
      <c r="W1403" s="2" t="s">
        <v>83</v>
      </c>
      <c r="X1403" s="2" t="s">
        <v>85</v>
      </c>
      <c r="Y1403" s="2">
        <v>1.55234974093114</v>
      </c>
      <c r="Z1403" s="2">
        <v>1552.3497409311401</v>
      </c>
      <c r="AA1403" s="2">
        <v>4.71035</v>
      </c>
      <c r="AB1403" s="2">
        <v>-74.030416666666696</v>
      </c>
      <c r="AC1403" s="2">
        <v>2570</v>
      </c>
      <c r="AD1403" s="2">
        <v>10</v>
      </c>
      <c r="AE1403" s="2" t="s">
        <v>59</v>
      </c>
      <c r="AF1403" s="2" t="s">
        <v>86</v>
      </c>
      <c r="AG1403" s="2" t="s">
        <v>61</v>
      </c>
      <c r="AH1403" s="2" t="s">
        <v>62</v>
      </c>
      <c r="AI1403" s="2" t="s">
        <v>87</v>
      </c>
      <c r="AJ1403" s="2">
        <v>1.09373100984356</v>
      </c>
      <c r="AK1403" s="2">
        <v>2.0209597508958401</v>
      </c>
      <c r="AL1403" s="2">
        <v>1.3098043757989299</v>
      </c>
      <c r="AM1403" s="2">
        <v>0.13486216297137901</v>
      </c>
      <c r="AN1403" s="2">
        <v>3.1083165225111302</v>
      </c>
      <c r="AO1403" s="2">
        <v>0.37676475188237202</v>
      </c>
      <c r="AP1403" s="2">
        <v>0.37676475188237202</v>
      </c>
      <c r="AQ1403" s="2">
        <v>0</v>
      </c>
      <c r="AR1403" s="2">
        <v>0</v>
      </c>
      <c r="AS1403" s="2">
        <v>0</v>
      </c>
      <c r="AT1403" s="2">
        <v>0</v>
      </c>
      <c r="AU1403" s="2">
        <v>0</v>
      </c>
      <c r="AV1403" s="2">
        <v>33</v>
      </c>
      <c r="AW1403" s="2">
        <v>0</v>
      </c>
      <c r="AX1403" s="2">
        <v>0</v>
      </c>
      <c r="AY1403" s="2">
        <v>15.5</v>
      </c>
      <c r="AZ1403" s="2">
        <v>2.4</v>
      </c>
      <c r="BA1403" s="2">
        <v>10.9</v>
      </c>
      <c r="BB1403" s="2">
        <v>564</v>
      </c>
      <c r="BC1403" s="2">
        <v>68</v>
      </c>
      <c r="BD1403" s="2">
        <v>1.5</v>
      </c>
      <c r="BE1403" s="2">
        <v>135</v>
      </c>
      <c r="BF1403" s="2">
        <v>0</v>
      </c>
      <c r="BG1403" s="2">
        <v>162</v>
      </c>
      <c r="BH1403" s="2">
        <v>9.1</v>
      </c>
      <c r="BI1403" s="2">
        <v>9.1999999999999993</v>
      </c>
      <c r="BJ1403" s="2">
        <v>18.3</v>
      </c>
      <c r="BK1403" s="2">
        <v>0.34</v>
      </c>
      <c r="BL1403" s="2">
        <v>7.3</v>
      </c>
      <c r="BM1403" s="2">
        <v>0.9</v>
      </c>
      <c r="BN1403" s="2">
        <v>7.5</v>
      </c>
      <c r="BO1403" s="2">
        <v>2.9</v>
      </c>
      <c r="BP1403" s="2">
        <f t="shared" si="42"/>
        <v>2.2224883025062998</v>
      </c>
      <c r="BQ1403" s="2">
        <f t="shared" si="43"/>
        <v>10.50137704232688</v>
      </c>
    </row>
    <row r="1404" spans="1:69" x14ac:dyDescent="0.2">
      <c r="A1404" s="2" t="s">
        <v>667</v>
      </c>
      <c r="B1404" s="2" t="s">
        <v>47</v>
      </c>
      <c r="C1404" s="2" t="s">
        <v>48</v>
      </c>
      <c r="D1404" s="2" t="s">
        <v>49</v>
      </c>
      <c r="E1404" s="2" t="s">
        <v>668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89</v>
      </c>
      <c r="L1404" s="6" t="s">
        <v>141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669</v>
      </c>
      <c r="R1404" s="2">
        <v>8511988.9199999999</v>
      </c>
      <c r="S1404" s="2">
        <v>0</v>
      </c>
      <c r="T1404" s="2" t="s">
        <v>83</v>
      </c>
      <c r="U1404" s="2" t="s">
        <v>84</v>
      </c>
      <c r="V1404" s="2" t="s">
        <v>56</v>
      </c>
      <c r="W1404" s="2" t="s">
        <v>83</v>
      </c>
      <c r="X1404" s="2" t="s">
        <v>85</v>
      </c>
      <c r="Y1404" s="2">
        <v>0.81085467551145596</v>
      </c>
      <c r="Z1404" s="2">
        <v>810.85467551145598</v>
      </c>
      <c r="AA1404" s="2">
        <v>4.71035</v>
      </c>
      <c r="AB1404" s="2">
        <v>-74.030416666666696</v>
      </c>
      <c r="AC1404" s="2">
        <v>2570</v>
      </c>
      <c r="AD1404" s="2">
        <v>10</v>
      </c>
      <c r="AE1404" s="2" t="s">
        <v>59</v>
      </c>
      <c r="AF1404" s="2" t="s">
        <v>86</v>
      </c>
      <c r="AG1404" s="2" t="s">
        <v>61</v>
      </c>
      <c r="AH1404" s="2" t="s">
        <v>62</v>
      </c>
      <c r="AI1404" s="2" t="s">
        <v>87</v>
      </c>
      <c r="AJ1404" s="2">
        <v>1.9800068469568499</v>
      </c>
      <c r="AK1404" s="2">
        <v>1.2817933679612501</v>
      </c>
      <c r="AL1404" s="2">
        <v>0.64361621506735101</v>
      </c>
      <c r="AM1404" s="2">
        <v>0.28727719626563802</v>
      </c>
      <c r="AN1404" s="2">
        <v>4.0485754004373904</v>
      </c>
      <c r="AO1404" s="2">
        <v>0.14996050752508699</v>
      </c>
      <c r="AP1404" s="2">
        <v>0.14996050752508699</v>
      </c>
      <c r="AQ1404" s="2">
        <v>0</v>
      </c>
      <c r="AR1404" s="2">
        <v>0</v>
      </c>
      <c r="AS1404" s="2">
        <v>0</v>
      </c>
      <c r="AT1404" s="2">
        <v>0</v>
      </c>
      <c r="AU1404" s="2">
        <v>2</v>
      </c>
      <c r="AV1404" s="2">
        <v>116</v>
      </c>
      <c r="AW1404" s="2">
        <v>0</v>
      </c>
      <c r="AX1404" s="2">
        <v>0</v>
      </c>
      <c r="AY1404" s="2">
        <v>15.5</v>
      </c>
      <c r="AZ1404" s="2">
        <v>2.4</v>
      </c>
      <c r="BA1404" s="2">
        <v>10.9</v>
      </c>
      <c r="BB1404" s="2">
        <v>564</v>
      </c>
      <c r="BC1404" s="2">
        <v>68</v>
      </c>
      <c r="BD1404" s="2">
        <v>1.5</v>
      </c>
      <c r="BE1404" s="2">
        <v>135</v>
      </c>
      <c r="BF1404" s="2">
        <v>0</v>
      </c>
      <c r="BG1404" s="2">
        <v>162</v>
      </c>
      <c r="BH1404" s="2">
        <v>9.1</v>
      </c>
      <c r="BI1404" s="2">
        <v>9.1999999999999993</v>
      </c>
      <c r="BJ1404" s="2">
        <v>18.3</v>
      </c>
      <c r="BK1404" s="2">
        <v>0.34</v>
      </c>
      <c r="BL1404" s="2">
        <v>7.3</v>
      </c>
      <c r="BM1404" s="2">
        <v>0.9</v>
      </c>
      <c r="BN1404" s="2">
        <v>7.5</v>
      </c>
      <c r="BO1404" s="2">
        <v>2.9</v>
      </c>
      <c r="BP1404" s="2">
        <f t="shared" si="42"/>
        <v>2.3055780615202459</v>
      </c>
      <c r="BQ1404" s="2">
        <f t="shared" si="43"/>
        <v>10.68993107095117</v>
      </c>
    </row>
    <row r="1405" spans="1:69" x14ac:dyDescent="0.2">
      <c r="A1405" s="2" t="s">
        <v>1691</v>
      </c>
      <c r="B1405" s="2" t="s">
        <v>47</v>
      </c>
      <c r="C1405" s="2" t="s">
        <v>48</v>
      </c>
      <c r="D1405" s="2" t="s">
        <v>49</v>
      </c>
      <c r="E1405" s="2" t="s">
        <v>249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89</v>
      </c>
      <c r="L1405" s="6" t="s">
        <v>141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1692</v>
      </c>
      <c r="R1405" s="2">
        <v>8309037.9009999996</v>
      </c>
      <c r="S1405" s="2">
        <v>0</v>
      </c>
      <c r="T1405" s="2" t="s">
        <v>83</v>
      </c>
      <c r="U1405" s="2" t="s">
        <v>84</v>
      </c>
      <c r="V1405" s="2" t="s">
        <v>56</v>
      </c>
      <c r="W1405" s="2" t="s">
        <v>83</v>
      </c>
      <c r="X1405" s="2" t="s">
        <v>85</v>
      </c>
      <c r="Y1405" s="2">
        <v>1.4660417179316001</v>
      </c>
      <c r="Z1405" s="2">
        <v>1466.0417179316</v>
      </c>
      <c r="AA1405" s="2">
        <v>4.71035</v>
      </c>
      <c r="AB1405" s="2">
        <v>-74.030416666666696</v>
      </c>
      <c r="AC1405" s="2">
        <v>2570</v>
      </c>
      <c r="AD1405" s="2">
        <v>10</v>
      </c>
      <c r="AE1405" s="2" t="s">
        <v>59</v>
      </c>
      <c r="AF1405" s="2" t="s">
        <v>86</v>
      </c>
      <c r="AG1405" s="2" t="s">
        <v>61</v>
      </c>
      <c r="AH1405" s="2" t="s">
        <v>62</v>
      </c>
      <c r="AI1405" s="2" t="s">
        <v>87</v>
      </c>
      <c r="AJ1405" s="2">
        <v>3.01499465463238</v>
      </c>
      <c r="AK1405" s="2">
        <v>0.23765733561307201</v>
      </c>
      <c r="AL1405" s="2">
        <v>0.37609905813070699</v>
      </c>
      <c r="AM1405" s="2">
        <v>0.257587999793363</v>
      </c>
      <c r="AN1405" s="2">
        <v>4.8796021734834598</v>
      </c>
      <c r="AO1405" s="2">
        <v>0.61829919085756002</v>
      </c>
      <c r="AP1405" s="2">
        <v>0.61829919085756002</v>
      </c>
      <c r="AQ1405" s="2">
        <v>0</v>
      </c>
      <c r="AR1405" s="2">
        <v>0</v>
      </c>
      <c r="AS1405" s="2">
        <v>14</v>
      </c>
      <c r="AT1405" s="2">
        <v>26</v>
      </c>
      <c r="AU1405" s="2">
        <v>2</v>
      </c>
      <c r="AV1405" s="2">
        <v>111</v>
      </c>
      <c r="AW1405" s="2">
        <v>0</v>
      </c>
      <c r="AX1405" s="2">
        <v>0</v>
      </c>
      <c r="AY1405" s="2">
        <v>15.5</v>
      </c>
      <c r="AZ1405" s="2">
        <v>2.4</v>
      </c>
      <c r="BA1405" s="2">
        <v>10.9</v>
      </c>
      <c r="BB1405" s="2">
        <v>564</v>
      </c>
      <c r="BC1405" s="2">
        <v>68</v>
      </c>
      <c r="BD1405" s="2">
        <v>1.5</v>
      </c>
      <c r="BE1405" s="2">
        <v>135</v>
      </c>
      <c r="BF1405" s="2">
        <v>0</v>
      </c>
      <c r="BG1405" s="2">
        <v>162</v>
      </c>
      <c r="BH1405" s="2">
        <v>9.1</v>
      </c>
      <c r="BI1405" s="2">
        <v>9.1999999999999993</v>
      </c>
      <c r="BJ1405" s="2">
        <v>18.3</v>
      </c>
      <c r="BK1405" s="2">
        <v>0.34</v>
      </c>
      <c r="BL1405" s="2">
        <v>7.3</v>
      </c>
      <c r="BM1405" s="2">
        <v>0.9</v>
      </c>
      <c r="BN1405" s="2">
        <v>7.5</v>
      </c>
      <c r="BO1405" s="2">
        <v>2.9</v>
      </c>
      <c r="BP1405" s="2">
        <f t="shared" si="42"/>
        <v>2.2320036332463546</v>
      </c>
      <c r="BQ1405" s="2">
        <f t="shared" si="43"/>
        <v>10.523152061037994</v>
      </c>
    </row>
    <row r="1406" spans="1:69" x14ac:dyDescent="0.2">
      <c r="A1406" s="2" t="s">
        <v>2913</v>
      </c>
      <c r="B1406" s="2" t="s">
        <v>47</v>
      </c>
      <c r="C1406" s="2" t="s">
        <v>1935</v>
      </c>
      <c r="D1406" s="2" t="s">
        <v>49</v>
      </c>
      <c r="E1406" s="2" t="s">
        <v>421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89</v>
      </c>
      <c r="L1406" s="6" t="s">
        <v>141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2914</v>
      </c>
      <c r="R1406" s="2">
        <v>5294117.6469999999</v>
      </c>
      <c r="S1406" s="2">
        <v>0</v>
      </c>
      <c r="T1406" s="2" t="s">
        <v>83</v>
      </c>
      <c r="U1406" s="2" t="s">
        <v>84</v>
      </c>
      <c r="V1406" s="2" t="s">
        <v>56</v>
      </c>
      <c r="W1406" s="2" t="s">
        <v>83</v>
      </c>
      <c r="X1406" s="2" t="s">
        <v>85</v>
      </c>
      <c r="Y1406" s="2">
        <v>1.49262637592303</v>
      </c>
      <c r="Z1406" s="2">
        <v>1492.6263759230301</v>
      </c>
      <c r="AA1406" s="2">
        <v>4.71035</v>
      </c>
      <c r="AB1406" s="2">
        <v>-74.030416666666696</v>
      </c>
      <c r="AC1406" s="2">
        <v>2570</v>
      </c>
      <c r="AD1406" s="2">
        <v>10</v>
      </c>
      <c r="AE1406" s="2" t="s">
        <v>59</v>
      </c>
      <c r="AF1406" s="2" t="s">
        <v>86</v>
      </c>
      <c r="AG1406" s="2" t="s">
        <v>61</v>
      </c>
      <c r="AH1406" s="2" t="s">
        <v>62</v>
      </c>
      <c r="AI1406" s="2" t="s">
        <v>87</v>
      </c>
      <c r="AJ1406" s="2">
        <v>1.13857204606551</v>
      </c>
      <c r="AK1406" s="2">
        <v>1.9827859249936599</v>
      </c>
      <c r="AL1406" s="2">
        <v>1.24552804991129</v>
      </c>
      <c r="AM1406" s="2">
        <v>9.0371791310661601E-2</v>
      </c>
      <c r="AN1406" s="2">
        <v>3.17392160728786</v>
      </c>
      <c r="AO1406" s="2">
        <v>0.451743133963454</v>
      </c>
      <c r="AP1406" s="2">
        <v>0.451743133963454</v>
      </c>
      <c r="AQ1406" s="2">
        <v>0</v>
      </c>
      <c r="AR1406" s="2">
        <v>0</v>
      </c>
      <c r="AS1406" s="2">
        <v>0</v>
      </c>
      <c r="AT1406" s="2">
        <v>0</v>
      </c>
      <c r="AU1406" s="2">
        <v>0</v>
      </c>
      <c r="AV1406" s="2">
        <v>36</v>
      </c>
      <c r="AW1406" s="2">
        <v>0</v>
      </c>
      <c r="AX1406" s="2">
        <v>0</v>
      </c>
      <c r="AY1406" s="2">
        <v>15.5</v>
      </c>
      <c r="AZ1406" s="2">
        <v>2.4</v>
      </c>
      <c r="BA1406" s="2">
        <v>10.9</v>
      </c>
      <c r="BB1406" s="2">
        <v>564</v>
      </c>
      <c r="BC1406" s="2">
        <v>68</v>
      </c>
      <c r="BD1406" s="2">
        <v>1.5</v>
      </c>
      <c r="BE1406" s="2">
        <v>135</v>
      </c>
      <c r="BF1406" s="2">
        <v>0</v>
      </c>
      <c r="BG1406" s="2">
        <v>162</v>
      </c>
      <c r="BH1406" s="2">
        <v>9.1</v>
      </c>
      <c r="BI1406" s="2">
        <v>9.1999999999999993</v>
      </c>
      <c r="BJ1406" s="2">
        <v>18.3</v>
      </c>
      <c r="BK1406" s="2">
        <v>0.34</v>
      </c>
      <c r="BL1406" s="2">
        <v>7.3</v>
      </c>
      <c r="BM1406" s="2">
        <v>0.9</v>
      </c>
      <c r="BN1406" s="2">
        <v>7.5</v>
      </c>
      <c r="BO1406" s="2">
        <v>2.9</v>
      </c>
      <c r="BP1406" s="2">
        <f t="shared" si="42"/>
        <v>2.2290683808441352</v>
      </c>
      <c r="BQ1406" s="2">
        <f t="shared" si="43"/>
        <v>10.516440096924105</v>
      </c>
    </row>
    <row r="1407" spans="1:69" x14ac:dyDescent="0.2">
      <c r="A1407" s="2" t="s">
        <v>984</v>
      </c>
      <c r="B1407" s="2" t="s">
        <v>47</v>
      </c>
      <c r="C1407" s="2" t="s">
        <v>48</v>
      </c>
      <c r="D1407" s="2" t="s">
        <v>49</v>
      </c>
      <c r="E1407" s="2" t="s">
        <v>844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89</v>
      </c>
      <c r="L1407" s="6" t="s">
        <v>141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985</v>
      </c>
      <c r="R1407" s="2">
        <v>8529411.7650000006</v>
      </c>
      <c r="S1407" s="2">
        <v>0</v>
      </c>
      <c r="T1407" s="2" t="s">
        <v>83</v>
      </c>
      <c r="U1407" s="2" t="s">
        <v>84</v>
      </c>
      <c r="V1407" s="2" t="s">
        <v>56</v>
      </c>
      <c r="W1407" s="2" t="s">
        <v>83</v>
      </c>
      <c r="X1407" s="2" t="s">
        <v>85</v>
      </c>
      <c r="Y1407" s="2">
        <v>0.82939334663362896</v>
      </c>
      <c r="Z1407" s="2">
        <v>829.39334663362899</v>
      </c>
      <c r="AA1407" s="2">
        <v>4.71035</v>
      </c>
      <c r="AB1407" s="2">
        <v>-74.030416666666696</v>
      </c>
      <c r="AC1407" s="2">
        <v>2570</v>
      </c>
      <c r="AD1407" s="2">
        <v>10</v>
      </c>
      <c r="AE1407" s="2" t="s">
        <v>59</v>
      </c>
      <c r="AF1407" s="2" t="s">
        <v>86</v>
      </c>
      <c r="AG1407" s="2" t="s">
        <v>61</v>
      </c>
      <c r="AH1407" s="2" t="s">
        <v>62</v>
      </c>
      <c r="AI1407" s="2" t="s">
        <v>87</v>
      </c>
      <c r="AJ1407" s="2">
        <v>2.8020615472302501</v>
      </c>
      <c r="AK1407" s="2">
        <v>0.36383360245106999</v>
      </c>
      <c r="AL1407" s="2">
        <v>0.95542390423553902</v>
      </c>
      <c r="AM1407" s="2">
        <v>0.32157102954462802</v>
      </c>
      <c r="AN1407" s="2">
        <v>2.7403820677993802</v>
      </c>
      <c r="AO1407" s="2">
        <v>0.288508215773641</v>
      </c>
      <c r="AP1407" s="2">
        <v>0.288508215773641</v>
      </c>
      <c r="AQ1407" s="2">
        <v>0</v>
      </c>
      <c r="AR1407" s="2">
        <v>0</v>
      </c>
      <c r="AS1407" s="2">
        <v>15</v>
      </c>
      <c r="AT1407" s="2">
        <v>33</v>
      </c>
      <c r="AU1407" s="2">
        <v>1</v>
      </c>
      <c r="AV1407" s="2">
        <v>70</v>
      </c>
      <c r="AW1407" s="2">
        <v>0</v>
      </c>
      <c r="AX1407" s="2">
        <v>0</v>
      </c>
      <c r="AY1407" s="2">
        <v>15.5</v>
      </c>
      <c r="AZ1407" s="2">
        <v>2.4</v>
      </c>
      <c r="BA1407" s="2">
        <v>10.9</v>
      </c>
      <c r="BB1407" s="2">
        <v>564</v>
      </c>
      <c r="BC1407" s="2">
        <v>68</v>
      </c>
      <c r="BD1407" s="2">
        <v>1.5</v>
      </c>
      <c r="BE1407" s="2">
        <v>135</v>
      </c>
      <c r="BF1407" s="2">
        <v>0</v>
      </c>
      <c r="BG1407" s="2">
        <v>162</v>
      </c>
      <c r="BH1407" s="2">
        <v>9.1</v>
      </c>
      <c r="BI1407" s="2">
        <v>9.1999999999999993</v>
      </c>
      <c r="BJ1407" s="2">
        <v>18.3</v>
      </c>
      <c r="BK1407" s="2">
        <v>0.34</v>
      </c>
      <c r="BL1407" s="2">
        <v>7.3</v>
      </c>
      <c r="BM1407" s="2">
        <v>0.9</v>
      </c>
      <c r="BN1407" s="2">
        <v>7.5</v>
      </c>
      <c r="BO1407" s="2">
        <v>2.9</v>
      </c>
      <c r="BP1407" s="2">
        <f t="shared" si="42"/>
        <v>2.3034632855010591</v>
      </c>
      <c r="BQ1407" s="2">
        <f t="shared" si="43"/>
        <v>10.68517587809446</v>
      </c>
    </row>
    <row r="1408" spans="1:69" x14ac:dyDescent="0.2">
      <c r="A1408" s="2" t="s">
        <v>4208</v>
      </c>
      <c r="B1408" s="2" t="s">
        <v>47</v>
      </c>
      <c r="C1408" s="2" t="s">
        <v>3273</v>
      </c>
      <c r="D1408" s="2" t="s">
        <v>49</v>
      </c>
      <c r="E1408" s="2" t="s">
        <v>447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89</v>
      </c>
      <c r="L1408" s="6" t="s">
        <v>141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4209</v>
      </c>
      <c r="R1408" s="2">
        <v>8142599.1179999998</v>
      </c>
      <c r="S1408" s="2">
        <v>0</v>
      </c>
      <c r="T1408" s="2" t="s">
        <v>83</v>
      </c>
      <c r="U1408" s="2" t="s">
        <v>84</v>
      </c>
      <c r="V1408" s="2" t="s">
        <v>56</v>
      </c>
      <c r="W1408" s="2" t="s">
        <v>83</v>
      </c>
      <c r="X1408" s="2" t="s">
        <v>85</v>
      </c>
      <c r="Y1408" s="2">
        <v>3.62559357865607</v>
      </c>
      <c r="Z1408" s="2">
        <v>3625.5935786560699</v>
      </c>
      <c r="AA1408" s="2">
        <v>4.71035</v>
      </c>
      <c r="AB1408" s="2">
        <v>-74.030416666666696</v>
      </c>
      <c r="AC1408" s="2">
        <v>2570</v>
      </c>
      <c r="AD1408" s="2">
        <v>10</v>
      </c>
      <c r="AE1408" s="2" t="s">
        <v>59</v>
      </c>
      <c r="AF1408" s="2" t="s">
        <v>86</v>
      </c>
      <c r="AG1408" s="2" t="s">
        <v>61</v>
      </c>
      <c r="AH1408" s="2" t="s">
        <v>62</v>
      </c>
      <c r="AI1408" s="2" t="s">
        <v>87</v>
      </c>
      <c r="AJ1408" s="2">
        <v>0.41545877781885299</v>
      </c>
      <c r="AK1408" s="2">
        <v>2.4180692747577299</v>
      </c>
      <c r="AL1408" s="2">
        <v>0.484427413676283</v>
      </c>
      <c r="AM1408" s="2">
        <v>0.14730079808574101</v>
      </c>
      <c r="AN1408" s="2">
        <v>3.4009897260947599</v>
      </c>
      <c r="AO1408" s="2">
        <v>0.46219709652090102</v>
      </c>
      <c r="AP1408" s="2">
        <v>0.46219709652090102</v>
      </c>
      <c r="AQ1408" s="2">
        <v>1</v>
      </c>
      <c r="AR1408" s="2">
        <v>3</v>
      </c>
      <c r="AS1408" s="2">
        <v>0</v>
      </c>
      <c r="AT1408" s="2">
        <v>0</v>
      </c>
      <c r="AU1408" s="2">
        <v>5</v>
      </c>
      <c r="AV1408" s="2">
        <v>211</v>
      </c>
      <c r="AW1408" s="2">
        <v>0</v>
      </c>
      <c r="AX1408" s="2">
        <v>0</v>
      </c>
      <c r="AY1408" s="2">
        <v>15.5</v>
      </c>
      <c r="AZ1408" s="2">
        <v>2.4</v>
      </c>
      <c r="BA1408" s="2">
        <v>10.9</v>
      </c>
      <c r="BB1408" s="2">
        <v>564</v>
      </c>
      <c r="BC1408" s="2">
        <v>68</v>
      </c>
      <c r="BD1408" s="2">
        <v>1.5</v>
      </c>
      <c r="BE1408" s="2">
        <v>135</v>
      </c>
      <c r="BF1408" s="2">
        <v>0</v>
      </c>
      <c r="BG1408" s="2">
        <v>162</v>
      </c>
      <c r="BH1408" s="2">
        <v>9.1</v>
      </c>
      <c r="BI1408" s="2">
        <v>9.1999999999999993</v>
      </c>
      <c r="BJ1408" s="2">
        <v>18.3</v>
      </c>
      <c r="BK1408" s="2">
        <v>0.34</v>
      </c>
      <c r="BL1408" s="2">
        <v>7.3</v>
      </c>
      <c r="BM1408" s="2">
        <v>0.9</v>
      </c>
      <c r="BN1408" s="2">
        <v>7.5</v>
      </c>
      <c r="BO1408" s="2">
        <v>2.9</v>
      </c>
      <c r="BP1408" s="2">
        <f t="shared" si="42"/>
        <v>2.0057175062282626</v>
      </c>
      <c r="BQ1408" s="2">
        <f t="shared" si="43"/>
        <v>9.9916380016341115</v>
      </c>
    </row>
    <row r="1409" spans="1:69" x14ac:dyDescent="0.2">
      <c r="A1409" s="2" t="s">
        <v>4348</v>
      </c>
      <c r="B1409" s="2" t="s">
        <v>47</v>
      </c>
      <c r="C1409" s="2" t="s">
        <v>3273</v>
      </c>
      <c r="D1409" s="2" t="s">
        <v>49</v>
      </c>
      <c r="E1409" s="2" t="s">
        <v>1628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89</v>
      </c>
      <c r="L1409" s="6" t="s">
        <v>141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4349</v>
      </c>
      <c r="R1409" s="2">
        <v>7863501.4840000002</v>
      </c>
      <c r="S1409" s="2">
        <v>0</v>
      </c>
      <c r="T1409" s="2" t="s">
        <v>83</v>
      </c>
      <c r="U1409" s="2" t="s">
        <v>84</v>
      </c>
      <c r="V1409" s="2" t="s">
        <v>56</v>
      </c>
      <c r="W1409" s="2" t="s">
        <v>83</v>
      </c>
      <c r="X1409" s="2" t="s">
        <v>85</v>
      </c>
      <c r="Y1409" s="2">
        <v>3.0913697891401299</v>
      </c>
      <c r="Z1409" s="2">
        <v>3091.3697891401298</v>
      </c>
      <c r="AA1409" s="2">
        <v>4.71035</v>
      </c>
      <c r="AB1409" s="2">
        <v>-74.030416666666696</v>
      </c>
      <c r="AC1409" s="2">
        <v>2570</v>
      </c>
      <c r="AD1409" s="2">
        <v>10</v>
      </c>
      <c r="AE1409" s="2" t="s">
        <v>59</v>
      </c>
      <c r="AF1409" s="2" t="s">
        <v>86</v>
      </c>
      <c r="AG1409" s="2" t="s">
        <v>61</v>
      </c>
      <c r="AH1409" s="2" t="s">
        <v>62</v>
      </c>
      <c r="AI1409" s="2" t="s">
        <v>87</v>
      </c>
      <c r="AJ1409" s="2">
        <v>0.33559772476378202</v>
      </c>
      <c r="AK1409" s="2">
        <v>2.7033717565407298</v>
      </c>
      <c r="AL1409" s="2">
        <v>0.50901398853771995</v>
      </c>
      <c r="AM1409" s="2">
        <v>0.14520252025715999</v>
      </c>
      <c r="AN1409" s="2">
        <v>3.9125576181444899</v>
      </c>
      <c r="AO1409" s="2">
        <v>0.23088253813044499</v>
      </c>
      <c r="AP1409" s="2">
        <v>0.23088253813044499</v>
      </c>
      <c r="AQ1409" s="2">
        <v>2</v>
      </c>
      <c r="AR1409" s="2">
        <v>2</v>
      </c>
      <c r="AS1409" s="2">
        <v>0</v>
      </c>
      <c r="AT1409" s="2">
        <v>0</v>
      </c>
      <c r="AU1409" s="2">
        <v>3</v>
      </c>
      <c r="AV1409" s="2">
        <v>160</v>
      </c>
      <c r="AW1409" s="2">
        <v>0</v>
      </c>
      <c r="AX1409" s="2">
        <v>0</v>
      </c>
      <c r="AY1409" s="2">
        <v>15.5</v>
      </c>
      <c r="AZ1409" s="2">
        <v>2.4</v>
      </c>
      <c r="BA1409" s="2">
        <v>10.9</v>
      </c>
      <c r="BB1409" s="2">
        <v>564</v>
      </c>
      <c r="BC1409" s="2">
        <v>68</v>
      </c>
      <c r="BD1409" s="2">
        <v>1.5</v>
      </c>
      <c r="BE1409" s="2">
        <v>135</v>
      </c>
      <c r="BF1409" s="2">
        <v>0</v>
      </c>
      <c r="BG1409" s="2">
        <v>162</v>
      </c>
      <c r="BH1409" s="2">
        <v>9.1</v>
      </c>
      <c r="BI1409" s="2">
        <v>9.1999999999999993</v>
      </c>
      <c r="BJ1409" s="2">
        <v>18.3</v>
      </c>
      <c r="BK1409" s="2">
        <v>0.34</v>
      </c>
      <c r="BL1409" s="2">
        <v>7.3</v>
      </c>
      <c r="BM1409" s="2">
        <v>0.9</v>
      </c>
      <c r="BN1409" s="2">
        <v>7.5</v>
      </c>
      <c r="BO1409" s="2">
        <v>2.9</v>
      </c>
      <c r="BP1409" s="2">
        <f t="shared" si="42"/>
        <v>2.0594643666280965</v>
      </c>
      <c r="BQ1409" s="2">
        <f t="shared" si="43"/>
        <v>10.120569270427229</v>
      </c>
    </row>
    <row r="1410" spans="1:69" x14ac:dyDescent="0.2">
      <c r="A1410" s="2" t="s">
        <v>1912</v>
      </c>
      <c r="B1410" s="2" t="s">
        <v>47</v>
      </c>
      <c r="C1410" s="2" t="s">
        <v>48</v>
      </c>
      <c r="D1410" s="2" t="s">
        <v>49</v>
      </c>
      <c r="E1410" s="2" t="s">
        <v>249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89</v>
      </c>
      <c r="L1410" s="6" t="s">
        <v>103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1913</v>
      </c>
      <c r="R1410" s="2">
        <v>12132319.25</v>
      </c>
      <c r="S1410" s="2">
        <v>0</v>
      </c>
      <c r="T1410" s="2" t="s">
        <v>83</v>
      </c>
      <c r="U1410" s="2" t="s">
        <v>84</v>
      </c>
      <c r="V1410" s="2" t="s">
        <v>56</v>
      </c>
      <c r="W1410" s="2" t="s">
        <v>83</v>
      </c>
      <c r="X1410" s="2" t="s">
        <v>85</v>
      </c>
      <c r="Y1410" s="2">
        <v>1.9925827622822001</v>
      </c>
      <c r="Z1410" s="2">
        <v>1992.5827622822001</v>
      </c>
      <c r="AA1410" s="2">
        <v>4.71035</v>
      </c>
      <c r="AB1410" s="2">
        <v>-74.030416666666696</v>
      </c>
      <c r="AC1410" s="2">
        <v>2570</v>
      </c>
      <c r="AD1410" s="2">
        <v>10</v>
      </c>
      <c r="AE1410" s="2" t="s">
        <v>59</v>
      </c>
      <c r="AF1410" s="2" t="s">
        <v>86</v>
      </c>
      <c r="AG1410" s="2" t="s">
        <v>61</v>
      </c>
      <c r="AH1410" s="2" t="s">
        <v>62</v>
      </c>
      <c r="AI1410" s="2" t="s">
        <v>87</v>
      </c>
      <c r="AJ1410" s="2">
        <v>3.2987193796940599</v>
      </c>
      <c r="AK1410" s="2">
        <v>0.153758755332293</v>
      </c>
      <c r="AL1410" s="2">
        <v>0.441617853266627</v>
      </c>
      <c r="AM1410" s="2">
        <v>0.56050356660281997</v>
      </c>
      <c r="AN1410" s="2">
        <v>5.3645290260406799</v>
      </c>
      <c r="AO1410" s="2">
        <v>0.93578080541461295</v>
      </c>
      <c r="AP1410" s="2">
        <v>0.93578080541461295</v>
      </c>
      <c r="AQ1410" s="2">
        <v>0</v>
      </c>
      <c r="AR1410" s="2">
        <v>0</v>
      </c>
      <c r="AS1410" s="2">
        <v>13</v>
      </c>
      <c r="AT1410" s="2">
        <v>26</v>
      </c>
      <c r="AU1410" s="2">
        <v>1</v>
      </c>
      <c r="AV1410" s="2">
        <v>80</v>
      </c>
      <c r="AW1410" s="2">
        <v>0</v>
      </c>
      <c r="AX1410" s="2">
        <v>0</v>
      </c>
      <c r="AY1410" s="2">
        <v>15.5</v>
      </c>
      <c r="AZ1410" s="2">
        <v>2.4</v>
      </c>
      <c r="BA1410" s="2">
        <v>10.9</v>
      </c>
      <c r="BB1410" s="2">
        <v>564</v>
      </c>
      <c r="BC1410" s="2">
        <v>68</v>
      </c>
      <c r="BD1410" s="2">
        <v>1.5</v>
      </c>
      <c r="BE1410" s="2">
        <v>135</v>
      </c>
      <c r="BF1410" s="2">
        <v>0</v>
      </c>
      <c r="BG1410" s="2">
        <v>162</v>
      </c>
      <c r="BH1410" s="2">
        <v>9.1</v>
      </c>
      <c r="BI1410" s="2">
        <v>9.1999999999999993</v>
      </c>
      <c r="BJ1410" s="2">
        <v>18.3</v>
      </c>
      <c r="BK1410" s="2">
        <v>0.34</v>
      </c>
      <c r="BL1410" s="2">
        <v>7.3</v>
      </c>
      <c r="BM1410" s="2">
        <v>0.9</v>
      </c>
      <c r="BN1410" s="2">
        <v>7.5</v>
      </c>
      <c r="BO1410" s="2">
        <v>2.9</v>
      </c>
      <c r="BP1410" s="2">
        <f t="shared" ref="BP1410:BP1473" si="44">+AZ1410*EXP(-0.0495*Y1410)</f>
        <v>2.1745807571354603</v>
      </c>
      <c r="BQ1410" s="2">
        <f t="shared" ref="BQ1410:BQ1473" si="45">+BA1410*EXP(-0.024*Y1410)</f>
        <v>10.391007856324425</v>
      </c>
    </row>
    <row r="1411" spans="1:69" x14ac:dyDescent="0.2">
      <c r="A1411" s="2" t="s">
        <v>1737</v>
      </c>
      <c r="B1411" s="2" t="s">
        <v>47</v>
      </c>
      <c r="C1411" s="2" t="s">
        <v>48</v>
      </c>
      <c r="D1411" s="2" t="s">
        <v>49</v>
      </c>
      <c r="E1411" s="2" t="s">
        <v>249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89</v>
      </c>
      <c r="L1411" s="6" t="s">
        <v>103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1738</v>
      </c>
      <c r="R1411" s="2">
        <v>10856269.109999999</v>
      </c>
      <c r="S1411" s="2">
        <v>0</v>
      </c>
      <c r="T1411" s="2" t="s">
        <v>83</v>
      </c>
      <c r="U1411" s="2" t="s">
        <v>84</v>
      </c>
      <c r="V1411" s="2" t="s">
        <v>56</v>
      </c>
      <c r="W1411" s="2" t="s">
        <v>83</v>
      </c>
      <c r="X1411" s="2" t="s">
        <v>85</v>
      </c>
      <c r="Y1411" s="2">
        <v>1.90180874052294</v>
      </c>
      <c r="Z1411" s="2">
        <v>1901.8087405229401</v>
      </c>
      <c r="AA1411" s="2">
        <v>4.71035</v>
      </c>
      <c r="AB1411" s="2">
        <v>-74.030416666666696</v>
      </c>
      <c r="AC1411" s="2">
        <v>2570</v>
      </c>
      <c r="AD1411" s="2">
        <v>10</v>
      </c>
      <c r="AE1411" s="2" t="s">
        <v>59</v>
      </c>
      <c r="AF1411" s="2" t="s">
        <v>86</v>
      </c>
      <c r="AG1411" s="2" t="s">
        <v>61</v>
      </c>
      <c r="AH1411" s="2" t="s">
        <v>62</v>
      </c>
      <c r="AI1411" s="2" t="s">
        <v>87</v>
      </c>
      <c r="AJ1411" s="2">
        <v>3.2436319328369501</v>
      </c>
      <c r="AK1411" s="2">
        <v>0.204079722848208</v>
      </c>
      <c r="AL1411" s="2">
        <v>0.37710261382055499</v>
      </c>
      <c r="AM1411" s="2">
        <v>0.48697550439486198</v>
      </c>
      <c r="AN1411" s="2">
        <v>5.2816591241398596</v>
      </c>
      <c r="AO1411" s="2">
        <v>0.862759610236709</v>
      </c>
      <c r="AP1411" s="2">
        <v>0.862759610236709</v>
      </c>
      <c r="AQ1411" s="2">
        <v>0</v>
      </c>
      <c r="AR1411" s="2">
        <v>0</v>
      </c>
      <c r="AS1411" s="2">
        <v>15</v>
      </c>
      <c r="AT1411" s="2">
        <v>23</v>
      </c>
      <c r="AU1411" s="2">
        <v>1</v>
      </c>
      <c r="AV1411" s="2">
        <v>86</v>
      </c>
      <c r="AW1411" s="2">
        <v>0</v>
      </c>
      <c r="AX1411" s="2">
        <v>0</v>
      </c>
      <c r="AY1411" s="2">
        <v>15.5</v>
      </c>
      <c r="AZ1411" s="2">
        <v>2.4</v>
      </c>
      <c r="BA1411" s="2">
        <v>10.9</v>
      </c>
      <c r="BB1411" s="2">
        <v>564</v>
      </c>
      <c r="BC1411" s="2">
        <v>68</v>
      </c>
      <c r="BD1411" s="2">
        <v>1.5</v>
      </c>
      <c r="BE1411" s="2">
        <v>135</v>
      </c>
      <c r="BF1411" s="2">
        <v>0</v>
      </c>
      <c r="BG1411" s="2">
        <v>162</v>
      </c>
      <c r="BH1411" s="2">
        <v>9.1</v>
      </c>
      <c r="BI1411" s="2">
        <v>9.1999999999999993</v>
      </c>
      <c r="BJ1411" s="2">
        <v>18.3</v>
      </c>
      <c r="BK1411" s="2">
        <v>0.34</v>
      </c>
      <c r="BL1411" s="2">
        <v>7.3</v>
      </c>
      <c r="BM1411" s="2">
        <v>0.9</v>
      </c>
      <c r="BN1411" s="2">
        <v>7.5</v>
      </c>
      <c r="BO1411" s="2">
        <v>2.9</v>
      </c>
      <c r="BP1411" s="2">
        <f t="shared" si="44"/>
        <v>2.1843738166325877</v>
      </c>
      <c r="BQ1411" s="2">
        <f t="shared" si="45"/>
        <v>10.413670138877492</v>
      </c>
    </row>
    <row r="1412" spans="1:69" x14ac:dyDescent="0.2">
      <c r="A1412" s="2" t="s">
        <v>3184</v>
      </c>
      <c r="B1412" s="2" t="s">
        <v>47</v>
      </c>
      <c r="C1412" s="2" t="s">
        <v>1935</v>
      </c>
      <c r="D1412" s="2" t="s">
        <v>49</v>
      </c>
      <c r="E1412" s="2" t="s">
        <v>214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89</v>
      </c>
      <c r="L1412" s="6" t="s">
        <v>141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3185</v>
      </c>
      <c r="R1412" s="2">
        <v>5538461.5379999997</v>
      </c>
      <c r="S1412" s="2">
        <v>0</v>
      </c>
      <c r="T1412" s="2" t="s">
        <v>83</v>
      </c>
      <c r="U1412" s="2" t="s">
        <v>84</v>
      </c>
      <c r="V1412" s="2" t="s">
        <v>56</v>
      </c>
      <c r="W1412" s="2" t="s">
        <v>83</v>
      </c>
      <c r="X1412" s="2" t="s">
        <v>85</v>
      </c>
      <c r="Y1412" s="2">
        <v>0.90390045496274496</v>
      </c>
      <c r="Z1412" s="2">
        <v>903.90045496274502</v>
      </c>
      <c r="AA1412" s="2">
        <v>4.71035</v>
      </c>
      <c r="AB1412" s="2">
        <v>-74.030416666666696</v>
      </c>
      <c r="AC1412" s="2">
        <v>2570</v>
      </c>
      <c r="AD1412" s="2">
        <v>10</v>
      </c>
      <c r="AE1412" s="2" t="s">
        <v>59</v>
      </c>
      <c r="AF1412" s="2" t="s">
        <v>86</v>
      </c>
      <c r="AG1412" s="2" t="s">
        <v>61</v>
      </c>
      <c r="AH1412" s="2" t="s">
        <v>62</v>
      </c>
      <c r="AI1412" s="2" t="s">
        <v>87</v>
      </c>
      <c r="AJ1412" s="2">
        <v>1.9690302064526599</v>
      </c>
      <c r="AK1412" s="2">
        <v>1.2434255545661399</v>
      </c>
      <c r="AL1412" s="2">
        <v>0.594680407897485</v>
      </c>
      <c r="AM1412" s="2">
        <v>0.142890079659173</v>
      </c>
      <c r="AN1412" s="2">
        <v>4.1888281511641301</v>
      </c>
      <c r="AO1412" s="2">
        <v>0.293410267622844</v>
      </c>
      <c r="AP1412" s="2">
        <v>0.293410267622844</v>
      </c>
      <c r="AQ1412" s="2">
        <v>0</v>
      </c>
      <c r="AR1412" s="2">
        <v>0</v>
      </c>
      <c r="AS1412" s="2">
        <v>0</v>
      </c>
      <c r="AT1412" s="2">
        <v>0</v>
      </c>
      <c r="AU1412" s="2">
        <v>2</v>
      </c>
      <c r="AV1412" s="2">
        <v>121</v>
      </c>
      <c r="AW1412" s="2">
        <v>0</v>
      </c>
      <c r="AX1412" s="2">
        <v>0</v>
      </c>
      <c r="AY1412" s="2">
        <v>15.5</v>
      </c>
      <c r="AZ1412" s="2">
        <v>2.4</v>
      </c>
      <c r="BA1412" s="2">
        <v>10.9</v>
      </c>
      <c r="BB1412" s="2">
        <v>564</v>
      </c>
      <c r="BC1412" s="2">
        <v>68</v>
      </c>
      <c r="BD1412" s="2">
        <v>1.5</v>
      </c>
      <c r="BE1412" s="2">
        <v>135</v>
      </c>
      <c r="BF1412" s="2">
        <v>0</v>
      </c>
      <c r="BG1412" s="2">
        <v>162</v>
      </c>
      <c r="BH1412" s="2">
        <v>9.1</v>
      </c>
      <c r="BI1412" s="2">
        <v>9.1999999999999993</v>
      </c>
      <c r="BJ1412" s="2">
        <v>18.3</v>
      </c>
      <c r="BK1412" s="2">
        <v>0.34</v>
      </c>
      <c r="BL1412" s="2">
        <v>7.3</v>
      </c>
      <c r="BM1412" s="2">
        <v>0.9</v>
      </c>
      <c r="BN1412" s="2">
        <v>7.5</v>
      </c>
      <c r="BO1412" s="2">
        <v>2.9</v>
      </c>
      <c r="BP1412" s="2">
        <f t="shared" si="44"/>
        <v>2.2949835249902226</v>
      </c>
      <c r="BQ1412" s="2">
        <f t="shared" si="45"/>
        <v>10.666086033770426</v>
      </c>
    </row>
    <row r="1413" spans="1:69" x14ac:dyDescent="0.2">
      <c r="A1413" s="2" t="s">
        <v>735</v>
      </c>
      <c r="B1413" s="2" t="s">
        <v>47</v>
      </c>
      <c r="C1413" s="2" t="s">
        <v>48</v>
      </c>
      <c r="D1413" s="2" t="s">
        <v>49</v>
      </c>
      <c r="E1413" s="2" t="s">
        <v>249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89</v>
      </c>
      <c r="L1413" s="6" t="s">
        <v>141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736</v>
      </c>
      <c r="R1413" s="2">
        <v>10248447.199999999</v>
      </c>
      <c r="S1413" s="2">
        <v>0</v>
      </c>
      <c r="T1413" s="2" t="s">
        <v>83</v>
      </c>
      <c r="U1413" s="2" t="s">
        <v>84</v>
      </c>
      <c r="V1413" s="2" t="s">
        <v>56</v>
      </c>
      <c r="W1413" s="2" t="s">
        <v>83</v>
      </c>
      <c r="X1413" s="2" t="s">
        <v>85</v>
      </c>
      <c r="Y1413" s="2">
        <v>1.92566230392978</v>
      </c>
      <c r="Z1413" s="2">
        <v>1925.6623039297799</v>
      </c>
      <c r="AA1413" s="2">
        <v>4.71035</v>
      </c>
      <c r="AB1413" s="2">
        <v>-74.030416666666696</v>
      </c>
      <c r="AC1413" s="2">
        <v>2570</v>
      </c>
      <c r="AD1413" s="2">
        <v>10</v>
      </c>
      <c r="AE1413" s="2" t="s">
        <v>59</v>
      </c>
      <c r="AF1413" s="2" t="s">
        <v>86</v>
      </c>
      <c r="AG1413" s="2" t="s">
        <v>61</v>
      </c>
      <c r="AH1413" s="2" t="s">
        <v>62</v>
      </c>
      <c r="AI1413" s="2" t="s">
        <v>87</v>
      </c>
      <c r="AJ1413" s="2">
        <v>2.8641943604332001</v>
      </c>
      <c r="AK1413" s="2">
        <v>0.40444045858183603</v>
      </c>
      <c r="AL1413" s="2">
        <v>0.15749645726363701</v>
      </c>
      <c r="AM1413" s="2">
        <v>0.195270350723908</v>
      </c>
      <c r="AN1413" s="2">
        <v>5.3696710978179603</v>
      </c>
      <c r="AO1413" s="2">
        <v>0.57159362864920404</v>
      </c>
      <c r="AP1413" s="2">
        <v>0.57159362864920404</v>
      </c>
      <c r="AQ1413" s="2">
        <v>0</v>
      </c>
      <c r="AR1413" s="2">
        <v>0</v>
      </c>
      <c r="AS1413" s="2">
        <v>2</v>
      </c>
      <c r="AT1413" s="2">
        <v>21</v>
      </c>
      <c r="AU1413" s="2">
        <v>2</v>
      </c>
      <c r="AV1413" s="2">
        <v>106</v>
      </c>
      <c r="AW1413" s="2">
        <v>0</v>
      </c>
      <c r="AX1413" s="2">
        <v>0</v>
      </c>
      <c r="AY1413" s="2">
        <v>15.5</v>
      </c>
      <c r="AZ1413" s="2">
        <v>2.4</v>
      </c>
      <c r="BA1413" s="2">
        <v>10.9</v>
      </c>
      <c r="BB1413" s="2">
        <v>564</v>
      </c>
      <c r="BC1413" s="2">
        <v>68</v>
      </c>
      <c r="BD1413" s="2">
        <v>1.5</v>
      </c>
      <c r="BE1413" s="2">
        <v>135</v>
      </c>
      <c r="BF1413" s="2">
        <v>0</v>
      </c>
      <c r="BG1413" s="2">
        <v>162</v>
      </c>
      <c r="BH1413" s="2">
        <v>9.1</v>
      </c>
      <c r="BI1413" s="2">
        <v>9.1999999999999993</v>
      </c>
      <c r="BJ1413" s="2">
        <v>18.3</v>
      </c>
      <c r="BK1413" s="2">
        <v>0.34</v>
      </c>
      <c r="BL1413" s="2">
        <v>7.3</v>
      </c>
      <c r="BM1413" s="2">
        <v>0.9</v>
      </c>
      <c r="BN1413" s="2">
        <v>7.5</v>
      </c>
      <c r="BO1413" s="2">
        <v>2.9</v>
      </c>
      <c r="BP1413" s="2">
        <f t="shared" si="44"/>
        <v>2.1817961363145781</v>
      </c>
      <c r="BQ1413" s="2">
        <f t="shared" si="45"/>
        <v>10.407710169655379</v>
      </c>
    </row>
    <row r="1414" spans="1:69" x14ac:dyDescent="0.2">
      <c r="A1414" s="2" t="s">
        <v>2995</v>
      </c>
      <c r="B1414" s="2" t="s">
        <v>47</v>
      </c>
      <c r="C1414" s="2" t="s">
        <v>1935</v>
      </c>
      <c r="D1414" s="2" t="s">
        <v>49</v>
      </c>
      <c r="E1414" s="2" t="s">
        <v>2996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89</v>
      </c>
      <c r="L1414" s="6" t="s">
        <v>112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2997</v>
      </c>
      <c r="R1414" s="2">
        <v>5926388.0219999999</v>
      </c>
      <c r="S1414" s="2">
        <v>0</v>
      </c>
      <c r="T1414" s="2" t="s">
        <v>83</v>
      </c>
      <c r="U1414" s="2" t="s">
        <v>84</v>
      </c>
      <c r="V1414" s="2" t="s">
        <v>56</v>
      </c>
      <c r="W1414" s="2" t="s">
        <v>83</v>
      </c>
      <c r="X1414" s="2" t="s">
        <v>85</v>
      </c>
      <c r="Y1414" s="2">
        <v>2.9657279406338999</v>
      </c>
      <c r="Z1414" s="2">
        <v>2965.7279406338998</v>
      </c>
      <c r="AA1414" s="2">
        <v>4.71035</v>
      </c>
      <c r="AB1414" s="2">
        <v>-74.030416666666696</v>
      </c>
      <c r="AC1414" s="2">
        <v>2570</v>
      </c>
      <c r="AD1414" s="2">
        <v>10</v>
      </c>
      <c r="AE1414" s="2" t="s">
        <v>59</v>
      </c>
      <c r="AF1414" s="2" t="s">
        <v>86</v>
      </c>
      <c r="AG1414" s="2" t="s">
        <v>61</v>
      </c>
      <c r="AH1414" s="2" t="s">
        <v>62</v>
      </c>
      <c r="AI1414" s="2" t="s">
        <v>100</v>
      </c>
      <c r="AJ1414" s="2">
        <v>0.34884348100027202</v>
      </c>
      <c r="AK1414" s="2">
        <v>3.49801461455856</v>
      </c>
      <c r="AL1414" s="2">
        <v>1.64130168501438</v>
      </c>
      <c r="AM1414" s="2">
        <v>0.121102269591296</v>
      </c>
      <c r="AN1414" s="2">
        <v>4.5437019922595896</v>
      </c>
      <c r="AO1414" s="2">
        <v>0.167559090006136</v>
      </c>
      <c r="AP1414" s="2">
        <v>0.167559090006136</v>
      </c>
      <c r="AQ1414" s="2">
        <v>1</v>
      </c>
      <c r="AR1414" s="2">
        <v>2</v>
      </c>
      <c r="AS1414" s="2">
        <v>0</v>
      </c>
      <c r="AT1414" s="2">
        <v>0</v>
      </c>
      <c r="AU1414" s="2">
        <v>0</v>
      </c>
      <c r="AV1414" s="2">
        <v>113</v>
      </c>
      <c r="AW1414" s="2">
        <v>0</v>
      </c>
      <c r="AX1414" s="2">
        <v>0</v>
      </c>
      <c r="AY1414" s="2">
        <v>15.5</v>
      </c>
      <c r="AZ1414" s="2">
        <v>2.4</v>
      </c>
      <c r="BA1414" s="2">
        <v>10.9</v>
      </c>
      <c r="BB1414" s="2">
        <v>564</v>
      </c>
      <c r="BC1414" s="2">
        <v>68</v>
      </c>
      <c r="BD1414" s="2">
        <v>1.5</v>
      </c>
      <c r="BE1414" s="2">
        <v>135</v>
      </c>
      <c r="BF1414" s="2">
        <v>0</v>
      </c>
      <c r="BG1414" s="2">
        <v>162</v>
      </c>
      <c r="BH1414" s="2">
        <v>9.1</v>
      </c>
      <c r="BI1414" s="2">
        <v>9.1999999999999993</v>
      </c>
      <c r="BJ1414" s="2">
        <v>18.3</v>
      </c>
      <c r="BK1414" s="2">
        <v>0.34</v>
      </c>
      <c r="BL1414" s="2">
        <v>7.3</v>
      </c>
      <c r="BM1414" s="2">
        <v>0.9</v>
      </c>
      <c r="BN1414" s="2">
        <v>7.5</v>
      </c>
      <c r="BO1414" s="2">
        <v>2.9</v>
      </c>
      <c r="BP1414" s="2">
        <f t="shared" si="44"/>
        <v>2.0723126467284909</v>
      </c>
      <c r="BQ1414" s="2">
        <f t="shared" si="45"/>
        <v>10.15113293692086</v>
      </c>
    </row>
    <row r="1415" spans="1:69" x14ac:dyDescent="0.2">
      <c r="A1415" s="2" t="s">
        <v>2835</v>
      </c>
      <c r="B1415" s="2" t="s">
        <v>47</v>
      </c>
      <c r="C1415" s="2" t="s">
        <v>1935</v>
      </c>
      <c r="D1415" s="2" t="s">
        <v>49</v>
      </c>
      <c r="E1415" s="2" t="s">
        <v>1121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89</v>
      </c>
      <c r="L1415" s="6" t="s">
        <v>141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2836</v>
      </c>
      <c r="R1415" s="2">
        <v>3437500</v>
      </c>
      <c r="S1415" s="2">
        <v>0</v>
      </c>
      <c r="T1415" s="2" t="s">
        <v>83</v>
      </c>
      <c r="U1415" s="2" t="s">
        <v>84</v>
      </c>
      <c r="V1415" s="2" t="s">
        <v>56</v>
      </c>
      <c r="W1415" s="2" t="s">
        <v>83</v>
      </c>
      <c r="X1415" s="2" t="s">
        <v>85</v>
      </c>
      <c r="Y1415" s="2">
        <v>3.5333683618747198</v>
      </c>
      <c r="Z1415" s="2">
        <v>3533.36836187472</v>
      </c>
      <c r="AA1415" s="2">
        <v>4.71035</v>
      </c>
      <c r="AB1415" s="2">
        <v>-74.030416666666696</v>
      </c>
      <c r="AC1415" s="2">
        <v>2570</v>
      </c>
      <c r="AD1415" s="2">
        <v>10</v>
      </c>
      <c r="AE1415" s="2" t="s">
        <v>59</v>
      </c>
      <c r="AF1415" s="2" t="s">
        <v>86</v>
      </c>
      <c r="AG1415" s="2" t="s">
        <v>61</v>
      </c>
      <c r="AH1415" s="2" t="s">
        <v>62</v>
      </c>
      <c r="AI1415" s="2" t="s">
        <v>100</v>
      </c>
      <c r="AJ1415" s="2">
        <v>0.87747374327718197</v>
      </c>
      <c r="AK1415" s="2">
        <v>4.0612182940154504</v>
      </c>
      <c r="AL1415" s="2">
        <v>1.2517021082525399</v>
      </c>
      <c r="AM1415" s="2">
        <v>0.39882176711721301</v>
      </c>
      <c r="AN1415" s="2">
        <v>4.2012613507334802</v>
      </c>
      <c r="AO1415" s="2">
        <v>0.11967069476953</v>
      </c>
      <c r="AP1415" s="2">
        <v>0.11967069476953</v>
      </c>
      <c r="AQ1415" s="2">
        <v>0</v>
      </c>
      <c r="AR1415" s="2">
        <v>1</v>
      </c>
      <c r="AS1415" s="2">
        <v>0</v>
      </c>
      <c r="AT1415" s="2">
        <v>0</v>
      </c>
      <c r="AU1415" s="2">
        <v>0</v>
      </c>
      <c r="AV1415" s="2">
        <v>33</v>
      </c>
      <c r="AW1415" s="2">
        <v>0</v>
      </c>
      <c r="AX1415" s="2">
        <v>0</v>
      </c>
      <c r="AY1415" s="2">
        <v>15.5</v>
      </c>
      <c r="AZ1415" s="2">
        <v>2.4</v>
      </c>
      <c r="BA1415" s="2">
        <v>10.9</v>
      </c>
      <c r="BB1415" s="2">
        <v>564</v>
      </c>
      <c r="BC1415" s="2">
        <v>68</v>
      </c>
      <c r="BD1415" s="2">
        <v>1.5</v>
      </c>
      <c r="BE1415" s="2">
        <v>135</v>
      </c>
      <c r="BF1415" s="2">
        <v>0</v>
      </c>
      <c r="BG1415" s="2">
        <v>162</v>
      </c>
      <c r="BH1415" s="2">
        <v>9.1</v>
      </c>
      <c r="BI1415" s="2">
        <v>9.1999999999999993</v>
      </c>
      <c r="BJ1415" s="2">
        <v>18.3</v>
      </c>
      <c r="BK1415" s="2">
        <v>0.34</v>
      </c>
      <c r="BL1415" s="2">
        <v>7.3</v>
      </c>
      <c r="BM1415" s="2">
        <v>0.9</v>
      </c>
      <c r="BN1415" s="2">
        <v>7.5</v>
      </c>
      <c r="BO1415" s="2">
        <v>2.9</v>
      </c>
      <c r="BP1415" s="2">
        <f t="shared" si="44"/>
        <v>2.0148948359499292</v>
      </c>
      <c r="BQ1415" s="2">
        <f t="shared" si="45"/>
        <v>10.013778038568447</v>
      </c>
    </row>
    <row r="1416" spans="1:69" x14ac:dyDescent="0.2">
      <c r="A1416" s="2" t="s">
        <v>3067</v>
      </c>
      <c r="B1416" s="2" t="s">
        <v>47</v>
      </c>
      <c r="C1416" s="2" t="s">
        <v>1935</v>
      </c>
      <c r="D1416" s="2" t="s">
        <v>49</v>
      </c>
      <c r="E1416" s="2" t="s">
        <v>323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89</v>
      </c>
      <c r="L1416" s="6" t="s">
        <v>141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3068</v>
      </c>
      <c r="R1416" s="2">
        <v>3750000</v>
      </c>
      <c r="S1416" s="2">
        <v>0</v>
      </c>
      <c r="T1416" s="2" t="s">
        <v>83</v>
      </c>
      <c r="U1416" s="2" t="s">
        <v>84</v>
      </c>
      <c r="V1416" s="2" t="s">
        <v>56</v>
      </c>
      <c r="W1416" s="2" t="s">
        <v>83</v>
      </c>
      <c r="X1416" s="2" t="s">
        <v>85</v>
      </c>
      <c r="Y1416" s="2">
        <v>3.5121919601756799</v>
      </c>
      <c r="Z1416" s="2">
        <v>3512.1919601756799</v>
      </c>
      <c r="AA1416" s="2">
        <v>4.71035</v>
      </c>
      <c r="AB1416" s="2">
        <v>-74.030416666666696</v>
      </c>
      <c r="AC1416" s="2">
        <v>2570</v>
      </c>
      <c r="AD1416" s="2">
        <v>10</v>
      </c>
      <c r="AE1416" s="2" t="s">
        <v>59</v>
      </c>
      <c r="AF1416" s="2" t="s">
        <v>86</v>
      </c>
      <c r="AG1416" s="2" t="s">
        <v>61</v>
      </c>
      <c r="AH1416" s="2" t="s">
        <v>62</v>
      </c>
      <c r="AI1416" s="2" t="s">
        <v>100</v>
      </c>
      <c r="AJ1416" s="2">
        <v>0.5939985615283</v>
      </c>
      <c r="AK1416" s="2">
        <v>3.5690470778255099</v>
      </c>
      <c r="AL1416" s="2">
        <v>1.05746411256969</v>
      </c>
      <c r="AM1416" s="2">
        <v>0.190065445913149</v>
      </c>
      <c r="AN1416" s="2">
        <v>3.7530122959123098</v>
      </c>
      <c r="AO1416" s="2">
        <v>9.5386973237823094E-2</v>
      </c>
      <c r="AP1416" s="2">
        <v>9.5386973237823094E-2</v>
      </c>
      <c r="AQ1416" s="2">
        <v>0</v>
      </c>
      <c r="AR1416" s="2">
        <v>3</v>
      </c>
      <c r="AS1416" s="2">
        <v>0</v>
      </c>
      <c r="AT1416" s="2">
        <v>0</v>
      </c>
      <c r="AU1416" s="2">
        <v>0</v>
      </c>
      <c r="AV1416" s="2">
        <v>75</v>
      </c>
      <c r="AW1416" s="2">
        <v>0</v>
      </c>
      <c r="AX1416" s="2">
        <v>0</v>
      </c>
      <c r="AY1416" s="2">
        <v>15.5</v>
      </c>
      <c r="AZ1416" s="2">
        <v>2.4</v>
      </c>
      <c r="BA1416" s="2">
        <v>10.9</v>
      </c>
      <c r="BB1416" s="2">
        <v>564</v>
      </c>
      <c r="BC1416" s="2">
        <v>68</v>
      </c>
      <c r="BD1416" s="2">
        <v>1.5</v>
      </c>
      <c r="BE1416" s="2">
        <v>135</v>
      </c>
      <c r="BF1416" s="2">
        <v>0</v>
      </c>
      <c r="BG1416" s="2">
        <v>162</v>
      </c>
      <c r="BH1416" s="2">
        <v>9.1</v>
      </c>
      <c r="BI1416" s="2">
        <v>9.1999999999999993</v>
      </c>
      <c r="BJ1416" s="2">
        <v>18.3</v>
      </c>
      <c r="BK1416" s="2">
        <v>0.34</v>
      </c>
      <c r="BL1416" s="2">
        <v>7.3</v>
      </c>
      <c r="BM1416" s="2">
        <v>0.9</v>
      </c>
      <c r="BN1416" s="2">
        <v>7.5</v>
      </c>
      <c r="BO1416" s="2">
        <v>2.9</v>
      </c>
      <c r="BP1416" s="2">
        <f t="shared" si="44"/>
        <v>2.017008020320207</v>
      </c>
      <c r="BQ1416" s="2">
        <f t="shared" si="45"/>
        <v>10.018868670944657</v>
      </c>
    </row>
    <row r="1417" spans="1:69" x14ac:dyDescent="0.2">
      <c r="A1417" s="2" t="s">
        <v>2514</v>
      </c>
      <c r="B1417" s="2" t="s">
        <v>47</v>
      </c>
      <c r="C1417" s="2" t="s">
        <v>1935</v>
      </c>
      <c r="D1417" s="2" t="s">
        <v>49</v>
      </c>
      <c r="E1417" s="2" t="s">
        <v>323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89</v>
      </c>
      <c r="L1417" s="6" t="s">
        <v>103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2515</v>
      </c>
      <c r="R1417" s="2">
        <v>5468750</v>
      </c>
      <c r="S1417" s="2">
        <v>0</v>
      </c>
      <c r="T1417" s="2" t="s">
        <v>83</v>
      </c>
      <c r="U1417" s="2" t="s">
        <v>84</v>
      </c>
      <c r="V1417" s="2" t="s">
        <v>56</v>
      </c>
      <c r="W1417" s="2" t="s">
        <v>83</v>
      </c>
      <c r="X1417" s="2" t="s">
        <v>85</v>
      </c>
      <c r="Y1417" s="2">
        <v>3.4042056150889799</v>
      </c>
      <c r="Z1417" s="2">
        <v>3404.2056150889798</v>
      </c>
      <c r="AA1417" s="2">
        <v>4.71035</v>
      </c>
      <c r="AB1417" s="2">
        <v>-74.030416666666696</v>
      </c>
      <c r="AC1417" s="2">
        <v>2570</v>
      </c>
      <c r="AD1417" s="2">
        <v>10</v>
      </c>
      <c r="AE1417" s="2" t="s">
        <v>59</v>
      </c>
      <c r="AF1417" s="2" t="s">
        <v>86</v>
      </c>
      <c r="AG1417" s="2" t="s">
        <v>61</v>
      </c>
      <c r="AH1417" s="2" t="s">
        <v>62</v>
      </c>
      <c r="AI1417" s="2" t="s">
        <v>100</v>
      </c>
      <c r="AJ1417" s="2">
        <v>0.37225378914475898</v>
      </c>
      <c r="AK1417" s="2">
        <v>3.3114969013267999</v>
      </c>
      <c r="AL1417" s="2">
        <v>1.1270686691727601</v>
      </c>
      <c r="AM1417" s="2">
        <v>6.3807929625097903E-2</v>
      </c>
      <c r="AN1417" s="2">
        <v>3.7413269315772801</v>
      </c>
      <c r="AO1417" s="2">
        <v>0.11722802509496499</v>
      </c>
      <c r="AP1417" s="2">
        <v>0.11722802509496499</v>
      </c>
      <c r="AQ1417" s="2">
        <v>1</v>
      </c>
      <c r="AR1417" s="2">
        <v>3</v>
      </c>
      <c r="AS1417" s="2">
        <v>0</v>
      </c>
      <c r="AT1417" s="2">
        <v>0</v>
      </c>
      <c r="AU1417" s="2">
        <v>0</v>
      </c>
      <c r="AV1417" s="2">
        <v>115</v>
      </c>
      <c r="AW1417" s="2">
        <v>0</v>
      </c>
      <c r="AX1417" s="2">
        <v>0</v>
      </c>
      <c r="AY1417" s="2">
        <v>15.5</v>
      </c>
      <c r="AZ1417" s="2">
        <v>2.4</v>
      </c>
      <c r="BA1417" s="2">
        <v>10.9</v>
      </c>
      <c r="BB1417" s="2">
        <v>564</v>
      </c>
      <c r="BC1417" s="2">
        <v>68</v>
      </c>
      <c r="BD1417" s="2">
        <v>1.5</v>
      </c>
      <c r="BE1417" s="2">
        <v>135</v>
      </c>
      <c r="BF1417" s="2">
        <v>0</v>
      </c>
      <c r="BG1417" s="2">
        <v>162</v>
      </c>
      <c r="BH1417" s="2">
        <v>9.1</v>
      </c>
      <c r="BI1417" s="2">
        <v>9.1999999999999993</v>
      </c>
      <c r="BJ1417" s="2">
        <v>18.3</v>
      </c>
      <c r="BK1417" s="2">
        <v>0.34</v>
      </c>
      <c r="BL1417" s="2">
        <v>7.3</v>
      </c>
      <c r="BM1417" s="2">
        <v>0.9</v>
      </c>
      <c r="BN1417" s="2">
        <v>7.5</v>
      </c>
      <c r="BO1417" s="2">
        <v>2.9</v>
      </c>
      <c r="BP1417" s="2">
        <f t="shared" si="44"/>
        <v>2.0278184487460322</v>
      </c>
      <c r="BQ1417" s="2">
        <f t="shared" si="45"/>
        <v>10.044867971457601</v>
      </c>
    </row>
    <row r="1418" spans="1:69" x14ac:dyDescent="0.2">
      <c r="A1418" s="2" t="s">
        <v>2780</v>
      </c>
      <c r="B1418" s="2" t="s">
        <v>47</v>
      </c>
      <c r="C1418" s="2" t="s">
        <v>1935</v>
      </c>
      <c r="D1418" s="2" t="s">
        <v>49</v>
      </c>
      <c r="E1418" s="2" t="s">
        <v>2781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89</v>
      </c>
      <c r="L1418" s="6" t="s">
        <v>141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2782</v>
      </c>
      <c r="R1418" s="2">
        <v>4531250</v>
      </c>
      <c r="S1418" s="2">
        <v>0</v>
      </c>
      <c r="T1418" s="2" t="s">
        <v>83</v>
      </c>
      <c r="U1418" s="2" t="s">
        <v>84</v>
      </c>
      <c r="V1418" s="2" t="s">
        <v>56</v>
      </c>
      <c r="W1418" s="2" t="s">
        <v>83</v>
      </c>
      <c r="X1418" s="2" t="s">
        <v>85</v>
      </c>
      <c r="Y1418" s="2">
        <v>2.5398353215435301</v>
      </c>
      <c r="Z1418" s="2">
        <v>2539.83532154353</v>
      </c>
      <c r="AA1418" s="2">
        <v>4.71035</v>
      </c>
      <c r="AB1418" s="2">
        <v>-74.030416666666696</v>
      </c>
      <c r="AC1418" s="2">
        <v>2570</v>
      </c>
      <c r="AD1418" s="2">
        <v>10</v>
      </c>
      <c r="AE1418" s="2" t="s">
        <v>59</v>
      </c>
      <c r="AF1418" s="2" t="s">
        <v>86</v>
      </c>
      <c r="AG1418" s="2" t="s">
        <v>61</v>
      </c>
      <c r="AH1418" s="2" t="s">
        <v>62</v>
      </c>
      <c r="AI1418" s="2" t="s">
        <v>87</v>
      </c>
      <c r="AJ1418" s="2">
        <v>0.93222254379554303</v>
      </c>
      <c r="AK1418" s="2">
        <v>2.1687788777875601</v>
      </c>
      <c r="AL1418" s="2">
        <v>0.32204580890620299</v>
      </c>
      <c r="AM1418" s="2">
        <v>0.18125915353201399</v>
      </c>
      <c r="AN1418" s="2">
        <v>2.0441047634129101</v>
      </c>
      <c r="AO1418" s="2">
        <v>0.203643082394006</v>
      </c>
      <c r="AP1418" s="2">
        <v>0.203643082394006</v>
      </c>
      <c r="AQ1418" s="2">
        <v>0</v>
      </c>
      <c r="AR1418" s="2">
        <v>2</v>
      </c>
      <c r="AS1418" s="2">
        <v>0</v>
      </c>
      <c r="AT1418" s="2">
        <v>0</v>
      </c>
      <c r="AU1418" s="2">
        <v>1</v>
      </c>
      <c r="AV1418" s="2">
        <v>22</v>
      </c>
      <c r="AW1418" s="2">
        <v>0</v>
      </c>
      <c r="AX1418" s="2">
        <v>0</v>
      </c>
      <c r="AY1418" s="2">
        <v>15.5</v>
      </c>
      <c r="AZ1418" s="2">
        <v>2.4</v>
      </c>
      <c r="BA1418" s="2">
        <v>10.9</v>
      </c>
      <c r="BB1418" s="2">
        <v>564</v>
      </c>
      <c r="BC1418" s="2">
        <v>68</v>
      </c>
      <c r="BD1418" s="2">
        <v>1.5</v>
      </c>
      <c r="BE1418" s="2">
        <v>135</v>
      </c>
      <c r="BF1418" s="2">
        <v>0</v>
      </c>
      <c r="BG1418" s="2">
        <v>162</v>
      </c>
      <c r="BH1418" s="2">
        <v>9.1</v>
      </c>
      <c r="BI1418" s="2">
        <v>9.1999999999999993</v>
      </c>
      <c r="BJ1418" s="2">
        <v>18.3</v>
      </c>
      <c r="BK1418" s="2">
        <v>0.34</v>
      </c>
      <c r="BL1418" s="2">
        <v>7.3</v>
      </c>
      <c r="BM1418" s="2">
        <v>0.9</v>
      </c>
      <c r="BN1418" s="2">
        <v>7.5</v>
      </c>
      <c r="BO1418" s="2">
        <v>2.9</v>
      </c>
      <c r="BP1418" s="2">
        <f t="shared" si="44"/>
        <v>2.1164642482964511</v>
      </c>
      <c r="BQ1418" s="2">
        <f t="shared" si="45"/>
        <v>10.255424052952723</v>
      </c>
    </row>
    <row r="1419" spans="1:69" x14ac:dyDescent="0.2">
      <c r="A1419" s="2" t="s">
        <v>1586</v>
      </c>
      <c r="B1419" s="2" t="s">
        <v>47</v>
      </c>
      <c r="C1419" s="2" t="s">
        <v>48</v>
      </c>
      <c r="D1419" s="2" t="s">
        <v>49</v>
      </c>
      <c r="E1419" s="2" t="s">
        <v>249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89</v>
      </c>
      <c r="L1419" s="6" t="s">
        <v>141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1587</v>
      </c>
      <c r="R1419" s="2">
        <v>9301587.3019999992</v>
      </c>
      <c r="S1419" s="2">
        <v>0</v>
      </c>
      <c r="T1419" s="2" t="s">
        <v>83</v>
      </c>
      <c r="U1419" s="2" t="s">
        <v>84</v>
      </c>
      <c r="V1419" s="2" t="s">
        <v>56</v>
      </c>
      <c r="W1419" s="2" t="s">
        <v>83</v>
      </c>
      <c r="X1419" s="2" t="s">
        <v>85</v>
      </c>
      <c r="Y1419" s="2">
        <v>1.4660417179316001</v>
      </c>
      <c r="Z1419" s="2">
        <v>1466.0417179316</v>
      </c>
      <c r="AA1419" s="2">
        <v>4.71035</v>
      </c>
      <c r="AB1419" s="2">
        <v>-74.030416666666696</v>
      </c>
      <c r="AC1419" s="2">
        <v>2570</v>
      </c>
      <c r="AD1419" s="2">
        <v>10</v>
      </c>
      <c r="AE1419" s="2" t="s">
        <v>59</v>
      </c>
      <c r="AF1419" s="2" t="s">
        <v>86</v>
      </c>
      <c r="AG1419" s="2" t="s">
        <v>61</v>
      </c>
      <c r="AH1419" s="2" t="s">
        <v>62</v>
      </c>
      <c r="AI1419" s="2" t="s">
        <v>87</v>
      </c>
      <c r="AJ1419" s="2">
        <v>3.01499465463238</v>
      </c>
      <c r="AK1419" s="2">
        <v>0.23765733561307201</v>
      </c>
      <c r="AL1419" s="2">
        <v>0.37609905813070699</v>
      </c>
      <c r="AM1419" s="2">
        <v>0.257587999793363</v>
      </c>
      <c r="AN1419" s="2">
        <v>4.8796021734834598</v>
      </c>
      <c r="AO1419" s="2">
        <v>0.61829919085756002</v>
      </c>
      <c r="AP1419" s="2">
        <v>0.61829919085756002</v>
      </c>
      <c r="AQ1419" s="2">
        <v>0</v>
      </c>
      <c r="AR1419" s="2">
        <v>0</v>
      </c>
      <c r="AS1419" s="2">
        <v>14</v>
      </c>
      <c r="AT1419" s="2">
        <v>26</v>
      </c>
      <c r="AU1419" s="2">
        <v>2</v>
      </c>
      <c r="AV1419" s="2">
        <v>111</v>
      </c>
      <c r="AW1419" s="2">
        <v>0</v>
      </c>
      <c r="AX1419" s="2">
        <v>0</v>
      </c>
      <c r="AY1419" s="2">
        <v>15.5</v>
      </c>
      <c r="AZ1419" s="2">
        <v>2.4</v>
      </c>
      <c r="BA1419" s="2">
        <v>10.9</v>
      </c>
      <c r="BB1419" s="2">
        <v>564</v>
      </c>
      <c r="BC1419" s="2">
        <v>68</v>
      </c>
      <c r="BD1419" s="2">
        <v>1.5</v>
      </c>
      <c r="BE1419" s="2">
        <v>135</v>
      </c>
      <c r="BF1419" s="2">
        <v>0</v>
      </c>
      <c r="BG1419" s="2">
        <v>162</v>
      </c>
      <c r="BH1419" s="2">
        <v>9.1</v>
      </c>
      <c r="BI1419" s="2">
        <v>9.1999999999999993</v>
      </c>
      <c r="BJ1419" s="2">
        <v>18.3</v>
      </c>
      <c r="BK1419" s="2">
        <v>0.34</v>
      </c>
      <c r="BL1419" s="2">
        <v>7.3</v>
      </c>
      <c r="BM1419" s="2">
        <v>0.9</v>
      </c>
      <c r="BN1419" s="2">
        <v>7.5</v>
      </c>
      <c r="BO1419" s="2">
        <v>2.9</v>
      </c>
      <c r="BP1419" s="2">
        <f t="shared" si="44"/>
        <v>2.2320036332463546</v>
      </c>
      <c r="BQ1419" s="2">
        <f t="shared" si="45"/>
        <v>10.523152061037994</v>
      </c>
    </row>
    <row r="1420" spans="1:69" x14ac:dyDescent="0.2">
      <c r="A1420" s="2" t="s">
        <v>2548</v>
      </c>
      <c r="B1420" s="2" t="s">
        <v>47</v>
      </c>
      <c r="C1420" s="2" t="s">
        <v>1935</v>
      </c>
      <c r="D1420" s="2" t="s">
        <v>49</v>
      </c>
      <c r="E1420" s="2" t="s">
        <v>184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89</v>
      </c>
      <c r="L1420" s="6" t="s">
        <v>141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2549</v>
      </c>
      <c r="R1420" s="2">
        <v>3499729.5660000001</v>
      </c>
      <c r="S1420" s="2">
        <v>0</v>
      </c>
      <c r="T1420" s="2" t="s">
        <v>83</v>
      </c>
      <c r="U1420" s="2" t="s">
        <v>84</v>
      </c>
      <c r="V1420" s="2" t="s">
        <v>56</v>
      </c>
      <c r="W1420" s="2" t="s">
        <v>83</v>
      </c>
      <c r="X1420" s="2" t="s">
        <v>85</v>
      </c>
      <c r="Y1420" s="2">
        <v>0.91664168289662395</v>
      </c>
      <c r="Z1420" s="2">
        <v>916.64168289662405</v>
      </c>
      <c r="AA1420" s="2">
        <v>4.71035</v>
      </c>
      <c r="AB1420" s="2">
        <v>-74.030416666666696</v>
      </c>
      <c r="AC1420" s="2">
        <v>2570</v>
      </c>
      <c r="AD1420" s="2">
        <v>10</v>
      </c>
      <c r="AE1420" s="2" t="s">
        <v>59</v>
      </c>
      <c r="AF1420" s="2" t="s">
        <v>86</v>
      </c>
      <c r="AG1420" s="2" t="s">
        <v>61</v>
      </c>
      <c r="AH1420" s="2" t="s">
        <v>62</v>
      </c>
      <c r="AI1420" s="2" t="s">
        <v>87</v>
      </c>
      <c r="AJ1420" s="2">
        <v>1.8922932197414899</v>
      </c>
      <c r="AK1420" s="2">
        <v>1.2356285261993301</v>
      </c>
      <c r="AL1420" s="2">
        <v>0.76086709703698496</v>
      </c>
      <c r="AM1420" s="2">
        <v>0.154008442327671</v>
      </c>
      <c r="AN1420" s="2">
        <v>2.8236187023425399</v>
      </c>
      <c r="AO1420" s="2">
        <v>0.13875468440956801</v>
      </c>
      <c r="AP1420" s="2">
        <v>0.13875468440956801</v>
      </c>
      <c r="AQ1420" s="2">
        <v>0</v>
      </c>
      <c r="AR1420" s="2">
        <v>0</v>
      </c>
      <c r="AS1420" s="2">
        <v>0</v>
      </c>
      <c r="AT1420" s="2">
        <v>0</v>
      </c>
      <c r="AU1420" s="2">
        <v>1</v>
      </c>
      <c r="AV1420" s="2">
        <v>74</v>
      </c>
      <c r="AW1420" s="2">
        <v>0</v>
      </c>
      <c r="AX1420" s="2">
        <v>0</v>
      </c>
      <c r="AY1420" s="2">
        <v>15.5</v>
      </c>
      <c r="AZ1420" s="2">
        <v>2.4</v>
      </c>
      <c r="BA1420" s="2">
        <v>10.9</v>
      </c>
      <c r="BB1420" s="2">
        <v>564</v>
      </c>
      <c r="BC1420" s="2">
        <v>68</v>
      </c>
      <c r="BD1420" s="2">
        <v>1.5</v>
      </c>
      <c r="BE1420" s="2">
        <v>135</v>
      </c>
      <c r="BF1420" s="2">
        <v>0</v>
      </c>
      <c r="BG1420" s="2">
        <v>162</v>
      </c>
      <c r="BH1420" s="2">
        <v>9.1</v>
      </c>
      <c r="BI1420" s="2">
        <v>9.1999999999999993</v>
      </c>
      <c r="BJ1420" s="2">
        <v>18.3</v>
      </c>
      <c r="BK1420" s="2">
        <v>0.34</v>
      </c>
      <c r="BL1420" s="2">
        <v>7.3</v>
      </c>
      <c r="BM1420" s="2">
        <v>0.9</v>
      </c>
      <c r="BN1420" s="2">
        <v>7.5</v>
      </c>
      <c r="BO1420" s="2">
        <v>2.9</v>
      </c>
      <c r="BP1420" s="2">
        <f t="shared" si="44"/>
        <v>2.2935365563773478</v>
      </c>
      <c r="BQ1420" s="2">
        <f t="shared" si="45"/>
        <v>10.662824955597873</v>
      </c>
    </row>
    <row r="1421" spans="1:69" x14ac:dyDescent="0.2">
      <c r="A1421" s="2" t="s">
        <v>1321</v>
      </c>
      <c r="B1421" s="2" t="s">
        <v>47</v>
      </c>
      <c r="C1421" s="2" t="s">
        <v>48</v>
      </c>
      <c r="D1421" s="2" t="s">
        <v>49</v>
      </c>
      <c r="E1421" s="2" t="s">
        <v>181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89</v>
      </c>
      <c r="L1421" s="6" t="s">
        <v>112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1322</v>
      </c>
      <c r="R1421" s="2">
        <v>12339743.59</v>
      </c>
      <c r="S1421" s="2">
        <v>0</v>
      </c>
      <c r="T1421" s="2" t="s">
        <v>83</v>
      </c>
      <c r="U1421" s="2" t="s">
        <v>84</v>
      </c>
      <c r="V1421" s="2" t="s">
        <v>56</v>
      </c>
      <c r="W1421" s="2" t="s">
        <v>83</v>
      </c>
      <c r="X1421" s="2" t="s">
        <v>85</v>
      </c>
      <c r="Y1421" s="2">
        <v>1.1982834677076699</v>
      </c>
      <c r="Z1421" s="2">
        <v>1198.2834677076701</v>
      </c>
      <c r="AA1421" s="2">
        <v>4.71035</v>
      </c>
      <c r="AB1421" s="2">
        <v>-74.030416666666696</v>
      </c>
      <c r="AC1421" s="2">
        <v>2570</v>
      </c>
      <c r="AD1421" s="2">
        <v>10</v>
      </c>
      <c r="AE1421" s="2" t="s">
        <v>59</v>
      </c>
      <c r="AF1421" s="2" t="s">
        <v>86</v>
      </c>
      <c r="AG1421" s="2" t="s">
        <v>61</v>
      </c>
      <c r="AH1421" s="2" t="s">
        <v>62</v>
      </c>
      <c r="AI1421" s="2" t="s">
        <v>87</v>
      </c>
      <c r="AJ1421" s="2">
        <v>2.9601763089172599</v>
      </c>
      <c r="AK1421" s="2">
        <v>0.23884285088726001</v>
      </c>
      <c r="AL1421" s="2">
        <v>0.52560379124396905</v>
      </c>
      <c r="AM1421" s="2">
        <v>0.16080832835405601</v>
      </c>
      <c r="AN1421" s="2">
        <v>4.6067922477359797</v>
      </c>
      <c r="AO1421" s="2">
        <v>0.37196602403544499</v>
      </c>
      <c r="AP1421" s="2">
        <v>0.37196602403544499</v>
      </c>
      <c r="AQ1421" s="2">
        <v>0</v>
      </c>
      <c r="AR1421" s="2">
        <v>0</v>
      </c>
      <c r="AS1421" s="2">
        <v>11</v>
      </c>
      <c r="AT1421" s="2">
        <v>30</v>
      </c>
      <c r="AU1421" s="2">
        <v>2</v>
      </c>
      <c r="AV1421" s="2">
        <v>103</v>
      </c>
      <c r="AW1421" s="2">
        <v>0</v>
      </c>
      <c r="AX1421" s="2">
        <v>0</v>
      </c>
      <c r="AY1421" s="2">
        <v>15.5</v>
      </c>
      <c r="AZ1421" s="2">
        <v>2.4</v>
      </c>
      <c r="BA1421" s="2">
        <v>10.9</v>
      </c>
      <c r="BB1421" s="2">
        <v>564</v>
      </c>
      <c r="BC1421" s="2">
        <v>68</v>
      </c>
      <c r="BD1421" s="2">
        <v>1.5</v>
      </c>
      <c r="BE1421" s="2">
        <v>135</v>
      </c>
      <c r="BF1421" s="2">
        <v>0</v>
      </c>
      <c r="BG1421" s="2">
        <v>162</v>
      </c>
      <c r="BH1421" s="2">
        <v>9.1</v>
      </c>
      <c r="BI1421" s="2">
        <v>9.1999999999999993</v>
      </c>
      <c r="BJ1421" s="2">
        <v>18.3</v>
      </c>
      <c r="BK1421" s="2">
        <v>0.34</v>
      </c>
      <c r="BL1421" s="2">
        <v>7.3</v>
      </c>
      <c r="BM1421" s="2">
        <v>0.9</v>
      </c>
      <c r="BN1421" s="2">
        <v>7.5</v>
      </c>
      <c r="BO1421" s="2">
        <v>2.9</v>
      </c>
      <c r="BP1421" s="2">
        <f t="shared" si="44"/>
        <v>2.2617836003069547</v>
      </c>
      <c r="BQ1421" s="2">
        <f t="shared" si="45"/>
        <v>10.590993668157523</v>
      </c>
    </row>
    <row r="1422" spans="1:69" x14ac:dyDescent="0.2">
      <c r="A1422" s="2" t="s">
        <v>1862</v>
      </c>
      <c r="B1422" s="2" t="s">
        <v>47</v>
      </c>
      <c r="C1422" s="2" t="s">
        <v>48</v>
      </c>
      <c r="D1422" s="2" t="s">
        <v>49</v>
      </c>
      <c r="E1422" s="2" t="s">
        <v>249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89</v>
      </c>
      <c r="L1422" s="6" t="s">
        <v>103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1863</v>
      </c>
      <c r="R1422" s="2">
        <v>11253657.439999999</v>
      </c>
      <c r="S1422" s="2">
        <v>0</v>
      </c>
      <c r="T1422" s="2" t="s">
        <v>83</v>
      </c>
      <c r="U1422" s="2" t="s">
        <v>84</v>
      </c>
      <c r="V1422" s="2" t="s">
        <v>56</v>
      </c>
      <c r="W1422" s="2" t="s">
        <v>83</v>
      </c>
      <c r="X1422" s="2" t="s">
        <v>85</v>
      </c>
      <c r="Y1422" s="2">
        <v>1.5762999201514001</v>
      </c>
      <c r="Z1422" s="2">
        <v>1576.2999201514001</v>
      </c>
      <c r="AA1422" s="2">
        <v>4.71035</v>
      </c>
      <c r="AB1422" s="2">
        <v>-74.030416666666696</v>
      </c>
      <c r="AC1422" s="2">
        <v>2570</v>
      </c>
      <c r="AD1422" s="2">
        <v>10</v>
      </c>
      <c r="AE1422" s="2" t="s">
        <v>59</v>
      </c>
      <c r="AF1422" s="2" t="s">
        <v>86</v>
      </c>
      <c r="AG1422" s="2" t="s">
        <v>61</v>
      </c>
      <c r="AH1422" s="2" t="s">
        <v>62</v>
      </c>
      <c r="AI1422" s="2" t="s">
        <v>87</v>
      </c>
      <c r="AJ1422" s="2">
        <v>3.0902192118019101</v>
      </c>
      <c r="AK1422" s="2">
        <v>0.21397818509573299</v>
      </c>
      <c r="AL1422" s="2">
        <v>0.33385497782282297</v>
      </c>
      <c r="AM1422" s="2">
        <v>0.33448799823807601</v>
      </c>
      <c r="AN1422" s="2">
        <v>4.9784472368853301</v>
      </c>
      <c r="AO1422" s="2">
        <v>0.67314272688798205</v>
      </c>
      <c r="AP1422" s="2">
        <v>0.67314272688798205</v>
      </c>
      <c r="AQ1422" s="2">
        <v>0</v>
      </c>
      <c r="AR1422" s="2">
        <v>0</v>
      </c>
      <c r="AS1422" s="2">
        <v>14</v>
      </c>
      <c r="AT1422" s="2">
        <v>26</v>
      </c>
      <c r="AU1422" s="2">
        <v>2</v>
      </c>
      <c r="AV1422" s="2">
        <v>100</v>
      </c>
      <c r="AW1422" s="2">
        <v>0</v>
      </c>
      <c r="AX1422" s="2">
        <v>0</v>
      </c>
      <c r="AY1422" s="2">
        <v>15.5</v>
      </c>
      <c r="AZ1422" s="2">
        <v>2.4</v>
      </c>
      <c r="BA1422" s="2">
        <v>10.9</v>
      </c>
      <c r="BB1422" s="2">
        <v>564</v>
      </c>
      <c r="BC1422" s="2">
        <v>68</v>
      </c>
      <c r="BD1422" s="2">
        <v>1.5</v>
      </c>
      <c r="BE1422" s="2">
        <v>135</v>
      </c>
      <c r="BF1422" s="2">
        <v>0</v>
      </c>
      <c r="BG1422" s="2">
        <v>162</v>
      </c>
      <c r="BH1422" s="2">
        <v>9.1</v>
      </c>
      <c r="BI1422" s="2">
        <v>9.1999999999999993</v>
      </c>
      <c r="BJ1422" s="2">
        <v>18.3</v>
      </c>
      <c r="BK1422" s="2">
        <v>0.34</v>
      </c>
      <c r="BL1422" s="2">
        <v>7.3</v>
      </c>
      <c r="BM1422" s="2">
        <v>0.9</v>
      </c>
      <c r="BN1422" s="2">
        <v>7.5</v>
      </c>
      <c r="BO1422" s="2">
        <v>2.9</v>
      </c>
      <c r="BP1422" s="2">
        <f t="shared" si="44"/>
        <v>2.2198550285710232</v>
      </c>
      <c r="BQ1422" s="2">
        <f t="shared" si="45"/>
        <v>10.495342540128583</v>
      </c>
    </row>
    <row r="1423" spans="1:69" x14ac:dyDescent="0.2">
      <c r="A1423" s="2" t="s">
        <v>2801</v>
      </c>
      <c r="B1423" s="2" t="s">
        <v>47</v>
      </c>
      <c r="C1423" s="2" t="s">
        <v>1935</v>
      </c>
      <c r="D1423" s="2" t="s">
        <v>49</v>
      </c>
      <c r="E1423" s="2" t="s">
        <v>727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89</v>
      </c>
      <c r="L1423" s="6" t="s">
        <v>141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2802</v>
      </c>
      <c r="R1423" s="2">
        <v>7737193.3329999996</v>
      </c>
      <c r="S1423" s="2">
        <v>0</v>
      </c>
      <c r="T1423" s="2" t="s">
        <v>83</v>
      </c>
      <c r="U1423" s="2" t="s">
        <v>84</v>
      </c>
      <c r="V1423" s="2" t="s">
        <v>56</v>
      </c>
      <c r="W1423" s="2" t="s">
        <v>83</v>
      </c>
      <c r="X1423" s="2" t="s">
        <v>85</v>
      </c>
      <c r="Y1423" s="2">
        <v>2.3738259816342202</v>
      </c>
      <c r="Z1423" s="2">
        <v>2373.8259816342202</v>
      </c>
      <c r="AA1423" s="2">
        <v>4.71035</v>
      </c>
      <c r="AB1423" s="2">
        <v>-74.030416666666696</v>
      </c>
      <c r="AC1423" s="2">
        <v>2570</v>
      </c>
      <c r="AD1423" s="2">
        <v>10</v>
      </c>
      <c r="AE1423" s="2" t="s">
        <v>59</v>
      </c>
      <c r="AF1423" s="2" t="s">
        <v>86</v>
      </c>
      <c r="AG1423" s="2" t="s">
        <v>61</v>
      </c>
      <c r="AH1423" s="2" t="s">
        <v>62</v>
      </c>
      <c r="AI1423" s="2" t="s">
        <v>87</v>
      </c>
      <c r="AJ1423" s="2">
        <v>1.60382344250105</v>
      </c>
      <c r="AK1423" s="2">
        <v>1.6169857523883999</v>
      </c>
      <c r="AL1423" s="2">
        <v>0.90703778981067995</v>
      </c>
      <c r="AM1423" s="2">
        <v>0.21074084357272399</v>
      </c>
      <c r="AN1423" s="2">
        <v>4.8937552992451598</v>
      </c>
      <c r="AO1423" s="2">
        <v>0.35052106262240401</v>
      </c>
      <c r="AP1423" s="2">
        <v>0.35052106262240401</v>
      </c>
      <c r="AQ1423" s="2">
        <v>0</v>
      </c>
      <c r="AR1423" s="2">
        <v>0</v>
      </c>
      <c r="AS1423" s="2">
        <v>0</v>
      </c>
      <c r="AT1423" s="2">
        <v>0</v>
      </c>
      <c r="AU1423" s="2">
        <v>1</v>
      </c>
      <c r="AV1423" s="2">
        <v>106</v>
      </c>
      <c r="AW1423" s="2">
        <v>0</v>
      </c>
      <c r="AX1423" s="2">
        <v>0</v>
      </c>
      <c r="AY1423" s="2">
        <v>15.5</v>
      </c>
      <c r="AZ1423" s="2">
        <v>2.4</v>
      </c>
      <c r="BA1423" s="2">
        <v>10.9</v>
      </c>
      <c r="BB1423" s="2">
        <v>564</v>
      </c>
      <c r="BC1423" s="2">
        <v>68</v>
      </c>
      <c r="BD1423" s="2">
        <v>1.5</v>
      </c>
      <c r="BE1423" s="2">
        <v>135</v>
      </c>
      <c r="BF1423" s="2">
        <v>0</v>
      </c>
      <c r="BG1423" s="2">
        <v>162</v>
      </c>
      <c r="BH1423" s="2">
        <v>9.1</v>
      </c>
      <c r="BI1423" s="2">
        <v>9.1999999999999993</v>
      </c>
      <c r="BJ1423" s="2">
        <v>18.3</v>
      </c>
      <c r="BK1423" s="2">
        <v>0.34</v>
      </c>
      <c r="BL1423" s="2">
        <v>7.3</v>
      </c>
      <c r="BM1423" s="2">
        <v>0.9</v>
      </c>
      <c r="BN1423" s="2">
        <v>7.5</v>
      </c>
      <c r="BO1423" s="2">
        <v>2.9</v>
      </c>
      <c r="BP1423" s="2">
        <f t="shared" si="44"/>
        <v>2.1339278685693563</v>
      </c>
      <c r="BQ1423" s="2">
        <f t="shared" si="45"/>
        <v>10.296365466939754</v>
      </c>
    </row>
    <row r="1424" spans="1:69" x14ac:dyDescent="0.2">
      <c r="A1424" s="2" t="s">
        <v>1627</v>
      </c>
      <c r="B1424" s="2" t="s">
        <v>47</v>
      </c>
      <c r="C1424" s="2" t="s">
        <v>48</v>
      </c>
      <c r="D1424" s="2" t="s">
        <v>49</v>
      </c>
      <c r="E1424" s="2" t="s">
        <v>1628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89</v>
      </c>
      <c r="L1424" s="6" t="s">
        <v>141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1629</v>
      </c>
      <c r="R1424" s="2">
        <v>4509803.9220000003</v>
      </c>
      <c r="S1424" s="2">
        <v>0</v>
      </c>
      <c r="T1424" s="2" t="s">
        <v>83</v>
      </c>
      <c r="U1424" s="2" t="s">
        <v>84</v>
      </c>
      <c r="V1424" s="2" t="s">
        <v>56</v>
      </c>
      <c r="W1424" s="2" t="s">
        <v>83</v>
      </c>
      <c r="X1424" s="2" t="s">
        <v>85</v>
      </c>
      <c r="Y1424" s="2">
        <v>3.2903304764238501</v>
      </c>
      <c r="Z1424" s="2">
        <v>3290.3304764238501</v>
      </c>
      <c r="AA1424" s="2">
        <v>4.71035</v>
      </c>
      <c r="AB1424" s="2">
        <v>-74.030416666666696</v>
      </c>
      <c r="AC1424" s="2">
        <v>2570</v>
      </c>
      <c r="AD1424" s="2">
        <v>10</v>
      </c>
      <c r="AE1424" s="2" t="s">
        <v>59</v>
      </c>
      <c r="AF1424" s="2" t="s">
        <v>86</v>
      </c>
      <c r="AG1424" s="2" t="s">
        <v>61</v>
      </c>
      <c r="AH1424" s="2" t="s">
        <v>62</v>
      </c>
      <c r="AI1424" s="2" t="s">
        <v>87</v>
      </c>
      <c r="AJ1424" s="2">
        <v>0.44284954812757399</v>
      </c>
      <c r="AK1424" s="2">
        <v>2.27886061971541</v>
      </c>
      <c r="AL1424" s="2">
        <v>0.37921209261935002</v>
      </c>
      <c r="AM1424" s="2">
        <v>0.131000612911091</v>
      </c>
      <c r="AN1424" s="2">
        <v>3.7395188018655898</v>
      </c>
      <c r="AO1424" s="2">
        <v>0.23888139515842899</v>
      </c>
      <c r="AP1424" s="2">
        <v>0.23888139515842899</v>
      </c>
      <c r="AQ1424" s="2">
        <v>1</v>
      </c>
      <c r="AR1424" s="2">
        <v>3</v>
      </c>
      <c r="AS1424" s="2">
        <v>0</v>
      </c>
      <c r="AT1424" s="2">
        <v>0</v>
      </c>
      <c r="AU1424" s="2">
        <v>5</v>
      </c>
      <c r="AV1424" s="2">
        <v>180</v>
      </c>
      <c r="AW1424" s="2">
        <v>0</v>
      </c>
      <c r="AX1424" s="2">
        <v>0</v>
      </c>
      <c r="AY1424" s="2">
        <v>15.5</v>
      </c>
      <c r="AZ1424" s="2">
        <v>2.4</v>
      </c>
      <c r="BA1424" s="2">
        <v>10.9</v>
      </c>
      <c r="BB1424" s="2">
        <v>564</v>
      </c>
      <c r="BC1424" s="2">
        <v>68</v>
      </c>
      <c r="BD1424" s="2">
        <v>1.5</v>
      </c>
      <c r="BE1424" s="2">
        <v>135</v>
      </c>
      <c r="BF1424" s="2">
        <v>0</v>
      </c>
      <c r="BG1424" s="2">
        <v>162</v>
      </c>
      <c r="BH1424" s="2">
        <v>9.1</v>
      </c>
      <c r="BI1424" s="2">
        <v>9.1999999999999993</v>
      </c>
      <c r="BJ1424" s="2">
        <v>18.3</v>
      </c>
      <c r="BK1424" s="2">
        <v>0.34</v>
      </c>
      <c r="BL1424" s="2">
        <v>7.3</v>
      </c>
      <c r="BM1424" s="2">
        <v>0.9</v>
      </c>
      <c r="BN1424" s="2">
        <v>7.5</v>
      </c>
      <c r="BO1424" s="2">
        <v>2.9</v>
      </c>
      <c r="BP1424" s="2">
        <f t="shared" si="44"/>
        <v>2.0392811713416839</v>
      </c>
      <c r="BQ1424" s="2">
        <f t="shared" si="45"/>
        <v>10.07235817735358</v>
      </c>
    </row>
    <row r="1425" spans="1:69" x14ac:dyDescent="0.2">
      <c r="A1425" s="2" t="s">
        <v>1479</v>
      </c>
      <c r="B1425" s="2" t="s">
        <v>47</v>
      </c>
      <c r="C1425" s="2" t="s">
        <v>48</v>
      </c>
      <c r="D1425" s="2" t="s">
        <v>49</v>
      </c>
      <c r="E1425" s="2" t="s">
        <v>539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89</v>
      </c>
      <c r="L1425" s="6" t="s">
        <v>103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1480</v>
      </c>
      <c r="R1425" s="2">
        <v>6276427.0609999998</v>
      </c>
      <c r="S1425" s="2">
        <v>0</v>
      </c>
      <c r="T1425" s="2" t="s">
        <v>83</v>
      </c>
      <c r="U1425" s="2" t="s">
        <v>84</v>
      </c>
      <c r="V1425" s="2" t="s">
        <v>56</v>
      </c>
      <c r="W1425" s="2" t="s">
        <v>83</v>
      </c>
      <c r="X1425" s="2" t="s">
        <v>85</v>
      </c>
      <c r="Y1425" s="2">
        <v>0.41143782218763503</v>
      </c>
      <c r="Z1425" s="2">
        <v>411.43782218763499</v>
      </c>
      <c r="AA1425" s="2">
        <v>4.71035</v>
      </c>
      <c r="AB1425" s="2">
        <v>-74.030416666666696</v>
      </c>
      <c r="AC1425" s="2">
        <v>2570</v>
      </c>
      <c r="AD1425" s="2">
        <v>10</v>
      </c>
      <c r="AE1425" s="2" t="s">
        <v>59</v>
      </c>
      <c r="AF1425" s="2" t="s">
        <v>86</v>
      </c>
      <c r="AG1425" s="2" t="s">
        <v>61</v>
      </c>
      <c r="AH1425" s="2" t="s">
        <v>62</v>
      </c>
      <c r="AI1425" s="2" t="s">
        <v>87</v>
      </c>
      <c r="AJ1425" s="2">
        <v>2.3910714756903801</v>
      </c>
      <c r="AK1425" s="2">
        <v>0.71698286846805803</v>
      </c>
      <c r="AL1425" s="2">
        <v>0.41053849154833</v>
      </c>
      <c r="AM1425" s="2">
        <v>4.3336721973876301E-2</v>
      </c>
      <c r="AN1425" s="2">
        <v>3.0797566045306302</v>
      </c>
      <c r="AO1425" s="2">
        <v>0.314382224594704</v>
      </c>
      <c r="AP1425" s="2">
        <v>0.314382224594704</v>
      </c>
      <c r="AQ1425" s="2">
        <v>0</v>
      </c>
      <c r="AR1425" s="2">
        <v>0</v>
      </c>
      <c r="AS1425" s="2">
        <v>0</v>
      </c>
      <c r="AT1425" s="2">
        <v>22</v>
      </c>
      <c r="AU1425" s="2">
        <v>1</v>
      </c>
      <c r="AV1425" s="2">
        <v>77</v>
      </c>
      <c r="AW1425" s="2">
        <v>0</v>
      </c>
      <c r="AX1425" s="2">
        <v>0</v>
      </c>
      <c r="AY1425" s="2">
        <v>15.5</v>
      </c>
      <c r="AZ1425" s="2">
        <v>2.4</v>
      </c>
      <c r="BA1425" s="2">
        <v>10.9</v>
      </c>
      <c r="BB1425" s="2">
        <v>564</v>
      </c>
      <c r="BC1425" s="2">
        <v>68</v>
      </c>
      <c r="BD1425" s="2">
        <v>1.5</v>
      </c>
      <c r="BE1425" s="2">
        <v>135</v>
      </c>
      <c r="BF1425" s="2">
        <v>0</v>
      </c>
      <c r="BG1425" s="2">
        <v>162</v>
      </c>
      <c r="BH1425" s="2">
        <v>9.1</v>
      </c>
      <c r="BI1425" s="2">
        <v>9.1999999999999993</v>
      </c>
      <c r="BJ1425" s="2">
        <v>18.3</v>
      </c>
      <c r="BK1425" s="2">
        <v>0.34</v>
      </c>
      <c r="BL1425" s="2">
        <v>7.3</v>
      </c>
      <c r="BM1425" s="2">
        <v>0.9</v>
      </c>
      <c r="BN1425" s="2">
        <v>7.5</v>
      </c>
      <c r="BO1425" s="2">
        <v>2.9</v>
      </c>
      <c r="BP1425" s="2">
        <f t="shared" si="44"/>
        <v>2.3516155620223427</v>
      </c>
      <c r="BQ1425" s="2">
        <f t="shared" si="45"/>
        <v>10.792897528068201</v>
      </c>
    </row>
    <row r="1426" spans="1:69" x14ac:dyDescent="0.2">
      <c r="A1426" s="2" t="s">
        <v>222</v>
      </c>
      <c r="B1426" s="2" t="s">
        <v>47</v>
      </c>
      <c r="C1426" s="2" t="s">
        <v>48</v>
      </c>
      <c r="D1426" s="2" t="s">
        <v>49</v>
      </c>
      <c r="E1426" s="2" t="s">
        <v>158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89</v>
      </c>
      <c r="L1426" s="6" t="s">
        <v>112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223</v>
      </c>
      <c r="R1426" s="2">
        <v>13166666.67</v>
      </c>
      <c r="S1426" s="2">
        <v>0</v>
      </c>
      <c r="T1426" s="2" t="s">
        <v>83</v>
      </c>
      <c r="U1426" s="2" t="s">
        <v>84</v>
      </c>
      <c r="V1426" s="2" t="s">
        <v>56</v>
      </c>
      <c r="W1426" s="2" t="s">
        <v>83</v>
      </c>
      <c r="X1426" s="2" t="s">
        <v>85</v>
      </c>
      <c r="Y1426" s="2">
        <v>3.9186477532391</v>
      </c>
      <c r="Z1426" s="2">
        <v>3918.6477532391</v>
      </c>
      <c r="AA1426" s="2">
        <v>4.71035</v>
      </c>
      <c r="AB1426" s="2">
        <v>-74.030416666666696</v>
      </c>
      <c r="AC1426" s="2">
        <v>2570</v>
      </c>
      <c r="AD1426" s="2">
        <v>10</v>
      </c>
      <c r="AE1426" s="2" t="s">
        <v>59</v>
      </c>
      <c r="AF1426" s="2" t="s">
        <v>86</v>
      </c>
      <c r="AG1426" s="2" t="s">
        <v>61</v>
      </c>
      <c r="AH1426" s="2" t="s">
        <v>62</v>
      </c>
      <c r="AI1426" s="2" t="s">
        <v>109</v>
      </c>
      <c r="AJ1426" s="2">
        <v>1.7595558088899499</v>
      </c>
      <c r="AK1426" s="2">
        <v>0.56128304864846601</v>
      </c>
      <c r="AL1426" s="2">
        <v>0.69434067426996804</v>
      </c>
      <c r="AM1426" s="2">
        <v>0.215022141695452</v>
      </c>
      <c r="AN1426" s="2">
        <v>4.3076459442664703</v>
      </c>
      <c r="AO1426" s="2">
        <v>1.12350928573715</v>
      </c>
      <c r="AP1426" s="2">
        <v>1.12350928573715</v>
      </c>
      <c r="AQ1426" s="2">
        <v>0</v>
      </c>
      <c r="AR1426" s="2">
        <v>0</v>
      </c>
      <c r="AS1426" s="2">
        <v>0</v>
      </c>
      <c r="AT1426" s="2">
        <v>11</v>
      </c>
      <c r="AU1426" s="2">
        <v>3</v>
      </c>
      <c r="AV1426" s="2">
        <v>76</v>
      </c>
      <c r="AW1426" s="2">
        <v>0</v>
      </c>
      <c r="AX1426" s="2">
        <v>0</v>
      </c>
      <c r="AY1426" s="2">
        <v>15.5</v>
      </c>
      <c r="AZ1426" s="2">
        <v>2.4</v>
      </c>
      <c r="BA1426" s="2">
        <v>10.9</v>
      </c>
      <c r="BB1426" s="2">
        <v>564</v>
      </c>
      <c r="BC1426" s="2">
        <v>68</v>
      </c>
      <c r="BD1426" s="2">
        <v>1.5</v>
      </c>
      <c r="BE1426" s="2">
        <v>135</v>
      </c>
      <c r="BF1426" s="2">
        <v>0</v>
      </c>
      <c r="BG1426" s="2">
        <v>162</v>
      </c>
      <c r="BH1426" s="2">
        <v>9.1</v>
      </c>
      <c r="BI1426" s="2">
        <v>9.1999999999999993</v>
      </c>
      <c r="BJ1426" s="2">
        <v>18.3</v>
      </c>
      <c r="BK1426" s="2">
        <v>0.34</v>
      </c>
      <c r="BL1426" s="2">
        <v>7.3</v>
      </c>
      <c r="BM1426" s="2">
        <v>0.9</v>
      </c>
      <c r="BN1426" s="2">
        <v>7.5</v>
      </c>
      <c r="BO1426" s="2">
        <v>2.9</v>
      </c>
      <c r="BP1426" s="2">
        <f t="shared" si="44"/>
        <v>1.9768322179044131</v>
      </c>
      <c r="BQ1426" s="2">
        <f t="shared" si="45"/>
        <v>9.9216103635520039</v>
      </c>
    </row>
    <row r="1427" spans="1:69" x14ac:dyDescent="0.2">
      <c r="A1427" s="2" t="s">
        <v>3029</v>
      </c>
      <c r="B1427" s="2" t="s">
        <v>47</v>
      </c>
      <c r="C1427" s="2" t="s">
        <v>1935</v>
      </c>
      <c r="D1427" s="2" t="s">
        <v>49</v>
      </c>
      <c r="E1427" s="2" t="s">
        <v>3030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89</v>
      </c>
      <c r="L1427" s="6" t="s">
        <v>141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3031</v>
      </c>
      <c r="R1427" s="2">
        <v>6000000</v>
      </c>
      <c r="S1427" s="2">
        <v>0</v>
      </c>
      <c r="T1427" s="2" t="s">
        <v>83</v>
      </c>
      <c r="U1427" s="2" t="s">
        <v>84</v>
      </c>
      <c r="V1427" s="2" t="s">
        <v>56</v>
      </c>
      <c r="W1427" s="2" t="s">
        <v>83</v>
      </c>
      <c r="X1427" s="2" t="s">
        <v>85</v>
      </c>
      <c r="Y1427" s="2">
        <v>2.7284838782504801</v>
      </c>
      <c r="Z1427" s="2">
        <v>2728.4838782504798</v>
      </c>
      <c r="AA1427" s="2">
        <v>4.71035</v>
      </c>
      <c r="AB1427" s="2">
        <v>-74.030416666666696</v>
      </c>
      <c r="AC1427" s="2">
        <v>2570</v>
      </c>
      <c r="AD1427" s="2">
        <v>10</v>
      </c>
      <c r="AE1427" s="2" t="s">
        <v>59</v>
      </c>
      <c r="AF1427" s="2" t="s">
        <v>86</v>
      </c>
      <c r="AG1427" s="2" t="s">
        <v>61</v>
      </c>
      <c r="AH1427" s="2" t="s">
        <v>62</v>
      </c>
      <c r="AI1427" s="2" t="s">
        <v>87</v>
      </c>
      <c r="AJ1427" s="2">
        <v>0.886175185344386</v>
      </c>
      <c r="AK1427" s="2">
        <v>2.1745671260158201</v>
      </c>
      <c r="AL1427" s="2">
        <v>0.196906688775558</v>
      </c>
      <c r="AM1427" s="2">
        <v>6.1401258951798203E-2</v>
      </c>
      <c r="AN1427" s="2">
        <v>1.9463317139666001</v>
      </c>
      <c r="AO1427" s="2">
        <v>1.05141315079896E-2</v>
      </c>
      <c r="AP1427" s="2">
        <v>1.05141315079896E-2</v>
      </c>
      <c r="AQ1427" s="2">
        <v>0</v>
      </c>
      <c r="AR1427" s="2">
        <v>2</v>
      </c>
      <c r="AS1427" s="2">
        <v>0</v>
      </c>
      <c r="AT1427" s="2">
        <v>0</v>
      </c>
      <c r="AU1427" s="2">
        <v>1</v>
      </c>
      <c r="AV1427" s="2">
        <v>17</v>
      </c>
      <c r="AW1427" s="2">
        <v>0</v>
      </c>
      <c r="AX1427" s="2">
        <v>0</v>
      </c>
      <c r="AY1427" s="2">
        <v>15.5</v>
      </c>
      <c r="AZ1427" s="2">
        <v>2.4</v>
      </c>
      <c r="BA1427" s="2">
        <v>10.9</v>
      </c>
      <c r="BB1427" s="2">
        <v>564</v>
      </c>
      <c r="BC1427" s="2">
        <v>68</v>
      </c>
      <c r="BD1427" s="2">
        <v>1.5</v>
      </c>
      <c r="BE1427" s="2">
        <v>135</v>
      </c>
      <c r="BF1427" s="2">
        <v>0</v>
      </c>
      <c r="BG1427" s="2">
        <v>162</v>
      </c>
      <c r="BH1427" s="2">
        <v>9.1</v>
      </c>
      <c r="BI1427" s="2">
        <v>9.1999999999999993</v>
      </c>
      <c r="BJ1427" s="2">
        <v>18.3</v>
      </c>
      <c r="BK1427" s="2">
        <v>0.34</v>
      </c>
      <c r="BL1427" s="2">
        <v>7.3</v>
      </c>
      <c r="BM1427" s="2">
        <v>0.9</v>
      </c>
      <c r="BN1427" s="2">
        <v>7.5</v>
      </c>
      <c r="BO1427" s="2">
        <v>2.9</v>
      </c>
      <c r="BP1427" s="2">
        <f t="shared" si="44"/>
        <v>2.0967924774361903</v>
      </c>
      <c r="BQ1427" s="2">
        <f t="shared" si="45"/>
        <v>10.209096903983758</v>
      </c>
    </row>
    <row r="1428" spans="1:69" x14ac:dyDescent="0.2">
      <c r="A1428" s="2" t="s">
        <v>2697</v>
      </c>
      <c r="B1428" s="2" t="s">
        <v>47</v>
      </c>
      <c r="C1428" s="2" t="s">
        <v>1935</v>
      </c>
      <c r="D1428" s="2" t="s">
        <v>49</v>
      </c>
      <c r="E1428" s="2" t="s">
        <v>2698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89</v>
      </c>
      <c r="L1428" s="6" t="s">
        <v>103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2699</v>
      </c>
      <c r="R1428" s="2">
        <v>7333333.3329999996</v>
      </c>
      <c r="S1428" s="2">
        <v>0</v>
      </c>
      <c r="T1428" s="2" t="s">
        <v>83</v>
      </c>
      <c r="U1428" s="2" t="s">
        <v>84</v>
      </c>
      <c r="V1428" s="2" t="s">
        <v>56</v>
      </c>
      <c r="W1428" s="2" t="s">
        <v>83</v>
      </c>
      <c r="X1428" s="2" t="s">
        <v>85</v>
      </c>
      <c r="Y1428" s="2">
        <v>1.9192142028413</v>
      </c>
      <c r="Z1428" s="2">
        <v>1919.2142028413</v>
      </c>
      <c r="AA1428" s="2">
        <v>4.71035</v>
      </c>
      <c r="AB1428" s="2">
        <v>-74.030416666666696</v>
      </c>
      <c r="AC1428" s="2">
        <v>2570</v>
      </c>
      <c r="AD1428" s="2">
        <v>10</v>
      </c>
      <c r="AE1428" s="2" t="s">
        <v>59</v>
      </c>
      <c r="AF1428" s="2" t="s">
        <v>86</v>
      </c>
      <c r="AG1428" s="2" t="s">
        <v>61</v>
      </c>
      <c r="AH1428" s="2" t="s">
        <v>62</v>
      </c>
      <c r="AI1428" s="2" t="s">
        <v>87</v>
      </c>
      <c r="AJ1428" s="2">
        <v>2.8111088526166701</v>
      </c>
      <c r="AK1428" s="2">
        <v>0.39139352083179002</v>
      </c>
      <c r="AL1428" s="2">
        <v>1.8163610144881599</v>
      </c>
      <c r="AM1428" s="2">
        <v>0.110266907547847</v>
      </c>
      <c r="AN1428" s="2">
        <v>1.6578661625011599</v>
      </c>
      <c r="AO1428" s="2">
        <v>0.54344488555744397</v>
      </c>
      <c r="AP1428" s="2">
        <v>0.54344488555744397</v>
      </c>
      <c r="AQ1428" s="2">
        <v>0</v>
      </c>
      <c r="AR1428" s="2">
        <v>0</v>
      </c>
      <c r="AS1428" s="2">
        <v>11</v>
      </c>
      <c r="AT1428" s="2">
        <v>33</v>
      </c>
      <c r="AU1428" s="2">
        <v>0</v>
      </c>
      <c r="AV1428" s="2">
        <v>7</v>
      </c>
      <c r="AW1428" s="2">
        <v>0</v>
      </c>
      <c r="AX1428" s="2">
        <v>0</v>
      </c>
      <c r="AY1428" s="2">
        <v>15.5</v>
      </c>
      <c r="AZ1428" s="2">
        <v>2.4</v>
      </c>
      <c r="BA1428" s="2">
        <v>10.9</v>
      </c>
      <c r="BB1428" s="2">
        <v>564</v>
      </c>
      <c r="BC1428" s="2">
        <v>68</v>
      </c>
      <c r="BD1428" s="2">
        <v>1.5</v>
      </c>
      <c r="BE1428" s="2">
        <v>135</v>
      </c>
      <c r="BF1428" s="2">
        <v>0</v>
      </c>
      <c r="BG1428" s="2">
        <v>162</v>
      </c>
      <c r="BH1428" s="2">
        <v>9.1</v>
      </c>
      <c r="BI1428" s="2">
        <v>9.1999999999999993</v>
      </c>
      <c r="BJ1428" s="2">
        <v>18.3</v>
      </c>
      <c r="BK1428" s="2">
        <v>0.34</v>
      </c>
      <c r="BL1428" s="2">
        <v>7.3</v>
      </c>
      <c r="BM1428" s="2">
        <v>0.9</v>
      </c>
      <c r="BN1428" s="2">
        <v>7.5</v>
      </c>
      <c r="BO1428" s="2">
        <v>2.9</v>
      </c>
      <c r="BP1428" s="2">
        <f t="shared" si="44"/>
        <v>2.182492635344345</v>
      </c>
      <c r="BQ1428" s="2">
        <f t="shared" si="45"/>
        <v>10.409320933503146</v>
      </c>
    </row>
    <row r="1429" spans="1:69" x14ac:dyDescent="0.2">
      <c r="A1429" s="2" t="s">
        <v>1847</v>
      </c>
      <c r="B1429" s="2" t="s">
        <v>47</v>
      </c>
      <c r="C1429" s="2" t="s">
        <v>48</v>
      </c>
      <c r="D1429" s="2" t="s">
        <v>49</v>
      </c>
      <c r="E1429" s="2" t="s">
        <v>870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89</v>
      </c>
      <c r="L1429" s="6" t="s">
        <v>141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1848</v>
      </c>
      <c r="R1429" s="2">
        <v>9621993.1270000003</v>
      </c>
      <c r="S1429" s="2">
        <v>0</v>
      </c>
      <c r="T1429" s="2" t="s">
        <v>83</v>
      </c>
      <c r="U1429" s="2" t="s">
        <v>84</v>
      </c>
      <c r="V1429" s="2" t="s">
        <v>56</v>
      </c>
      <c r="W1429" s="2" t="s">
        <v>83</v>
      </c>
      <c r="X1429" s="2" t="s">
        <v>85</v>
      </c>
      <c r="Y1429" s="2">
        <v>3.8791442436499901</v>
      </c>
      <c r="Z1429" s="2">
        <v>3879.1442436499901</v>
      </c>
      <c r="AA1429" s="2">
        <v>4.71035</v>
      </c>
      <c r="AB1429" s="2">
        <v>-74.030416666666696</v>
      </c>
      <c r="AC1429" s="2">
        <v>2570</v>
      </c>
      <c r="AD1429" s="2">
        <v>10</v>
      </c>
      <c r="AE1429" s="2" t="s">
        <v>59</v>
      </c>
      <c r="AF1429" s="2" t="s">
        <v>86</v>
      </c>
      <c r="AG1429" s="2" t="s">
        <v>61</v>
      </c>
      <c r="AH1429" s="2" t="s">
        <v>62</v>
      </c>
      <c r="AI1429" s="2" t="s">
        <v>109</v>
      </c>
      <c r="AJ1429" s="2">
        <v>2.0625477706884801</v>
      </c>
      <c r="AK1429" s="2">
        <v>0.31156215501588502</v>
      </c>
      <c r="AL1429" s="2">
        <v>0.59781188602765201</v>
      </c>
      <c r="AM1429" s="2">
        <v>0.20945683771609999</v>
      </c>
      <c r="AN1429" s="2">
        <v>4.3846414048580398</v>
      </c>
      <c r="AO1429" s="2">
        <v>1.0415985780825601</v>
      </c>
      <c r="AP1429" s="2">
        <v>1.0415985780825601</v>
      </c>
      <c r="AQ1429" s="2">
        <v>0</v>
      </c>
      <c r="AR1429" s="2">
        <v>0</v>
      </c>
      <c r="AS1429" s="2">
        <v>1</v>
      </c>
      <c r="AT1429" s="2">
        <v>19</v>
      </c>
      <c r="AU1429" s="2">
        <v>3</v>
      </c>
      <c r="AV1429" s="2">
        <v>40</v>
      </c>
      <c r="AW1429" s="2">
        <v>0</v>
      </c>
      <c r="AX1429" s="2">
        <v>0</v>
      </c>
      <c r="AY1429" s="2">
        <v>15.5</v>
      </c>
      <c r="AZ1429" s="2">
        <v>2.4</v>
      </c>
      <c r="BA1429" s="2">
        <v>10.9</v>
      </c>
      <c r="BB1429" s="2">
        <v>564</v>
      </c>
      <c r="BC1429" s="2">
        <v>68</v>
      </c>
      <c r="BD1429" s="2">
        <v>1.5</v>
      </c>
      <c r="BE1429" s="2">
        <v>135</v>
      </c>
      <c r="BF1429" s="2">
        <v>0</v>
      </c>
      <c r="BG1429" s="2">
        <v>162</v>
      </c>
      <c r="BH1429" s="2">
        <v>9.1</v>
      </c>
      <c r="BI1429" s="2">
        <v>9.1999999999999993</v>
      </c>
      <c r="BJ1429" s="2">
        <v>18.3</v>
      </c>
      <c r="BK1429" s="2">
        <v>0.34</v>
      </c>
      <c r="BL1429" s="2">
        <v>7.3</v>
      </c>
      <c r="BM1429" s="2">
        <v>0.9</v>
      </c>
      <c r="BN1429" s="2">
        <v>7.5</v>
      </c>
      <c r="BO1429" s="2">
        <v>2.9</v>
      </c>
      <c r="BP1429" s="2">
        <f t="shared" si="44"/>
        <v>1.9807015443764457</v>
      </c>
      <c r="BQ1429" s="2">
        <f t="shared" si="45"/>
        <v>9.9310213463725372</v>
      </c>
    </row>
    <row r="1430" spans="1:69" x14ac:dyDescent="0.2">
      <c r="A1430" s="2" t="s">
        <v>1429</v>
      </c>
      <c r="B1430" s="2" t="s">
        <v>47</v>
      </c>
      <c r="C1430" s="2" t="s">
        <v>48</v>
      </c>
      <c r="D1430" s="2" t="s">
        <v>49</v>
      </c>
      <c r="E1430" s="2" t="s">
        <v>1430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89</v>
      </c>
      <c r="L1430" s="6" t="s">
        <v>112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1431</v>
      </c>
      <c r="R1430" s="2">
        <v>9711340.2060000002</v>
      </c>
      <c r="S1430" s="2">
        <v>0</v>
      </c>
      <c r="T1430" s="2" t="s">
        <v>83</v>
      </c>
      <c r="U1430" s="2" t="s">
        <v>84</v>
      </c>
      <c r="V1430" s="2" t="s">
        <v>56</v>
      </c>
      <c r="W1430" s="2" t="s">
        <v>83</v>
      </c>
      <c r="X1430" s="2" t="s">
        <v>85</v>
      </c>
      <c r="Y1430" s="2">
        <v>0.99621214547221804</v>
      </c>
      <c r="Z1430" s="2">
        <v>996.21214547221803</v>
      </c>
      <c r="AA1430" s="2">
        <v>4.71035</v>
      </c>
      <c r="AB1430" s="2">
        <v>-74.030416666666696</v>
      </c>
      <c r="AC1430" s="2">
        <v>2570</v>
      </c>
      <c r="AD1430" s="2">
        <v>10</v>
      </c>
      <c r="AE1430" s="2" t="s">
        <v>59</v>
      </c>
      <c r="AF1430" s="2" t="s">
        <v>86</v>
      </c>
      <c r="AG1430" s="2" t="s">
        <v>61</v>
      </c>
      <c r="AH1430" s="2" t="s">
        <v>62</v>
      </c>
      <c r="AI1430" s="2" t="s">
        <v>87</v>
      </c>
      <c r="AJ1430" s="2">
        <v>2.26055136656433</v>
      </c>
      <c r="AK1430" s="2">
        <v>0.93381085723280399</v>
      </c>
      <c r="AL1430" s="2">
        <v>0.19120994653124401</v>
      </c>
      <c r="AM1430" s="2">
        <v>0.233661714741318</v>
      </c>
      <c r="AN1430" s="2">
        <v>4.4275926955526899</v>
      </c>
      <c r="AO1430" s="2">
        <v>0.51270392948964505</v>
      </c>
      <c r="AP1430" s="2">
        <v>0.51270392948964505</v>
      </c>
      <c r="AQ1430" s="2">
        <v>0</v>
      </c>
      <c r="AR1430" s="2">
        <v>0</v>
      </c>
      <c r="AS1430" s="2">
        <v>0</v>
      </c>
      <c r="AT1430" s="2">
        <v>6</v>
      </c>
      <c r="AU1430" s="2">
        <v>3</v>
      </c>
      <c r="AV1430" s="2">
        <v>139</v>
      </c>
      <c r="AW1430" s="2">
        <v>0</v>
      </c>
      <c r="AX1430" s="2">
        <v>0</v>
      </c>
      <c r="AY1430" s="2">
        <v>15.5</v>
      </c>
      <c r="AZ1430" s="2">
        <v>2.4</v>
      </c>
      <c r="BA1430" s="2">
        <v>10.9</v>
      </c>
      <c r="BB1430" s="2">
        <v>564</v>
      </c>
      <c r="BC1430" s="2">
        <v>68</v>
      </c>
      <c r="BD1430" s="2">
        <v>1.5</v>
      </c>
      <c r="BE1430" s="2">
        <v>135</v>
      </c>
      <c r="BF1430" s="2">
        <v>0</v>
      </c>
      <c r="BG1430" s="2">
        <v>162</v>
      </c>
      <c r="BH1430" s="2">
        <v>9.1</v>
      </c>
      <c r="BI1430" s="2">
        <v>9.1999999999999993</v>
      </c>
      <c r="BJ1430" s="2">
        <v>18.3</v>
      </c>
      <c r="BK1430" s="2">
        <v>0.34</v>
      </c>
      <c r="BL1430" s="2">
        <v>7.3</v>
      </c>
      <c r="BM1430" s="2">
        <v>0.9</v>
      </c>
      <c r="BN1430" s="2">
        <v>7.5</v>
      </c>
      <c r="BO1430" s="2">
        <v>2.9</v>
      </c>
      <c r="BP1430" s="2">
        <f t="shared" si="44"/>
        <v>2.2845206842578181</v>
      </c>
      <c r="BQ1430" s="2">
        <f t="shared" si="45"/>
        <v>10.642481684524364</v>
      </c>
    </row>
    <row r="1431" spans="1:69" x14ac:dyDescent="0.2">
      <c r="A1431" s="2" t="s">
        <v>1880</v>
      </c>
      <c r="B1431" s="2" t="s">
        <v>47</v>
      </c>
      <c r="C1431" s="2" t="s">
        <v>48</v>
      </c>
      <c r="D1431" s="2" t="s">
        <v>49</v>
      </c>
      <c r="E1431" s="2" t="s">
        <v>172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89</v>
      </c>
      <c r="L1431" s="6" t="s">
        <v>103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1881</v>
      </c>
      <c r="R1431" s="2">
        <v>9797854.7850000001</v>
      </c>
      <c r="S1431" s="2">
        <v>0</v>
      </c>
      <c r="T1431" s="2" t="s">
        <v>83</v>
      </c>
      <c r="U1431" s="2" t="s">
        <v>84</v>
      </c>
      <c r="V1431" s="2" t="s">
        <v>56</v>
      </c>
      <c r="W1431" s="2" t="s">
        <v>83</v>
      </c>
      <c r="X1431" s="2" t="s">
        <v>85</v>
      </c>
      <c r="Y1431" s="2">
        <v>1.9582315423161301</v>
      </c>
      <c r="Z1431" s="2">
        <v>1958.2315423161299</v>
      </c>
      <c r="AA1431" s="2">
        <v>4.71035</v>
      </c>
      <c r="AB1431" s="2">
        <v>-74.030416666666696</v>
      </c>
      <c r="AC1431" s="2">
        <v>2570</v>
      </c>
      <c r="AD1431" s="2">
        <v>10</v>
      </c>
      <c r="AE1431" s="2" t="s">
        <v>59</v>
      </c>
      <c r="AF1431" s="2" t="s">
        <v>86</v>
      </c>
      <c r="AG1431" s="2" t="s">
        <v>61</v>
      </c>
      <c r="AH1431" s="2" t="s">
        <v>62</v>
      </c>
      <c r="AI1431" s="2" t="s">
        <v>87</v>
      </c>
      <c r="AJ1431" s="2">
        <v>2.2884170026593802</v>
      </c>
      <c r="AK1431" s="2">
        <v>0.96754075195971201</v>
      </c>
      <c r="AL1431" s="2">
        <v>0.62062627538663095</v>
      </c>
      <c r="AM1431" s="2">
        <v>5.6225881997624398E-2</v>
      </c>
      <c r="AN1431" s="2">
        <v>5.3999507130464401</v>
      </c>
      <c r="AO1431" s="2">
        <v>0.41419421422747399</v>
      </c>
      <c r="AP1431" s="2">
        <v>0.41419421422747399</v>
      </c>
      <c r="AQ1431" s="2">
        <v>0</v>
      </c>
      <c r="AR1431" s="2">
        <v>0</v>
      </c>
      <c r="AS1431" s="2">
        <v>0</v>
      </c>
      <c r="AT1431" s="2">
        <v>2</v>
      </c>
      <c r="AU1431" s="2">
        <v>2</v>
      </c>
      <c r="AV1431" s="2">
        <v>126</v>
      </c>
      <c r="AW1431" s="2">
        <v>0</v>
      </c>
      <c r="AX1431" s="2">
        <v>0</v>
      </c>
      <c r="AY1431" s="2">
        <v>15.5</v>
      </c>
      <c r="AZ1431" s="2">
        <v>2.4</v>
      </c>
      <c r="BA1431" s="2">
        <v>10.9</v>
      </c>
      <c r="BB1431" s="2">
        <v>564</v>
      </c>
      <c r="BC1431" s="2">
        <v>68</v>
      </c>
      <c r="BD1431" s="2">
        <v>1.5</v>
      </c>
      <c r="BE1431" s="2">
        <v>135</v>
      </c>
      <c r="BF1431" s="2">
        <v>0</v>
      </c>
      <c r="BG1431" s="2">
        <v>162</v>
      </c>
      <c r="BH1431" s="2">
        <v>9.1</v>
      </c>
      <c r="BI1431" s="2">
        <v>9.1999999999999993</v>
      </c>
      <c r="BJ1431" s="2">
        <v>18.3</v>
      </c>
      <c r="BK1431" s="2">
        <v>0.34</v>
      </c>
      <c r="BL1431" s="2">
        <v>7.3</v>
      </c>
      <c r="BM1431" s="2">
        <v>0.9</v>
      </c>
      <c r="BN1431" s="2">
        <v>7.5</v>
      </c>
      <c r="BO1431" s="2">
        <v>2.9</v>
      </c>
      <c r="BP1431" s="2">
        <f t="shared" si="44"/>
        <v>2.1782815279572585</v>
      </c>
      <c r="BQ1431" s="2">
        <f t="shared" si="45"/>
        <v>10.399578039711065</v>
      </c>
    </row>
    <row r="1432" spans="1:69" x14ac:dyDescent="0.2">
      <c r="A1432" s="2" t="s">
        <v>2837</v>
      </c>
      <c r="B1432" s="2" t="s">
        <v>47</v>
      </c>
      <c r="C1432" s="2" t="s">
        <v>1935</v>
      </c>
      <c r="D1432" s="2" t="s">
        <v>49</v>
      </c>
      <c r="E1432" s="2" t="s">
        <v>2320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89</v>
      </c>
      <c r="L1432" s="6" t="s">
        <v>141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2838</v>
      </c>
      <c r="R1432" s="2">
        <v>7241379.3099999996</v>
      </c>
      <c r="S1432" s="2">
        <v>0</v>
      </c>
      <c r="T1432" s="2" t="s">
        <v>83</v>
      </c>
      <c r="U1432" s="2" t="s">
        <v>84</v>
      </c>
      <c r="V1432" s="2" t="s">
        <v>56</v>
      </c>
      <c r="W1432" s="2" t="s">
        <v>83</v>
      </c>
      <c r="X1432" s="2" t="s">
        <v>85</v>
      </c>
      <c r="Y1432" s="2">
        <v>2.6559989653359102</v>
      </c>
      <c r="Z1432" s="2">
        <v>2655.9989653359098</v>
      </c>
      <c r="AA1432" s="2">
        <v>4.71035</v>
      </c>
      <c r="AB1432" s="2">
        <v>-74.030416666666696</v>
      </c>
      <c r="AC1432" s="2">
        <v>2570</v>
      </c>
      <c r="AD1432" s="2">
        <v>10</v>
      </c>
      <c r="AE1432" s="2" t="s">
        <v>59</v>
      </c>
      <c r="AF1432" s="2" t="s">
        <v>86</v>
      </c>
      <c r="AG1432" s="2" t="s">
        <v>61</v>
      </c>
      <c r="AH1432" s="2" t="s">
        <v>62</v>
      </c>
      <c r="AI1432" s="2" t="s">
        <v>100</v>
      </c>
      <c r="AJ1432" s="2">
        <v>0.45692203833495298</v>
      </c>
      <c r="AK1432" s="2">
        <v>3.2511473543473501</v>
      </c>
      <c r="AL1432" s="2">
        <v>2.00187190973528</v>
      </c>
      <c r="AM1432" s="2">
        <v>0.13576803096368101</v>
      </c>
      <c r="AN1432" s="2">
        <v>4.5704631021911704</v>
      </c>
      <c r="AO1432" s="2">
        <v>2.25006985460842E-3</v>
      </c>
      <c r="AP1432" s="2">
        <v>2.25006985460842E-3</v>
      </c>
      <c r="AQ1432" s="2">
        <v>1</v>
      </c>
      <c r="AR1432" s="2">
        <v>2</v>
      </c>
      <c r="AS1432" s="2">
        <v>0</v>
      </c>
      <c r="AT1432" s="2">
        <v>0</v>
      </c>
      <c r="AU1432" s="2">
        <v>0</v>
      </c>
      <c r="AV1432" s="2">
        <v>98</v>
      </c>
      <c r="AW1432" s="2">
        <v>0</v>
      </c>
      <c r="AX1432" s="2">
        <v>0</v>
      </c>
      <c r="AY1432" s="2">
        <v>15.5</v>
      </c>
      <c r="AZ1432" s="2">
        <v>2.4</v>
      </c>
      <c r="BA1432" s="2">
        <v>10.9</v>
      </c>
      <c r="BB1432" s="2">
        <v>564</v>
      </c>
      <c r="BC1432" s="2">
        <v>68</v>
      </c>
      <c r="BD1432" s="2">
        <v>1.5</v>
      </c>
      <c r="BE1432" s="2">
        <v>135</v>
      </c>
      <c r="BF1432" s="2">
        <v>0</v>
      </c>
      <c r="BG1432" s="2">
        <v>162</v>
      </c>
      <c r="BH1432" s="2">
        <v>9.1</v>
      </c>
      <c r="BI1432" s="2">
        <v>9.1999999999999993</v>
      </c>
      <c r="BJ1432" s="2">
        <v>18.3</v>
      </c>
      <c r="BK1432" s="2">
        <v>0.34</v>
      </c>
      <c r="BL1432" s="2">
        <v>7.3</v>
      </c>
      <c r="BM1432" s="2">
        <v>0.9</v>
      </c>
      <c r="BN1432" s="2">
        <v>7.5</v>
      </c>
      <c r="BO1432" s="2">
        <v>2.9</v>
      </c>
      <c r="BP1432" s="2">
        <f t="shared" si="44"/>
        <v>2.1043292884979405</v>
      </c>
      <c r="BQ1432" s="2">
        <f t="shared" si="45"/>
        <v>10.226872493045667</v>
      </c>
    </row>
    <row r="1433" spans="1:69" x14ac:dyDescent="0.2">
      <c r="A1433" s="2" t="s">
        <v>1278</v>
      </c>
      <c r="B1433" s="2" t="s">
        <v>47</v>
      </c>
      <c r="C1433" s="2" t="s">
        <v>48</v>
      </c>
      <c r="D1433" s="2" t="s">
        <v>49</v>
      </c>
      <c r="E1433" s="2" t="s">
        <v>349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89</v>
      </c>
      <c r="L1433" s="6" t="s">
        <v>141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1279</v>
      </c>
      <c r="R1433" s="2">
        <v>9827586.2070000004</v>
      </c>
      <c r="S1433" s="2">
        <v>0</v>
      </c>
      <c r="T1433" s="2" t="s">
        <v>83</v>
      </c>
      <c r="U1433" s="2" t="s">
        <v>84</v>
      </c>
      <c r="V1433" s="2" t="s">
        <v>56</v>
      </c>
      <c r="W1433" s="2" t="s">
        <v>83</v>
      </c>
      <c r="X1433" s="2" t="s">
        <v>85</v>
      </c>
      <c r="Y1433" s="2">
        <v>1.5568520290582899</v>
      </c>
      <c r="Z1433" s="2">
        <v>1556.8520290582901</v>
      </c>
      <c r="AA1433" s="2">
        <v>4.71035</v>
      </c>
      <c r="AB1433" s="2">
        <v>-74.030416666666696</v>
      </c>
      <c r="AC1433" s="2">
        <v>2570</v>
      </c>
      <c r="AD1433" s="2">
        <v>10</v>
      </c>
      <c r="AE1433" s="2" t="s">
        <v>59</v>
      </c>
      <c r="AF1433" s="2" t="s">
        <v>86</v>
      </c>
      <c r="AG1433" s="2" t="s">
        <v>61</v>
      </c>
      <c r="AH1433" s="2" t="s">
        <v>62</v>
      </c>
      <c r="AI1433" s="2" t="s">
        <v>87</v>
      </c>
      <c r="AJ1433" s="2">
        <v>3.0718170519969199</v>
      </c>
      <c r="AK1433" s="2">
        <v>0.22105887929955301</v>
      </c>
      <c r="AL1433" s="2">
        <v>0.332636003056063</v>
      </c>
      <c r="AM1433" s="2">
        <v>0.318208752327311</v>
      </c>
      <c r="AN1433" s="2">
        <v>4.9626530881618702</v>
      </c>
      <c r="AO1433" s="2">
        <v>0.655045345055142</v>
      </c>
      <c r="AP1433" s="2">
        <v>0.655045345055142</v>
      </c>
      <c r="AQ1433" s="2">
        <v>0</v>
      </c>
      <c r="AR1433" s="2">
        <v>0</v>
      </c>
      <c r="AS1433" s="2">
        <v>14</v>
      </c>
      <c r="AT1433" s="2">
        <v>26</v>
      </c>
      <c r="AU1433" s="2">
        <v>2</v>
      </c>
      <c r="AV1433" s="2">
        <v>109</v>
      </c>
      <c r="AW1433" s="2">
        <v>0</v>
      </c>
      <c r="AX1433" s="2">
        <v>0</v>
      </c>
      <c r="AY1433" s="2">
        <v>15.5</v>
      </c>
      <c r="AZ1433" s="2">
        <v>2.4</v>
      </c>
      <c r="BA1433" s="2">
        <v>10.9</v>
      </c>
      <c r="BB1433" s="2">
        <v>564</v>
      </c>
      <c r="BC1433" s="2">
        <v>68</v>
      </c>
      <c r="BD1433" s="2">
        <v>1.5</v>
      </c>
      <c r="BE1433" s="2">
        <v>135</v>
      </c>
      <c r="BF1433" s="2">
        <v>0</v>
      </c>
      <c r="BG1433" s="2">
        <v>162</v>
      </c>
      <c r="BH1433" s="2">
        <v>9.1</v>
      </c>
      <c r="BI1433" s="2">
        <v>9.1999999999999993</v>
      </c>
      <c r="BJ1433" s="2">
        <v>18.3</v>
      </c>
      <c r="BK1433" s="2">
        <v>0.34</v>
      </c>
      <c r="BL1433" s="2">
        <v>7.3</v>
      </c>
      <c r="BM1433" s="2">
        <v>0.9</v>
      </c>
      <c r="BN1433" s="2">
        <v>7.5</v>
      </c>
      <c r="BO1433" s="2">
        <v>2.9</v>
      </c>
      <c r="BP1433" s="2">
        <f t="shared" si="44"/>
        <v>2.2219930467020053</v>
      </c>
      <c r="BQ1433" s="2">
        <f t="shared" si="45"/>
        <v>10.500242378226767</v>
      </c>
    </row>
    <row r="1434" spans="1:69" x14ac:dyDescent="0.2">
      <c r="A1434" s="2" t="s">
        <v>2866</v>
      </c>
      <c r="B1434" s="2" t="s">
        <v>47</v>
      </c>
      <c r="C1434" s="2" t="s">
        <v>1935</v>
      </c>
      <c r="D1434" s="2" t="s">
        <v>49</v>
      </c>
      <c r="E1434" s="2" t="s">
        <v>1628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89</v>
      </c>
      <c r="L1434" s="6" t="s">
        <v>141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2867</v>
      </c>
      <c r="R1434" s="2">
        <v>5049282.3789999997</v>
      </c>
      <c r="S1434" s="2">
        <v>0</v>
      </c>
      <c r="T1434" s="2" t="s">
        <v>83</v>
      </c>
      <c r="U1434" s="2" t="s">
        <v>84</v>
      </c>
      <c r="V1434" s="2" t="s">
        <v>56</v>
      </c>
      <c r="W1434" s="2" t="s">
        <v>83</v>
      </c>
      <c r="X1434" s="2" t="s">
        <v>85</v>
      </c>
      <c r="Y1434" s="2">
        <v>3.4674753544399701</v>
      </c>
      <c r="Z1434" s="2">
        <v>3467.47535443997</v>
      </c>
      <c r="AA1434" s="2">
        <v>4.71035</v>
      </c>
      <c r="AB1434" s="2">
        <v>-74.030416666666696</v>
      </c>
      <c r="AC1434" s="2">
        <v>2570</v>
      </c>
      <c r="AD1434" s="2">
        <v>10</v>
      </c>
      <c r="AE1434" s="2" t="s">
        <v>59</v>
      </c>
      <c r="AF1434" s="2" t="s">
        <v>86</v>
      </c>
      <c r="AG1434" s="2" t="s">
        <v>61</v>
      </c>
      <c r="AH1434" s="2" t="s">
        <v>62</v>
      </c>
      <c r="AI1434" s="2" t="s">
        <v>87</v>
      </c>
      <c r="AJ1434" s="2">
        <v>0.51908941623982097</v>
      </c>
      <c r="AK1434" s="2">
        <v>2.22569295727852</v>
      </c>
      <c r="AL1434" s="2">
        <v>0.31329400785525202</v>
      </c>
      <c r="AM1434" s="2">
        <v>0.16787383095387701</v>
      </c>
      <c r="AN1434" s="2">
        <v>3.58789329898184</v>
      </c>
      <c r="AO1434" s="2">
        <v>0.435160520397878</v>
      </c>
      <c r="AP1434" s="2">
        <v>0.435160520397878</v>
      </c>
      <c r="AQ1434" s="2">
        <v>0</v>
      </c>
      <c r="AR1434" s="2">
        <v>2</v>
      </c>
      <c r="AS1434" s="2">
        <v>0</v>
      </c>
      <c r="AT1434" s="2">
        <v>0</v>
      </c>
      <c r="AU1434" s="2">
        <v>5</v>
      </c>
      <c r="AV1434" s="2">
        <v>207</v>
      </c>
      <c r="AW1434" s="2">
        <v>0</v>
      </c>
      <c r="AX1434" s="2">
        <v>0</v>
      </c>
      <c r="AY1434" s="2">
        <v>15.5</v>
      </c>
      <c r="AZ1434" s="2">
        <v>2.4</v>
      </c>
      <c r="BA1434" s="2">
        <v>10.9</v>
      </c>
      <c r="BB1434" s="2">
        <v>564</v>
      </c>
      <c r="BC1434" s="2">
        <v>68</v>
      </c>
      <c r="BD1434" s="2">
        <v>1.5</v>
      </c>
      <c r="BE1434" s="2">
        <v>135</v>
      </c>
      <c r="BF1434" s="2">
        <v>0</v>
      </c>
      <c r="BG1434" s="2">
        <v>162</v>
      </c>
      <c r="BH1434" s="2">
        <v>9.1</v>
      </c>
      <c r="BI1434" s="2">
        <v>9.1999999999999993</v>
      </c>
      <c r="BJ1434" s="2">
        <v>18.3</v>
      </c>
      <c r="BK1434" s="2">
        <v>0.34</v>
      </c>
      <c r="BL1434" s="2">
        <v>7.3</v>
      </c>
      <c r="BM1434" s="2">
        <v>0.9</v>
      </c>
      <c r="BN1434" s="2">
        <v>7.5</v>
      </c>
      <c r="BO1434" s="2">
        <v>2.9</v>
      </c>
      <c r="BP1434" s="2">
        <f t="shared" si="44"/>
        <v>2.0214775558354865</v>
      </c>
      <c r="BQ1434" s="2">
        <f t="shared" si="45"/>
        <v>10.029626677857387</v>
      </c>
    </row>
    <row r="1435" spans="1:69" x14ac:dyDescent="0.2">
      <c r="A1435" s="2" t="s">
        <v>204</v>
      </c>
      <c r="B1435" s="2" t="s">
        <v>47</v>
      </c>
      <c r="C1435" s="2" t="s">
        <v>48</v>
      </c>
      <c r="D1435" s="2" t="s">
        <v>49</v>
      </c>
      <c r="E1435" s="2" t="s">
        <v>205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89</v>
      </c>
      <c r="L1435" s="6" t="s">
        <v>103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206</v>
      </c>
      <c r="R1435" s="2">
        <v>9298245.6140000001</v>
      </c>
      <c r="S1435" s="2">
        <v>0</v>
      </c>
      <c r="T1435" s="2" t="s">
        <v>83</v>
      </c>
      <c r="U1435" s="2" t="s">
        <v>84</v>
      </c>
      <c r="V1435" s="2" t="s">
        <v>56</v>
      </c>
      <c r="W1435" s="2" t="s">
        <v>83</v>
      </c>
      <c r="X1435" s="2" t="s">
        <v>85</v>
      </c>
      <c r="Y1435" s="2">
        <v>2.2688066042389199</v>
      </c>
      <c r="Z1435" s="2">
        <v>2268.80660423892</v>
      </c>
      <c r="AA1435" s="2">
        <v>4.71035</v>
      </c>
      <c r="AB1435" s="2">
        <v>-74.030416666666696</v>
      </c>
      <c r="AC1435" s="2">
        <v>2570</v>
      </c>
      <c r="AD1435" s="2">
        <v>10</v>
      </c>
      <c r="AE1435" s="2" t="s">
        <v>59</v>
      </c>
      <c r="AF1435" s="2" t="s">
        <v>86</v>
      </c>
      <c r="AG1435" s="2" t="s">
        <v>61</v>
      </c>
      <c r="AH1435" s="2" t="s">
        <v>62</v>
      </c>
      <c r="AI1435" s="2" t="s">
        <v>87</v>
      </c>
      <c r="AJ1435" s="2">
        <v>1.6100034121154201</v>
      </c>
      <c r="AK1435" s="2">
        <v>1.6645403923386899</v>
      </c>
      <c r="AL1435" s="2">
        <v>0.91362572005976195</v>
      </c>
      <c r="AM1435" s="2">
        <v>0.25230590588367102</v>
      </c>
      <c r="AN1435" s="2">
        <v>4.9552091538963703</v>
      </c>
      <c r="AO1435" s="2">
        <v>0.32289600065995799</v>
      </c>
      <c r="AP1435" s="2">
        <v>0.32289600065995799</v>
      </c>
      <c r="AQ1435" s="2">
        <v>0</v>
      </c>
      <c r="AR1435" s="2">
        <v>0</v>
      </c>
      <c r="AS1435" s="2">
        <v>0</v>
      </c>
      <c r="AT1435" s="2">
        <v>0</v>
      </c>
      <c r="AU1435" s="2">
        <v>1</v>
      </c>
      <c r="AV1435" s="2">
        <v>118</v>
      </c>
      <c r="AW1435" s="2">
        <v>0</v>
      </c>
      <c r="AX1435" s="2">
        <v>0</v>
      </c>
      <c r="AY1435" s="2">
        <v>15.5</v>
      </c>
      <c r="AZ1435" s="2">
        <v>2.4</v>
      </c>
      <c r="BA1435" s="2">
        <v>10.9</v>
      </c>
      <c r="BB1435" s="2">
        <v>564</v>
      </c>
      <c r="BC1435" s="2">
        <v>68</v>
      </c>
      <c r="BD1435" s="2">
        <v>1.5</v>
      </c>
      <c r="BE1435" s="2">
        <v>135</v>
      </c>
      <c r="BF1435" s="2">
        <v>0</v>
      </c>
      <c r="BG1435" s="2">
        <v>162</v>
      </c>
      <c r="BH1435" s="2">
        <v>9.1</v>
      </c>
      <c r="BI1435" s="2">
        <v>9.1999999999999993</v>
      </c>
      <c r="BJ1435" s="2">
        <v>18.3</v>
      </c>
      <c r="BK1435" s="2">
        <v>0.34</v>
      </c>
      <c r="BL1435" s="2">
        <v>7.3</v>
      </c>
      <c r="BM1435" s="2">
        <v>0.9</v>
      </c>
      <c r="BN1435" s="2">
        <v>7.5</v>
      </c>
      <c r="BO1435" s="2">
        <v>2.9</v>
      </c>
      <c r="BP1435" s="2">
        <f t="shared" si="44"/>
        <v>2.1450498891276397</v>
      </c>
      <c r="BQ1435" s="2">
        <f t="shared" si="45"/>
        <v>10.322349828900478</v>
      </c>
    </row>
    <row r="1436" spans="1:69" x14ac:dyDescent="0.2">
      <c r="A1436" s="2" t="s">
        <v>1588</v>
      </c>
      <c r="B1436" s="2" t="s">
        <v>47</v>
      </c>
      <c r="C1436" s="2" t="s">
        <v>48</v>
      </c>
      <c r="D1436" s="2" t="s">
        <v>49</v>
      </c>
      <c r="E1436" s="2" t="s">
        <v>1589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89</v>
      </c>
      <c r="L1436" s="6" t="s">
        <v>103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1590</v>
      </c>
      <c r="R1436" s="2">
        <v>5361163.7300000004</v>
      </c>
      <c r="S1436" s="2">
        <v>0</v>
      </c>
      <c r="T1436" s="2" t="s">
        <v>83</v>
      </c>
      <c r="U1436" s="2" t="s">
        <v>84</v>
      </c>
      <c r="V1436" s="2" t="s">
        <v>56</v>
      </c>
      <c r="W1436" s="2" t="s">
        <v>83</v>
      </c>
      <c r="X1436" s="2" t="s">
        <v>85</v>
      </c>
      <c r="Y1436" s="2">
        <v>0.392340733072155</v>
      </c>
      <c r="Z1436" s="2">
        <v>392.34073307215499</v>
      </c>
      <c r="AA1436" s="2">
        <v>4.71035</v>
      </c>
      <c r="AB1436" s="2">
        <v>-74.030416666666696</v>
      </c>
      <c r="AC1436" s="2">
        <v>2570</v>
      </c>
      <c r="AD1436" s="2">
        <v>10</v>
      </c>
      <c r="AE1436" s="2" t="s">
        <v>59</v>
      </c>
      <c r="AF1436" s="2" t="s">
        <v>86</v>
      </c>
      <c r="AG1436" s="2" t="s">
        <v>61</v>
      </c>
      <c r="AH1436" s="2" t="s">
        <v>62</v>
      </c>
      <c r="AI1436" s="2" t="s">
        <v>87</v>
      </c>
      <c r="AJ1436" s="2">
        <v>2.3300320045635998</v>
      </c>
      <c r="AK1436" s="2">
        <v>0.77177383129134802</v>
      </c>
      <c r="AL1436" s="2">
        <v>0.35212090641744997</v>
      </c>
      <c r="AM1436" s="2">
        <v>0.114188016756245</v>
      </c>
      <c r="AN1436" s="2">
        <v>3.1242555883136398</v>
      </c>
      <c r="AO1436" s="2">
        <v>0.37002968082008703</v>
      </c>
      <c r="AP1436" s="2">
        <v>0.37002968082008703</v>
      </c>
      <c r="AQ1436" s="2">
        <v>0</v>
      </c>
      <c r="AR1436" s="2">
        <v>0</v>
      </c>
      <c r="AS1436" s="2">
        <v>0</v>
      </c>
      <c r="AT1436" s="2">
        <v>17</v>
      </c>
      <c r="AU1436" s="2">
        <v>1</v>
      </c>
      <c r="AV1436" s="2">
        <v>79</v>
      </c>
      <c r="AW1436" s="2">
        <v>0</v>
      </c>
      <c r="AX1436" s="2">
        <v>0</v>
      </c>
      <c r="AY1436" s="2">
        <v>15.5</v>
      </c>
      <c r="AZ1436" s="2">
        <v>2.4</v>
      </c>
      <c r="BA1436" s="2">
        <v>10.9</v>
      </c>
      <c r="BB1436" s="2">
        <v>564</v>
      </c>
      <c r="BC1436" s="2">
        <v>68</v>
      </c>
      <c r="BD1436" s="2">
        <v>1.5</v>
      </c>
      <c r="BE1436" s="2">
        <v>135</v>
      </c>
      <c r="BF1436" s="2">
        <v>0</v>
      </c>
      <c r="BG1436" s="2">
        <v>162</v>
      </c>
      <c r="BH1436" s="2">
        <v>9.1</v>
      </c>
      <c r="BI1436" s="2">
        <v>9.1999999999999993</v>
      </c>
      <c r="BJ1436" s="2">
        <v>18.3</v>
      </c>
      <c r="BK1436" s="2">
        <v>0.34</v>
      </c>
      <c r="BL1436" s="2">
        <v>7.3</v>
      </c>
      <c r="BM1436" s="2">
        <v>0.9</v>
      </c>
      <c r="BN1436" s="2">
        <v>7.5</v>
      </c>
      <c r="BO1436" s="2">
        <v>2.9</v>
      </c>
      <c r="BP1436" s="2">
        <f t="shared" si="44"/>
        <v>2.3538396091508611</v>
      </c>
      <c r="BQ1436" s="2">
        <f t="shared" si="45"/>
        <v>10.797845372076388</v>
      </c>
    </row>
    <row r="1437" spans="1:69" x14ac:dyDescent="0.2">
      <c r="A1437" s="2" t="s">
        <v>585</v>
      </c>
      <c r="B1437" s="2" t="s">
        <v>47</v>
      </c>
      <c r="C1437" s="2" t="s">
        <v>48</v>
      </c>
      <c r="D1437" s="2" t="s">
        <v>49</v>
      </c>
      <c r="E1437" s="2" t="s">
        <v>192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89</v>
      </c>
      <c r="L1437" s="6" t="s">
        <v>141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586</v>
      </c>
      <c r="R1437" s="2">
        <v>5323741.0070000002</v>
      </c>
      <c r="S1437" s="2">
        <v>0</v>
      </c>
      <c r="T1437" s="2" t="s">
        <v>83</v>
      </c>
      <c r="U1437" s="2" t="s">
        <v>84</v>
      </c>
      <c r="V1437" s="2" t="s">
        <v>56</v>
      </c>
      <c r="W1437" s="2" t="s">
        <v>83</v>
      </c>
      <c r="X1437" s="2" t="s">
        <v>85</v>
      </c>
      <c r="Y1437" s="2">
        <v>1.5404918652497801</v>
      </c>
      <c r="Z1437" s="2">
        <v>1540.4918652497799</v>
      </c>
      <c r="AA1437" s="2">
        <v>4.71035</v>
      </c>
      <c r="AB1437" s="2">
        <v>-74.030416666666696</v>
      </c>
      <c r="AC1437" s="2">
        <v>2570</v>
      </c>
      <c r="AD1437" s="2">
        <v>10</v>
      </c>
      <c r="AE1437" s="2" t="s">
        <v>59</v>
      </c>
      <c r="AF1437" s="2" t="s">
        <v>86</v>
      </c>
      <c r="AG1437" s="2" t="s">
        <v>61</v>
      </c>
      <c r="AH1437" s="2" t="s">
        <v>62</v>
      </c>
      <c r="AI1437" s="2" t="s">
        <v>87</v>
      </c>
      <c r="AJ1437" s="2">
        <v>1.8938787322424</v>
      </c>
      <c r="AK1437" s="2">
        <v>1.3609605334806001</v>
      </c>
      <c r="AL1437" s="2">
        <v>0.68707210559529697</v>
      </c>
      <c r="AM1437" s="2">
        <v>5.1987788735921699E-2</v>
      </c>
      <c r="AN1437" s="2">
        <v>4.88378340832001</v>
      </c>
      <c r="AO1437" s="2">
        <v>3.06764224649805E-2</v>
      </c>
      <c r="AP1437" s="2">
        <v>3.06764224649805E-2</v>
      </c>
      <c r="AQ1437" s="2">
        <v>0</v>
      </c>
      <c r="AR1437" s="2">
        <v>0</v>
      </c>
      <c r="AS1437" s="2">
        <v>0</v>
      </c>
      <c r="AT1437" s="2">
        <v>0</v>
      </c>
      <c r="AU1437" s="2">
        <v>1</v>
      </c>
      <c r="AV1437" s="2">
        <v>170</v>
      </c>
      <c r="AW1437" s="2">
        <v>0</v>
      </c>
      <c r="AX1437" s="2">
        <v>0</v>
      </c>
      <c r="AY1437" s="2">
        <v>15.5</v>
      </c>
      <c r="AZ1437" s="2">
        <v>2.4</v>
      </c>
      <c r="BA1437" s="2">
        <v>10.9</v>
      </c>
      <c r="BB1437" s="2">
        <v>564</v>
      </c>
      <c r="BC1437" s="2">
        <v>68</v>
      </c>
      <c r="BD1437" s="2">
        <v>1.5</v>
      </c>
      <c r="BE1437" s="2">
        <v>135</v>
      </c>
      <c r="BF1437" s="2">
        <v>0</v>
      </c>
      <c r="BG1437" s="2">
        <v>162</v>
      </c>
      <c r="BH1437" s="2">
        <v>9.1</v>
      </c>
      <c r="BI1437" s="2">
        <v>9.1999999999999993</v>
      </c>
      <c r="BJ1437" s="2">
        <v>18.3</v>
      </c>
      <c r="BK1437" s="2">
        <v>0.34</v>
      </c>
      <c r="BL1437" s="2">
        <v>7.3</v>
      </c>
      <c r="BM1437" s="2">
        <v>0.9</v>
      </c>
      <c r="BN1437" s="2">
        <v>7.5</v>
      </c>
      <c r="BO1437" s="2">
        <v>2.9</v>
      </c>
      <c r="BP1437" s="2">
        <f t="shared" si="44"/>
        <v>2.2237932079403664</v>
      </c>
      <c r="BQ1437" s="2">
        <f t="shared" si="45"/>
        <v>10.504366044188082</v>
      </c>
    </row>
    <row r="1438" spans="1:69" x14ac:dyDescent="0.2">
      <c r="A1438" s="2" t="s">
        <v>180</v>
      </c>
      <c r="B1438" s="2" t="s">
        <v>47</v>
      </c>
      <c r="C1438" s="2" t="s">
        <v>48</v>
      </c>
      <c r="D1438" s="2" t="s">
        <v>49</v>
      </c>
      <c r="E1438" s="2" t="s">
        <v>181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89</v>
      </c>
      <c r="L1438" s="6" t="s">
        <v>103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182</v>
      </c>
      <c r="R1438" s="2">
        <v>8664259.9279999994</v>
      </c>
      <c r="S1438" s="2">
        <v>0</v>
      </c>
      <c r="T1438" s="2" t="s">
        <v>83</v>
      </c>
      <c r="U1438" s="2" t="s">
        <v>84</v>
      </c>
      <c r="V1438" s="2" t="s">
        <v>56</v>
      </c>
      <c r="W1438" s="2" t="s">
        <v>83</v>
      </c>
      <c r="X1438" s="2" t="s">
        <v>85</v>
      </c>
      <c r="Y1438" s="2">
        <v>1.1487057108949501</v>
      </c>
      <c r="Z1438" s="2">
        <v>1148.70571089495</v>
      </c>
      <c r="AA1438" s="2">
        <v>4.71035</v>
      </c>
      <c r="AB1438" s="2">
        <v>-74.030416666666696</v>
      </c>
      <c r="AC1438" s="2">
        <v>2570</v>
      </c>
      <c r="AD1438" s="2">
        <v>10</v>
      </c>
      <c r="AE1438" s="2" t="s">
        <v>59</v>
      </c>
      <c r="AF1438" s="2" t="s">
        <v>86</v>
      </c>
      <c r="AG1438" s="2" t="s">
        <v>61</v>
      </c>
      <c r="AH1438" s="2" t="s">
        <v>62</v>
      </c>
      <c r="AI1438" s="2" t="s">
        <v>87</v>
      </c>
      <c r="AJ1438" s="2">
        <v>2.9275025656151401</v>
      </c>
      <c r="AK1438" s="2">
        <v>0.27355623149470298</v>
      </c>
      <c r="AL1438" s="2">
        <v>0.48892045644680299</v>
      </c>
      <c r="AM1438" s="2">
        <v>0.14227468650817501</v>
      </c>
      <c r="AN1438" s="2">
        <v>4.5628974234013198</v>
      </c>
      <c r="AO1438" s="2">
        <v>0.33720762656573899</v>
      </c>
      <c r="AP1438" s="2">
        <v>0.33720762656573899</v>
      </c>
      <c r="AQ1438" s="2">
        <v>0</v>
      </c>
      <c r="AR1438" s="2">
        <v>0</v>
      </c>
      <c r="AS1438" s="2">
        <v>10</v>
      </c>
      <c r="AT1438" s="2">
        <v>30</v>
      </c>
      <c r="AU1438" s="2">
        <v>2</v>
      </c>
      <c r="AV1438" s="2">
        <v>104</v>
      </c>
      <c r="AW1438" s="2">
        <v>0</v>
      </c>
      <c r="AX1438" s="2">
        <v>0</v>
      </c>
      <c r="AY1438" s="2">
        <v>15.5</v>
      </c>
      <c r="AZ1438" s="2">
        <v>2.4</v>
      </c>
      <c r="BA1438" s="2">
        <v>10.9</v>
      </c>
      <c r="BB1438" s="2">
        <v>564</v>
      </c>
      <c r="BC1438" s="2">
        <v>68</v>
      </c>
      <c r="BD1438" s="2">
        <v>1.5</v>
      </c>
      <c r="BE1438" s="2">
        <v>135</v>
      </c>
      <c r="BF1438" s="2">
        <v>0</v>
      </c>
      <c r="BG1438" s="2">
        <v>162</v>
      </c>
      <c r="BH1438" s="2">
        <v>9.1</v>
      </c>
      <c r="BI1438" s="2">
        <v>9.1999999999999993</v>
      </c>
      <c r="BJ1438" s="2">
        <v>18.3</v>
      </c>
      <c r="BK1438" s="2">
        <v>0.34</v>
      </c>
      <c r="BL1438" s="2">
        <v>7.3</v>
      </c>
      <c r="BM1438" s="2">
        <v>0.9</v>
      </c>
      <c r="BN1438" s="2">
        <v>7.5</v>
      </c>
      <c r="BO1438" s="2">
        <v>2.9</v>
      </c>
      <c r="BP1438" s="2">
        <f t="shared" si="44"/>
        <v>2.2673410575791224</v>
      </c>
      <c r="BQ1438" s="2">
        <f t="shared" si="45"/>
        <v>10.603603033402011</v>
      </c>
    </row>
    <row r="1439" spans="1:69" x14ac:dyDescent="0.2">
      <c r="A1439" s="2" t="s">
        <v>1872</v>
      </c>
      <c r="B1439" s="2" t="s">
        <v>47</v>
      </c>
      <c r="C1439" s="2" t="s">
        <v>48</v>
      </c>
      <c r="D1439" s="2" t="s">
        <v>49</v>
      </c>
      <c r="E1439" s="2" t="s">
        <v>349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89</v>
      </c>
      <c r="L1439" s="6" t="s">
        <v>103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1873</v>
      </c>
      <c r="R1439" s="2">
        <v>8668954.307</v>
      </c>
      <c r="S1439" s="2">
        <v>0</v>
      </c>
      <c r="T1439" s="2" t="s">
        <v>83</v>
      </c>
      <c r="U1439" s="2" t="s">
        <v>84</v>
      </c>
      <c r="V1439" s="2" t="s">
        <v>56</v>
      </c>
      <c r="W1439" s="2" t="s">
        <v>83</v>
      </c>
      <c r="X1439" s="2" t="s">
        <v>85</v>
      </c>
      <c r="Y1439" s="2">
        <v>1.2355179242536101</v>
      </c>
      <c r="Z1439" s="2">
        <v>1235.5179242536101</v>
      </c>
      <c r="AA1439" s="2">
        <v>4.71035</v>
      </c>
      <c r="AB1439" s="2">
        <v>-74.030416666666696</v>
      </c>
      <c r="AC1439" s="2">
        <v>2570</v>
      </c>
      <c r="AD1439" s="2">
        <v>10</v>
      </c>
      <c r="AE1439" s="2" t="s">
        <v>59</v>
      </c>
      <c r="AF1439" s="2" t="s">
        <v>86</v>
      </c>
      <c r="AG1439" s="2" t="s">
        <v>61</v>
      </c>
      <c r="AH1439" s="2" t="s">
        <v>62</v>
      </c>
      <c r="AI1439" s="2" t="s">
        <v>87</v>
      </c>
      <c r="AJ1439" s="2">
        <v>2.9411987574666201</v>
      </c>
      <c r="AK1439" s="2">
        <v>0.26333306739637702</v>
      </c>
      <c r="AL1439" s="2">
        <v>0.51527301297843997</v>
      </c>
      <c r="AM1439" s="2">
        <v>0.140569363885897</v>
      </c>
      <c r="AN1439" s="2">
        <v>4.6514839744905103</v>
      </c>
      <c r="AO1439" s="2">
        <v>0.42170659393142301</v>
      </c>
      <c r="AP1439" s="2">
        <v>0.42170659393142301</v>
      </c>
      <c r="AQ1439" s="2">
        <v>0</v>
      </c>
      <c r="AR1439" s="2">
        <v>0</v>
      </c>
      <c r="AS1439" s="2">
        <v>10</v>
      </c>
      <c r="AT1439" s="2">
        <v>29</v>
      </c>
      <c r="AU1439" s="2">
        <v>2</v>
      </c>
      <c r="AV1439" s="2">
        <v>103</v>
      </c>
      <c r="AW1439" s="2">
        <v>0</v>
      </c>
      <c r="AX1439" s="2">
        <v>0</v>
      </c>
      <c r="AY1439" s="2">
        <v>15.5</v>
      </c>
      <c r="AZ1439" s="2">
        <v>2.4</v>
      </c>
      <c r="BA1439" s="2">
        <v>10.9</v>
      </c>
      <c r="BB1439" s="2">
        <v>564</v>
      </c>
      <c r="BC1439" s="2">
        <v>68</v>
      </c>
      <c r="BD1439" s="2">
        <v>1.5</v>
      </c>
      <c r="BE1439" s="2">
        <v>135</v>
      </c>
      <c r="BF1439" s="2">
        <v>0</v>
      </c>
      <c r="BG1439" s="2">
        <v>162</v>
      </c>
      <c r="BH1439" s="2">
        <v>9.1</v>
      </c>
      <c r="BI1439" s="2">
        <v>9.1999999999999993</v>
      </c>
      <c r="BJ1439" s="2">
        <v>18.3</v>
      </c>
      <c r="BK1439" s="2">
        <v>0.34</v>
      </c>
      <c r="BL1439" s="2">
        <v>7.3</v>
      </c>
      <c r="BM1439" s="2">
        <v>0.9</v>
      </c>
      <c r="BN1439" s="2">
        <v>7.5</v>
      </c>
      <c r="BO1439" s="2">
        <v>2.9</v>
      </c>
      <c r="BP1439" s="2">
        <f t="shared" si="44"/>
        <v>2.2576187336130271</v>
      </c>
      <c r="BQ1439" s="2">
        <f t="shared" si="45"/>
        <v>10.581533498274117</v>
      </c>
    </row>
    <row r="1440" spans="1:69" x14ac:dyDescent="0.2">
      <c r="A1440" s="2" t="s">
        <v>1217</v>
      </c>
      <c r="B1440" s="2" t="s">
        <v>47</v>
      </c>
      <c r="C1440" s="2" t="s">
        <v>48</v>
      </c>
      <c r="D1440" s="2" t="s">
        <v>49</v>
      </c>
      <c r="E1440" s="2" t="s">
        <v>166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89</v>
      </c>
      <c r="L1440" s="6" t="s">
        <v>112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1218</v>
      </c>
      <c r="R1440" s="2">
        <v>7090909.091</v>
      </c>
      <c r="S1440" s="2">
        <v>0</v>
      </c>
      <c r="T1440" s="2" t="s">
        <v>83</v>
      </c>
      <c r="U1440" s="2" t="s">
        <v>84</v>
      </c>
      <c r="V1440" s="2" t="s">
        <v>56</v>
      </c>
      <c r="W1440" s="2" t="s">
        <v>83</v>
      </c>
      <c r="X1440" s="2" t="s">
        <v>85</v>
      </c>
      <c r="Y1440" s="2">
        <v>4.7334147479528701</v>
      </c>
      <c r="Z1440" s="2">
        <v>4733.4147479528701</v>
      </c>
      <c r="AA1440" s="2">
        <v>4.71035</v>
      </c>
      <c r="AB1440" s="2">
        <v>-74.030416666666696</v>
      </c>
      <c r="AC1440" s="2">
        <v>2570</v>
      </c>
      <c r="AD1440" s="2">
        <v>10</v>
      </c>
      <c r="AE1440" s="2" t="s">
        <v>59</v>
      </c>
      <c r="AF1440" s="2" t="s">
        <v>86</v>
      </c>
      <c r="AG1440" s="2" t="s">
        <v>61</v>
      </c>
      <c r="AH1440" s="2" t="s">
        <v>62</v>
      </c>
      <c r="AI1440" s="2" t="s">
        <v>109</v>
      </c>
      <c r="AJ1440" s="2">
        <v>2.1346129053396599</v>
      </c>
      <c r="AK1440" s="2">
        <v>2.9185346217044501E-2</v>
      </c>
      <c r="AL1440" s="2">
        <v>1.42081688572292</v>
      </c>
      <c r="AM1440" s="2">
        <v>0.70149577545337405</v>
      </c>
      <c r="AN1440" s="2">
        <v>3.6156632901556001</v>
      </c>
      <c r="AO1440" s="2">
        <v>0.98135536998494599</v>
      </c>
      <c r="AP1440" s="2">
        <v>0.98135536998494599</v>
      </c>
      <c r="AQ1440" s="2">
        <v>0</v>
      </c>
      <c r="AR1440" s="2">
        <v>0</v>
      </c>
      <c r="AS1440" s="2">
        <v>28</v>
      </c>
      <c r="AT1440" s="2">
        <v>32</v>
      </c>
      <c r="AU1440" s="2">
        <v>0</v>
      </c>
      <c r="AV1440" s="2">
        <v>3</v>
      </c>
      <c r="AW1440" s="2">
        <v>0</v>
      </c>
      <c r="AX1440" s="2">
        <v>0</v>
      </c>
      <c r="AY1440" s="2">
        <v>15.5</v>
      </c>
      <c r="AZ1440" s="2">
        <v>2.4</v>
      </c>
      <c r="BA1440" s="2">
        <v>10.9</v>
      </c>
      <c r="BB1440" s="2">
        <v>564</v>
      </c>
      <c r="BC1440" s="2">
        <v>68</v>
      </c>
      <c r="BD1440" s="2">
        <v>1.5</v>
      </c>
      <c r="BE1440" s="2">
        <v>135</v>
      </c>
      <c r="BF1440" s="2">
        <v>0</v>
      </c>
      <c r="BG1440" s="2">
        <v>162</v>
      </c>
      <c r="BH1440" s="2">
        <v>9.1</v>
      </c>
      <c r="BI1440" s="2">
        <v>9.1999999999999993</v>
      </c>
      <c r="BJ1440" s="2">
        <v>18.3</v>
      </c>
      <c r="BK1440" s="2">
        <v>0.34</v>
      </c>
      <c r="BL1440" s="2">
        <v>7.3</v>
      </c>
      <c r="BM1440" s="2">
        <v>0.9</v>
      </c>
      <c r="BN1440" s="2">
        <v>7.5</v>
      </c>
      <c r="BO1440" s="2">
        <v>2.9</v>
      </c>
      <c r="BP1440" s="2">
        <f t="shared" si="44"/>
        <v>1.8986910113153557</v>
      </c>
      <c r="BQ1440" s="2">
        <f t="shared" si="45"/>
        <v>9.7294837310068232</v>
      </c>
    </row>
    <row r="1441" spans="1:69" x14ac:dyDescent="0.2">
      <c r="A1441" s="2" t="s">
        <v>229</v>
      </c>
      <c r="B1441" s="2" t="s">
        <v>47</v>
      </c>
      <c r="C1441" s="2" t="s">
        <v>48</v>
      </c>
      <c r="D1441" s="2" t="s">
        <v>49</v>
      </c>
      <c r="E1441" s="2" t="s">
        <v>230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89</v>
      </c>
      <c r="L1441" s="6" t="s">
        <v>103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231</v>
      </c>
      <c r="R1441" s="2">
        <v>14363636.359999999</v>
      </c>
      <c r="S1441" s="2">
        <v>0</v>
      </c>
      <c r="T1441" s="2" t="s">
        <v>83</v>
      </c>
      <c r="U1441" s="2" t="s">
        <v>84</v>
      </c>
      <c r="V1441" s="2" t="s">
        <v>56</v>
      </c>
      <c r="W1441" s="2" t="s">
        <v>83</v>
      </c>
      <c r="X1441" s="2" t="s">
        <v>85</v>
      </c>
      <c r="Y1441" s="2">
        <v>1.90364064608882</v>
      </c>
      <c r="Z1441" s="2">
        <v>1903.6406460888199</v>
      </c>
      <c r="AA1441" s="2">
        <v>4.71035</v>
      </c>
      <c r="AB1441" s="2">
        <v>-74.030416666666696</v>
      </c>
      <c r="AC1441" s="2">
        <v>2570</v>
      </c>
      <c r="AD1441" s="2">
        <v>10</v>
      </c>
      <c r="AE1441" s="2" t="s">
        <v>59</v>
      </c>
      <c r="AF1441" s="2" t="s">
        <v>86</v>
      </c>
      <c r="AG1441" s="2" t="s">
        <v>61</v>
      </c>
      <c r="AH1441" s="2" t="s">
        <v>62</v>
      </c>
      <c r="AI1441" s="2" t="s">
        <v>87</v>
      </c>
      <c r="AJ1441" s="2">
        <v>3.3099104222407698</v>
      </c>
      <c r="AK1441" s="2">
        <v>0.136074671852528</v>
      </c>
      <c r="AL1441" s="2">
        <v>0.442610652527265</v>
      </c>
      <c r="AM1441" s="2">
        <v>0.54672200665375303</v>
      </c>
      <c r="AN1441" s="2">
        <v>5.2664488299297298</v>
      </c>
      <c r="AO1441" s="2">
        <v>0.92131121515134795</v>
      </c>
      <c r="AP1441" s="2">
        <v>0.92131121515134795</v>
      </c>
      <c r="AQ1441" s="2">
        <v>0</v>
      </c>
      <c r="AR1441" s="2">
        <v>0</v>
      </c>
      <c r="AS1441" s="2">
        <v>15</v>
      </c>
      <c r="AT1441" s="2">
        <v>23</v>
      </c>
      <c r="AU1441" s="2">
        <v>1</v>
      </c>
      <c r="AV1441" s="2">
        <v>79</v>
      </c>
      <c r="AW1441" s="2">
        <v>0</v>
      </c>
      <c r="AX1441" s="2">
        <v>0</v>
      </c>
      <c r="AY1441" s="2">
        <v>15.5</v>
      </c>
      <c r="AZ1441" s="2">
        <v>2.4</v>
      </c>
      <c r="BA1441" s="2">
        <v>10.9</v>
      </c>
      <c r="BB1441" s="2">
        <v>564</v>
      </c>
      <c r="BC1441" s="2">
        <v>68</v>
      </c>
      <c r="BD1441" s="2">
        <v>1.5</v>
      </c>
      <c r="BE1441" s="2">
        <v>135</v>
      </c>
      <c r="BF1441" s="2">
        <v>0</v>
      </c>
      <c r="BG1441" s="2">
        <v>162</v>
      </c>
      <c r="BH1441" s="2">
        <v>9.1</v>
      </c>
      <c r="BI1441" s="2">
        <v>9.1999999999999993</v>
      </c>
      <c r="BJ1441" s="2">
        <v>18.3</v>
      </c>
      <c r="BK1441" s="2">
        <v>0.34</v>
      </c>
      <c r="BL1441" s="2">
        <v>7.3</v>
      </c>
      <c r="BM1441" s="2">
        <v>0.9</v>
      </c>
      <c r="BN1441" s="2">
        <v>7.5</v>
      </c>
      <c r="BO1441" s="2">
        <v>2.9</v>
      </c>
      <c r="BP1441" s="2">
        <f t="shared" si="44"/>
        <v>2.1841757480687289</v>
      </c>
      <c r="BQ1441" s="2">
        <f t="shared" si="45"/>
        <v>10.413212304295156</v>
      </c>
    </row>
    <row r="1442" spans="1:69" x14ac:dyDescent="0.2">
      <c r="A1442" s="2" t="s">
        <v>348</v>
      </c>
      <c r="B1442" s="2" t="s">
        <v>47</v>
      </c>
      <c r="C1442" s="2" t="s">
        <v>48</v>
      </c>
      <c r="D1442" s="2" t="s">
        <v>49</v>
      </c>
      <c r="E1442" s="2" t="s">
        <v>349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89</v>
      </c>
      <c r="L1442" s="6" t="s">
        <v>103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350</v>
      </c>
      <c r="R1442" s="2">
        <v>7709090.909</v>
      </c>
      <c r="S1442" s="2">
        <v>0</v>
      </c>
      <c r="T1442" s="2" t="s">
        <v>83</v>
      </c>
      <c r="U1442" s="2" t="s">
        <v>84</v>
      </c>
      <c r="V1442" s="2" t="s">
        <v>56</v>
      </c>
      <c r="W1442" s="2" t="s">
        <v>83</v>
      </c>
      <c r="X1442" s="2" t="s">
        <v>85</v>
      </c>
      <c r="Y1442" s="2">
        <v>0.60560925640005103</v>
      </c>
      <c r="Z1442" s="2">
        <v>605.60925640005098</v>
      </c>
      <c r="AA1442" s="2">
        <v>4.71035</v>
      </c>
      <c r="AB1442" s="2">
        <v>-74.030416666666696</v>
      </c>
      <c r="AC1442" s="2">
        <v>2570</v>
      </c>
      <c r="AD1442" s="2">
        <v>10</v>
      </c>
      <c r="AE1442" s="2" t="s">
        <v>59</v>
      </c>
      <c r="AF1442" s="2" t="s">
        <v>86</v>
      </c>
      <c r="AG1442" s="2" t="s">
        <v>61</v>
      </c>
      <c r="AH1442" s="2" t="s">
        <v>62</v>
      </c>
      <c r="AI1442" s="2" t="s">
        <v>87</v>
      </c>
      <c r="AJ1442" s="2">
        <v>3.0735841084319002</v>
      </c>
      <c r="AK1442" s="2">
        <v>6.7221756050779805E-2</v>
      </c>
      <c r="AL1442" s="2">
        <v>0.86056265669686904</v>
      </c>
      <c r="AM1442" s="2">
        <v>0.53567781429343597</v>
      </c>
      <c r="AN1442" s="2">
        <v>3.3520682404044502</v>
      </c>
      <c r="AO1442" s="2">
        <v>0.66078024660277301</v>
      </c>
      <c r="AP1442" s="2">
        <v>0.66078024660277301</v>
      </c>
      <c r="AQ1442" s="2">
        <v>0</v>
      </c>
      <c r="AR1442" s="2">
        <v>0</v>
      </c>
      <c r="AS1442" s="2">
        <v>17</v>
      </c>
      <c r="AT1442" s="2">
        <v>46</v>
      </c>
      <c r="AU1442" s="2">
        <v>1</v>
      </c>
      <c r="AV1442" s="2">
        <v>72</v>
      </c>
      <c r="AW1442" s="2">
        <v>0</v>
      </c>
      <c r="AX1442" s="2">
        <v>0</v>
      </c>
      <c r="AY1442" s="2">
        <v>15.5</v>
      </c>
      <c r="AZ1442" s="2">
        <v>2.4</v>
      </c>
      <c r="BA1442" s="2">
        <v>10.9</v>
      </c>
      <c r="BB1442" s="2">
        <v>564</v>
      </c>
      <c r="BC1442" s="2">
        <v>68</v>
      </c>
      <c r="BD1442" s="2">
        <v>1.5</v>
      </c>
      <c r="BE1442" s="2">
        <v>135</v>
      </c>
      <c r="BF1442" s="2">
        <v>0</v>
      </c>
      <c r="BG1442" s="2">
        <v>162</v>
      </c>
      <c r="BH1442" s="2">
        <v>9.1</v>
      </c>
      <c r="BI1442" s="2">
        <v>9.1999999999999993</v>
      </c>
      <c r="BJ1442" s="2">
        <v>18.3</v>
      </c>
      <c r="BK1442" s="2">
        <v>0.34</v>
      </c>
      <c r="BL1442" s="2">
        <v>7.3</v>
      </c>
      <c r="BM1442" s="2">
        <v>0.9</v>
      </c>
      <c r="BN1442" s="2">
        <v>7.5</v>
      </c>
      <c r="BO1442" s="2">
        <v>2.9</v>
      </c>
      <c r="BP1442" s="2">
        <f t="shared" si="44"/>
        <v>2.3291213167168525</v>
      </c>
      <c r="BQ1442" s="2">
        <f t="shared" si="45"/>
        <v>10.742718401697681</v>
      </c>
    </row>
    <row r="1443" spans="1:69" x14ac:dyDescent="0.2">
      <c r="A1443" s="2" t="s">
        <v>2270</v>
      </c>
      <c r="B1443" s="2" t="s">
        <v>47</v>
      </c>
      <c r="C1443" s="2" t="s">
        <v>1935</v>
      </c>
      <c r="D1443" s="2" t="s">
        <v>49</v>
      </c>
      <c r="E1443" s="2" t="s">
        <v>2271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89</v>
      </c>
      <c r="L1443" s="6" t="s">
        <v>141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2272</v>
      </c>
      <c r="R1443" s="2">
        <v>2919708.0290000001</v>
      </c>
      <c r="S1443" s="2">
        <v>0</v>
      </c>
      <c r="T1443" s="2" t="s">
        <v>83</v>
      </c>
      <c r="U1443" s="2" t="s">
        <v>84</v>
      </c>
      <c r="V1443" s="2" t="s">
        <v>56</v>
      </c>
      <c r="W1443" s="2" t="s">
        <v>83</v>
      </c>
      <c r="X1443" s="2" t="s">
        <v>85</v>
      </c>
      <c r="Y1443" s="2">
        <v>2.5958399317630998</v>
      </c>
      <c r="Z1443" s="2">
        <v>2595.8399317631001</v>
      </c>
      <c r="AA1443" s="2">
        <v>4.71035</v>
      </c>
      <c r="AB1443" s="2">
        <v>-74.030416666666696</v>
      </c>
      <c r="AC1443" s="2">
        <v>2570</v>
      </c>
      <c r="AD1443" s="2">
        <v>10</v>
      </c>
      <c r="AE1443" s="2" t="s">
        <v>59</v>
      </c>
      <c r="AF1443" s="2" t="s">
        <v>86</v>
      </c>
      <c r="AG1443" s="2" t="s">
        <v>61</v>
      </c>
      <c r="AH1443" s="2" t="s">
        <v>62</v>
      </c>
      <c r="AI1443" s="2" t="s">
        <v>87</v>
      </c>
      <c r="AJ1443" s="2">
        <v>2.5824238191206401</v>
      </c>
      <c r="AK1443" s="2">
        <v>0.44533319310169001</v>
      </c>
      <c r="AL1443" s="2">
        <v>1.5526704341835</v>
      </c>
      <c r="AM1443" s="2">
        <v>2.0416626875193501E-2</v>
      </c>
      <c r="AN1443" s="2">
        <v>0.92032232054920504</v>
      </c>
      <c r="AO1443" s="2">
        <v>0.110179178711539</v>
      </c>
      <c r="AP1443" s="2">
        <v>0.110179178711539</v>
      </c>
      <c r="AQ1443" s="2">
        <v>0</v>
      </c>
      <c r="AR1443" s="2">
        <v>0</v>
      </c>
      <c r="AS1443" s="2">
        <v>1</v>
      </c>
      <c r="AT1443" s="2">
        <v>23</v>
      </c>
      <c r="AU1443" s="2">
        <v>0</v>
      </c>
      <c r="AV1443" s="2">
        <v>8</v>
      </c>
      <c r="AW1443" s="2">
        <v>1</v>
      </c>
      <c r="AX1443" s="2">
        <v>0</v>
      </c>
      <c r="AY1443" s="2">
        <v>15.5</v>
      </c>
      <c r="AZ1443" s="2">
        <v>2.4</v>
      </c>
      <c r="BA1443" s="2">
        <v>10.9</v>
      </c>
      <c r="BB1443" s="2">
        <v>564</v>
      </c>
      <c r="BC1443" s="2">
        <v>68</v>
      </c>
      <c r="BD1443" s="2">
        <v>1.5</v>
      </c>
      <c r="BE1443" s="2">
        <v>135</v>
      </c>
      <c r="BF1443" s="2">
        <v>0</v>
      </c>
      <c r="BG1443" s="2">
        <v>162</v>
      </c>
      <c r="BH1443" s="2">
        <v>9.1</v>
      </c>
      <c r="BI1443" s="2">
        <v>9.1999999999999993</v>
      </c>
      <c r="BJ1443" s="2">
        <v>18.3</v>
      </c>
      <c r="BK1443" s="2">
        <v>0.34</v>
      </c>
      <c r="BL1443" s="2">
        <v>7.3</v>
      </c>
      <c r="BM1443" s="2">
        <v>0.9</v>
      </c>
      <c r="BN1443" s="2">
        <v>7.5</v>
      </c>
      <c r="BO1443" s="2">
        <v>2.9</v>
      </c>
      <c r="BP1443" s="2">
        <f t="shared" si="44"/>
        <v>2.1106050516781241</v>
      </c>
      <c r="BQ1443" s="2">
        <f t="shared" si="45"/>
        <v>10.241648888058172</v>
      </c>
    </row>
    <row r="1444" spans="1:69" x14ac:dyDescent="0.2">
      <c r="A1444" s="2" t="s">
        <v>1531</v>
      </c>
      <c r="B1444" s="2" t="s">
        <v>47</v>
      </c>
      <c r="C1444" s="2" t="s">
        <v>48</v>
      </c>
      <c r="D1444" s="2" t="s">
        <v>49</v>
      </c>
      <c r="E1444" s="2" t="s">
        <v>208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89</v>
      </c>
      <c r="L1444" s="6" t="s">
        <v>141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1532</v>
      </c>
      <c r="R1444" s="2">
        <v>9157509.1579999998</v>
      </c>
      <c r="S1444" s="2">
        <v>0</v>
      </c>
      <c r="T1444" s="2" t="s">
        <v>83</v>
      </c>
      <c r="U1444" s="2" t="s">
        <v>84</v>
      </c>
      <c r="V1444" s="2" t="s">
        <v>56</v>
      </c>
      <c r="W1444" s="2" t="s">
        <v>83</v>
      </c>
      <c r="X1444" s="2" t="s">
        <v>85</v>
      </c>
      <c r="Y1444" s="2">
        <v>1.99174298826436</v>
      </c>
      <c r="Z1444" s="2">
        <v>1991.7429882643601</v>
      </c>
      <c r="AA1444" s="2">
        <v>4.71035</v>
      </c>
      <c r="AB1444" s="2">
        <v>-74.030416666666696</v>
      </c>
      <c r="AC1444" s="2">
        <v>2570</v>
      </c>
      <c r="AD1444" s="2">
        <v>10</v>
      </c>
      <c r="AE1444" s="2" t="s">
        <v>59</v>
      </c>
      <c r="AF1444" s="2" t="s">
        <v>86</v>
      </c>
      <c r="AG1444" s="2" t="s">
        <v>61</v>
      </c>
      <c r="AH1444" s="2" t="s">
        <v>62</v>
      </c>
      <c r="AI1444" s="2" t="s">
        <v>87</v>
      </c>
      <c r="AJ1444" s="2">
        <v>2.5071774999788601</v>
      </c>
      <c r="AK1444" s="2">
        <v>0.74954019132328797</v>
      </c>
      <c r="AL1444" s="2">
        <v>0.448383524175826</v>
      </c>
      <c r="AM1444" s="2">
        <v>9.8935099307957103E-2</v>
      </c>
      <c r="AN1444" s="2">
        <v>5.4468982845674798</v>
      </c>
      <c r="AO1444" s="2">
        <v>0.45202476345373099</v>
      </c>
      <c r="AP1444" s="2">
        <v>0.45202476345373099</v>
      </c>
      <c r="AQ1444" s="2">
        <v>0</v>
      </c>
      <c r="AR1444" s="2">
        <v>0</v>
      </c>
      <c r="AS1444" s="2">
        <v>0</v>
      </c>
      <c r="AT1444" s="2">
        <v>9</v>
      </c>
      <c r="AU1444" s="2">
        <v>2</v>
      </c>
      <c r="AV1444" s="2">
        <v>117</v>
      </c>
      <c r="AW1444" s="2">
        <v>0</v>
      </c>
      <c r="AX1444" s="2">
        <v>0</v>
      </c>
      <c r="AY1444" s="2">
        <v>15.5</v>
      </c>
      <c r="AZ1444" s="2">
        <v>2.4</v>
      </c>
      <c r="BA1444" s="2">
        <v>10.9</v>
      </c>
      <c r="BB1444" s="2">
        <v>564</v>
      </c>
      <c r="BC1444" s="2">
        <v>68</v>
      </c>
      <c r="BD1444" s="2">
        <v>1.5</v>
      </c>
      <c r="BE1444" s="2">
        <v>135</v>
      </c>
      <c r="BF1444" s="2">
        <v>0</v>
      </c>
      <c r="BG1444" s="2">
        <v>162</v>
      </c>
      <c r="BH1444" s="2">
        <v>9.1</v>
      </c>
      <c r="BI1444" s="2">
        <v>9.1999999999999993</v>
      </c>
      <c r="BJ1444" s="2">
        <v>18.3</v>
      </c>
      <c r="BK1444" s="2">
        <v>0.34</v>
      </c>
      <c r="BL1444" s="2">
        <v>7.3</v>
      </c>
      <c r="BM1444" s="2">
        <v>0.9</v>
      </c>
      <c r="BN1444" s="2">
        <v>7.5</v>
      </c>
      <c r="BO1444" s="2">
        <v>2.9</v>
      </c>
      <c r="BP1444" s="2">
        <f t="shared" si="44"/>
        <v>2.1746711537570547</v>
      </c>
      <c r="BQ1444" s="2">
        <f t="shared" si="45"/>
        <v>10.391217284796895</v>
      </c>
    </row>
    <row r="1445" spans="1:69" x14ac:dyDescent="0.2">
      <c r="A1445" s="2" t="s">
        <v>3048</v>
      </c>
      <c r="B1445" s="2" t="s">
        <v>47</v>
      </c>
      <c r="C1445" s="2" t="s">
        <v>1935</v>
      </c>
      <c r="D1445" s="2" t="s">
        <v>49</v>
      </c>
      <c r="E1445" s="2" t="s">
        <v>184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89</v>
      </c>
      <c r="L1445" s="6" t="s">
        <v>141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3049</v>
      </c>
      <c r="R1445" s="2">
        <v>4779411.7649999997</v>
      </c>
      <c r="S1445" s="2">
        <v>0</v>
      </c>
      <c r="T1445" s="2" t="s">
        <v>83</v>
      </c>
      <c r="U1445" s="2" t="s">
        <v>84</v>
      </c>
      <c r="V1445" s="2" t="s">
        <v>56</v>
      </c>
      <c r="W1445" s="2" t="s">
        <v>83</v>
      </c>
      <c r="X1445" s="2" t="s">
        <v>85</v>
      </c>
      <c r="Y1445" s="2">
        <v>1.70141888751445</v>
      </c>
      <c r="Z1445" s="2">
        <v>1701.41888751445</v>
      </c>
      <c r="AA1445" s="2">
        <v>4.71035</v>
      </c>
      <c r="AB1445" s="2">
        <v>-74.030416666666696</v>
      </c>
      <c r="AC1445" s="2">
        <v>2570</v>
      </c>
      <c r="AD1445" s="2">
        <v>10</v>
      </c>
      <c r="AE1445" s="2" t="s">
        <v>59</v>
      </c>
      <c r="AF1445" s="2" t="s">
        <v>86</v>
      </c>
      <c r="AG1445" s="2" t="s">
        <v>61</v>
      </c>
      <c r="AH1445" s="2" t="s">
        <v>62</v>
      </c>
      <c r="AI1445" s="2" t="s">
        <v>87</v>
      </c>
      <c r="AJ1445" s="2">
        <v>1.56664252505138</v>
      </c>
      <c r="AK1445" s="2">
        <v>1.5329098565157999</v>
      </c>
      <c r="AL1445" s="2">
        <v>1.0158760806635501</v>
      </c>
      <c r="AM1445" s="2">
        <v>0.403872986760417</v>
      </c>
      <c r="AN1445" s="2">
        <v>2.1929349006849099</v>
      </c>
      <c r="AO1445" s="2">
        <v>3.8833354389476598E-3</v>
      </c>
      <c r="AP1445" s="2">
        <v>3.8833354389476598E-3</v>
      </c>
      <c r="AQ1445" s="2">
        <v>0</v>
      </c>
      <c r="AR1445" s="2">
        <v>0</v>
      </c>
      <c r="AS1445" s="2">
        <v>0</v>
      </c>
      <c r="AT1445" s="2">
        <v>0</v>
      </c>
      <c r="AU1445" s="2">
        <v>0</v>
      </c>
      <c r="AV1445" s="2">
        <v>18</v>
      </c>
      <c r="AW1445" s="2">
        <v>0</v>
      </c>
      <c r="AX1445" s="2">
        <v>0</v>
      </c>
      <c r="AY1445" s="2">
        <v>15.5</v>
      </c>
      <c r="AZ1445" s="2">
        <v>2.4</v>
      </c>
      <c r="BA1445" s="2">
        <v>10.9</v>
      </c>
      <c r="BB1445" s="2">
        <v>564</v>
      </c>
      <c r="BC1445" s="2">
        <v>68</v>
      </c>
      <c r="BD1445" s="2">
        <v>1.5</v>
      </c>
      <c r="BE1445" s="2">
        <v>135</v>
      </c>
      <c r="BF1445" s="2">
        <v>0</v>
      </c>
      <c r="BG1445" s="2">
        <v>162</v>
      </c>
      <c r="BH1445" s="2">
        <v>9.1</v>
      </c>
      <c r="BI1445" s="2">
        <v>9.1999999999999993</v>
      </c>
      <c r="BJ1445" s="2">
        <v>18.3</v>
      </c>
      <c r="BK1445" s="2">
        <v>0.34</v>
      </c>
      <c r="BL1445" s="2">
        <v>7.3</v>
      </c>
      <c r="BM1445" s="2">
        <v>0.9</v>
      </c>
      <c r="BN1445" s="2">
        <v>7.5</v>
      </c>
      <c r="BO1445" s="2">
        <v>2.9</v>
      </c>
      <c r="BP1445" s="2">
        <f t="shared" si="44"/>
        <v>2.20614909002673</v>
      </c>
      <c r="BQ1445" s="2">
        <f t="shared" si="45"/>
        <v>10.463873817685926</v>
      </c>
    </row>
    <row r="1446" spans="1:69" x14ac:dyDescent="0.2">
      <c r="A1446" s="2" t="s">
        <v>1561</v>
      </c>
      <c r="B1446" s="2" t="s">
        <v>47</v>
      </c>
      <c r="C1446" s="2" t="s">
        <v>48</v>
      </c>
      <c r="D1446" s="2" t="s">
        <v>49</v>
      </c>
      <c r="E1446" s="2" t="s">
        <v>1160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89</v>
      </c>
      <c r="L1446" s="6" t="s">
        <v>141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1562</v>
      </c>
      <c r="R1446" s="2">
        <v>6974169.7419999996</v>
      </c>
      <c r="S1446" s="2">
        <v>0</v>
      </c>
      <c r="T1446" s="2" t="s">
        <v>83</v>
      </c>
      <c r="U1446" s="2" t="s">
        <v>84</v>
      </c>
      <c r="V1446" s="2" t="s">
        <v>56</v>
      </c>
      <c r="W1446" s="2" t="s">
        <v>83</v>
      </c>
      <c r="X1446" s="2" t="s">
        <v>85</v>
      </c>
      <c r="Y1446" s="2">
        <v>4.7617910726071804</v>
      </c>
      <c r="Z1446" s="2">
        <v>4761.7910726071796</v>
      </c>
      <c r="AA1446" s="2">
        <v>4.71035</v>
      </c>
      <c r="AB1446" s="2">
        <v>-74.030416666666696</v>
      </c>
      <c r="AC1446" s="2">
        <v>2570</v>
      </c>
      <c r="AD1446" s="2">
        <v>10</v>
      </c>
      <c r="AE1446" s="2" t="s">
        <v>59</v>
      </c>
      <c r="AF1446" s="2" t="s">
        <v>86</v>
      </c>
      <c r="AG1446" s="2" t="s">
        <v>61</v>
      </c>
      <c r="AH1446" s="2" t="s">
        <v>62</v>
      </c>
      <c r="AI1446" s="2" t="s">
        <v>109</v>
      </c>
      <c r="AJ1446" s="2">
        <v>2.10610120185139</v>
      </c>
      <c r="AK1446" s="2">
        <v>2.1806639992785301E-2</v>
      </c>
      <c r="AL1446" s="2">
        <v>1.4492126347191701</v>
      </c>
      <c r="AM1446" s="2">
        <v>0.71898560052705296</v>
      </c>
      <c r="AN1446" s="2">
        <v>3.58039506383574</v>
      </c>
      <c r="AO1446" s="2">
        <v>0.94415056287139298</v>
      </c>
      <c r="AP1446" s="2">
        <v>0.94415056287139298</v>
      </c>
      <c r="AQ1446" s="2">
        <v>0</v>
      </c>
      <c r="AR1446" s="2">
        <v>0</v>
      </c>
      <c r="AS1446" s="2">
        <v>28</v>
      </c>
      <c r="AT1446" s="2">
        <v>32</v>
      </c>
      <c r="AU1446" s="2">
        <v>0</v>
      </c>
      <c r="AV1446" s="2">
        <v>4</v>
      </c>
      <c r="AW1446" s="2">
        <v>0</v>
      </c>
      <c r="AX1446" s="2">
        <v>0</v>
      </c>
      <c r="AY1446" s="2">
        <v>15.5</v>
      </c>
      <c r="AZ1446" s="2">
        <v>2.4</v>
      </c>
      <c r="BA1446" s="2">
        <v>10.9</v>
      </c>
      <c r="BB1446" s="2">
        <v>564</v>
      </c>
      <c r="BC1446" s="2">
        <v>68</v>
      </c>
      <c r="BD1446" s="2">
        <v>1.5</v>
      </c>
      <c r="BE1446" s="2">
        <v>135</v>
      </c>
      <c r="BF1446" s="2">
        <v>0</v>
      </c>
      <c r="BG1446" s="2">
        <v>162</v>
      </c>
      <c r="BH1446" s="2">
        <v>9.1</v>
      </c>
      <c r="BI1446" s="2">
        <v>9.1999999999999993</v>
      </c>
      <c r="BJ1446" s="2">
        <v>18.3</v>
      </c>
      <c r="BK1446" s="2">
        <v>0.34</v>
      </c>
      <c r="BL1446" s="2">
        <v>7.3</v>
      </c>
      <c r="BM1446" s="2">
        <v>0.9</v>
      </c>
      <c r="BN1446" s="2">
        <v>7.5</v>
      </c>
      <c r="BO1446" s="2">
        <v>2.9</v>
      </c>
      <c r="BP1446" s="2">
        <f t="shared" si="44"/>
        <v>1.8960259287869126</v>
      </c>
      <c r="BQ1446" s="2">
        <f t="shared" si="45"/>
        <v>9.7228598990452344</v>
      </c>
    </row>
    <row r="1447" spans="1:69" x14ac:dyDescent="0.2">
      <c r="A1447" s="2" t="s">
        <v>506</v>
      </c>
      <c r="B1447" s="2" t="s">
        <v>47</v>
      </c>
      <c r="C1447" s="2" t="s">
        <v>48</v>
      </c>
      <c r="D1447" s="2" t="s">
        <v>49</v>
      </c>
      <c r="E1447" s="2" t="s">
        <v>251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89</v>
      </c>
      <c r="L1447" s="6" t="s">
        <v>141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507</v>
      </c>
      <c r="R1447" s="2">
        <v>9629629.6300000008</v>
      </c>
      <c r="S1447" s="2">
        <v>0</v>
      </c>
      <c r="T1447" s="2" t="s">
        <v>83</v>
      </c>
      <c r="U1447" s="2" t="s">
        <v>84</v>
      </c>
      <c r="V1447" s="2" t="s">
        <v>56</v>
      </c>
      <c r="W1447" s="2" t="s">
        <v>83</v>
      </c>
      <c r="X1447" s="2" t="s">
        <v>85</v>
      </c>
      <c r="Y1447" s="2">
        <v>2.4541851897485198</v>
      </c>
      <c r="Z1447" s="2">
        <v>2454.1851897485199</v>
      </c>
      <c r="AA1447" s="2">
        <v>4.71035</v>
      </c>
      <c r="AB1447" s="2">
        <v>-74.030416666666696</v>
      </c>
      <c r="AC1447" s="2">
        <v>2570</v>
      </c>
      <c r="AD1447" s="2">
        <v>10</v>
      </c>
      <c r="AE1447" s="2" t="s">
        <v>59</v>
      </c>
      <c r="AF1447" s="2" t="s">
        <v>86</v>
      </c>
      <c r="AG1447" s="2" t="s">
        <v>61</v>
      </c>
      <c r="AH1447" s="2" t="s">
        <v>62</v>
      </c>
      <c r="AI1447" s="2" t="s">
        <v>87</v>
      </c>
      <c r="AJ1447" s="2">
        <v>2.7188471987660701</v>
      </c>
      <c r="AK1447" s="2">
        <v>0.62961595105916701</v>
      </c>
      <c r="AL1447" s="2">
        <v>0.72316794759747005</v>
      </c>
      <c r="AM1447" s="2">
        <v>0.34341976369708299</v>
      </c>
      <c r="AN1447" s="2">
        <v>5.7476453438042103</v>
      </c>
      <c r="AO1447" s="2">
        <v>0.54886394470880995</v>
      </c>
      <c r="AP1447" s="2">
        <v>0.54886394470880995</v>
      </c>
      <c r="AQ1447" s="2">
        <v>0</v>
      </c>
      <c r="AR1447" s="2">
        <v>0</v>
      </c>
      <c r="AS1447" s="2">
        <v>0</v>
      </c>
      <c r="AT1447" s="2">
        <v>18</v>
      </c>
      <c r="AU1447" s="2">
        <v>3</v>
      </c>
      <c r="AV1447" s="2">
        <v>74</v>
      </c>
      <c r="AW1447" s="2">
        <v>0</v>
      </c>
      <c r="AX1447" s="2">
        <v>0</v>
      </c>
      <c r="AY1447" s="2">
        <v>15.5</v>
      </c>
      <c r="AZ1447" s="2">
        <v>2.4</v>
      </c>
      <c r="BA1447" s="2">
        <v>10.9</v>
      </c>
      <c r="BB1447" s="2">
        <v>564</v>
      </c>
      <c r="BC1447" s="2">
        <v>68</v>
      </c>
      <c r="BD1447" s="2">
        <v>1.5</v>
      </c>
      <c r="BE1447" s="2">
        <v>135</v>
      </c>
      <c r="BF1447" s="2">
        <v>0</v>
      </c>
      <c r="BG1447" s="2">
        <v>162</v>
      </c>
      <c r="BH1447" s="2">
        <v>9.1</v>
      </c>
      <c r="BI1447" s="2">
        <v>9.1999999999999993</v>
      </c>
      <c r="BJ1447" s="2">
        <v>18.3</v>
      </c>
      <c r="BK1447" s="2">
        <v>0.34</v>
      </c>
      <c r="BL1447" s="2">
        <v>7.3</v>
      </c>
      <c r="BM1447" s="2">
        <v>0.9</v>
      </c>
      <c r="BN1447" s="2">
        <v>7.5</v>
      </c>
      <c r="BO1447" s="2">
        <v>2.9</v>
      </c>
      <c r="BP1447" s="2">
        <f t="shared" si="44"/>
        <v>2.1254564311922288</v>
      </c>
      <c r="BQ1447" s="2">
        <f t="shared" si="45"/>
        <v>10.276526817098247</v>
      </c>
    </row>
    <row r="1448" spans="1:69" x14ac:dyDescent="0.2">
      <c r="A1448" s="2" t="s">
        <v>2569</v>
      </c>
      <c r="B1448" s="2" t="s">
        <v>47</v>
      </c>
      <c r="C1448" s="2" t="s">
        <v>1935</v>
      </c>
      <c r="D1448" s="2" t="s">
        <v>49</v>
      </c>
      <c r="E1448" s="2" t="s">
        <v>349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89</v>
      </c>
      <c r="L1448" s="6" t="s">
        <v>103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2570</v>
      </c>
      <c r="R1448" s="2">
        <v>7777777.7779999999</v>
      </c>
      <c r="S1448" s="2">
        <v>0</v>
      </c>
      <c r="T1448" s="2" t="s">
        <v>83</v>
      </c>
      <c r="U1448" s="2" t="s">
        <v>84</v>
      </c>
      <c r="V1448" s="2" t="s">
        <v>56</v>
      </c>
      <c r="W1448" s="2" t="s">
        <v>83</v>
      </c>
      <c r="X1448" s="2" t="s">
        <v>85</v>
      </c>
      <c r="Y1448" s="2">
        <v>1.8397703614479399</v>
      </c>
      <c r="Z1448" s="2">
        <v>1839.7703614479401</v>
      </c>
      <c r="AA1448" s="2">
        <v>4.71035</v>
      </c>
      <c r="AB1448" s="2">
        <v>-74.030416666666696</v>
      </c>
      <c r="AC1448" s="2">
        <v>2570</v>
      </c>
      <c r="AD1448" s="2">
        <v>10</v>
      </c>
      <c r="AE1448" s="2" t="s">
        <v>59</v>
      </c>
      <c r="AF1448" s="2" t="s">
        <v>86</v>
      </c>
      <c r="AG1448" s="2" t="s">
        <v>61</v>
      </c>
      <c r="AH1448" s="2" t="s">
        <v>62</v>
      </c>
      <c r="AI1448" s="2" t="s">
        <v>87</v>
      </c>
      <c r="AJ1448" s="2">
        <v>3.0995380161114401</v>
      </c>
      <c r="AK1448" s="2">
        <v>0.16244526680676499</v>
      </c>
      <c r="AL1448" s="2">
        <v>1.9330819837659801</v>
      </c>
      <c r="AM1448" s="2">
        <v>0.37650789325384698</v>
      </c>
      <c r="AN1448" s="2">
        <v>1.90001987293248</v>
      </c>
      <c r="AO1448" s="2">
        <v>0.739504534484273</v>
      </c>
      <c r="AP1448" s="2">
        <v>0.739504534484273</v>
      </c>
      <c r="AQ1448" s="2">
        <v>0</v>
      </c>
      <c r="AR1448" s="2">
        <v>0</v>
      </c>
      <c r="AS1448" s="2">
        <v>16</v>
      </c>
      <c r="AT1448" s="2">
        <v>40</v>
      </c>
      <c r="AU1448" s="2">
        <v>0</v>
      </c>
      <c r="AV1448" s="2">
        <v>6</v>
      </c>
      <c r="AW1448" s="2">
        <v>0</v>
      </c>
      <c r="AX1448" s="2">
        <v>0</v>
      </c>
      <c r="AY1448" s="2">
        <v>15.5</v>
      </c>
      <c r="AZ1448" s="2">
        <v>2.4</v>
      </c>
      <c r="BA1448" s="2">
        <v>10.9</v>
      </c>
      <c r="BB1448" s="2">
        <v>564</v>
      </c>
      <c r="BC1448" s="2">
        <v>68</v>
      </c>
      <c r="BD1448" s="2">
        <v>1.5</v>
      </c>
      <c r="BE1448" s="2">
        <v>135</v>
      </c>
      <c r="BF1448" s="2">
        <v>0</v>
      </c>
      <c r="BG1448" s="2">
        <v>162</v>
      </c>
      <c r="BH1448" s="2">
        <v>9.1</v>
      </c>
      <c r="BI1448" s="2">
        <v>9.1999999999999993</v>
      </c>
      <c r="BJ1448" s="2">
        <v>18.3</v>
      </c>
      <c r="BK1448" s="2">
        <v>0.34</v>
      </c>
      <c r="BL1448" s="2">
        <v>7.3</v>
      </c>
      <c r="BM1448" s="2">
        <v>0.9</v>
      </c>
      <c r="BN1448" s="2">
        <v>7.5</v>
      </c>
      <c r="BO1448" s="2">
        <v>2.9</v>
      </c>
      <c r="BP1448" s="2">
        <f t="shared" si="44"/>
        <v>2.1910921200094604</v>
      </c>
      <c r="BQ1448" s="2">
        <f t="shared" si="45"/>
        <v>10.429186820743737</v>
      </c>
    </row>
    <row r="1449" spans="1:69" x14ac:dyDescent="0.2">
      <c r="A1449" s="2" t="s">
        <v>1874</v>
      </c>
      <c r="B1449" s="2" t="s">
        <v>47</v>
      </c>
      <c r="C1449" s="2" t="s">
        <v>48</v>
      </c>
      <c r="D1449" s="2" t="s">
        <v>49</v>
      </c>
      <c r="E1449" s="2" t="s">
        <v>214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89</v>
      </c>
      <c r="L1449" s="6" t="s">
        <v>141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1875</v>
      </c>
      <c r="R1449" s="2">
        <v>6666666.6670000004</v>
      </c>
      <c r="S1449" s="2">
        <v>29629.629629999999</v>
      </c>
      <c r="T1449" s="2" t="s">
        <v>83</v>
      </c>
      <c r="U1449" s="2" t="s">
        <v>84</v>
      </c>
      <c r="V1449" s="2" t="s">
        <v>56</v>
      </c>
      <c r="W1449" s="2" t="s">
        <v>83</v>
      </c>
      <c r="X1449" s="2" t="s">
        <v>85</v>
      </c>
      <c r="Y1449" s="2">
        <v>1.35537673481406</v>
      </c>
      <c r="Z1449" s="2">
        <v>1355.37673481406</v>
      </c>
      <c r="AA1449" s="2">
        <v>4.71035</v>
      </c>
      <c r="AB1449" s="2">
        <v>-74.030416666666696</v>
      </c>
      <c r="AC1449" s="2">
        <v>2570</v>
      </c>
      <c r="AD1449" s="2">
        <v>10</v>
      </c>
      <c r="AE1449" s="2" t="s">
        <v>59</v>
      </c>
      <c r="AF1449" s="2" t="s">
        <v>86</v>
      </c>
      <c r="AG1449" s="2" t="s">
        <v>61</v>
      </c>
      <c r="AH1449" s="2" t="s">
        <v>62</v>
      </c>
      <c r="AI1449" s="2" t="s">
        <v>87</v>
      </c>
      <c r="AJ1449" s="2">
        <v>1.3306238892107001</v>
      </c>
      <c r="AK1449" s="2">
        <v>1.9277606398419</v>
      </c>
      <c r="AL1449" s="2">
        <v>1.10841090979541</v>
      </c>
      <c r="AM1449" s="2">
        <v>0.12443888441414799</v>
      </c>
      <c r="AN1449" s="2">
        <v>4.0835140842235704</v>
      </c>
      <c r="AO1449" s="2">
        <v>7.18328413785672E-2</v>
      </c>
      <c r="AP1449" s="2">
        <v>7.18328413785672E-2</v>
      </c>
      <c r="AQ1449" s="2">
        <v>0</v>
      </c>
      <c r="AR1449" s="2">
        <v>0</v>
      </c>
      <c r="AS1449" s="2">
        <v>0</v>
      </c>
      <c r="AT1449" s="2">
        <v>0</v>
      </c>
      <c r="AU1449" s="2">
        <v>0</v>
      </c>
      <c r="AV1449" s="2">
        <v>93</v>
      </c>
      <c r="AW1449" s="2">
        <v>0</v>
      </c>
      <c r="AX1449" s="2">
        <v>0</v>
      </c>
      <c r="AY1449" s="2">
        <v>15.5</v>
      </c>
      <c r="AZ1449" s="2">
        <v>2.4</v>
      </c>
      <c r="BA1449" s="2">
        <v>10.9</v>
      </c>
      <c r="BB1449" s="2">
        <v>564</v>
      </c>
      <c r="BC1449" s="2">
        <v>68</v>
      </c>
      <c r="BD1449" s="2">
        <v>1.5</v>
      </c>
      <c r="BE1449" s="2">
        <v>135</v>
      </c>
      <c r="BF1449" s="2">
        <v>0</v>
      </c>
      <c r="BG1449" s="2">
        <v>162</v>
      </c>
      <c r="BH1449" s="2">
        <v>9.1</v>
      </c>
      <c r="BI1449" s="2">
        <v>9.1999999999999993</v>
      </c>
      <c r="BJ1449" s="2">
        <v>18.3</v>
      </c>
      <c r="BK1449" s="2">
        <v>0.34</v>
      </c>
      <c r="BL1449" s="2">
        <v>7.3</v>
      </c>
      <c r="BM1449" s="2">
        <v>0.9</v>
      </c>
      <c r="BN1449" s="2">
        <v>7.5</v>
      </c>
      <c r="BO1449" s="2">
        <v>2.9</v>
      </c>
      <c r="BP1449" s="2">
        <f t="shared" si="44"/>
        <v>2.2442639128803732</v>
      </c>
      <c r="BQ1449" s="2">
        <f t="shared" si="45"/>
        <v>10.551138276399362</v>
      </c>
    </row>
    <row r="1450" spans="1:69" x14ac:dyDescent="0.2">
      <c r="A1450" s="2" t="s">
        <v>834</v>
      </c>
      <c r="B1450" s="2" t="s">
        <v>47</v>
      </c>
      <c r="C1450" s="2" t="s">
        <v>48</v>
      </c>
      <c r="D1450" s="2" t="s">
        <v>49</v>
      </c>
      <c r="E1450" s="2" t="s">
        <v>156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89</v>
      </c>
      <c r="L1450" s="6" t="s">
        <v>141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835</v>
      </c>
      <c r="R1450" s="2">
        <v>5740740.7410000004</v>
      </c>
      <c r="S1450" s="2">
        <v>0</v>
      </c>
      <c r="T1450" s="2" t="s">
        <v>83</v>
      </c>
      <c r="U1450" s="2" t="s">
        <v>84</v>
      </c>
      <c r="V1450" s="2" t="s">
        <v>56</v>
      </c>
      <c r="W1450" s="2" t="s">
        <v>83</v>
      </c>
      <c r="X1450" s="2" t="s">
        <v>85</v>
      </c>
      <c r="Y1450" s="2">
        <v>1.3263398337479599</v>
      </c>
      <c r="Z1450" s="2">
        <v>1326.33983374796</v>
      </c>
      <c r="AA1450" s="2">
        <v>4.71035</v>
      </c>
      <c r="AB1450" s="2">
        <v>-74.030416666666696</v>
      </c>
      <c r="AC1450" s="2">
        <v>2570</v>
      </c>
      <c r="AD1450" s="2">
        <v>10</v>
      </c>
      <c r="AE1450" s="2" t="s">
        <v>59</v>
      </c>
      <c r="AF1450" s="2" t="s">
        <v>86</v>
      </c>
      <c r="AG1450" s="2" t="s">
        <v>61</v>
      </c>
      <c r="AH1450" s="2" t="s">
        <v>62</v>
      </c>
      <c r="AI1450" s="2" t="s">
        <v>87</v>
      </c>
      <c r="AJ1450" s="2">
        <v>1.4858372928063599</v>
      </c>
      <c r="AK1450" s="2">
        <v>1.7093113044796799</v>
      </c>
      <c r="AL1450" s="2">
        <v>0.99044720862595104</v>
      </c>
      <c r="AM1450" s="2">
        <v>4.26262729461711E-2</v>
      </c>
      <c r="AN1450" s="2">
        <v>4.3823130818360596</v>
      </c>
      <c r="AO1450" s="2">
        <v>0.17375583870282801</v>
      </c>
      <c r="AP1450" s="2">
        <v>0.17375583870282801</v>
      </c>
      <c r="AQ1450" s="2">
        <v>0</v>
      </c>
      <c r="AR1450" s="2">
        <v>0</v>
      </c>
      <c r="AS1450" s="2">
        <v>0</v>
      </c>
      <c r="AT1450" s="2">
        <v>0</v>
      </c>
      <c r="AU1450" s="2">
        <v>1</v>
      </c>
      <c r="AV1450" s="2">
        <v>83</v>
      </c>
      <c r="AW1450" s="2">
        <v>0</v>
      </c>
      <c r="AX1450" s="2">
        <v>0</v>
      </c>
      <c r="AY1450" s="2">
        <v>15.5</v>
      </c>
      <c r="AZ1450" s="2">
        <v>2.4</v>
      </c>
      <c r="BA1450" s="2">
        <v>10.9</v>
      </c>
      <c r="BB1450" s="2">
        <v>564</v>
      </c>
      <c r="BC1450" s="2">
        <v>68</v>
      </c>
      <c r="BD1450" s="2">
        <v>1.5</v>
      </c>
      <c r="BE1450" s="2">
        <v>135</v>
      </c>
      <c r="BF1450" s="2">
        <v>0</v>
      </c>
      <c r="BG1450" s="2">
        <v>162</v>
      </c>
      <c r="BH1450" s="2">
        <v>9.1</v>
      </c>
      <c r="BI1450" s="2">
        <v>9.1999999999999993</v>
      </c>
      <c r="BJ1450" s="2">
        <v>18.3</v>
      </c>
      <c r="BK1450" s="2">
        <v>0.34</v>
      </c>
      <c r="BL1450" s="2">
        <v>7.3</v>
      </c>
      <c r="BM1450" s="2">
        <v>0.9</v>
      </c>
      <c r="BN1450" s="2">
        <v>7.5</v>
      </c>
      <c r="BO1450" s="2">
        <v>2.9</v>
      </c>
      <c r="BP1450" s="2">
        <f t="shared" si="44"/>
        <v>2.2474919724381963</v>
      </c>
      <c r="BQ1450" s="2">
        <f t="shared" si="45"/>
        <v>10.558493775670932</v>
      </c>
    </row>
    <row r="1451" spans="1:69" x14ac:dyDescent="0.2">
      <c r="A1451" s="2" t="s">
        <v>2797</v>
      </c>
      <c r="B1451" s="2" t="s">
        <v>47</v>
      </c>
      <c r="C1451" s="2" t="s">
        <v>1935</v>
      </c>
      <c r="D1451" s="2" t="s">
        <v>49</v>
      </c>
      <c r="E1451" s="2" t="s">
        <v>214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89</v>
      </c>
      <c r="L1451" s="6" t="s">
        <v>141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2798</v>
      </c>
      <c r="R1451" s="2">
        <v>8160540.0789999999</v>
      </c>
      <c r="S1451" s="2">
        <v>0</v>
      </c>
      <c r="T1451" s="2" t="s">
        <v>83</v>
      </c>
      <c r="U1451" s="2" t="s">
        <v>84</v>
      </c>
      <c r="V1451" s="2" t="s">
        <v>56</v>
      </c>
      <c r="W1451" s="2" t="s">
        <v>83</v>
      </c>
      <c r="X1451" s="2" t="s">
        <v>85</v>
      </c>
      <c r="Y1451" s="2">
        <v>1.3779428585496201</v>
      </c>
      <c r="Z1451" s="2">
        <v>1377.94285854962</v>
      </c>
      <c r="AA1451" s="2">
        <v>4.71035</v>
      </c>
      <c r="AB1451" s="2">
        <v>-74.030416666666696</v>
      </c>
      <c r="AC1451" s="2">
        <v>2570</v>
      </c>
      <c r="AD1451" s="2">
        <v>10</v>
      </c>
      <c r="AE1451" s="2" t="s">
        <v>59</v>
      </c>
      <c r="AF1451" s="2" t="s">
        <v>86</v>
      </c>
      <c r="AG1451" s="2" t="s">
        <v>61</v>
      </c>
      <c r="AH1451" s="2" t="s">
        <v>62</v>
      </c>
      <c r="AI1451" s="2" t="s">
        <v>87</v>
      </c>
      <c r="AJ1451" s="2">
        <v>1.3880135104685201</v>
      </c>
      <c r="AK1451" s="2">
        <v>1.8202899444232801</v>
      </c>
      <c r="AL1451" s="2">
        <v>1.11249661068723</v>
      </c>
      <c r="AM1451" s="2">
        <v>8.8329909114179997E-2</v>
      </c>
      <c r="AN1451" s="2">
        <v>4.3439025275790604</v>
      </c>
      <c r="AO1451" s="2">
        <v>0.29989114442124298</v>
      </c>
      <c r="AP1451" s="2">
        <v>0.29989114442124298</v>
      </c>
      <c r="AQ1451" s="2">
        <v>0</v>
      </c>
      <c r="AR1451" s="2">
        <v>0</v>
      </c>
      <c r="AS1451" s="2">
        <v>0</v>
      </c>
      <c r="AT1451" s="2">
        <v>0</v>
      </c>
      <c r="AU1451" s="2">
        <v>0</v>
      </c>
      <c r="AV1451" s="2">
        <v>95</v>
      </c>
      <c r="AW1451" s="2">
        <v>0</v>
      </c>
      <c r="AX1451" s="2">
        <v>0</v>
      </c>
      <c r="AY1451" s="2">
        <v>15.5</v>
      </c>
      <c r="AZ1451" s="2">
        <v>2.4</v>
      </c>
      <c r="BA1451" s="2">
        <v>10.9</v>
      </c>
      <c r="BB1451" s="2">
        <v>564</v>
      </c>
      <c r="BC1451" s="2">
        <v>68</v>
      </c>
      <c r="BD1451" s="2">
        <v>1.5</v>
      </c>
      <c r="BE1451" s="2">
        <v>135</v>
      </c>
      <c r="BF1451" s="2">
        <v>0</v>
      </c>
      <c r="BG1451" s="2">
        <v>162</v>
      </c>
      <c r="BH1451" s="2">
        <v>9.1</v>
      </c>
      <c r="BI1451" s="2">
        <v>9.1999999999999993</v>
      </c>
      <c r="BJ1451" s="2">
        <v>18.3</v>
      </c>
      <c r="BK1451" s="2">
        <v>0.34</v>
      </c>
      <c r="BL1451" s="2">
        <v>7.3</v>
      </c>
      <c r="BM1451" s="2">
        <v>0.9</v>
      </c>
      <c r="BN1451" s="2">
        <v>7.5</v>
      </c>
      <c r="BO1451" s="2">
        <v>2.9</v>
      </c>
      <c r="BP1451" s="2">
        <f t="shared" si="44"/>
        <v>2.2417584177997738</v>
      </c>
      <c r="BQ1451" s="2">
        <f t="shared" si="45"/>
        <v>10.545425464525726</v>
      </c>
    </row>
    <row r="1452" spans="1:69" x14ac:dyDescent="0.2">
      <c r="A1452" s="2" t="s">
        <v>1252</v>
      </c>
      <c r="B1452" s="2" t="s">
        <v>47</v>
      </c>
      <c r="C1452" s="2" t="s">
        <v>48</v>
      </c>
      <c r="D1452" s="2" t="s">
        <v>49</v>
      </c>
      <c r="E1452" s="2" t="s">
        <v>1253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89</v>
      </c>
      <c r="L1452" s="6" t="s">
        <v>103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1254</v>
      </c>
      <c r="R1452" s="2">
        <v>7007575.7580000004</v>
      </c>
      <c r="S1452" s="2">
        <v>0</v>
      </c>
      <c r="T1452" s="2" t="s">
        <v>83</v>
      </c>
      <c r="U1452" s="2" t="s">
        <v>84</v>
      </c>
      <c r="V1452" s="2" t="s">
        <v>56</v>
      </c>
      <c r="W1452" s="2" t="s">
        <v>83</v>
      </c>
      <c r="X1452" s="2" t="s">
        <v>85</v>
      </c>
      <c r="Y1452" s="2">
        <v>1.90173549060652</v>
      </c>
      <c r="Z1452" s="2">
        <v>1901.73549060652</v>
      </c>
      <c r="AA1452" s="2">
        <v>4.71035</v>
      </c>
      <c r="AB1452" s="2">
        <v>-74.030416666666696</v>
      </c>
      <c r="AC1452" s="2">
        <v>2570</v>
      </c>
      <c r="AD1452" s="2">
        <v>10</v>
      </c>
      <c r="AE1452" s="2" t="s">
        <v>59</v>
      </c>
      <c r="AF1452" s="2" t="s">
        <v>86</v>
      </c>
      <c r="AG1452" s="2" t="s">
        <v>61</v>
      </c>
      <c r="AH1452" s="2" t="s">
        <v>62</v>
      </c>
      <c r="AI1452" s="2" t="s">
        <v>87</v>
      </c>
      <c r="AJ1452" s="2">
        <v>0.83003869280709297</v>
      </c>
      <c r="AK1452" s="2">
        <v>2.4743177869989701</v>
      </c>
      <c r="AL1452" s="2">
        <v>1.60120631419968</v>
      </c>
      <c r="AM1452" s="2">
        <v>0.11035327928768</v>
      </c>
      <c r="AN1452" s="2">
        <v>4.3947716794328704</v>
      </c>
      <c r="AO1452" s="2">
        <v>0.226543198374276</v>
      </c>
      <c r="AP1452" s="2">
        <v>0.226543198374276</v>
      </c>
      <c r="AQ1452" s="2">
        <v>0</v>
      </c>
      <c r="AR1452" s="2">
        <v>2</v>
      </c>
      <c r="AS1452" s="2">
        <v>0</v>
      </c>
      <c r="AT1452" s="2">
        <v>0</v>
      </c>
      <c r="AU1452" s="2">
        <v>0</v>
      </c>
      <c r="AV1452" s="2">
        <v>143</v>
      </c>
      <c r="AW1452" s="2">
        <v>0</v>
      </c>
      <c r="AX1452" s="2">
        <v>0</v>
      </c>
      <c r="AY1452" s="2">
        <v>15.5</v>
      </c>
      <c r="AZ1452" s="2">
        <v>2.4</v>
      </c>
      <c r="BA1452" s="2">
        <v>10.9</v>
      </c>
      <c r="BB1452" s="2">
        <v>564</v>
      </c>
      <c r="BC1452" s="2">
        <v>68</v>
      </c>
      <c r="BD1452" s="2">
        <v>1.5</v>
      </c>
      <c r="BE1452" s="2">
        <v>135</v>
      </c>
      <c r="BF1452" s="2">
        <v>0</v>
      </c>
      <c r="BG1452" s="2">
        <v>162</v>
      </c>
      <c r="BH1452" s="2">
        <v>9.1</v>
      </c>
      <c r="BI1452" s="2">
        <v>9.1999999999999993</v>
      </c>
      <c r="BJ1452" s="2">
        <v>18.3</v>
      </c>
      <c r="BK1452" s="2">
        <v>0.34</v>
      </c>
      <c r="BL1452" s="2">
        <v>7.3</v>
      </c>
      <c r="BM1452" s="2">
        <v>0.9</v>
      </c>
      <c r="BN1452" s="2">
        <v>7.5</v>
      </c>
      <c r="BO1452" s="2">
        <v>2.9</v>
      </c>
      <c r="BP1452" s="2">
        <f t="shared" si="44"/>
        <v>2.1843817369043217</v>
      </c>
      <c r="BQ1452" s="2">
        <f t="shared" si="45"/>
        <v>10.4136884461048</v>
      </c>
    </row>
    <row r="1453" spans="1:69" x14ac:dyDescent="0.2">
      <c r="A1453" s="2" t="s">
        <v>2493</v>
      </c>
      <c r="B1453" s="2" t="s">
        <v>47</v>
      </c>
      <c r="C1453" s="2" t="s">
        <v>1935</v>
      </c>
      <c r="D1453" s="2" t="s">
        <v>49</v>
      </c>
      <c r="E1453" s="2" t="s">
        <v>853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89</v>
      </c>
      <c r="L1453" s="6" t="s">
        <v>103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2494</v>
      </c>
      <c r="R1453" s="2">
        <v>7061068.7019999996</v>
      </c>
      <c r="S1453" s="2">
        <v>0</v>
      </c>
      <c r="T1453" s="2" t="s">
        <v>83</v>
      </c>
      <c r="U1453" s="2" t="s">
        <v>84</v>
      </c>
      <c r="V1453" s="2" t="s">
        <v>56</v>
      </c>
      <c r="W1453" s="2" t="s">
        <v>83</v>
      </c>
      <c r="X1453" s="2" t="s">
        <v>85</v>
      </c>
      <c r="Y1453" s="2">
        <v>1.75323278709835</v>
      </c>
      <c r="Z1453" s="2">
        <v>1753.2327870983499</v>
      </c>
      <c r="AA1453" s="2">
        <v>4.71035</v>
      </c>
      <c r="AB1453" s="2">
        <v>-74.030416666666696</v>
      </c>
      <c r="AC1453" s="2">
        <v>2570</v>
      </c>
      <c r="AD1453" s="2">
        <v>10</v>
      </c>
      <c r="AE1453" s="2" t="s">
        <v>59</v>
      </c>
      <c r="AF1453" s="2" t="s">
        <v>86</v>
      </c>
      <c r="AG1453" s="2" t="s">
        <v>61</v>
      </c>
      <c r="AH1453" s="2" t="s">
        <v>62</v>
      </c>
      <c r="AI1453" s="2" t="s">
        <v>87</v>
      </c>
      <c r="AJ1453" s="2">
        <v>2.8693650810968498</v>
      </c>
      <c r="AK1453" s="2">
        <v>0.378257803773145</v>
      </c>
      <c r="AL1453" s="2">
        <v>1.8172822769741801</v>
      </c>
      <c r="AM1453" s="2">
        <v>0.26380611245424401</v>
      </c>
      <c r="AN1453" s="2">
        <v>1.8430464064568599</v>
      </c>
      <c r="AO1453" s="2">
        <v>0.60323897136008997</v>
      </c>
      <c r="AP1453" s="2">
        <v>0.60323897136008997</v>
      </c>
      <c r="AQ1453" s="2">
        <v>0</v>
      </c>
      <c r="AR1453" s="2">
        <v>0</v>
      </c>
      <c r="AS1453" s="2">
        <v>11</v>
      </c>
      <c r="AT1453" s="2">
        <v>34</v>
      </c>
      <c r="AU1453" s="2">
        <v>0</v>
      </c>
      <c r="AV1453" s="2">
        <v>7</v>
      </c>
      <c r="AW1453" s="2">
        <v>0</v>
      </c>
      <c r="AX1453" s="2">
        <v>0</v>
      </c>
      <c r="AY1453" s="2">
        <v>15.5</v>
      </c>
      <c r="AZ1453" s="2">
        <v>2.4</v>
      </c>
      <c r="BA1453" s="2">
        <v>10.9</v>
      </c>
      <c r="BB1453" s="2">
        <v>564</v>
      </c>
      <c r="BC1453" s="2">
        <v>68</v>
      </c>
      <c r="BD1453" s="2">
        <v>1.5</v>
      </c>
      <c r="BE1453" s="2">
        <v>135</v>
      </c>
      <c r="BF1453" s="2">
        <v>0</v>
      </c>
      <c r="BG1453" s="2">
        <v>162</v>
      </c>
      <c r="BH1453" s="2">
        <v>9.1</v>
      </c>
      <c r="BI1453" s="2">
        <v>9.1999999999999993</v>
      </c>
      <c r="BJ1453" s="2">
        <v>18.3</v>
      </c>
      <c r="BK1453" s="2">
        <v>0.34</v>
      </c>
      <c r="BL1453" s="2">
        <v>7.3</v>
      </c>
      <c r="BM1453" s="2">
        <v>0.9</v>
      </c>
      <c r="BN1453" s="2">
        <v>7.5</v>
      </c>
      <c r="BO1453" s="2">
        <v>2.9</v>
      </c>
      <c r="BP1453" s="2">
        <f t="shared" si="44"/>
        <v>2.2004980352261887</v>
      </c>
      <c r="BQ1453" s="2">
        <f t="shared" si="45"/>
        <v>10.45086972629996</v>
      </c>
    </row>
    <row r="1454" spans="1:69" x14ac:dyDescent="0.2">
      <c r="A1454" s="2" t="s">
        <v>2337</v>
      </c>
      <c r="B1454" s="2" t="s">
        <v>47</v>
      </c>
      <c r="C1454" s="2" t="s">
        <v>1935</v>
      </c>
      <c r="D1454" s="2" t="s">
        <v>49</v>
      </c>
      <c r="E1454" s="2" t="s">
        <v>1858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89</v>
      </c>
      <c r="L1454" s="6" t="s">
        <v>141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2338</v>
      </c>
      <c r="R1454" s="2">
        <v>2758620.69</v>
      </c>
      <c r="S1454" s="2">
        <v>0</v>
      </c>
      <c r="T1454" s="2" t="s">
        <v>83</v>
      </c>
      <c r="U1454" s="2" t="s">
        <v>84</v>
      </c>
      <c r="V1454" s="2" t="s">
        <v>56</v>
      </c>
      <c r="W1454" s="2" t="s">
        <v>83</v>
      </c>
      <c r="X1454" s="2" t="s">
        <v>85</v>
      </c>
      <c r="Y1454" s="2">
        <v>2.52232609339063</v>
      </c>
      <c r="Z1454" s="2">
        <v>2522.3260933906299</v>
      </c>
      <c r="AA1454" s="2">
        <v>4.71035</v>
      </c>
      <c r="AB1454" s="2">
        <v>-74.030416666666696</v>
      </c>
      <c r="AC1454" s="2">
        <v>2570</v>
      </c>
      <c r="AD1454" s="2">
        <v>10</v>
      </c>
      <c r="AE1454" s="2" t="s">
        <v>59</v>
      </c>
      <c r="AF1454" s="2" t="s">
        <v>86</v>
      </c>
      <c r="AG1454" s="2" t="s">
        <v>61</v>
      </c>
      <c r="AH1454" s="2" t="s">
        <v>62</v>
      </c>
      <c r="AI1454" s="2" t="s">
        <v>87</v>
      </c>
      <c r="AJ1454" s="2">
        <v>2.1460270377332802</v>
      </c>
      <c r="AK1454" s="2">
        <v>1.11093454565375</v>
      </c>
      <c r="AL1454" s="2">
        <v>0.73372202630518102</v>
      </c>
      <c r="AM1454" s="2">
        <v>0.21797434292304399</v>
      </c>
      <c r="AN1454" s="2">
        <v>5.2104117881357901</v>
      </c>
      <c r="AO1454" s="2">
        <v>0.26996534850503601</v>
      </c>
      <c r="AP1454" s="2">
        <v>0.26996534850503601</v>
      </c>
      <c r="AQ1454" s="2">
        <v>0</v>
      </c>
      <c r="AR1454" s="2">
        <v>0</v>
      </c>
      <c r="AS1454" s="2">
        <v>0</v>
      </c>
      <c r="AT1454" s="2">
        <v>0</v>
      </c>
      <c r="AU1454" s="2">
        <v>3</v>
      </c>
      <c r="AV1454" s="2">
        <v>71</v>
      </c>
      <c r="AW1454" s="2">
        <v>0</v>
      </c>
      <c r="AX1454" s="2">
        <v>0</v>
      </c>
      <c r="AY1454" s="2">
        <v>15.5</v>
      </c>
      <c r="AZ1454" s="2">
        <v>2.4</v>
      </c>
      <c r="BA1454" s="2">
        <v>10.9</v>
      </c>
      <c r="BB1454" s="2">
        <v>564</v>
      </c>
      <c r="BC1454" s="2">
        <v>68</v>
      </c>
      <c r="BD1454" s="2">
        <v>1.5</v>
      </c>
      <c r="BE1454" s="2">
        <v>135</v>
      </c>
      <c r="BF1454" s="2">
        <v>0</v>
      </c>
      <c r="BG1454" s="2">
        <v>162</v>
      </c>
      <c r="BH1454" s="2">
        <v>9.1</v>
      </c>
      <c r="BI1454" s="2">
        <v>9.1999999999999993</v>
      </c>
      <c r="BJ1454" s="2">
        <v>18.3</v>
      </c>
      <c r="BK1454" s="2">
        <v>0.34</v>
      </c>
      <c r="BL1454" s="2">
        <v>7.3</v>
      </c>
      <c r="BM1454" s="2">
        <v>0.9</v>
      </c>
      <c r="BN1454" s="2">
        <v>7.5</v>
      </c>
      <c r="BO1454" s="2">
        <v>2.9</v>
      </c>
      <c r="BP1454" s="2">
        <f t="shared" si="44"/>
        <v>2.1182993973920117</v>
      </c>
      <c r="BQ1454" s="2">
        <f t="shared" si="45"/>
        <v>10.259734507991331</v>
      </c>
    </row>
    <row r="1455" spans="1:69" x14ac:dyDescent="0.2">
      <c r="A1455" s="2" t="s">
        <v>315</v>
      </c>
      <c r="B1455" s="2" t="s">
        <v>47</v>
      </c>
      <c r="C1455" s="2" t="s">
        <v>48</v>
      </c>
      <c r="D1455" s="2" t="s">
        <v>49</v>
      </c>
      <c r="E1455" s="2" t="s">
        <v>316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89</v>
      </c>
      <c r="L1455" s="6" t="s">
        <v>141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317</v>
      </c>
      <c r="R1455" s="2">
        <v>6756756.7570000002</v>
      </c>
      <c r="S1455" s="2">
        <v>0</v>
      </c>
      <c r="T1455" s="2" t="s">
        <v>83</v>
      </c>
      <c r="U1455" s="2" t="s">
        <v>84</v>
      </c>
      <c r="V1455" s="2" t="s">
        <v>56</v>
      </c>
      <c r="W1455" s="2" t="s">
        <v>83</v>
      </c>
      <c r="X1455" s="2" t="s">
        <v>85</v>
      </c>
      <c r="Y1455" s="2">
        <v>2.4635584448536099</v>
      </c>
      <c r="Z1455" s="2">
        <v>2463.5584448536101</v>
      </c>
      <c r="AA1455" s="2">
        <v>4.71035</v>
      </c>
      <c r="AB1455" s="2">
        <v>-74.030416666666696</v>
      </c>
      <c r="AC1455" s="2">
        <v>2570</v>
      </c>
      <c r="AD1455" s="2">
        <v>10</v>
      </c>
      <c r="AE1455" s="2" t="s">
        <v>59</v>
      </c>
      <c r="AF1455" s="2" t="s">
        <v>86</v>
      </c>
      <c r="AG1455" s="2" t="s">
        <v>61</v>
      </c>
      <c r="AH1455" s="2" t="s">
        <v>62</v>
      </c>
      <c r="AI1455" s="2" t="s">
        <v>87</v>
      </c>
      <c r="AJ1455" s="2">
        <v>0.56705709852391295</v>
      </c>
      <c r="AK1455" s="2">
        <v>2.7473738467121098</v>
      </c>
      <c r="AL1455" s="2">
        <v>0.86122361656300706</v>
      </c>
      <c r="AM1455" s="2">
        <v>7.4731034641123101E-2</v>
      </c>
      <c r="AN1455" s="2">
        <v>4.5938222967149098</v>
      </c>
      <c r="AO1455" s="2">
        <v>0.105364946820176</v>
      </c>
      <c r="AP1455" s="2">
        <v>0.105364946820176</v>
      </c>
      <c r="AQ1455" s="2">
        <v>0</v>
      </c>
      <c r="AR1455" s="2">
        <v>2</v>
      </c>
      <c r="AS1455" s="2">
        <v>0</v>
      </c>
      <c r="AT1455" s="2">
        <v>0</v>
      </c>
      <c r="AU1455" s="2">
        <v>1</v>
      </c>
      <c r="AV1455" s="2">
        <v>181</v>
      </c>
      <c r="AW1455" s="2">
        <v>0</v>
      </c>
      <c r="AX1455" s="2">
        <v>0</v>
      </c>
      <c r="AY1455" s="2">
        <v>15.5</v>
      </c>
      <c r="AZ1455" s="2">
        <v>2.4</v>
      </c>
      <c r="BA1455" s="2">
        <v>10.9</v>
      </c>
      <c r="BB1455" s="2">
        <v>564</v>
      </c>
      <c r="BC1455" s="2">
        <v>68</v>
      </c>
      <c r="BD1455" s="2">
        <v>1.5</v>
      </c>
      <c r="BE1455" s="2">
        <v>135</v>
      </c>
      <c r="BF1455" s="2">
        <v>0</v>
      </c>
      <c r="BG1455" s="2">
        <v>162</v>
      </c>
      <c r="BH1455" s="2">
        <v>9.1</v>
      </c>
      <c r="BI1455" s="2">
        <v>9.1999999999999993</v>
      </c>
      <c r="BJ1455" s="2">
        <v>18.3</v>
      </c>
      <c r="BK1455" s="2">
        <v>0.34</v>
      </c>
      <c r="BL1455" s="2">
        <v>7.3</v>
      </c>
      <c r="BM1455" s="2">
        <v>0.9</v>
      </c>
      <c r="BN1455" s="2">
        <v>7.5</v>
      </c>
      <c r="BO1455" s="2">
        <v>2.9</v>
      </c>
      <c r="BP1455" s="2">
        <f t="shared" si="44"/>
        <v>2.1244704988898984</v>
      </c>
      <c r="BQ1455" s="2">
        <f t="shared" si="45"/>
        <v>10.274215288927691</v>
      </c>
    </row>
    <row r="1456" spans="1:69" x14ac:dyDescent="0.2">
      <c r="A1456" s="2" t="s">
        <v>579</v>
      </c>
      <c r="B1456" s="2" t="s">
        <v>47</v>
      </c>
      <c r="C1456" s="2" t="s">
        <v>48</v>
      </c>
      <c r="D1456" s="2" t="s">
        <v>49</v>
      </c>
      <c r="E1456" s="2" t="s">
        <v>208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89</v>
      </c>
      <c r="L1456" s="6" t="s">
        <v>103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580</v>
      </c>
      <c r="R1456" s="2">
        <v>12131782.949999999</v>
      </c>
      <c r="S1456" s="2">
        <v>0</v>
      </c>
      <c r="T1456" s="2" t="s">
        <v>83</v>
      </c>
      <c r="U1456" s="2" t="s">
        <v>84</v>
      </c>
      <c r="V1456" s="2" t="s">
        <v>56</v>
      </c>
      <c r="W1456" s="2" t="s">
        <v>83</v>
      </c>
      <c r="X1456" s="2" t="s">
        <v>85</v>
      </c>
      <c r="Y1456" s="2">
        <v>4.1091199602499904</v>
      </c>
      <c r="Z1456" s="2">
        <v>4109.1199602499901</v>
      </c>
      <c r="AA1456" s="2">
        <v>4.71035</v>
      </c>
      <c r="AB1456" s="2">
        <v>-74.030416666666696</v>
      </c>
      <c r="AC1456" s="2">
        <v>2570</v>
      </c>
      <c r="AD1456" s="2">
        <v>10</v>
      </c>
      <c r="AE1456" s="2" t="s">
        <v>59</v>
      </c>
      <c r="AF1456" s="2" t="s">
        <v>86</v>
      </c>
      <c r="AG1456" s="2" t="s">
        <v>61</v>
      </c>
      <c r="AH1456" s="2" t="s">
        <v>62</v>
      </c>
      <c r="AI1456" s="2" t="s">
        <v>109</v>
      </c>
      <c r="AJ1456" s="2">
        <v>1.53456425783115</v>
      </c>
      <c r="AK1456" s="2">
        <v>0.68697298298164899</v>
      </c>
      <c r="AL1456" s="2">
        <v>0.927892412327189</v>
      </c>
      <c r="AM1456" s="2">
        <v>3.5029107844702499E-2</v>
      </c>
      <c r="AN1456" s="2">
        <v>4.0771980927769604</v>
      </c>
      <c r="AO1456" s="2">
        <v>1.18570109413381</v>
      </c>
      <c r="AP1456" s="2">
        <v>1.18570109413381</v>
      </c>
      <c r="AQ1456" s="2">
        <v>0</v>
      </c>
      <c r="AR1456" s="2">
        <v>0</v>
      </c>
      <c r="AS1456" s="2">
        <v>0</v>
      </c>
      <c r="AT1456" s="2">
        <v>14</v>
      </c>
      <c r="AU1456" s="2">
        <v>1</v>
      </c>
      <c r="AV1456" s="2">
        <v>84</v>
      </c>
      <c r="AW1456" s="2">
        <v>0</v>
      </c>
      <c r="AX1456" s="2">
        <v>0</v>
      </c>
      <c r="AY1456" s="2">
        <v>15.5</v>
      </c>
      <c r="AZ1456" s="2">
        <v>2.4</v>
      </c>
      <c r="BA1456" s="2">
        <v>10.9</v>
      </c>
      <c r="BB1456" s="2">
        <v>564</v>
      </c>
      <c r="BC1456" s="2">
        <v>68</v>
      </c>
      <c r="BD1456" s="2">
        <v>1.5</v>
      </c>
      <c r="BE1456" s="2">
        <v>135</v>
      </c>
      <c r="BF1456" s="2">
        <v>0</v>
      </c>
      <c r="BG1456" s="2">
        <v>162</v>
      </c>
      <c r="BH1456" s="2">
        <v>9.1</v>
      </c>
      <c r="BI1456" s="2">
        <v>9.1999999999999993</v>
      </c>
      <c r="BJ1456" s="2">
        <v>18.3</v>
      </c>
      <c r="BK1456" s="2">
        <v>0.34</v>
      </c>
      <c r="BL1456" s="2">
        <v>7.3</v>
      </c>
      <c r="BM1456" s="2">
        <v>0.9</v>
      </c>
      <c r="BN1456" s="2">
        <v>7.5</v>
      </c>
      <c r="BO1456" s="2">
        <v>2.9</v>
      </c>
      <c r="BP1456" s="2">
        <f t="shared" si="44"/>
        <v>1.9582814929400127</v>
      </c>
      <c r="BQ1456" s="2">
        <f t="shared" si="45"/>
        <v>9.8763588875828034</v>
      </c>
    </row>
    <row r="1457" spans="1:69" x14ac:dyDescent="0.2">
      <c r="A1457" s="2" t="s">
        <v>220</v>
      </c>
      <c r="B1457" s="2" t="s">
        <v>47</v>
      </c>
      <c r="C1457" s="2" t="s">
        <v>48</v>
      </c>
      <c r="D1457" s="2" t="s">
        <v>49</v>
      </c>
      <c r="E1457" s="2" t="s">
        <v>192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89</v>
      </c>
      <c r="L1457" s="6" t="s">
        <v>141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221</v>
      </c>
      <c r="R1457" s="2">
        <v>5836575.875</v>
      </c>
      <c r="S1457" s="2">
        <v>0</v>
      </c>
      <c r="T1457" s="2" t="s">
        <v>83</v>
      </c>
      <c r="U1457" s="2" t="s">
        <v>84</v>
      </c>
      <c r="V1457" s="2" t="s">
        <v>56</v>
      </c>
      <c r="W1457" s="2" t="s">
        <v>83</v>
      </c>
      <c r="X1457" s="2" t="s">
        <v>85</v>
      </c>
      <c r="Y1457" s="2">
        <v>1.08652603800568</v>
      </c>
      <c r="Z1457" s="2">
        <v>1086.52603800568</v>
      </c>
      <c r="AA1457" s="2">
        <v>4.71035</v>
      </c>
      <c r="AB1457" s="2">
        <v>-74.030416666666696</v>
      </c>
      <c r="AC1457" s="2">
        <v>2570</v>
      </c>
      <c r="AD1457" s="2">
        <v>10</v>
      </c>
      <c r="AE1457" s="2" t="s">
        <v>59</v>
      </c>
      <c r="AF1457" s="2" t="s">
        <v>86</v>
      </c>
      <c r="AG1457" s="2" t="s">
        <v>61</v>
      </c>
      <c r="AH1457" s="2" t="s">
        <v>62</v>
      </c>
      <c r="AI1457" s="2" t="s">
        <v>87</v>
      </c>
      <c r="AJ1457" s="2">
        <v>2.20401424797023</v>
      </c>
      <c r="AK1457" s="2">
        <v>0.996273359721773</v>
      </c>
      <c r="AL1457" s="2">
        <v>0.23679017950366199</v>
      </c>
      <c r="AM1457" s="2">
        <v>0.28223439630499603</v>
      </c>
      <c r="AN1457" s="2">
        <v>4.5073069031014503</v>
      </c>
      <c r="AO1457" s="2">
        <v>0.42194022484947402</v>
      </c>
      <c r="AP1457" s="2">
        <v>0.42194022484947402</v>
      </c>
      <c r="AQ1457" s="2">
        <v>0</v>
      </c>
      <c r="AR1457" s="2">
        <v>0</v>
      </c>
      <c r="AS1457" s="2">
        <v>0</v>
      </c>
      <c r="AT1457" s="2">
        <v>2</v>
      </c>
      <c r="AU1457" s="2">
        <v>2</v>
      </c>
      <c r="AV1457" s="2">
        <v>148</v>
      </c>
      <c r="AW1457" s="2">
        <v>0</v>
      </c>
      <c r="AX1457" s="2">
        <v>0</v>
      </c>
      <c r="AY1457" s="2">
        <v>15.5</v>
      </c>
      <c r="AZ1457" s="2">
        <v>2.4</v>
      </c>
      <c r="BA1457" s="2">
        <v>10.9</v>
      </c>
      <c r="BB1457" s="2">
        <v>564</v>
      </c>
      <c r="BC1457" s="2">
        <v>68</v>
      </c>
      <c r="BD1457" s="2">
        <v>1.5</v>
      </c>
      <c r="BE1457" s="2">
        <v>135</v>
      </c>
      <c r="BF1457" s="2">
        <v>0</v>
      </c>
      <c r="BG1457" s="2">
        <v>162</v>
      </c>
      <c r="BH1457" s="2">
        <v>9.1</v>
      </c>
      <c r="BI1457" s="2">
        <v>9.1999999999999993</v>
      </c>
      <c r="BJ1457" s="2">
        <v>18.3</v>
      </c>
      <c r="BK1457" s="2">
        <v>0.34</v>
      </c>
      <c r="BL1457" s="2">
        <v>7.3</v>
      </c>
      <c r="BM1457" s="2">
        <v>0.9</v>
      </c>
      <c r="BN1457" s="2">
        <v>7.5</v>
      </c>
      <c r="BO1457" s="2">
        <v>2.9</v>
      </c>
      <c r="BP1457" s="2">
        <f t="shared" si="44"/>
        <v>2.2743304433567282</v>
      </c>
      <c r="BQ1457" s="2">
        <f t="shared" si="45"/>
        <v>10.619438731999431</v>
      </c>
    </row>
    <row r="1458" spans="1:69" x14ac:dyDescent="0.2">
      <c r="A1458" s="2" t="s">
        <v>2584</v>
      </c>
      <c r="B1458" s="2" t="s">
        <v>47</v>
      </c>
      <c r="C1458" s="2" t="s">
        <v>1935</v>
      </c>
      <c r="D1458" s="2" t="s">
        <v>49</v>
      </c>
      <c r="E1458" s="2" t="s">
        <v>323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89</v>
      </c>
      <c r="L1458" s="6" t="s">
        <v>141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2585</v>
      </c>
      <c r="R1458" s="2">
        <v>5703125</v>
      </c>
      <c r="S1458" s="2">
        <v>0</v>
      </c>
      <c r="T1458" s="2" t="s">
        <v>83</v>
      </c>
      <c r="U1458" s="2" t="s">
        <v>84</v>
      </c>
      <c r="V1458" s="2" t="s">
        <v>56</v>
      </c>
      <c r="W1458" s="2" t="s">
        <v>83</v>
      </c>
      <c r="X1458" s="2" t="s">
        <v>85</v>
      </c>
      <c r="Y1458" s="2">
        <v>3.5781046714334201</v>
      </c>
      <c r="Z1458" s="2">
        <v>3578.1046714334202</v>
      </c>
      <c r="AA1458" s="2">
        <v>4.71035</v>
      </c>
      <c r="AB1458" s="2">
        <v>-74.030416666666696</v>
      </c>
      <c r="AC1458" s="2">
        <v>2570</v>
      </c>
      <c r="AD1458" s="2">
        <v>10</v>
      </c>
      <c r="AE1458" s="2" t="s">
        <v>59</v>
      </c>
      <c r="AF1458" s="2" t="s">
        <v>86</v>
      </c>
      <c r="AG1458" s="2" t="s">
        <v>61</v>
      </c>
      <c r="AH1458" s="2" t="s">
        <v>62</v>
      </c>
      <c r="AI1458" s="2" t="s">
        <v>100</v>
      </c>
      <c r="AJ1458" s="2">
        <v>0.78743221760400905</v>
      </c>
      <c r="AK1458" s="2">
        <v>3.7862161980956301</v>
      </c>
      <c r="AL1458" s="2">
        <v>0.99769999486335903</v>
      </c>
      <c r="AM1458" s="2">
        <v>0.278994968237257</v>
      </c>
      <c r="AN1458" s="2">
        <v>3.81980066441327</v>
      </c>
      <c r="AO1458" s="2">
        <v>0.14523031587551699</v>
      </c>
      <c r="AP1458" s="2">
        <v>0.14523031587551699</v>
      </c>
      <c r="AQ1458" s="2">
        <v>0</v>
      </c>
      <c r="AR1458" s="2">
        <v>3</v>
      </c>
      <c r="AS1458" s="2">
        <v>0</v>
      </c>
      <c r="AT1458" s="2">
        <v>0</v>
      </c>
      <c r="AU1458" s="2">
        <v>1</v>
      </c>
      <c r="AV1458" s="2">
        <v>60</v>
      </c>
      <c r="AW1458" s="2">
        <v>0</v>
      </c>
      <c r="AX1458" s="2">
        <v>0</v>
      </c>
      <c r="AY1458" s="2">
        <v>15.5</v>
      </c>
      <c r="AZ1458" s="2">
        <v>2.4</v>
      </c>
      <c r="BA1458" s="2">
        <v>10.9</v>
      </c>
      <c r="BB1458" s="2">
        <v>564</v>
      </c>
      <c r="BC1458" s="2">
        <v>68</v>
      </c>
      <c r="BD1458" s="2">
        <v>1.5</v>
      </c>
      <c r="BE1458" s="2">
        <v>135</v>
      </c>
      <c r="BF1458" s="2">
        <v>0</v>
      </c>
      <c r="BG1458" s="2">
        <v>162</v>
      </c>
      <c r="BH1458" s="2">
        <v>9.1</v>
      </c>
      <c r="BI1458" s="2">
        <v>9.1999999999999993</v>
      </c>
      <c r="BJ1458" s="2">
        <v>18.3</v>
      </c>
      <c r="BK1458" s="2">
        <v>0.34</v>
      </c>
      <c r="BL1458" s="2">
        <v>7.3</v>
      </c>
      <c r="BM1458" s="2">
        <v>0.9</v>
      </c>
      <c r="BN1458" s="2">
        <v>7.5</v>
      </c>
      <c r="BO1458" s="2">
        <v>2.9</v>
      </c>
      <c r="BP1458" s="2">
        <f t="shared" si="44"/>
        <v>2.0104378941267855</v>
      </c>
      <c r="BQ1458" s="2">
        <f t="shared" si="45"/>
        <v>10.003032300916027</v>
      </c>
    </row>
    <row r="1459" spans="1:69" x14ac:dyDescent="0.2">
      <c r="A1459" s="2" t="s">
        <v>2613</v>
      </c>
      <c r="B1459" s="2" t="s">
        <v>47</v>
      </c>
      <c r="C1459" s="2" t="s">
        <v>1935</v>
      </c>
      <c r="D1459" s="2" t="s">
        <v>49</v>
      </c>
      <c r="E1459" s="2" t="s">
        <v>184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89</v>
      </c>
      <c r="L1459" s="6" t="s">
        <v>141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2614</v>
      </c>
      <c r="R1459" s="2">
        <v>2929687.5</v>
      </c>
      <c r="S1459" s="2">
        <v>0</v>
      </c>
      <c r="T1459" s="2" t="s">
        <v>83</v>
      </c>
      <c r="U1459" s="2" t="s">
        <v>84</v>
      </c>
      <c r="V1459" s="2" t="s">
        <v>56</v>
      </c>
      <c r="W1459" s="2" t="s">
        <v>83</v>
      </c>
      <c r="X1459" s="2" t="s">
        <v>85</v>
      </c>
      <c r="Y1459" s="2">
        <v>2.6379950700663302</v>
      </c>
      <c r="Z1459" s="2">
        <v>2637.9950700663298</v>
      </c>
      <c r="AA1459" s="2">
        <v>4.71035</v>
      </c>
      <c r="AB1459" s="2">
        <v>-74.030416666666696</v>
      </c>
      <c r="AC1459" s="2">
        <v>2570</v>
      </c>
      <c r="AD1459" s="2">
        <v>10</v>
      </c>
      <c r="AE1459" s="2" t="s">
        <v>59</v>
      </c>
      <c r="AF1459" s="2" t="s">
        <v>86</v>
      </c>
      <c r="AG1459" s="2" t="s">
        <v>61</v>
      </c>
      <c r="AH1459" s="2" t="s">
        <v>62</v>
      </c>
      <c r="AI1459" s="2" t="s">
        <v>87</v>
      </c>
      <c r="AJ1459" s="2">
        <v>0.91927147570197998</v>
      </c>
      <c r="AK1459" s="2">
        <v>2.1711091227970298</v>
      </c>
      <c r="AL1459" s="2">
        <v>0.245902017373344</v>
      </c>
      <c r="AM1459" s="2">
        <v>8.5950307912128696E-2</v>
      </c>
      <c r="AN1459" s="2">
        <v>1.99292107455686</v>
      </c>
      <c r="AO1459" s="2">
        <v>0.104421554886778</v>
      </c>
      <c r="AP1459" s="2">
        <v>0.104421554886778</v>
      </c>
      <c r="AQ1459" s="2">
        <v>0</v>
      </c>
      <c r="AR1459" s="2">
        <v>2</v>
      </c>
      <c r="AS1459" s="2">
        <v>0</v>
      </c>
      <c r="AT1459" s="2">
        <v>0</v>
      </c>
      <c r="AU1459" s="2">
        <v>1</v>
      </c>
      <c r="AV1459" s="2">
        <v>22</v>
      </c>
      <c r="AW1459" s="2">
        <v>0</v>
      </c>
      <c r="AX1459" s="2">
        <v>0</v>
      </c>
      <c r="AY1459" s="2">
        <v>15.5</v>
      </c>
      <c r="AZ1459" s="2">
        <v>2.4</v>
      </c>
      <c r="BA1459" s="2">
        <v>10.9</v>
      </c>
      <c r="BB1459" s="2">
        <v>564</v>
      </c>
      <c r="BC1459" s="2">
        <v>68</v>
      </c>
      <c r="BD1459" s="2">
        <v>1.5</v>
      </c>
      <c r="BE1459" s="2">
        <v>135</v>
      </c>
      <c r="BF1459" s="2">
        <v>0</v>
      </c>
      <c r="BG1459" s="2">
        <v>162</v>
      </c>
      <c r="BH1459" s="2">
        <v>9.1</v>
      </c>
      <c r="BI1459" s="2">
        <v>9.1999999999999993</v>
      </c>
      <c r="BJ1459" s="2">
        <v>18.3</v>
      </c>
      <c r="BK1459" s="2">
        <v>0.34</v>
      </c>
      <c r="BL1459" s="2">
        <v>7.3</v>
      </c>
      <c r="BM1459" s="2">
        <v>0.9</v>
      </c>
      <c r="BN1459" s="2">
        <v>7.5</v>
      </c>
      <c r="BO1459" s="2">
        <v>2.9</v>
      </c>
      <c r="BP1459" s="2">
        <f t="shared" si="44"/>
        <v>2.1062054875453997</v>
      </c>
      <c r="BQ1459" s="2">
        <f t="shared" si="45"/>
        <v>10.231292412877385</v>
      </c>
    </row>
    <row r="1460" spans="1:69" x14ac:dyDescent="0.2">
      <c r="A1460" s="2" t="s">
        <v>1845</v>
      </c>
      <c r="B1460" s="2" t="s">
        <v>47</v>
      </c>
      <c r="C1460" s="2" t="s">
        <v>48</v>
      </c>
      <c r="D1460" s="2" t="s">
        <v>49</v>
      </c>
      <c r="E1460" s="2" t="s">
        <v>156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89</v>
      </c>
      <c r="L1460" s="6" t="s">
        <v>141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1846</v>
      </c>
      <c r="R1460" s="2">
        <v>7226562.5</v>
      </c>
      <c r="S1460" s="2">
        <v>0</v>
      </c>
      <c r="T1460" s="2" t="s">
        <v>83</v>
      </c>
      <c r="U1460" s="2" t="s">
        <v>84</v>
      </c>
      <c r="V1460" s="2" t="s">
        <v>56</v>
      </c>
      <c r="W1460" s="2" t="s">
        <v>83</v>
      </c>
      <c r="X1460" s="2" t="s">
        <v>85</v>
      </c>
      <c r="Y1460" s="2">
        <v>1.9381300296908099</v>
      </c>
      <c r="Z1460" s="2">
        <v>1938.13002969081</v>
      </c>
      <c r="AA1460" s="2">
        <v>4.71035</v>
      </c>
      <c r="AB1460" s="2">
        <v>-74.030416666666696</v>
      </c>
      <c r="AC1460" s="2">
        <v>2570</v>
      </c>
      <c r="AD1460" s="2">
        <v>10</v>
      </c>
      <c r="AE1460" s="2" t="s">
        <v>59</v>
      </c>
      <c r="AF1460" s="2" t="s">
        <v>86</v>
      </c>
      <c r="AG1460" s="2" t="s">
        <v>61</v>
      </c>
      <c r="AH1460" s="2" t="s">
        <v>62</v>
      </c>
      <c r="AI1460" s="2" t="s">
        <v>87</v>
      </c>
      <c r="AJ1460" s="2">
        <v>0.5684493546778</v>
      </c>
      <c r="AK1460" s="2">
        <v>2.5297023294884098</v>
      </c>
      <c r="AL1460" s="2">
        <v>1.6714542553777201</v>
      </c>
      <c r="AM1460" s="2">
        <v>0.43734386017572502</v>
      </c>
      <c r="AN1460" s="2">
        <v>3.7892413048259099</v>
      </c>
      <c r="AO1460" s="2">
        <v>0.50419018661974702</v>
      </c>
      <c r="AP1460" s="2">
        <v>0.50419018661974702</v>
      </c>
      <c r="AQ1460" s="2">
        <v>0</v>
      </c>
      <c r="AR1460" s="2">
        <v>2</v>
      </c>
      <c r="AS1460" s="2">
        <v>0</v>
      </c>
      <c r="AT1460" s="2">
        <v>0</v>
      </c>
      <c r="AU1460" s="2">
        <v>0</v>
      </c>
      <c r="AV1460" s="2">
        <v>78</v>
      </c>
      <c r="AW1460" s="2">
        <v>0</v>
      </c>
      <c r="AX1460" s="2">
        <v>0</v>
      </c>
      <c r="AY1460" s="2">
        <v>15.5</v>
      </c>
      <c r="AZ1460" s="2">
        <v>2.4</v>
      </c>
      <c r="BA1460" s="2">
        <v>10.9</v>
      </c>
      <c r="BB1460" s="2">
        <v>564</v>
      </c>
      <c r="BC1460" s="2">
        <v>68</v>
      </c>
      <c r="BD1460" s="2">
        <v>1.5</v>
      </c>
      <c r="BE1460" s="2">
        <v>135</v>
      </c>
      <c r="BF1460" s="2">
        <v>0</v>
      </c>
      <c r="BG1460" s="2">
        <v>162</v>
      </c>
      <c r="BH1460" s="2">
        <v>9.1</v>
      </c>
      <c r="BI1460" s="2">
        <v>9.1999999999999993</v>
      </c>
      <c r="BJ1460" s="2">
        <v>18.3</v>
      </c>
      <c r="BK1460" s="2">
        <v>0.34</v>
      </c>
      <c r="BL1460" s="2">
        <v>7.3</v>
      </c>
      <c r="BM1460" s="2">
        <v>0.9</v>
      </c>
      <c r="BN1460" s="2">
        <v>7.5</v>
      </c>
      <c r="BO1460" s="2">
        <v>2.9</v>
      </c>
      <c r="BP1460" s="2">
        <f t="shared" si="44"/>
        <v>2.180450050950471</v>
      </c>
      <c r="BQ1460" s="2">
        <f t="shared" si="45"/>
        <v>10.404596384111809</v>
      </c>
    </row>
    <row r="1461" spans="1:69" x14ac:dyDescent="0.2">
      <c r="A1461" s="2" t="s">
        <v>1059</v>
      </c>
      <c r="B1461" s="2" t="s">
        <v>47</v>
      </c>
      <c r="C1461" s="2" t="s">
        <v>48</v>
      </c>
      <c r="D1461" s="2" t="s">
        <v>49</v>
      </c>
      <c r="E1461" s="2" t="s">
        <v>249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89</v>
      </c>
      <c r="L1461" s="6" t="s">
        <v>103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1060</v>
      </c>
      <c r="R1461" s="2">
        <v>10237154.15</v>
      </c>
      <c r="S1461" s="2">
        <v>0</v>
      </c>
      <c r="T1461" s="2" t="s">
        <v>83</v>
      </c>
      <c r="U1461" s="2" t="s">
        <v>84</v>
      </c>
      <c r="V1461" s="2" t="s">
        <v>56</v>
      </c>
      <c r="W1461" s="2" t="s">
        <v>83</v>
      </c>
      <c r="X1461" s="2" t="s">
        <v>85</v>
      </c>
      <c r="Y1461" s="2">
        <v>1.9520988108714501</v>
      </c>
      <c r="Z1461" s="2">
        <v>1952.09881087145</v>
      </c>
      <c r="AA1461" s="2">
        <v>4.71035</v>
      </c>
      <c r="AB1461" s="2">
        <v>-74.030416666666696</v>
      </c>
      <c r="AC1461" s="2">
        <v>2570</v>
      </c>
      <c r="AD1461" s="2">
        <v>10</v>
      </c>
      <c r="AE1461" s="2" t="s">
        <v>59</v>
      </c>
      <c r="AF1461" s="2" t="s">
        <v>86</v>
      </c>
      <c r="AG1461" s="2" t="s">
        <v>61</v>
      </c>
      <c r="AH1461" s="2" t="s">
        <v>62</v>
      </c>
      <c r="AI1461" s="2" t="s">
        <v>87</v>
      </c>
      <c r="AJ1461" s="2">
        <v>3.2789342489278499</v>
      </c>
      <c r="AK1461" s="2">
        <v>0.18909712438845999</v>
      </c>
      <c r="AL1461" s="2">
        <v>0.41616428483094597</v>
      </c>
      <c r="AM1461" s="2">
        <v>0.53116830678396798</v>
      </c>
      <c r="AN1461" s="2">
        <v>5.3263144994728</v>
      </c>
      <c r="AO1461" s="2">
        <v>0.90700948287577199</v>
      </c>
      <c r="AP1461" s="2">
        <v>0.90700948287577199</v>
      </c>
      <c r="AQ1461" s="2">
        <v>0</v>
      </c>
      <c r="AR1461" s="2">
        <v>0</v>
      </c>
      <c r="AS1461" s="2">
        <v>15</v>
      </c>
      <c r="AT1461" s="2">
        <v>25</v>
      </c>
      <c r="AU1461" s="2">
        <v>1</v>
      </c>
      <c r="AV1461" s="2">
        <v>85</v>
      </c>
      <c r="AW1461" s="2">
        <v>0</v>
      </c>
      <c r="AX1461" s="2">
        <v>0</v>
      </c>
      <c r="AY1461" s="2">
        <v>15.5</v>
      </c>
      <c r="AZ1461" s="2">
        <v>2.4</v>
      </c>
      <c r="BA1461" s="2">
        <v>10.9</v>
      </c>
      <c r="BB1461" s="2">
        <v>564</v>
      </c>
      <c r="BC1461" s="2">
        <v>68</v>
      </c>
      <c r="BD1461" s="2">
        <v>1.5</v>
      </c>
      <c r="BE1461" s="2">
        <v>135</v>
      </c>
      <c r="BF1461" s="2">
        <v>0</v>
      </c>
      <c r="BG1461" s="2">
        <v>162</v>
      </c>
      <c r="BH1461" s="2">
        <v>9.1</v>
      </c>
      <c r="BI1461" s="2">
        <v>9.1999999999999993</v>
      </c>
      <c r="BJ1461" s="2">
        <v>18.3</v>
      </c>
      <c r="BK1461" s="2">
        <v>0.34</v>
      </c>
      <c r="BL1461" s="2">
        <v>7.3</v>
      </c>
      <c r="BM1461" s="2">
        <v>0.9</v>
      </c>
      <c r="BN1461" s="2">
        <v>7.5</v>
      </c>
      <c r="BO1461" s="2">
        <v>2.9</v>
      </c>
      <c r="BP1461" s="2">
        <f t="shared" si="44"/>
        <v>2.1789428897103242</v>
      </c>
      <c r="BQ1461" s="2">
        <f t="shared" si="45"/>
        <v>10.401108820024808</v>
      </c>
    </row>
    <row r="1462" spans="1:69" x14ac:dyDescent="0.2">
      <c r="A1462" s="2" t="s">
        <v>191</v>
      </c>
      <c r="B1462" s="2" t="s">
        <v>47</v>
      </c>
      <c r="C1462" s="2" t="s">
        <v>48</v>
      </c>
      <c r="D1462" s="2" t="s">
        <v>49</v>
      </c>
      <c r="E1462" s="2" t="s">
        <v>192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89</v>
      </c>
      <c r="L1462" s="6" t="s">
        <v>141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193</v>
      </c>
      <c r="R1462" s="2">
        <v>10336328.220000001</v>
      </c>
      <c r="S1462" s="2">
        <v>0</v>
      </c>
      <c r="T1462" s="2" t="s">
        <v>83</v>
      </c>
      <c r="U1462" s="2" t="s">
        <v>84</v>
      </c>
      <c r="V1462" s="2" t="s">
        <v>56</v>
      </c>
      <c r="W1462" s="2" t="s">
        <v>83</v>
      </c>
      <c r="X1462" s="2" t="s">
        <v>85</v>
      </c>
      <c r="Y1462" s="2">
        <v>0.94228184915736901</v>
      </c>
      <c r="Z1462" s="2">
        <v>942.28184915736904</v>
      </c>
      <c r="AA1462" s="2">
        <v>4.71035</v>
      </c>
      <c r="AB1462" s="2">
        <v>-74.030416666666696</v>
      </c>
      <c r="AC1462" s="2">
        <v>2570</v>
      </c>
      <c r="AD1462" s="2">
        <v>10</v>
      </c>
      <c r="AE1462" s="2" t="s">
        <v>59</v>
      </c>
      <c r="AF1462" s="2" t="s">
        <v>86</v>
      </c>
      <c r="AG1462" s="2" t="s">
        <v>61</v>
      </c>
      <c r="AH1462" s="2" t="s">
        <v>62</v>
      </c>
      <c r="AI1462" s="2" t="s">
        <v>87</v>
      </c>
      <c r="AJ1462" s="2">
        <v>2.1060414025913601</v>
      </c>
      <c r="AK1462" s="2">
        <v>1.0830289618884601</v>
      </c>
      <c r="AL1462" s="2">
        <v>0.38623309294166602</v>
      </c>
      <c r="AM1462" s="2">
        <v>0.13461208137252101</v>
      </c>
      <c r="AN1462" s="2">
        <v>4.3192001374831204</v>
      </c>
      <c r="AO1462" s="2">
        <v>0.45104015560647398</v>
      </c>
      <c r="AP1462" s="2">
        <v>0.45104015560647398</v>
      </c>
      <c r="AQ1462" s="2">
        <v>0</v>
      </c>
      <c r="AR1462" s="2">
        <v>0</v>
      </c>
      <c r="AS1462" s="2">
        <v>0</v>
      </c>
      <c r="AT1462" s="2">
        <v>0</v>
      </c>
      <c r="AU1462" s="2">
        <v>2</v>
      </c>
      <c r="AV1462" s="2">
        <v>161</v>
      </c>
      <c r="AW1462" s="2">
        <v>0</v>
      </c>
      <c r="AX1462" s="2">
        <v>0</v>
      </c>
      <c r="AY1462" s="2">
        <v>15.5</v>
      </c>
      <c r="AZ1462" s="2">
        <v>2.4</v>
      </c>
      <c r="BA1462" s="2">
        <v>10.9</v>
      </c>
      <c r="BB1462" s="2">
        <v>564</v>
      </c>
      <c r="BC1462" s="2">
        <v>68</v>
      </c>
      <c r="BD1462" s="2">
        <v>1.5</v>
      </c>
      <c r="BE1462" s="2">
        <v>135</v>
      </c>
      <c r="BF1462" s="2">
        <v>0</v>
      </c>
      <c r="BG1462" s="2">
        <v>162</v>
      </c>
      <c r="BH1462" s="2">
        <v>9.1</v>
      </c>
      <c r="BI1462" s="2">
        <v>9.1999999999999993</v>
      </c>
      <c r="BJ1462" s="2">
        <v>18.3</v>
      </c>
      <c r="BK1462" s="2">
        <v>0.34</v>
      </c>
      <c r="BL1462" s="2">
        <v>7.3</v>
      </c>
      <c r="BM1462" s="2">
        <v>0.9</v>
      </c>
      <c r="BN1462" s="2">
        <v>7.5</v>
      </c>
      <c r="BO1462" s="2">
        <v>2.9</v>
      </c>
      <c r="BP1462" s="2">
        <f t="shared" si="44"/>
        <v>2.2906274732526688</v>
      </c>
      <c r="BQ1462" s="2">
        <f t="shared" si="45"/>
        <v>10.656265455532836</v>
      </c>
    </row>
    <row r="1463" spans="1:69" x14ac:dyDescent="0.2">
      <c r="A1463" s="2" t="s">
        <v>2474</v>
      </c>
      <c r="B1463" s="2" t="s">
        <v>47</v>
      </c>
      <c r="C1463" s="2" t="s">
        <v>1935</v>
      </c>
      <c r="D1463" s="2" t="s">
        <v>49</v>
      </c>
      <c r="E1463" s="2" t="s">
        <v>172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89</v>
      </c>
      <c r="L1463" s="6" t="s">
        <v>141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2475</v>
      </c>
      <c r="R1463" s="2">
        <v>7171314.7410000004</v>
      </c>
      <c r="S1463" s="2">
        <v>0</v>
      </c>
      <c r="T1463" s="2" t="s">
        <v>83</v>
      </c>
      <c r="U1463" s="2" t="s">
        <v>84</v>
      </c>
      <c r="V1463" s="2" t="s">
        <v>56</v>
      </c>
      <c r="W1463" s="2" t="s">
        <v>83</v>
      </c>
      <c r="X1463" s="2" t="s">
        <v>85</v>
      </c>
      <c r="Y1463" s="2">
        <v>1.07966373127321</v>
      </c>
      <c r="Z1463" s="2">
        <v>1079.66373127321</v>
      </c>
      <c r="AA1463" s="2">
        <v>4.71035</v>
      </c>
      <c r="AB1463" s="2">
        <v>-74.030416666666696</v>
      </c>
      <c r="AC1463" s="2">
        <v>2570</v>
      </c>
      <c r="AD1463" s="2">
        <v>10</v>
      </c>
      <c r="AE1463" s="2" t="s">
        <v>59</v>
      </c>
      <c r="AF1463" s="2" t="s">
        <v>86</v>
      </c>
      <c r="AG1463" s="2" t="s">
        <v>61</v>
      </c>
      <c r="AH1463" s="2" t="s">
        <v>62</v>
      </c>
      <c r="AI1463" s="2" t="s">
        <v>87</v>
      </c>
      <c r="AJ1463" s="2">
        <v>2.6677270099779098</v>
      </c>
      <c r="AK1463" s="2">
        <v>0.532114811911097</v>
      </c>
      <c r="AL1463" s="2">
        <v>0.23093233391416099</v>
      </c>
      <c r="AM1463" s="2">
        <v>7.2048626372656799E-2</v>
      </c>
      <c r="AN1463" s="2">
        <v>4.5375662058310198</v>
      </c>
      <c r="AO1463" s="2">
        <v>0.41135031163270502</v>
      </c>
      <c r="AP1463" s="2">
        <v>0.41135031163270502</v>
      </c>
      <c r="AQ1463" s="2">
        <v>0</v>
      </c>
      <c r="AR1463" s="2">
        <v>0</v>
      </c>
      <c r="AS1463" s="2">
        <v>0</v>
      </c>
      <c r="AT1463" s="2">
        <v>24</v>
      </c>
      <c r="AU1463" s="2">
        <v>2</v>
      </c>
      <c r="AV1463" s="2">
        <v>122</v>
      </c>
      <c r="AW1463" s="2">
        <v>0</v>
      </c>
      <c r="AX1463" s="2">
        <v>0</v>
      </c>
      <c r="AY1463" s="2">
        <v>15.5</v>
      </c>
      <c r="AZ1463" s="2">
        <v>2.4</v>
      </c>
      <c r="BA1463" s="2">
        <v>10.9</v>
      </c>
      <c r="BB1463" s="2">
        <v>564</v>
      </c>
      <c r="BC1463" s="2">
        <v>68</v>
      </c>
      <c r="BD1463" s="2">
        <v>1.5</v>
      </c>
      <c r="BE1463" s="2">
        <v>135</v>
      </c>
      <c r="BF1463" s="2">
        <v>0</v>
      </c>
      <c r="BG1463" s="2">
        <v>162</v>
      </c>
      <c r="BH1463" s="2">
        <v>9.1</v>
      </c>
      <c r="BI1463" s="2">
        <v>9.1999999999999993</v>
      </c>
      <c r="BJ1463" s="2">
        <v>18.3</v>
      </c>
      <c r="BK1463" s="2">
        <v>0.34</v>
      </c>
      <c r="BL1463" s="2">
        <v>7.3</v>
      </c>
      <c r="BM1463" s="2">
        <v>0.9</v>
      </c>
      <c r="BN1463" s="2">
        <v>7.5</v>
      </c>
      <c r="BO1463" s="2">
        <v>2.9</v>
      </c>
      <c r="BP1463" s="2">
        <f t="shared" si="44"/>
        <v>2.2751031286628955</v>
      </c>
      <c r="BQ1463" s="2">
        <f t="shared" si="45"/>
        <v>10.621187848332886</v>
      </c>
    </row>
    <row r="1464" spans="1:69" x14ac:dyDescent="0.2">
      <c r="A1464" s="2" t="s">
        <v>2476</v>
      </c>
      <c r="B1464" s="2" t="s">
        <v>47</v>
      </c>
      <c r="C1464" s="2" t="s">
        <v>1935</v>
      </c>
      <c r="D1464" s="2" t="s">
        <v>49</v>
      </c>
      <c r="E1464" s="2" t="s">
        <v>172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89</v>
      </c>
      <c r="L1464" s="6" t="s">
        <v>141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2477</v>
      </c>
      <c r="R1464" s="2">
        <v>7171314.7410000004</v>
      </c>
      <c r="S1464" s="2">
        <v>0</v>
      </c>
      <c r="T1464" s="2" t="s">
        <v>83</v>
      </c>
      <c r="U1464" s="2" t="s">
        <v>84</v>
      </c>
      <c r="V1464" s="2" t="s">
        <v>56</v>
      </c>
      <c r="W1464" s="2" t="s">
        <v>83</v>
      </c>
      <c r="X1464" s="2" t="s">
        <v>85</v>
      </c>
      <c r="Y1464" s="2">
        <v>1.07966373127321</v>
      </c>
      <c r="Z1464" s="2">
        <v>1079.66373127321</v>
      </c>
      <c r="AA1464" s="2">
        <v>4.71035</v>
      </c>
      <c r="AB1464" s="2">
        <v>-74.030416666666696</v>
      </c>
      <c r="AC1464" s="2">
        <v>2570</v>
      </c>
      <c r="AD1464" s="2">
        <v>10</v>
      </c>
      <c r="AE1464" s="2" t="s">
        <v>59</v>
      </c>
      <c r="AF1464" s="2" t="s">
        <v>86</v>
      </c>
      <c r="AG1464" s="2" t="s">
        <v>61</v>
      </c>
      <c r="AH1464" s="2" t="s">
        <v>62</v>
      </c>
      <c r="AI1464" s="2" t="s">
        <v>87</v>
      </c>
      <c r="AJ1464" s="2">
        <v>2.6677270099779098</v>
      </c>
      <c r="AK1464" s="2">
        <v>0.532114811911097</v>
      </c>
      <c r="AL1464" s="2">
        <v>0.23093233391416099</v>
      </c>
      <c r="AM1464" s="2">
        <v>7.2048626372656799E-2</v>
      </c>
      <c r="AN1464" s="2">
        <v>4.5375662058310198</v>
      </c>
      <c r="AO1464" s="2">
        <v>0.41135031163270502</v>
      </c>
      <c r="AP1464" s="2">
        <v>0.41135031163270502</v>
      </c>
      <c r="AQ1464" s="2">
        <v>0</v>
      </c>
      <c r="AR1464" s="2">
        <v>0</v>
      </c>
      <c r="AS1464" s="2">
        <v>0</v>
      </c>
      <c r="AT1464" s="2">
        <v>24</v>
      </c>
      <c r="AU1464" s="2">
        <v>2</v>
      </c>
      <c r="AV1464" s="2">
        <v>122</v>
      </c>
      <c r="AW1464" s="2">
        <v>0</v>
      </c>
      <c r="AX1464" s="2">
        <v>0</v>
      </c>
      <c r="AY1464" s="2">
        <v>15.5</v>
      </c>
      <c r="AZ1464" s="2">
        <v>2.4</v>
      </c>
      <c r="BA1464" s="2">
        <v>10.9</v>
      </c>
      <c r="BB1464" s="2">
        <v>564</v>
      </c>
      <c r="BC1464" s="2">
        <v>68</v>
      </c>
      <c r="BD1464" s="2">
        <v>1.5</v>
      </c>
      <c r="BE1464" s="2">
        <v>135</v>
      </c>
      <c r="BF1464" s="2">
        <v>0</v>
      </c>
      <c r="BG1464" s="2">
        <v>162</v>
      </c>
      <c r="BH1464" s="2">
        <v>9.1</v>
      </c>
      <c r="BI1464" s="2">
        <v>9.1999999999999993</v>
      </c>
      <c r="BJ1464" s="2">
        <v>18.3</v>
      </c>
      <c r="BK1464" s="2">
        <v>0.34</v>
      </c>
      <c r="BL1464" s="2">
        <v>7.3</v>
      </c>
      <c r="BM1464" s="2">
        <v>0.9</v>
      </c>
      <c r="BN1464" s="2">
        <v>7.5</v>
      </c>
      <c r="BO1464" s="2">
        <v>2.9</v>
      </c>
      <c r="BP1464" s="2">
        <f t="shared" si="44"/>
        <v>2.2751031286628955</v>
      </c>
      <c r="BQ1464" s="2">
        <f t="shared" si="45"/>
        <v>10.621187848332886</v>
      </c>
    </row>
    <row r="1465" spans="1:69" x14ac:dyDescent="0.2">
      <c r="A1465" s="2" t="s">
        <v>843</v>
      </c>
      <c r="B1465" s="2" t="s">
        <v>47</v>
      </c>
      <c r="C1465" s="2" t="s">
        <v>48</v>
      </c>
      <c r="D1465" s="2" t="s">
        <v>49</v>
      </c>
      <c r="E1465" s="2" t="s">
        <v>844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89</v>
      </c>
      <c r="L1465" s="6" t="s">
        <v>141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845</v>
      </c>
      <c r="R1465" s="2">
        <v>9565563.9700000007</v>
      </c>
      <c r="S1465" s="2">
        <v>0</v>
      </c>
      <c r="T1465" s="2" t="s">
        <v>83</v>
      </c>
      <c r="U1465" s="2" t="s">
        <v>84</v>
      </c>
      <c r="V1465" s="2" t="s">
        <v>56</v>
      </c>
      <c r="W1465" s="2" t="s">
        <v>83</v>
      </c>
      <c r="X1465" s="2" t="s">
        <v>85</v>
      </c>
      <c r="Y1465" s="2">
        <v>0.87720128072861603</v>
      </c>
      <c r="Z1465" s="2">
        <v>877.20128072861598</v>
      </c>
      <c r="AA1465" s="2">
        <v>4.71035</v>
      </c>
      <c r="AB1465" s="2">
        <v>-74.030416666666696</v>
      </c>
      <c r="AC1465" s="2">
        <v>2570</v>
      </c>
      <c r="AD1465" s="2">
        <v>10</v>
      </c>
      <c r="AE1465" s="2" t="s">
        <v>59</v>
      </c>
      <c r="AF1465" s="2" t="s">
        <v>86</v>
      </c>
      <c r="AG1465" s="2" t="s">
        <v>61</v>
      </c>
      <c r="AH1465" s="2" t="s">
        <v>62</v>
      </c>
      <c r="AI1465" s="2" t="s">
        <v>87</v>
      </c>
      <c r="AJ1465" s="2">
        <v>2.8862731303306899</v>
      </c>
      <c r="AK1465" s="2">
        <v>0.28931653366660898</v>
      </c>
      <c r="AL1465" s="2">
        <v>1.0193519909150399</v>
      </c>
      <c r="AM1465" s="2">
        <v>0.40690835115190799</v>
      </c>
      <c r="AN1465" s="2">
        <v>2.7414435460980102</v>
      </c>
      <c r="AO1465" s="2">
        <v>0.37331783287292902</v>
      </c>
      <c r="AP1465" s="2">
        <v>0.37331783287292902</v>
      </c>
      <c r="AQ1465" s="2">
        <v>0</v>
      </c>
      <c r="AR1465" s="2">
        <v>0</v>
      </c>
      <c r="AS1465" s="2">
        <v>22</v>
      </c>
      <c r="AT1465" s="2">
        <v>33</v>
      </c>
      <c r="AU1465" s="2">
        <v>0</v>
      </c>
      <c r="AV1465" s="2">
        <v>68</v>
      </c>
      <c r="AW1465" s="2">
        <v>0</v>
      </c>
      <c r="AX1465" s="2">
        <v>0</v>
      </c>
      <c r="AY1465" s="2">
        <v>15.5</v>
      </c>
      <c r="AZ1465" s="2">
        <v>2.4</v>
      </c>
      <c r="BA1465" s="2">
        <v>10.9</v>
      </c>
      <c r="BB1465" s="2">
        <v>564</v>
      </c>
      <c r="BC1465" s="2">
        <v>68</v>
      </c>
      <c r="BD1465" s="2">
        <v>1.5</v>
      </c>
      <c r="BE1465" s="2">
        <v>135</v>
      </c>
      <c r="BF1465" s="2">
        <v>0</v>
      </c>
      <c r="BG1465" s="2">
        <v>162</v>
      </c>
      <c r="BH1465" s="2">
        <v>9.1</v>
      </c>
      <c r="BI1465" s="2">
        <v>9.1999999999999993</v>
      </c>
      <c r="BJ1465" s="2">
        <v>18.3</v>
      </c>
      <c r="BK1465" s="2">
        <v>0.34</v>
      </c>
      <c r="BL1465" s="2">
        <v>7.3</v>
      </c>
      <c r="BM1465" s="2">
        <v>0.9</v>
      </c>
      <c r="BN1465" s="2">
        <v>7.5</v>
      </c>
      <c r="BO1465" s="2">
        <v>2.9</v>
      </c>
      <c r="BP1465" s="2">
        <f t="shared" si="44"/>
        <v>2.2980186013081414</v>
      </c>
      <c r="BQ1465" s="2">
        <f t="shared" si="45"/>
        <v>10.672922840527516</v>
      </c>
    </row>
    <row r="1466" spans="1:69" x14ac:dyDescent="0.2">
      <c r="A1466" s="2" t="s">
        <v>2692</v>
      </c>
      <c r="B1466" s="2" t="s">
        <v>47</v>
      </c>
      <c r="C1466" s="2" t="s">
        <v>1935</v>
      </c>
      <c r="D1466" s="2" t="s">
        <v>49</v>
      </c>
      <c r="E1466" s="2" t="s">
        <v>2693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89</v>
      </c>
      <c r="L1466" s="6" t="s">
        <v>141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2694</v>
      </c>
      <c r="R1466" s="2">
        <v>3800000</v>
      </c>
      <c r="S1466" s="2">
        <v>0</v>
      </c>
      <c r="T1466" s="2" t="s">
        <v>83</v>
      </c>
      <c r="U1466" s="2" t="s">
        <v>84</v>
      </c>
      <c r="V1466" s="2" t="s">
        <v>56</v>
      </c>
      <c r="W1466" s="2" t="s">
        <v>83</v>
      </c>
      <c r="X1466" s="2" t="s">
        <v>85</v>
      </c>
      <c r="Y1466" s="2">
        <v>2.58239240544839</v>
      </c>
      <c r="Z1466" s="2">
        <v>2582.39240544839</v>
      </c>
      <c r="AA1466" s="2">
        <v>4.71035</v>
      </c>
      <c r="AB1466" s="2">
        <v>-74.030416666666696</v>
      </c>
      <c r="AC1466" s="2">
        <v>2570</v>
      </c>
      <c r="AD1466" s="2">
        <v>10</v>
      </c>
      <c r="AE1466" s="2" t="s">
        <v>59</v>
      </c>
      <c r="AF1466" s="2" t="s">
        <v>86</v>
      </c>
      <c r="AG1466" s="2" t="s">
        <v>61</v>
      </c>
      <c r="AH1466" s="2" t="s">
        <v>62</v>
      </c>
      <c r="AI1466" s="2" t="s">
        <v>87</v>
      </c>
      <c r="AJ1466" s="2">
        <v>0.94212025443341496</v>
      </c>
      <c r="AK1466" s="2">
        <v>2.1513316398574802</v>
      </c>
      <c r="AL1466" s="2">
        <v>0.26965488293689699</v>
      </c>
      <c r="AM1466" s="2">
        <v>0.139678606826903</v>
      </c>
      <c r="AN1466" s="2">
        <v>2.0022581070333998</v>
      </c>
      <c r="AO1466" s="2">
        <v>0.14810654448614499</v>
      </c>
      <c r="AP1466" s="2">
        <v>0.14810654448614499</v>
      </c>
      <c r="AQ1466" s="2">
        <v>0</v>
      </c>
      <c r="AR1466" s="2">
        <v>2</v>
      </c>
      <c r="AS1466" s="2">
        <v>0</v>
      </c>
      <c r="AT1466" s="2">
        <v>0</v>
      </c>
      <c r="AU1466" s="2">
        <v>1</v>
      </c>
      <c r="AV1466" s="2">
        <v>22</v>
      </c>
      <c r="AW1466" s="2">
        <v>0</v>
      </c>
      <c r="AX1466" s="2">
        <v>0</v>
      </c>
      <c r="AY1466" s="2">
        <v>15.5</v>
      </c>
      <c r="AZ1466" s="2">
        <v>2.4</v>
      </c>
      <c r="BA1466" s="2">
        <v>10.9</v>
      </c>
      <c r="BB1466" s="2">
        <v>564</v>
      </c>
      <c r="BC1466" s="2">
        <v>68</v>
      </c>
      <c r="BD1466" s="2">
        <v>1.5</v>
      </c>
      <c r="BE1466" s="2">
        <v>135</v>
      </c>
      <c r="BF1466" s="2">
        <v>0</v>
      </c>
      <c r="BG1466" s="2">
        <v>162</v>
      </c>
      <c r="BH1466" s="2">
        <v>9.1</v>
      </c>
      <c r="BI1466" s="2">
        <v>9.1999999999999993</v>
      </c>
      <c r="BJ1466" s="2">
        <v>18.3</v>
      </c>
      <c r="BK1466" s="2">
        <v>0.34</v>
      </c>
      <c r="BL1466" s="2">
        <v>7.3</v>
      </c>
      <c r="BM1466" s="2">
        <v>0.9</v>
      </c>
      <c r="BN1466" s="2">
        <v>7.5</v>
      </c>
      <c r="BO1466" s="2">
        <v>2.9</v>
      </c>
      <c r="BP1466" s="2">
        <f t="shared" si="44"/>
        <v>2.1120104490195284</v>
      </c>
      <c r="BQ1466" s="2">
        <f t="shared" si="45"/>
        <v>10.24495481773867</v>
      </c>
    </row>
    <row r="1467" spans="1:69" x14ac:dyDescent="0.2">
      <c r="A1467" s="2" t="s">
        <v>1028</v>
      </c>
      <c r="B1467" s="2" t="s">
        <v>47</v>
      </c>
      <c r="C1467" s="2" t="s">
        <v>48</v>
      </c>
      <c r="D1467" s="2" t="s">
        <v>49</v>
      </c>
      <c r="E1467" s="2" t="s">
        <v>1029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89</v>
      </c>
      <c r="L1467" s="6" t="s">
        <v>103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1030</v>
      </c>
      <c r="R1467" s="2">
        <v>9600000</v>
      </c>
      <c r="S1467" s="2">
        <v>0</v>
      </c>
      <c r="T1467" s="2" t="s">
        <v>83</v>
      </c>
      <c r="U1467" s="2" t="s">
        <v>84</v>
      </c>
      <c r="V1467" s="2" t="s">
        <v>56</v>
      </c>
      <c r="W1467" s="2" t="s">
        <v>83</v>
      </c>
      <c r="X1467" s="2" t="s">
        <v>85</v>
      </c>
      <c r="Y1467" s="2">
        <v>0.40275162162286399</v>
      </c>
      <c r="Z1467" s="2">
        <v>402.75162162286398</v>
      </c>
      <c r="AA1467" s="2">
        <v>4.71035</v>
      </c>
      <c r="AB1467" s="2">
        <v>-74.030416666666696</v>
      </c>
      <c r="AC1467" s="2">
        <v>2570</v>
      </c>
      <c r="AD1467" s="2">
        <v>10</v>
      </c>
      <c r="AE1467" s="2" t="s">
        <v>59</v>
      </c>
      <c r="AF1467" s="2" t="s">
        <v>86</v>
      </c>
      <c r="AG1467" s="2" t="s">
        <v>61</v>
      </c>
      <c r="AH1467" s="2" t="s">
        <v>62</v>
      </c>
      <c r="AI1467" s="2" t="s">
        <v>87</v>
      </c>
      <c r="AJ1467" s="2">
        <v>2.8996076958833799</v>
      </c>
      <c r="AK1467" s="2">
        <v>0.20577943575313501</v>
      </c>
      <c r="AL1467" s="2">
        <v>0.66674096465823496</v>
      </c>
      <c r="AM1467" s="2">
        <v>0.37866646102576001</v>
      </c>
      <c r="AN1467" s="2">
        <v>3.5556896074557698</v>
      </c>
      <c r="AO1467" s="2">
        <v>0.437495445790197</v>
      </c>
      <c r="AP1467" s="2">
        <v>0.437495445790197</v>
      </c>
      <c r="AQ1467" s="2">
        <v>0</v>
      </c>
      <c r="AR1467" s="2">
        <v>0</v>
      </c>
      <c r="AS1467" s="2">
        <v>11</v>
      </c>
      <c r="AT1467" s="2">
        <v>43</v>
      </c>
      <c r="AU1467" s="2">
        <v>1</v>
      </c>
      <c r="AV1467" s="2">
        <v>83</v>
      </c>
      <c r="AW1467" s="2">
        <v>0</v>
      </c>
      <c r="AX1467" s="2">
        <v>0</v>
      </c>
      <c r="AY1467" s="2">
        <v>15.5</v>
      </c>
      <c r="AZ1467" s="2">
        <v>2.4</v>
      </c>
      <c r="BA1467" s="2">
        <v>10.9</v>
      </c>
      <c r="BB1467" s="2">
        <v>564</v>
      </c>
      <c r="BC1467" s="2">
        <v>68</v>
      </c>
      <c r="BD1467" s="2">
        <v>1.5</v>
      </c>
      <c r="BE1467" s="2">
        <v>135</v>
      </c>
      <c r="BF1467" s="2">
        <v>0</v>
      </c>
      <c r="BG1467" s="2">
        <v>162</v>
      </c>
      <c r="BH1467" s="2">
        <v>9.1</v>
      </c>
      <c r="BI1467" s="2">
        <v>9.1999999999999993</v>
      </c>
      <c r="BJ1467" s="2">
        <v>18.3</v>
      </c>
      <c r="BK1467" s="2">
        <v>0.34</v>
      </c>
      <c r="BL1467" s="2">
        <v>7.3</v>
      </c>
      <c r="BM1467" s="2">
        <v>0.9</v>
      </c>
      <c r="BN1467" s="2">
        <v>7.5</v>
      </c>
      <c r="BO1467" s="2">
        <v>2.9</v>
      </c>
      <c r="BP1467" s="2">
        <f t="shared" si="44"/>
        <v>2.3526268963458548</v>
      </c>
      <c r="BQ1467" s="2">
        <f t="shared" si="45"/>
        <v>10.795147745152587</v>
      </c>
    </row>
    <row r="1468" spans="1:69" x14ac:dyDescent="0.2">
      <c r="A1468" s="2" t="s">
        <v>3264</v>
      </c>
      <c r="B1468" s="2" t="s">
        <v>47</v>
      </c>
      <c r="C1468" s="2" t="s">
        <v>1935</v>
      </c>
      <c r="D1468" s="2" t="s">
        <v>49</v>
      </c>
      <c r="E1468" s="2" t="s">
        <v>323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89</v>
      </c>
      <c r="L1468" s="6" t="s">
        <v>141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3265</v>
      </c>
      <c r="R1468" s="2">
        <v>4419090.4709999999</v>
      </c>
      <c r="S1468" s="2">
        <v>0</v>
      </c>
      <c r="T1468" s="2" t="s">
        <v>83</v>
      </c>
      <c r="U1468" s="2" t="s">
        <v>84</v>
      </c>
      <c r="V1468" s="2" t="s">
        <v>56</v>
      </c>
      <c r="W1468" s="2" t="s">
        <v>83</v>
      </c>
      <c r="X1468" s="2" t="s">
        <v>85</v>
      </c>
      <c r="Y1468" s="2">
        <v>3.7529584329371399</v>
      </c>
      <c r="Z1468" s="2">
        <v>3752.9584329371401</v>
      </c>
      <c r="AA1468" s="2">
        <v>4.71035</v>
      </c>
      <c r="AB1468" s="2">
        <v>-74.030416666666696</v>
      </c>
      <c r="AC1468" s="2">
        <v>2570</v>
      </c>
      <c r="AD1468" s="2">
        <v>10</v>
      </c>
      <c r="AE1468" s="2" t="s">
        <v>59</v>
      </c>
      <c r="AF1468" s="2" t="s">
        <v>86</v>
      </c>
      <c r="AG1468" s="2" t="s">
        <v>61</v>
      </c>
      <c r="AH1468" s="2" t="s">
        <v>62</v>
      </c>
      <c r="AI1468" s="2" t="s">
        <v>100</v>
      </c>
      <c r="AJ1468" s="2">
        <v>0.793418556446297</v>
      </c>
      <c r="AK1468" s="2">
        <v>3.8379954936890801</v>
      </c>
      <c r="AL1468" s="2">
        <v>0.81777957454081196</v>
      </c>
      <c r="AM1468" s="2">
        <v>0.427779662998093</v>
      </c>
      <c r="AN1468" s="2">
        <v>3.6520970609591799</v>
      </c>
      <c r="AO1468" s="2">
        <v>6.6330074084818294E-2</v>
      </c>
      <c r="AP1468" s="2">
        <v>6.6330074084818294E-2</v>
      </c>
      <c r="AQ1468" s="2">
        <v>0</v>
      </c>
      <c r="AR1468" s="2">
        <v>3</v>
      </c>
      <c r="AS1468" s="2">
        <v>0</v>
      </c>
      <c r="AT1468" s="2">
        <v>0</v>
      </c>
      <c r="AU1468" s="2">
        <v>1</v>
      </c>
      <c r="AV1468" s="2">
        <v>49</v>
      </c>
      <c r="AW1468" s="2">
        <v>0</v>
      </c>
      <c r="AX1468" s="2">
        <v>0</v>
      </c>
      <c r="AY1468" s="2">
        <v>15.5</v>
      </c>
      <c r="AZ1468" s="2">
        <v>2.4</v>
      </c>
      <c r="BA1468" s="2">
        <v>10.9</v>
      </c>
      <c r="BB1468" s="2">
        <v>564</v>
      </c>
      <c r="BC1468" s="2">
        <v>68</v>
      </c>
      <c r="BD1468" s="2">
        <v>1.5</v>
      </c>
      <c r="BE1468" s="2">
        <v>135</v>
      </c>
      <c r="BF1468" s="2">
        <v>0</v>
      </c>
      <c r="BG1468" s="2">
        <v>162</v>
      </c>
      <c r="BH1468" s="2">
        <v>9.1</v>
      </c>
      <c r="BI1468" s="2">
        <v>9.1999999999999993</v>
      </c>
      <c r="BJ1468" s="2">
        <v>18.3</v>
      </c>
      <c r="BK1468" s="2">
        <v>0.34</v>
      </c>
      <c r="BL1468" s="2">
        <v>7.3</v>
      </c>
      <c r="BM1468" s="2">
        <v>0.9</v>
      </c>
      <c r="BN1468" s="2">
        <v>7.5</v>
      </c>
      <c r="BO1468" s="2">
        <v>2.9</v>
      </c>
      <c r="BP1468" s="2">
        <f t="shared" si="44"/>
        <v>1.993112116763319</v>
      </c>
      <c r="BQ1468" s="2">
        <f t="shared" si="45"/>
        <v>9.9611426294083287</v>
      </c>
    </row>
    <row r="1469" spans="1:69" x14ac:dyDescent="0.2">
      <c r="A1469" s="2" t="s">
        <v>714</v>
      </c>
      <c r="B1469" s="2" t="s">
        <v>47</v>
      </c>
      <c r="C1469" s="2" t="s">
        <v>48</v>
      </c>
      <c r="D1469" s="2" t="s">
        <v>49</v>
      </c>
      <c r="E1469" s="2" t="s">
        <v>251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89</v>
      </c>
      <c r="L1469" s="6" t="s">
        <v>141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715</v>
      </c>
      <c r="R1469" s="2">
        <v>8896437.3809999991</v>
      </c>
      <c r="S1469" s="2">
        <v>0</v>
      </c>
      <c r="T1469" s="2" t="s">
        <v>83</v>
      </c>
      <c r="U1469" s="2" t="s">
        <v>84</v>
      </c>
      <c r="V1469" s="2" t="s">
        <v>56</v>
      </c>
      <c r="W1469" s="2" t="s">
        <v>83</v>
      </c>
      <c r="X1469" s="2" t="s">
        <v>85</v>
      </c>
      <c r="Y1469" s="2">
        <v>2.5368893585771302</v>
      </c>
      <c r="Z1469" s="2">
        <v>2536.8893585771302</v>
      </c>
      <c r="AA1469" s="2">
        <v>4.71035</v>
      </c>
      <c r="AB1469" s="2">
        <v>-74.030416666666696</v>
      </c>
      <c r="AC1469" s="2">
        <v>2570</v>
      </c>
      <c r="AD1469" s="2">
        <v>10</v>
      </c>
      <c r="AE1469" s="2" t="s">
        <v>59</v>
      </c>
      <c r="AF1469" s="2" t="s">
        <v>86</v>
      </c>
      <c r="AG1469" s="2" t="s">
        <v>61</v>
      </c>
      <c r="AH1469" s="2" t="s">
        <v>62</v>
      </c>
      <c r="AI1469" s="2" t="s">
        <v>87</v>
      </c>
      <c r="AJ1469" s="2">
        <v>3.2407177917040202</v>
      </c>
      <c r="AK1469" s="2">
        <v>0.21563404017432899</v>
      </c>
      <c r="AL1469" s="2">
        <v>0.78260003295922898</v>
      </c>
      <c r="AM1469" s="2">
        <v>0.69050153522897695</v>
      </c>
      <c r="AN1469" s="2">
        <v>5.9438259823117496</v>
      </c>
      <c r="AO1469" s="2">
        <v>0.99371789693609702</v>
      </c>
      <c r="AP1469" s="2">
        <v>0.99371789693609702</v>
      </c>
      <c r="AQ1469" s="2">
        <v>0</v>
      </c>
      <c r="AR1469" s="2">
        <v>0</v>
      </c>
      <c r="AS1469" s="2">
        <v>18</v>
      </c>
      <c r="AT1469" s="2">
        <v>26</v>
      </c>
      <c r="AU1469" s="2">
        <v>1</v>
      </c>
      <c r="AV1469" s="2">
        <v>16</v>
      </c>
      <c r="AW1469" s="2">
        <v>0</v>
      </c>
      <c r="AX1469" s="2">
        <v>0</v>
      </c>
      <c r="AY1469" s="2">
        <v>15.5</v>
      </c>
      <c r="AZ1469" s="2">
        <v>2.4</v>
      </c>
      <c r="BA1469" s="2">
        <v>10.9</v>
      </c>
      <c r="BB1469" s="2">
        <v>564</v>
      </c>
      <c r="BC1469" s="2">
        <v>68</v>
      </c>
      <c r="BD1469" s="2">
        <v>1.5</v>
      </c>
      <c r="BE1469" s="2">
        <v>135</v>
      </c>
      <c r="BF1469" s="2">
        <v>0</v>
      </c>
      <c r="BG1469" s="2">
        <v>162</v>
      </c>
      <c r="BH1469" s="2">
        <v>9.1</v>
      </c>
      <c r="BI1469" s="2">
        <v>9.1999999999999993</v>
      </c>
      <c r="BJ1469" s="2">
        <v>18.3</v>
      </c>
      <c r="BK1469" s="2">
        <v>0.34</v>
      </c>
      <c r="BL1469" s="2">
        <v>7.3</v>
      </c>
      <c r="BM1469" s="2">
        <v>0.9</v>
      </c>
      <c r="BN1469" s="2">
        <v>7.5</v>
      </c>
      <c r="BO1469" s="2">
        <v>2.9</v>
      </c>
      <c r="BP1469" s="2">
        <f t="shared" si="44"/>
        <v>2.1167729045529415</v>
      </c>
      <c r="BQ1469" s="2">
        <f t="shared" si="45"/>
        <v>10.256149168973554</v>
      </c>
    </row>
    <row r="1470" spans="1:69" x14ac:dyDescent="0.2">
      <c r="A1470" s="2" t="s">
        <v>1143</v>
      </c>
      <c r="B1470" s="2" t="s">
        <v>47</v>
      </c>
      <c r="C1470" s="2" t="s">
        <v>48</v>
      </c>
      <c r="D1470" s="2" t="s">
        <v>49</v>
      </c>
      <c r="E1470" s="2" t="s">
        <v>189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89</v>
      </c>
      <c r="L1470" s="6" t="s">
        <v>112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1144</v>
      </c>
      <c r="R1470" s="2">
        <v>10040485.83</v>
      </c>
      <c r="S1470" s="2">
        <v>0</v>
      </c>
      <c r="T1470" s="2" t="s">
        <v>83</v>
      </c>
      <c r="U1470" s="2" t="s">
        <v>84</v>
      </c>
      <c r="V1470" s="2" t="s">
        <v>56</v>
      </c>
      <c r="W1470" s="2" t="s">
        <v>83</v>
      </c>
      <c r="X1470" s="2" t="s">
        <v>85</v>
      </c>
      <c r="Y1470" s="2">
        <v>3.18106929004071</v>
      </c>
      <c r="Z1470" s="2">
        <v>3181.0692900407098</v>
      </c>
      <c r="AA1470" s="2">
        <v>4.71035</v>
      </c>
      <c r="AB1470" s="2">
        <v>-74.030416666666696</v>
      </c>
      <c r="AC1470" s="2">
        <v>2570</v>
      </c>
      <c r="AD1470" s="2">
        <v>10</v>
      </c>
      <c r="AE1470" s="2" t="s">
        <v>59</v>
      </c>
      <c r="AF1470" s="2" t="s">
        <v>86</v>
      </c>
      <c r="AG1470" s="2" t="s">
        <v>61</v>
      </c>
      <c r="AH1470" s="2" t="s">
        <v>62</v>
      </c>
      <c r="AI1470" s="2" t="s">
        <v>87</v>
      </c>
      <c r="AJ1470" s="2">
        <v>0.28736439516565399</v>
      </c>
      <c r="AK1470" s="2">
        <v>2.7371869595869098</v>
      </c>
      <c r="AL1470" s="2">
        <v>0.56809162653755296</v>
      </c>
      <c r="AM1470" s="2">
        <v>0.11687678233356601</v>
      </c>
      <c r="AN1470" s="2">
        <v>3.8245059791827898</v>
      </c>
      <c r="AO1470" s="2">
        <v>0.17917634446394601</v>
      </c>
      <c r="AP1470" s="2">
        <v>0.17917634446394601</v>
      </c>
      <c r="AQ1470" s="2">
        <v>2</v>
      </c>
      <c r="AR1470" s="2">
        <v>2</v>
      </c>
      <c r="AS1470" s="2">
        <v>0</v>
      </c>
      <c r="AT1470" s="2">
        <v>0</v>
      </c>
      <c r="AU1470" s="2">
        <v>3</v>
      </c>
      <c r="AV1470" s="2">
        <v>148</v>
      </c>
      <c r="AW1470" s="2">
        <v>0</v>
      </c>
      <c r="AX1470" s="2">
        <v>0</v>
      </c>
      <c r="AY1470" s="2">
        <v>15.5</v>
      </c>
      <c r="AZ1470" s="2">
        <v>2.4</v>
      </c>
      <c r="BA1470" s="2">
        <v>10.9</v>
      </c>
      <c r="BB1470" s="2">
        <v>564</v>
      </c>
      <c r="BC1470" s="2">
        <v>68</v>
      </c>
      <c r="BD1470" s="2">
        <v>1.5</v>
      </c>
      <c r="BE1470" s="2">
        <v>135</v>
      </c>
      <c r="BF1470" s="2">
        <v>0</v>
      </c>
      <c r="BG1470" s="2">
        <v>162</v>
      </c>
      <c r="BH1470" s="2">
        <v>9.1</v>
      </c>
      <c r="BI1470" s="2">
        <v>9.1999999999999993</v>
      </c>
      <c r="BJ1470" s="2">
        <v>18.3</v>
      </c>
      <c r="BK1470" s="2">
        <v>0.34</v>
      </c>
      <c r="BL1470" s="2">
        <v>7.3</v>
      </c>
      <c r="BM1470" s="2">
        <v>0.9</v>
      </c>
      <c r="BN1470" s="2">
        <v>7.5</v>
      </c>
      <c r="BO1470" s="2">
        <v>2.9</v>
      </c>
      <c r="BP1470" s="2">
        <f t="shared" si="44"/>
        <v>2.0503403576618098</v>
      </c>
      <c r="BQ1470" s="2">
        <f t="shared" si="45"/>
        <v>10.098805265180271</v>
      </c>
    </row>
    <row r="1471" spans="1:69" x14ac:dyDescent="0.2">
      <c r="A1471" s="2" t="s">
        <v>351</v>
      </c>
      <c r="B1471" s="2" t="s">
        <v>47</v>
      </c>
      <c r="C1471" s="2" t="s">
        <v>48</v>
      </c>
      <c r="D1471" s="2" t="s">
        <v>49</v>
      </c>
      <c r="E1471" s="2" t="s">
        <v>208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89</v>
      </c>
      <c r="L1471" s="6" t="s">
        <v>103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352</v>
      </c>
      <c r="R1471" s="2">
        <v>10162601.630000001</v>
      </c>
      <c r="S1471" s="2">
        <v>0</v>
      </c>
      <c r="T1471" s="2" t="s">
        <v>83</v>
      </c>
      <c r="U1471" s="2" t="s">
        <v>84</v>
      </c>
      <c r="V1471" s="2" t="s">
        <v>56</v>
      </c>
      <c r="W1471" s="2" t="s">
        <v>83</v>
      </c>
      <c r="X1471" s="2" t="s">
        <v>85</v>
      </c>
      <c r="Y1471" s="2">
        <v>4.2618657379615197</v>
      </c>
      <c r="Z1471" s="2">
        <v>4261.8657379615197</v>
      </c>
      <c r="AA1471" s="2">
        <v>4.71035</v>
      </c>
      <c r="AB1471" s="2">
        <v>-74.030416666666696</v>
      </c>
      <c r="AC1471" s="2">
        <v>2570</v>
      </c>
      <c r="AD1471" s="2">
        <v>10</v>
      </c>
      <c r="AE1471" s="2" t="s">
        <v>59</v>
      </c>
      <c r="AF1471" s="2" t="s">
        <v>86</v>
      </c>
      <c r="AG1471" s="2" t="s">
        <v>61</v>
      </c>
      <c r="AH1471" s="2" t="s">
        <v>62</v>
      </c>
      <c r="AI1471" s="2" t="s">
        <v>109</v>
      </c>
      <c r="AJ1471" s="2">
        <v>1.85232337614771</v>
      </c>
      <c r="AK1471" s="2">
        <v>0.31394963021927702</v>
      </c>
      <c r="AL1471" s="2">
        <v>0.99416336722123599</v>
      </c>
      <c r="AM1471" s="2">
        <v>0.18711225113611499</v>
      </c>
      <c r="AN1471" s="2">
        <v>3.9912792915983801</v>
      </c>
      <c r="AO1471" s="2">
        <v>1.1100895091665</v>
      </c>
      <c r="AP1471" s="2">
        <v>1.1100895091665</v>
      </c>
      <c r="AQ1471" s="2">
        <v>0</v>
      </c>
      <c r="AR1471" s="2">
        <v>0</v>
      </c>
      <c r="AS1471" s="2">
        <v>4</v>
      </c>
      <c r="AT1471" s="2">
        <v>29</v>
      </c>
      <c r="AU1471" s="2">
        <v>3</v>
      </c>
      <c r="AV1471" s="2">
        <v>46</v>
      </c>
      <c r="AW1471" s="2">
        <v>0</v>
      </c>
      <c r="AX1471" s="2">
        <v>0</v>
      </c>
      <c r="AY1471" s="2">
        <v>15.5</v>
      </c>
      <c r="AZ1471" s="2">
        <v>2.4</v>
      </c>
      <c r="BA1471" s="2">
        <v>10.9</v>
      </c>
      <c r="BB1471" s="2">
        <v>564</v>
      </c>
      <c r="BC1471" s="2">
        <v>68</v>
      </c>
      <c r="BD1471" s="2">
        <v>1.5</v>
      </c>
      <c r="BE1471" s="2">
        <v>135</v>
      </c>
      <c r="BF1471" s="2">
        <v>0</v>
      </c>
      <c r="BG1471" s="2">
        <v>162</v>
      </c>
      <c r="BH1471" s="2">
        <v>9.1</v>
      </c>
      <c r="BI1471" s="2">
        <v>9.1999999999999993</v>
      </c>
      <c r="BJ1471" s="2">
        <v>18.3</v>
      </c>
      <c r="BK1471" s="2">
        <v>0.34</v>
      </c>
      <c r="BL1471" s="2">
        <v>7.3</v>
      </c>
      <c r="BM1471" s="2">
        <v>0.9</v>
      </c>
      <c r="BN1471" s="2">
        <v>7.5</v>
      </c>
      <c r="BO1471" s="2">
        <v>2.9</v>
      </c>
      <c r="BP1471" s="2">
        <f t="shared" si="44"/>
        <v>1.94353092524654</v>
      </c>
      <c r="BQ1471" s="2">
        <f t="shared" si="45"/>
        <v>9.8402194389718023</v>
      </c>
    </row>
    <row r="1472" spans="1:69" x14ac:dyDescent="0.2">
      <c r="A1472" s="2" t="s">
        <v>4390</v>
      </c>
      <c r="B1472" s="2" t="s">
        <v>47</v>
      </c>
      <c r="C1472" s="2" t="s">
        <v>3273</v>
      </c>
      <c r="D1472" s="2" t="s">
        <v>49</v>
      </c>
      <c r="E1472" s="2" t="s">
        <v>1686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89</v>
      </c>
      <c r="L1472" s="6" t="s">
        <v>141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4391</v>
      </c>
      <c r="R1472" s="2">
        <v>8048780.4879999999</v>
      </c>
      <c r="S1472" s="2">
        <v>0</v>
      </c>
      <c r="T1472" s="2" t="s">
        <v>83</v>
      </c>
      <c r="U1472" s="2" t="s">
        <v>84</v>
      </c>
      <c r="V1472" s="2" t="s">
        <v>56</v>
      </c>
      <c r="W1472" s="2" t="s">
        <v>83</v>
      </c>
      <c r="X1472" s="2" t="s">
        <v>85</v>
      </c>
      <c r="Y1472" s="2">
        <v>1.2132274586073899</v>
      </c>
      <c r="Z1472" s="2">
        <v>1213.22745860739</v>
      </c>
      <c r="AA1472" s="2">
        <v>4.71035</v>
      </c>
      <c r="AB1472" s="2">
        <v>-74.030416666666696</v>
      </c>
      <c r="AC1472" s="2">
        <v>2570</v>
      </c>
      <c r="AD1472" s="2">
        <v>10</v>
      </c>
      <c r="AE1472" s="2" t="s">
        <v>59</v>
      </c>
      <c r="AF1472" s="2" t="s">
        <v>86</v>
      </c>
      <c r="AG1472" s="2" t="s">
        <v>61</v>
      </c>
      <c r="AH1472" s="2" t="s">
        <v>62</v>
      </c>
      <c r="AI1472" s="2" t="s">
        <v>87</v>
      </c>
      <c r="AJ1472" s="2">
        <v>2.9197061640762501</v>
      </c>
      <c r="AK1472" s="2">
        <v>0.172637400418443</v>
      </c>
      <c r="AL1472" s="2">
        <v>1.3202447424058099</v>
      </c>
      <c r="AM1472" s="2">
        <v>0.41938158640277601</v>
      </c>
      <c r="AN1472" s="2">
        <v>2.4006297855772099</v>
      </c>
      <c r="AO1472" s="2">
        <v>0.25490822894182003</v>
      </c>
      <c r="AP1472" s="2">
        <v>0.25490822894182003</v>
      </c>
      <c r="AQ1472" s="2">
        <v>0</v>
      </c>
      <c r="AR1472" s="2">
        <v>0</v>
      </c>
      <c r="AS1472" s="2">
        <v>9</v>
      </c>
      <c r="AT1472" s="2">
        <v>43</v>
      </c>
      <c r="AU1472" s="2">
        <v>0</v>
      </c>
      <c r="AV1472" s="2">
        <v>37</v>
      </c>
      <c r="AW1472" s="2">
        <v>0</v>
      </c>
      <c r="AX1472" s="2">
        <v>0</v>
      </c>
      <c r="AY1472" s="2">
        <v>15.5</v>
      </c>
      <c r="AZ1472" s="2">
        <v>2.4</v>
      </c>
      <c r="BA1472" s="2">
        <v>10.9</v>
      </c>
      <c r="BB1472" s="2">
        <v>564</v>
      </c>
      <c r="BC1472" s="2">
        <v>68</v>
      </c>
      <c r="BD1472" s="2">
        <v>1.5</v>
      </c>
      <c r="BE1472" s="2">
        <v>135</v>
      </c>
      <c r="BF1472" s="2">
        <v>0</v>
      </c>
      <c r="BG1472" s="2">
        <v>162</v>
      </c>
      <c r="BH1472" s="2">
        <v>9.1</v>
      </c>
      <c r="BI1472" s="2">
        <v>9.1999999999999993</v>
      </c>
      <c r="BJ1472" s="2">
        <v>18.3</v>
      </c>
      <c r="BK1472" s="2">
        <v>0.34</v>
      </c>
      <c r="BL1472" s="2">
        <v>7.3</v>
      </c>
      <c r="BM1472" s="2">
        <v>0.9</v>
      </c>
      <c r="BN1472" s="2">
        <v>7.5</v>
      </c>
      <c r="BO1472" s="2">
        <v>2.9</v>
      </c>
      <c r="BP1472" s="2">
        <f t="shared" si="44"/>
        <v>2.2601111153345883</v>
      </c>
      <c r="BQ1472" s="2">
        <f t="shared" si="45"/>
        <v>10.587195828144971</v>
      </c>
    </row>
    <row r="1473" spans="1:69" x14ac:dyDescent="0.2">
      <c r="A1473" s="2" t="s">
        <v>3216</v>
      </c>
      <c r="B1473" s="2" t="s">
        <v>47</v>
      </c>
      <c r="C1473" s="2" t="s">
        <v>1935</v>
      </c>
      <c r="D1473" s="2" t="s">
        <v>49</v>
      </c>
      <c r="E1473" s="2" t="s">
        <v>1430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89</v>
      </c>
      <c r="L1473" s="6" t="s">
        <v>141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3217</v>
      </c>
      <c r="R1473" s="2">
        <v>7317073.1710000001</v>
      </c>
      <c r="S1473" s="2">
        <v>0</v>
      </c>
      <c r="T1473" s="2" t="s">
        <v>83</v>
      </c>
      <c r="U1473" s="2" t="s">
        <v>84</v>
      </c>
      <c r="V1473" s="2" t="s">
        <v>56</v>
      </c>
      <c r="W1473" s="2" t="s">
        <v>83</v>
      </c>
      <c r="X1473" s="2" t="s">
        <v>85</v>
      </c>
      <c r="Y1473" s="2">
        <v>0.98646228181631102</v>
      </c>
      <c r="Z1473" s="2">
        <v>986.46228181631102</v>
      </c>
      <c r="AA1473" s="2">
        <v>4.71035</v>
      </c>
      <c r="AB1473" s="2">
        <v>-74.030416666666696</v>
      </c>
      <c r="AC1473" s="2">
        <v>2570</v>
      </c>
      <c r="AD1473" s="2">
        <v>10</v>
      </c>
      <c r="AE1473" s="2" t="s">
        <v>59</v>
      </c>
      <c r="AF1473" s="2" t="s">
        <v>86</v>
      </c>
      <c r="AG1473" s="2" t="s">
        <v>61</v>
      </c>
      <c r="AH1473" s="2" t="s">
        <v>62</v>
      </c>
      <c r="AI1473" s="2" t="s">
        <v>87</v>
      </c>
      <c r="AJ1473" s="2">
        <v>1.94297270466452</v>
      </c>
      <c r="AK1473" s="2">
        <v>1.25162578336667</v>
      </c>
      <c r="AL1473" s="2">
        <v>0.56071540291885602</v>
      </c>
      <c r="AM1473" s="2">
        <v>5.8532822189509698E-2</v>
      </c>
      <c r="AN1473" s="2">
        <v>4.2836736748288304</v>
      </c>
      <c r="AO1473" s="2">
        <v>0.30253369989555101</v>
      </c>
      <c r="AP1473" s="2">
        <v>0.30253369989555101</v>
      </c>
      <c r="AQ1473" s="2">
        <v>0</v>
      </c>
      <c r="AR1473" s="2">
        <v>0</v>
      </c>
      <c r="AS1473" s="2">
        <v>0</v>
      </c>
      <c r="AT1473" s="2">
        <v>0</v>
      </c>
      <c r="AU1473" s="2">
        <v>2</v>
      </c>
      <c r="AV1473" s="2">
        <v>137</v>
      </c>
      <c r="AW1473" s="2">
        <v>0</v>
      </c>
      <c r="AX1473" s="2">
        <v>0</v>
      </c>
      <c r="AY1473" s="2">
        <v>15.5</v>
      </c>
      <c r="AZ1473" s="2">
        <v>2.4</v>
      </c>
      <c r="BA1473" s="2">
        <v>10.9</v>
      </c>
      <c r="BB1473" s="2">
        <v>564</v>
      </c>
      <c r="BC1473" s="2">
        <v>68</v>
      </c>
      <c r="BD1473" s="2">
        <v>1.5</v>
      </c>
      <c r="BE1473" s="2">
        <v>135</v>
      </c>
      <c r="BF1473" s="2">
        <v>0</v>
      </c>
      <c r="BG1473" s="2">
        <v>162</v>
      </c>
      <c r="BH1473" s="2">
        <v>9.1</v>
      </c>
      <c r="BI1473" s="2">
        <v>9.1999999999999993</v>
      </c>
      <c r="BJ1473" s="2">
        <v>18.3</v>
      </c>
      <c r="BK1473" s="2">
        <v>0.34</v>
      </c>
      <c r="BL1473" s="2">
        <v>7.3</v>
      </c>
      <c r="BM1473" s="2">
        <v>0.9</v>
      </c>
      <c r="BN1473" s="2">
        <v>7.5</v>
      </c>
      <c r="BO1473" s="2">
        <v>2.9</v>
      </c>
      <c r="BP1473" s="2">
        <f t="shared" si="44"/>
        <v>2.2856235017332684</v>
      </c>
      <c r="BQ1473" s="2">
        <f t="shared" si="45"/>
        <v>10.644972281798037</v>
      </c>
    </row>
    <row r="1474" spans="1:69" x14ac:dyDescent="0.2">
      <c r="A1474" s="2" t="s">
        <v>1148</v>
      </c>
      <c r="B1474" s="2" t="s">
        <v>47</v>
      </c>
      <c r="C1474" s="2" t="s">
        <v>48</v>
      </c>
      <c r="D1474" s="2" t="s">
        <v>49</v>
      </c>
      <c r="E1474" s="2" t="s">
        <v>316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89</v>
      </c>
      <c r="L1474" s="6" t="s">
        <v>141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1149</v>
      </c>
      <c r="R1474" s="2">
        <v>5505260.5820000004</v>
      </c>
      <c r="S1474" s="2">
        <v>0</v>
      </c>
      <c r="T1474" s="2" t="s">
        <v>83</v>
      </c>
      <c r="U1474" s="2" t="s">
        <v>84</v>
      </c>
      <c r="V1474" s="2" t="s">
        <v>56</v>
      </c>
      <c r="W1474" s="2" t="s">
        <v>83</v>
      </c>
      <c r="X1474" s="2" t="s">
        <v>85</v>
      </c>
      <c r="Y1474" s="2">
        <v>2.46578309522826</v>
      </c>
      <c r="Z1474" s="2">
        <v>2465.7830952282602</v>
      </c>
      <c r="AA1474" s="2">
        <v>4.71035</v>
      </c>
      <c r="AB1474" s="2">
        <v>-74.030416666666696</v>
      </c>
      <c r="AC1474" s="2">
        <v>2570</v>
      </c>
      <c r="AD1474" s="2">
        <v>10</v>
      </c>
      <c r="AE1474" s="2" t="s">
        <v>59</v>
      </c>
      <c r="AF1474" s="2" t="s">
        <v>86</v>
      </c>
      <c r="AG1474" s="2" t="s">
        <v>61</v>
      </c>
      <c r="AH1474" s="2" t="s">
        <v>62</v>
      </c>
      <c r="AI1474" s="2" t="s">
        <v>87</v>
      </c>
      <c r="AJ1474" s="2">
        <v>0.56327036161380695</v>
      </c>
      <c r="AK1474" s="2">
        <v>2.7508923927187401</v>
      </c>
      <c r="AL1474" s="2">
        <v>0.86350527687336698</v>
      </c>
      <c r="AM1474" s="2">
        <v>7.1420402985399006E-2</v>
      </c>
      <c r="AN1474" s="2">
        <v>4.5925734681386698</v>
      </c>
      <c r="AO1474" s="2">
        <v>0.103944048723079</v>
      </c>
      <c r="AP1474" s="2">
        <v>0.103944048723079</v>
      </c>
      <c r="AQ1474" s="2">
        <v>0</v>
      </c>
      <c r="AR1474" s="2">
        <v>2</v>
      </c>
      <c r="AS1474" s="2">
        <v>0</v>
      </c>
      <c r="AT1474" s="2">
        <v>0</v>
      </c>
      <c r="AU1474" s="2">
        <v>1</v>
      </c>
      <c r="AV1474" s="2">
        <v>181</v>
      </c>
      <c r="AW1474" s="2">
        <v>0</v>
      </c>
      <c r="AX1474" s="2">
        <v>0</v>
      </c>
      <c r="AY1474" s="2">
        <v>15.5</v>
      </c>
      <c r="AZ1474" s="2">
        <v>2.4</v>
      </c>
      <c r="BA1474" s="2">
        <v>10.9</v>
      </c>
      <c r="BB1474" s="2">
        <v>564</v>
      </c>
      <c r="BC1474" s="2">
        <v>68</v>
      </c>
      <c r="BD1474" s="2">
        <v>1.5</v>
      </c>
      <c r="BE1474" s="2">
        <v>135</v>
      </c>
      <c r="BF1474" s="2">
        <v>0</v>
      </c>
      <c r="BG1474" s="2">
        <v>162</v>
      </c>
      <c r="BH1474" s="2">
        <v>9.1</v>
      </c>
      <c r="BI1474" s="2">
        <v>9.1999999999999993</v>
      </c>
      <c r="BJ1474" s="2">
        <v>18.3</v>
      </c>
      <c r="BK1474" s="2">
        <v>0.34</v>
      </c>
      <c r="BL1474" s="2">
        <v>7.3</v>
      </c>
      <c r="BM1474" s="2">
        <v>0.9</v>
      </c>
      <c r="BN1474" s="2">
        <v>7.5</v>
      </c>
      <c r="BO1474" s="2">
        <v>2.9</v>
      </c>
      <c r="BP1474" s="2">
        <f t="shared" ref="BP1474:BP1537" si="46">+AZ1474*EXP(-0.0495*Y1474)</f>
        <v>2.124236564668057</v>
      </c>
      <c r="BQ1474" s="2">
        <f t="shared" ref="BQ1474:BQ1537" si="47">+BA1474*EXP(-0.024*Y1474)</f>
        <v>10.273666746686196</v>
      </c>
    </row>
    <row r="1475" spans="1:69" x14ac:dyDescent="0.2">
      <c r="A1475" s="2" t="s">
        <v>1930</v>
      </c>
      <c r="B1475" s="2" t="s">
        <v>47</v>
      </c>
      <c r="C1475" s="2" t="s">
        <v>48</v>
      </c>
      <c r="D1475" s="2" t="s">
        <v>49</v>
      </c>
      <c r="E1475" s="2" t="s">
        <v>189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89</v>
      </c>
      <c r="L1475" s="6" t="s">
        <v>141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1931</v>
      </c>
      <c r="R1475" s="2">
        <v>5795918.3669999996</v>
      </c>
      <c r="S1475" s="2">
        <v>0</v>
      </c>
      <c r="T1475" s="2" t="s">
        <v>83</v>
      </c>
      <c r="U1475" s="2" t="s">
        <v>84</v>
      </c>
      <c r="V1475" s="2" t="s">
        <v>56</v>
      </c>
      <c r="W1475" s="2" t="s">
        <v>83</v>
      </c>
      <c r="X1475" s="2" t="s">
        <v>85</v>
      </c>
      <c r="Y1475" s="2">
        <v>2.7104602572354901</v>
      </c>
      <c r="Z1475" s="2">
        <v>2710.4602572354902</v>
      </c>
      <c r="AA1475" s="2">
        <v>4.71035</v>
      </c>
      <c r="AB1475" s="2">
        <v>-74.030416666666696</v>
      </c>
      <c r="AC1475" s="2">
        <v>2570</v>
      </c>
      <c r="AD1475" s="2">
        <v>10</v>
      </c>
      <c r="AE1475" s="2" t="s">
        <v>59</v>
      </c>
      <c r="AF1475" s="2" t="s">
        <v>86</v>
      </c>
      <c r="AG1475" s="2" t="s">
        <v>61</v>
      </c>
      <c r="AH1475" s="2" t="s">
        <v>62</v>
      </c>
      <c r="AI1475" s="2" t="s">
        <v>87</v>
      </c>
      <c r="AJ1475" s="2">
        <v>0.51196871122381304</v>
      </c>
      <c r="AK1475" s="2">
        <v>2.5945105506982</v>
      </c>
      <c r="AL1475" s="2">
        <v>0.42183633322514502</v>
      </c>
      <c r="AM1475" s="2">
        <v>4.4003328912310402E-2</v>
      </c>
      <c r="AN1475" s="2">
        <v>4.2884825995330997</v>
      </c>
      <c r="AO1475" s="2">
        <v>0.21410480902725099</v>
      </c>
      <c r="AP1475" s="2">
        <v>0.21410480902725099</v>
      </c>
      <c r="AQ1475" s="2">
        <v>0</v>
      </c>
      <c r="AR1475" s="2">
        <v>3</v>
      </c>
      <c r="AS1475" s="2">
        <v>0</v>
      </c>
      <c r="AT1475" s="2">
        <v>0</v>
      </c>
      <c r="AU1475" s="2">
        <v>3</v>
      </c>
      <c r="AV1475" s="2">
        <v>158</v>
      </c>
      <c r="AW1475" s="2">
        <v>0</v>
      </c>
      <c r="AX1475" s="2">
        <v>0</v>
      </c>
      <c r="AY1475" s="2">
        <v>15.5</v>
      </c>
      <c r="AZ1475" s="2">
        <v>2.4</v>
      </c>
      <c r="BA1475" s="2">
        <v>10.9</v>
      </c>
      <c r="BB1475" s="2">
        <v>564</v>
      </c>
      <c r="BC1475" s="2">
        <v>68</v>
      </c>
      <c r="BD1475" s="2">
        <v>1.5</v>
      </c>
      <c r="BE1475" s="2">
        <v>135</v>
      </c>
      <c r="BF1475" s="2">
        <v>0</v>
      </c>
      <c r="BG1475" s="2">
        <v>162</v>
      </c>
      <c r="BH1475" s="2">
        <v>9.1</v>
      </c>
      <c r="BI1475" s="2">
        <v>9.1999999999999993</v>
      </c>
      <c r="BJ1475" s="2">
        <v>18.3</v>
      </c>
      <c r="BK1475" s="2">
        <v>0.34</v>
      </c>
      <c r="BL1475" s="2">
        <v>7.3</v>
      </c>
      <c r="BM1475" s="2">
        <v>0.9</v>
      </c>
      <c r="BN1475" s="2">
        <v>7.5</v>
      </c>
      <c r="BO1475" s="2">
        <v>2.9</v>
      </c>
      <c r="BP1475" s="2">
        <f t="shared" si="46"/>
        <v>2.0986640059236645</v>
      </c>
      <c r="BQ1475" s="2">
        <f t="shared" si="47"/>
        <v>10.213513976698685</v>
      </c>
    </row>
    <row r="1476" spans="1:69" x14ac:dyDescent="0.2">
      <c r="A1476" s="2" t="s">
        <v>2326</v>
      </c>
      <c r="B1476" s="2" t="s">
        <v>47</v>
      </c>
      <c r="C1476" s="2" t="s">
        <v>1935</v>
      </c>
      <c r="D1476" s="2" t="s">
        <v>49</v>
      </c>
      <c r="E1476" s="2" t="s">
        <v>1628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89</v>
      </c>
      <c r="L1476" s="6" t="s">
        <v>141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2327</v>
      </c>
      <c r="R1476" s="2">
        <v>5918367.3470000001</v>
      </c>
      <c r="S1476" s="2">
        <v>0</v>
      </c>
      <c r="T1476" s="2" t="s">
        <v>83</v>
      </c>
      <c r="U1476" s="2" t="s">
        <v>84</v>
      </c>
      <c r="V1476" s="2" t="s">
        <v>56</v>
      </c>
      <c r="W1476" s="2" t="s">
        <v>83</v>
      </c>
      <c r="X1476" s="2" t="s">
        <v>85</v>
      </c>
      <c r="Y1476" s="2">
        <v>2.4795383871114201</v>
      </c>
      <c r="Z1476" s="2">
        <v>2479.53838711142</v>
      </c>
      <c r="AA1476" s="2">
        <v>4.71035</v>
      </c>
      <c r="AB1476" s="2">
        <v>-74.030416666666696</v>
      </c>
      <c r="AC1476" s="2">
        <v>2570</v>
      </c>
      <c r="AD1476" s="2">
        <v>10</v>
      </c>
      <c r="AE1476" s="2" t="s">
        <v>59</v>
      </c>
      <c r="AF1476" s="2" t="s">
        <v>86</v>
      </c>
      <c r="AG1476" s="2" t="s">
        <v>61</v>
      </c>
      <c r="AH1476" s="2" t="s">
        <v>62</v>
      </c>
      <c r="AI1476" s="2" t="s">
        <v>87</v>
      </c>
      <c r="AJ1476" s="2">
        <v>1.61433197630134</v>
      </c>
      <c r="AK1476" s="2">
        <v>1.5050327990756101</v>
      </c>
      <c r="AL1476" s="2">
        <v>0.93024097060793798</v>
      </c>
      <c r="AM1476" s="2">
        <v>0.18618723043824301</v>
      </c>
      <c r="AN1476" s="2">
        <v>4.8437622599676899</v>
      </c>
      <c r="AO1476" s="2">
        <v>0.26848533996526702</v>
      </c>
      <c r="AP1476" s="2">
        <v>0.26848533996526702</v>
      </c>
      <c r="AQ1476" s="2">
        <v>0</v>
      </c>
      <c r="AR1476" s="2">
        <v>0</v>
      </c>
      <c r="AS1476" s="2">
        <v>0</v>
      </c>
      <c r="AT1476" s="2">
        <v>0</v>
      </c>
      <c r="AU1476" s="2">
        <v>1</v>
      </c>
      <c r="AV1476" s="2">
        <v>100</v>
      </c>
      <c r="AW1476" s="2">
        <v>0</v>
      </c>
      <c r="AX1476" s="2">
        <v>0</v>
      </c>
      <c r="AY1476" s="2">
        <v>15.5</v>
      </c>
      <c r="AZ1476" s="2">
        <v>2.4</v>
      </c>
      <c r="BA1476" s="2">
        <v>10.9</v>
      </c>
      <c r="BB1476" s="2">
        <v>564</v>
      </c>
      <c r="BC1476" s="2">
        <v>68</v>
      </c>
      <c r="BD1476" s="2">
        <v>1.5</v>
      </c>
      <c r="BE1476" s="2">
        <v>135</v>
      </c>
      <c r="BF1476" s="2">
        <v>0</v>
      </c>
      <c r="BG1476" s="2">
        <v>162</v>
      </c>
      <c r="BH1476" s="2">
        <v>9.1</v>
      </c>
      <c r="BI1476" s="2">
        <v>9.1999999999999993</v>
      </c>
      <c r="BJ1476" s="2">
        <v>18.3</v>
      </c>
      <c r="BK1476" s="2">
        <v>0.34</v>
      </c>
      <c r="BL1476" s="2">
        <v>7.3</v>
      </c>
      <c r="BM1476" s="2">
        <v>0.9</v>
      </c>
      <c r="BN1476" s="2">
        <v>7.5</v>
      </c>
      <c r="BO1476" s="2">
        <v>2.9</v>
      </c>
      <c r="BP1476" s="2">
        <f t="shared" si="46"/>
        <v>2.1227906920100206</v>
      </c>
      <c r="BQ1476" s="2">
        <f t="shared" si="47"/>
        <v>10.270275691620956</v>
      </c>
    </row>
    <row r="1477" spans="1:69" x14ac:dyDescent="0.2">
      <c r="A1477" s="2" t="s">
        <v>3109</v>
      </c>
      <c r="B1477" s="2" t="s">
        <v>47</v>
      </c>
      <c r="C1477" s="2" t="s">
        <v>1935</v>
      </c>
      <c r="D1477" s="2" t="s">
        <v>49</v>
      </c>
      <c r="E1477" s="2" t="s">
        <v>111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89</v>
      </c>
      <c r="L1477" s="6" t="s">
        <v>112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3110</v>
      </c>
      <c r="R1477" s="2">
        <v>10699588.48</v>
      </c>
      <c r="S1477" s="2">
        <v>0</v>
      </c>
      <c r="T1477" s="2" t="s">
        <v>83</v>
      </c>
      <c r="U1477" s="2" t="s">
        <v>84</v>
      </c>
      <c r="V1477" s="2" t="s">
        <v>56</v>
      </c>
      <c r="W1477" s="2" t="s">
        <v>83</v>
      </c>
      <c r="X1477" s="2" t="s">
        <v>85</v>
      </c>
      <c r="Y1477" s="2">
        <v>3.97967216988993</v>
      </c>
      <c r="Z1477" s="2">
        <v>3979.67216988993</v>
      </c>
      <c r="AA1477" s="2">
        <v>4.71035</v>
      </c>
      <c r="AB1477" s="2">
        <v>-74.030416666666696</v>
      </c>
      <c r="AC1477" s="2">
        <v>2570</v>
      </c>
      <c r="AD1477" s="2">
        <v>10</v>
      </c>
      <c r="AE1477" s="2" t="s">
        <v>59</v>
      </c>
      <c r="AF1477" s="2" t="s">
        <v>86</v>
      </c>
      <c r="AG1477" s="2" t="s">
        <v>61</v>
      </c>
      <c r="AH1477" s="2" t="s">
        <v>62</v>
      </c>
      <c r="AI1477" s="2" t="s">
        <v>109</v>
      </c>
      <c r="AJ1477" s="2">
        <v>1.7342218273502901</v>
      </c>
      <c r="AK1477" s="2">
        <v>0.54708408241155504</v>
      </c>
      <c r="AL1477" s="2">
        <v>0.75313841696607498</v>
      </c>
      <c r="AM1477" s="2">
        <v>0.21106395606712</v>
      </c>
      <c r="AN1477" s="2">
        <v>4.25168366883491</v>
      </c>
      <c r="AO1477" s="2">
        <v>1.1841485198716799</v>
      </c>
      <c r="AP1477" s="2">
        <v>1.1841485198716799</v>
      </c>
      <c r="AQ1477" s="2">
        <v>0</v>
      </c>
      <c r="AR1477" s="2">
        <v>0</v>
      </c>
      <c r="AS1477" s="2">
        <v>0</v>
      </c>
      <c r="AT1477" s="2">
        <v>16</v>
      </c>
      <c r="AU1477" s="2">
        <v>3</v>
      </c>
      <c r="AV1477" s="2">
        <v>76</v>
      </c>
      <c r="AW1477" s="2">
        <v>0</v>
      </c>
      <c r="AX1477" s="2">
        <v>0</v>
      </c>
      <c r="AY1477" s="2">
        <v>15.5</v>
      </c>
      <c r="AZ1477" s="2">
        <v>2.4</v>
      </c>
      <c r="BA1477" s="2">
        <v>10.9</v>
      </c>
      <c r="BB1477" s="2">
        <v>564</v>
      </c>
      <c r="BC1477" s="2">
        <v>68</v>
      </c>
      <c r="BD1477" s="2">
        <v>1.5</v>
      </c>
      <c r="BE1477" s="2">
        <v>135</v>
      </c>
      <c r="BF1477" s="2">
        <v>0</v>
      </c>
      <c r="BG1477" s="2">
        <v>162</v>
      </c>
      <c r="BH1477" s="2">
        <v>9.1</v>
      </c>
      <c r="BI1477" s="2">
        <v>9.1999999999999993</v>
      </c>
      <c r="BJ1477" s="2">
        <v>18.3</v>
      </c>
      <c r="BK1477" s="2">
        <v>0.34</v>
      </c>
      <c r="BL1477" s="2">
        <v>7.3</v>
      </c>
      <c r="BM1477" s="2">
        <v>0.9</v>
      </c>
      <c r="BN1477" s="2">
        <v>7.5</v>
      </c>
      <c r="BO1477" s="2">
        <v>2.9</v>
      </c>
      <c r="BP1477" s="2">
        <f t="shared" si="46"/>
        <v>1.9708697936820634</v>
      </c>
      <c r="BQ1477" s="2">
        <f t="shared" si="47"/>
        <v>9.9070899477142724</v>
      </c>
    </row>
    <row r="1478" spans="1:69" x14ac:dyDescent="0.2">
      <c r="A1478" s="2" t="s">
        <v>2833</v>
      </c>
      <c r="B1478" s="2" t="s">
        <v>47</v>
      </c>
      <c r="C1478" s="2" t="s">
        <v>1935</v>
      </c>
      <c r="D1478" s="2" t="s">
        <v>49</v>
      </c>
      <c r="E1478" s="2" t="s">
        <v>52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89</v>
      </c>
      <c r="L1478" s="6" t="s">
        <v>141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2834</v>
      </c>
      <c r="R1478" s="2">
        <v>5761316.8720000004</v>
      </c>
      <c r="S1478" s="2">
        <v>0</v>
      </c>
      <c r="T1478" s="2" t="s">
        <v>83</v>
      </c>
      <c r="U1478" s="2" t="s">
        <v>84</v>
      </c>
      <c r="V1478" s="2" t="s">
        <v>56</v>
      </c>
      <c r="W1478" s="2" t="s">
        <v>83</v>
      </c>
      <c r="X1478" s="2" t="s">
        <v>85</v>
      </c>
      <c r="Y1478" s="2">
        <v>3.9458771150774501</v>
      </c>
      <c r="Z1478" s="2">
        <v>3945.8771150774501</v>
      </c>
      <c r="AA1478" s="2">
        <v>4.71035</v>
      </c>
      <c r="AB1478" s="2">
        <v>-74.030416666666696</v>
      </c>
      <c r="AC1478" s="2">
        <v>2570</v>
      </c>
      <c r="AD1478" s="2">
        <v>10</v>
      </c>
      <c r="AE1478" s="2" t="s">
        <v>59</v>
      </c>
      <c r="AF1478" s="2" t="s">
        <v>86</v>
      </c>
      <c r="AG1478" s="2" t="s">
        <v>61</v>
      </c>
      <c r="AH1478" s="2" t="s">
        <v>62</v>
      </c>
      <c r="AI1478" s="2" t="s">
        <v>100</v>
      </c>
      <c r="AJ1478" s="2">
        <v>0.49635896827342002</v>
      </c>
      <c r="AK1478" s="2">
        <v>2.8434995200358602</v>
      </c>
      <c r="AL1478" s="2">
        <v>0.88695057031525204</v>
      </c>
      <c r="AM1478" s="2">
        <v>0.102473749513622</v>
      </c>
      <c r="AN1478" s="2">
        <v>3.0542235246240401</v>
      </c>
      <c r="AO1478" s="2">
        <v>0.20696907203102399</v>
      </c>
      <c r="AP1478" s="2">
        <v>0.20696907203102399</v>
      </c>
      <c r="AQ1478" s="2">
        <v>1</v>
      </c>
      <c r="AR1478" s="2">
        <v>5</v>
      </c>
      <c r="AS1478" s="2">
        <v>0</v>
      </c>
      <c r="AT1478" s="2">
        <v>0</v>
      </c>
      <c r="AU1478" s="2">
        <v>3</v>
      </c>
      <c r="AV1478" s="2">
        <v>197</v>
      </c>
      <c r="AW1478" s="2">
        <v>0</v>
      </c>
      <c r="AX1478" s="2">
        <v>0</v>
      </c>
      <c r="AY1478" s="2">
        <v>15.5</v>
      </c>
      <c r="AZ1478" s="2">
        <v>2.4</v>
      </c>
      <c r="BA1478" s="2">
        <v>10.9</v>
      </c>
      <c r="BB1478" s="2">
        <v>564</v>
      </c>
      <c r="BC1478" s="2">
        <v>68</v>
      </c>
      <c r="BD1478" s="2">
        <v>1.5</v>
      </c>
      <c r="BE1478" s="2">
        <v>135</v>
      </c>
      <c r="BF1478" s="2">
        <v>0</v>
      </c>
      <c r="BG1478" s="2">
        <v>162</v>
      </c>
      <c r="BH1478" s="2">
        <v>9.1</v>
      </c>
      <c r="BI1478" s="2">
        <v>9.1999999999999993</v>
      </c>
      <c r="BJ1478" s="2">
        <v>18.3</v>
      </c>
      <c r="BK1478" s="2">
        <v>0.34</v>
      </c>
      <c r="BL1478" s="2">
        <v>7.3</v>
      </c>
      <c r="BM1478" s="2">
        <v>0.9</v>
      </c>
      <c r="BN1478" s="2">
        <v>7.5</v>
      </c>
      <c r="BO1478" s="2">
        <v>2.9</v>
      </c>
      <c r="BP1478" s="2">
        <f t="shared" si="46"/>
        <v>1.9741695327143074</v>
      </c>
      <c r="BQ1478" s="2">
        <f t="shared" si="47"/>
        <v>9.9151286628469695</v>
      </c>
    </row>
    <row r="1479" spans="1:69" x14ac:dyDescent="0.2">
      <c r="A1479" s="2" t="s">
        <v>2210</v>
      </c>
      <c r="B1479" s="2" t="s">
        <v>47</v>
      </c>
      <c r="C1479" s="2" t="s">
        <v>1935</v>
      </c>
      <c r="D1479" s="2" t="s">
        <v>49</v>
      </c>
      <c r="E1479" s="2" t="s">
        <v>989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89</v>
      </c>
      <c r="L1479" s="6" t="s">
        <v>141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2211</v>
      </c>
      <c r="R1479" s="2">
        <v>5761316.8720000004</v>
      </c>
      <c r="S1479" s="2">
        <v>0</v>
      </c>
      <c r="T1479" s="2" t="s">
        <v>83</v>
      </c>
      <c r="U1479" s="2" t="s">
        <v>84</v>
      </c>
      <c r="V1479" s="2" t="s">
        <v>56</v>
      </c>
      <c r="W1479" s="2" t="s">
        <v>83</v>
      </c>
      <c r="X1479" s="2" t="s">
        <v>85</v>
      </c>
      <c r="Y1479" s="2">
        <v>3.8893844042357002</v>
      </c>
      <c r="Z1479" s="2">
        <v>3889.3844042357</v>
      </c>
      <c r="AA1479" s="2">
        <v>4.71035</v>
      </c>
      <c r="AB1479" s="2">
        <v>-74.030416666666696</v>
      </c>
      <c r="AC1479" s="2">
        <v>2570</v>
      </c>
      <c r="AD1479" s="2">
        <v>10</v>
      </c>
      <c r="AE1479" s="2" t="s">
        <v>59</v>
      </c>
      <c r="AF1479" s="2" t="s">
        <v>86</v>
      </c>
      <c r="AG1479" s="2" t="s">
        <v>61</v>
      </c>
      <c r="AH1479" s="2" t="s">
        <v>62</v>
      </c>
      <c r="AI1479" s="2" t="s">
        <v>100</v>
      </c>
      <c r="AJ1479" s="2">
        <v>0.47162004336454599</v>
      </c>
      <c r="AK1479" s="2">
        <v>3.0560358401364001</v>
      </c>
      <c r="AL1479" s="2">
        <v>1.09755624151464</v>
      </c>
      <c r="AM1479" s="2">
        <v>0.20084159389807499</v>
      </c>
      <c r="AN1479" s="2">
        <v>3.1312275545049899</v>
      </c>
      <c r="AO1479" s="2">
        <v>8.1796081471594506E-2</v>
      </c>
      <c r="AP1479" s="2">
        <v>8.1796081471594506E-2</v>
      </c>
      <c r="AQ1479" s="2">
        <v>1</v>
      </c>
      <c r="AR1479" s="2">
        <v>6</v>
      </c>
      <c r="AS1479" s="2">
        <v>0</v>
      </c>
      <c r="AT1479" s="2">
        <v>0</v>
      </c>
      <c r="AU1479" s="2">
        <v>0</v>
      </c>
      <c r="AV1479" s="2">
        <v>149</v>
      </c>
      <c r="AW1479" s="2">
        <v>0</v>
      </c>
      <c r="AX1479" s="2">
        <v>0</v>
      </c>
      <c r="AY1479" s="2">
        <v>15.5</v>
      </c>
      <c r="AZ1479" s="2">
        <v>2.4</v>
      </c>
      <c r="BA1479" s="2">
        <v>10.9</v>
      </c>
      <c r="BB1479" s="2">
        <v>564</v>
      </c>
      <c r="BC1479" s="2">
        <v>68</v>
      </c>
      <c r="BD1479" s="2">
        <v>1.5</v>
      </c>
      <c r="BE1479" s="2">
        <v>135</v>
      </c>
      <c r="BF1479" s="2">
        <v>0</v>
      </c>
      <c r="BG1479" s="2">
        <v>162</v>
      </c>
      <c r="BH1479" s="2">
        <v>9.1</v>
      </c>
      <c r="BI1479" s="2">
        <v>9.1999999999999993</v>
      </c>
      <c r="BJ1479" s="2">
        <v>18.3</v>
      </c>
      <c r="BK1479" s="2">
        <v>0.34</v>
      </c>
      <c r="BL1479" s="2">
        <v>7.3</v>
      </c>
      <c r="BM1479" s="2">
        <v>0.9</v>
      </c>
      <c r="BN1479" s="2">
        <v>7.5</v>
      </c>
      <c r="BO1479" s="2">
        <v>2.9</v>
      </c>
      <c r="BP1479" s="2">
        <f t="shared" si="46"/>
        <v>1.9796978050462268</v>
      </c>
      <c r="BQ1479" s="2">
        <f t="shared" si="47"/>
        <v>9.9285809601833712</v>
      </c>
    </row>
    <row r="1480" spans="1:69" x14ac:dyDescent="0.2">
      <c r="A1480" s="2" t="s">
        <v>1658</v>
      </c>
      <c r="B1480" s="2" t="s">
        <v>47</v>
      </c>
      <c r="C1480" s="2" t="s">
        <v>48</v>
      </c>
      <c r="D1480" s="2" t="s">
        <v>49</v>
      </c>
      <c r="E1480" s="2" t="s">
        <v>727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89</v>
      </c>
      <c r="L1480" s="6" t="s">
        <v>141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1659</v>
      </c>
      <c r="R1480" s="2">
        <v>6543209.8770000003</v>
      </c>
      <c r="S1480" s="2">
        <v>0</v>
      </c>
      <c r="T1480" s="2" t="s">
        <v>83</v>
      </c>
      <c r="U1480" s="2" t="s">
        <v>84</v>
      </c>
      <c r="V1480" s="2" t="s">
        <v>56</v>
      </c>
      <c r="W1480" s="2" t="s">
        <v>83</v>
      </c>
      <c r="X1480" s="2" t="s">
        <v>85</v>
      </c>
      <c r="Y1480" s="2">
        <v>2.6196519593985399</v>
      </c>
      <c r="Z1480" s="2">
        <v>2619.6519593985399</v>
      </c>
      <c r="AA1480" s="2">
        <v>4.71035</v>
      </c>
      <c r="AB1480" s="2">
        <v>-74.030416666666696</v>
      </c>
      <c r="AC1480" s="2">
        <v>2570</v>
      </c>
      <c r="AD1480" s="2">
        <v>10</v>
      </c>
      <c r="AE1480" s="2" t="s">
        <v>59</v>
      </c>
      <c r="AF1480" s="2" t="s">
        <v>86</v>
      </c>
      <c r="AG1480" s="2" t="s">
        <v>61</v>
      </c>
      <c r="AH1480" s="2" t="s">
        <v>62</v>
      </c>
      <c r="AI1480" s="2" t="s">
        <v>87</v>
      </c>
      <c r="AJ1480" s="2">
        <v>1.70376037887944</v>
      </c>
      <c r="AK1480" s="2">
        <v>1.3095433689787701</v>
      </c>
      <c r="AL1480" s="2">
        <v>0.80668120654236797</v>
      </c>
      <c r="AM1480" s="2">
        <v>0.27622233024015003</v>
      </c>
      <c r="AN1480" s="2">
        <v>4.8245834450122098</v>
      </c>
      <c r="AO1480" s="2">
        <v>0.13529973633468001</v>
      </c>
      <c r="AP1480" s="2">
        <v>0.13529973633468001</v>
      </c>
      <c r="AQ1480" s="2">
        <v>0</v>
      </c>
      <c r="AR1480" s="2">
        <v>0</v>
      </c>
      <c r="AS1480" s="2">
        <v>0</v>
      </c>
      <c r="AT1480" s="2">
        <v>0</v>
      </c>
      <c r="AU1480" s="2">
        <v>3</v>
      </c>
      <c r="AV1480" s="2">
        <v>94</v>
      </c>
      <c r="AW1480" s="2">
        <v>0</v>
      </c>
      <c r="AX1480" s="2">
        <v>0</v>
      </c>
      <c r="AY1480" s="2">
        <v>15.5</v>
      </c>
      <c r="AZ1480" s="2">
        <v>2.4</v>
      </c>
      <c r="BA1480" s="2">
        <v>10.9</v>
      </c>
      <c r="BB1480" s="2">
        <v>564</v>
      </c>
      <c r="BC1480" s="2">
        <v>68</v>
      </c>
      <c r="BD1480" s="2">
        <v>1.5</v>
      </c>
      <c r="BE1480" s="2">
        <v>135</v>
      </c>
      <c r="BF1480" s="2">
        <v>0</v>
      </c>
      <c r="BG1480" s="2">
        <v>162</v>
      </c>
      <c r="BH1480" s="2">
        <v>9.1</v>
      </c>
      <c r="BI1480" s="2">
        <v>9.1999999999999993</v>
      </c>
      <c r="BJ1480" s="2">
        <v>18.3</v>
      </c>
      <c r="BK1480" s="2">
        <v>0.34</v>
      </c>
      <c r="BL1480" s="2">
        <v>7.3</v>
      </c>
      <c r="BM1480" s="2">
        <v>0.9</v>
      </c>
      <c r="BN1480" s="2">
        <v>7.5</v>
      </c>
      <c r="BO1480" s="2">
        <v>2.9</v>
      </c>
      <c r="BP1480" s="2">
        <f t="shared" si="46"/>
        <v>2.1081187568600783</v>
      </c>
      <c r="BQ1480" s="2">
        <f t="shared" si="47"/>
        <v>10.23579757396474</v>
      </c>
    </row>
    <row r="1481" spans="1:69" x14ac:dyDescent="0.2">
      <c r="A1481" s="2" t="s">
        <v>2622</v>
      </c>
      <c r="B1481" s="2" t="s">
        <v>47</v>
      </c>
      <c r="C1481" s="2" t="s">
        <v>1935</v>
      </c>
      <c r="D1481" s="2" t="s">
        <v>49</v>
      </c>
      <c r="E1481" s="2" t="s">
        <v>541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89</v>
      </c>
      <c r="L1481" s="6" t="s">
        <v>103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2623</v>
      </c>
      <c r="R1481" s="2">
        <v>14403292.18</v>
      </c>
      <c r="S1481" s="2">
        <v>0</v>
      </c>
      <c r="T1481" s="2" t="s">
        <v>83</v>
      </c>
      <c r="U1481" s="2" t="s">
        <v>84</v>
      </c>
      <c r="V1481" s="2" t="s">
        <v>56</v>
      </c>
      <c r="W1481" s="2" t="s">
        <v>83</v>
      </c>
      <c r="X1481" s="2" t="s">
        <v>85</v>
      </c>
      <c r="Y1481" s="2">
        <v>2.2303613347340798</v>
      </c>
      <c r="Z1481" s="2">
        <v>2230.3613347340802</v>
      </c>
      <c r="AA1481" s="2">
        <v>4.71035</v>
      </c>
      <c r="AB1481" s="2">
        <v>-74.030416666666696</v>
      </c>
      <c r="AC1481" s="2">
        <v>2570</v>
      </c>
      <c r="AD1481" s="2">
        <v>10</v>
      </c>
      <c r="AE1481" s="2" t="s">
        <v>59</v>
      </c>
      <c r="AF1481" s="2" t="s">
        <v>86</v>
      </c>
      <c r="AG1481" s="2" t="s">
        <v>61</v>
      </c>
      <c r="AH1481" s="2" t="s">
        <v>62</v>
      </c>
      <c r="AI1481" s="2" t="s">
        <v>87</v>
      </c>
      <c r="AJ1481" s="2">
        <v>2.6218672110346901</v>
      </c>
      <c r="AK1481" s="2">
        <v>0.66689196248113802</v>
      </c>
      <c r="AL1481" s="2">
        <v>0.552205425385769</v>
      </c>
      <c r="AM1481" s="2">
        <v>0.10742946635864099</v>
      </c>
      <c r="AN1481" s="2">
        <v>5.68501648737025</v>
      </c>
      <c r="AO1481" s="2">
        <v>0.67177370907188505</v>
      </c>
      <c r="AP1481" s="2">
        <v>0.67177370907188505</v>
      </c>
      <c r="AQ1481" s="2">
        <v>0</v>
      </c>
      <c r="AR1481" s="2">
        <v>0</v>
      </c>
      <c r="AS1481" s="2">
        <v>0</v>
      </c>
      <c r="AT1481" s="2">
        <v>14</v>
      </c>
      <c r="AU1481" s="2">
        <v>1</v>
      </c>
      <c r="AV1481" s="2">
        <v>90</v>
      </c>
      <c r="AW1481" s="2">
        <v>0</v>
      </c>
      <c r="AX1481" s="2">
        <v>0</v>
      </c>
      <c r="AY1481" s="2">
        <v>15.5</v>
      </c>
      <c r="AZ1481" s="2">
        <v>2.4</v>
      </c>
      <c r="BA1481" s="2">
        <v>10.9</v>
      </c>
      <c r="BB1481" s="2">
        <v>564</v>
      </c>
      <c r="BC1481" s="2">
        <v>68</v>
      </c>
      <c r="BD1481" s="2">
        <v>1.5</v>
      </c>
      <c r="BE1481" s="2">
        <v>135</v>
      </c>
      <c r="BF1481" s="2">
        <v>0</v>
      </c>
      <c r="BG1481" s="2">
        <v>162</v>
      </c>
      <c r="BH1481" s="2">
        <v>9.1</v>
      </c>
      <c r="BI1481" s="2">
        <v>9.1999999999999993</v>
      </c>
      <c r="BJ1481" s="2">
        <v>18.3</v>
      </c>
      <c r="BK1481" s="2">
        <v>0.34</v>
      </c>
      <c r="BL1481" s="2">
        <v>7.3</v>
      </c>
      <c r="BM1481" s="2">
        <v>0.9</v>
      </c>
      <c r="BN1481" s="2">
        <v>7.5</v>
      </c>
      <c r="BO1481" s="2">
        <v>2.9</v>
      </c>
      <c r="BP1481" s="2">
        <f t="shared" si="46"/>
        <v>2.1491358933548526</v>
      </c>
      <c r="BQ1481" s="2">
        <f t="shared" si="47"/>
        <v>10.331878516726404</v>
      </c>
    </row>
    <row r="1482" spans="1:69" x14ac:dyDescent="0.2">
      <c r="A1482" s="2" t="s">
        <v>2231</v>
      </c>
      <c r="B1482" s="2" t="s">
        <v>47</v>
      </c>
      <c r="C1482" s="2" t="s">
        <v>1935</v>
      </c>
      <c r="D1482" s="2" t="s">
        <v>49</v>
      </c>
      <c r="E1482" s="2" t="s">
        <v>2232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89</v>
      </c>
      <c r="L1482" s="6" t="s">
        <v>141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2233</v>
      </c>
      <c r="R1482" s="2">
        <v>9810387.4690000005</v>
      </c>
      <c r="S1482" s="2">
        <v>0</v>
      </c>
      <c r="T1482" s="2" t="s">
        <v>83</v>
      </c>
      <c r="U1482" s="2" t="s">
        <v>84</v>
      </c>
      <c r="V1482" s="2" t="s">
        <v>56</v>
      </c>
      <c r="W1482" s="2" t="s">
        <v>83</v>
      </c>
      <c r="X1482" s="2" t="s">
        <v>85</v>
      </c>
      <c r="Y1482" s="2">
        <v>1.90779398198029</v>
      </c>
      <c r="Z1482" s="2">
        <v>1907.79398198029</v>
      </c>
      <c r="AA1482" s="2">
        <v>4.71035</v>
      </c>
      <c r="AB1482" s="2">
        <v>-74.030416666666696</v>
      </c>
      <c r="AC1482" s="2">
        <v>2570</v>
      </c>
      <c r="AD1482" s="2">
        <v>10</v>
      </c>
      <c r="AE1482" s="2" t="s">
        <v>59</v>
      </c>
      <c r="AF1482" s="2" t="s">
        <v>86</v>
      </c>
      <c r="AG1482" s="2" t="s">
        <v>61</v>
      </c>
      <c r="AH1482" s="2" t="s">
        <v>62</v>
      </c>
      <c r="AI1482" s="2" t="s">
        <v>87</v>
      </c>
      <c r="AJ1482" s="2">
        <v>2.8396665860800301</v>
      </c>
      <c r="AK1482" s="2">
        <v>0.363106048068986</v>
      </c>
      <c r="AL1482" s="2">
        <v>1.84779500399083</v>
      </c>
      <c r="AM1482" s="2">
        <v>0.12664854265513001</v>
      </c>
      <c r="AN1482" s="2">
        <v>1.68199336084518</v>
      </c>
      <c r="AO1482" s="2">
        <v>0.57447849300271703</v>
      </c>
      <c r="AP1482" s="2">
        <v>0.57447849300271703</v>
      </c>
      <c r="AQ1482" s="2">
        <v>0</v>
      </c>
      <c r="AR1482" s="2">
        <v>0</v>
      </c>
      <c r="AS1482" s="2">
        <v>12</v>
      </c>
      <c r="AT1482" s="2">
        <v>34</v>
      </c>
      <c r="AU1482" s="2">
        <v>0</v>
      </c>
      <c r="AV1482" s="2">
        <v>7</v>
      </c>
      <c r="AW1482" s="2">
        <v>0</v>
      </c>
      <c r="AX1482" s="2">
        <v>0</v>
      </c>
      <c r="AY1482" s="2">
        <v>15.5</v>
      </c>
      <c r="AZ1482" s="2">
        <v>2.4</v>
      </c>
      <c r="BA1482" s="2">
        <v>10.9</v>
      </c>
      <c r="BB1482" s="2">
        <v>564</v>
      </c>
      <c r="BC1482" s="2">
        <v>68</v>
      </c>
      <c r="BD1482" s="2">
        <v>1.5</v>
      </c>
      <c r="BE1482" s="2">
        <v>135</v>
      </c>
      <c r="BF1482" s="2">
        <v>0</v>
      </c>
      <c r="BG1482" s="2">
        <v>162</v>
      </c>
      <c r="BH1482" s="2">
        <v>9.1</v>
      </c>
      <c r="BI1482" s="2">
        <v>9.1999999999999993</v>
      </c>
      <c r="BJ1482" s="2">
        <v>18.3</v>
      </c>
      <c r="BK1482" s="2">
        <v>0.34</v>
      </c>
      <c r="BL1482" s="2">
        <v>7.3</v>
      </c>
      <c r="BM1482" s="2">
        <v>0.9</v>
      </c>
      <c r="BN1482" s="2">
        <v>7.5</v>
      </c>
      <c r="BO1482" s="2">
        <v>2.9</v>
      </c>
      <c r="BP1482" s="2">
        <f t="shared" si="46"/>
        <v>2.1837267492565493</v>
      </c>
      <c r="BQ1482" s="2">
        <f t="shared" si="47"/>
        <v>10.412174366385058</v>
      </c>
    </row>
    <row r="1483" spans="1:69" x14ac:dyDescent="0.2">
      <c r="A1483" s="2" t="s">
        <v>2775</v>
      </c>
      <c r="B1483" s="2" t="s">
        <v>47</v>
      </c>
      <c r="C1483" s="2" t="s">
        <v>1935</v>
      </c>
      <c r="D1483" s="2" t="s">
        <v>49</v>
      </c>
      <c r="E1483" s="2" t="s">
        <v>192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89</v>
      </c>
      <c r="L1483" s="6" t="s">
        <v>94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2776</v>
      </c>
      <c r="R1483" s="2">
        <v>5991735.5369999995</v>
      </c>
      <c r="S1483" s="2">
        <v>0</v>
      </c>
      <c r="T1483" s="2" t="s">
        <v>83</v>
      </c>
      <c r="U1483" s="2" t="s">
        <v>84</v>
      </c>
      <c r="V1483" s="2" t="s">
        <v>56</v>
      </c>
      <c r="W1483" s="2" t="s">
        <v>83</v>
      </c>
      <c r="X1483" s="2" t="s">
        <v>85</v>
      </c>
      <c r="Y1483" s="2">
        <v>1.6001520462632199</v>
      </c>
      <c r="Z1483" s="2">
        <v>1600.15204626322</v>
      </c>
      <c r="AA1483" s="2">
        <v>4.71035</v>
      </c>
      <c r="AB1483" s="2">
        <v>-74.030416666666696</v>
      </c>
      <c r="AC1483" s="2">
        <v>2570</v>
      </c>
      <c r="AD1483" s="2">
        <v>10</v>
      </c>
      <c r="AE1483" s="2" t="s">
        <v>59</v>
      </c>
      <c r="AF1483" s="2" t="s">
        <v>86</v>
      </c>
      <c r="AG1483" s="2" t="s">
        <v>61</v>
      </c>
      <c r="AH1483" s="2" t="s">
        <v>62</v>
      </c>
      <c r="AI1483" s="2" t="s">
        <v>87</v>
      </c>
      <c r="AJ1483" s="2">
        <v>2.2757041794342401</v>
      </c>
      <c r="AK1483" s="2">
        <v>0.99899559360193402</v>
      </c>
      <c r="AL1483" s="2">
        <v>0.578889029065077</v>
      </c>
      <c r="AM1483" s="2">
        <v>2.9894779328163E-2</v>
      </c>
      <c r="AN1483" s="2">
        <v>5.0394268698789499</v>
      </c>
      <c r="AO1483" s="2">
        <v>7.3205131603939294E-2</v>
      </c>
      <c r="AP1483" s="2">
        <v>7.3205131603939294E-2</v>
      </c>
      <c r="AQ1483" s="2">
        <v>0</v>
      </c>
      <c r="AR1483" s="2">
        <v>0</v>
      </c>
      <c r="AS1483" s="2">
        <v>0</v>
      </c>
      <c r="AT1483" s="2">
        <v>1</v>
      </c>
      <c r="AU1483" s="2">
        <v>2</v>
      </c>
      <c r="AV1483" s="2">
        <v>144</v>
      </c>
      <c r="AW1483" s="2">
        <v>0</v>
      </c>
      <c r="AX1483" s="2">
        <v>0</v>
      </c>
      <c r="AY1483" s="2">
        <v>15.5</v>
      </c>
      <c r="AZ1483" s="2">
        <v>2.4</v>
      </c>
      <c r="BA1483" s="2">
        <v>10.9</v>
      </c>
      <c r="BB1483" s="2">
        <v>564</v>
      </c>
      <c r="BC1483" s="2">
        <v>68</v>
      </c>
      <c r="BD1483" s="2">
        <v>1.5</v>
      </c>
      <c r="BE1483" s="2">
        <v>135</v>
      </c>
      <c r="BF1483" s="2">
        <v>0</v>
      </c>
      <c r="BG1483" s="2">
        <v>162</v>
      </c>
      <c r="BH1483" s="2">
        <v>9.1</v>
      </c>
      <c r="BI1483" s="2">
        <v>9.1999999999999993</v>
      </c>
      <c r="BJ1483" s="2">
        <v>18.3</v>
      </c>
      <c r="BK1483" s="2">
        <v>0.34</v>
      </c>
      <c r="BL1483" s="2">
        <v>7.3</v>
      </c>
      <c r="BM1483" s="2">
        <v>0.9</v>
      </c>
      <c r="BN1483" s="2">
        <v>7.5</v>
      </c>
      <c r="BO1483" s="2">
        <v>2.9</v>
      </c>
      <c r="BP1483" s="2">
        <f t="shared" si="46"/>
        <v>2.2172356362341747</v>
      </c>
      <c r="BQ1483" s="2">
        <f t="shared" si="47"/>
        <v>10.489336189850803</v>
      </c>
    </row>
    <row r="1484" spans="1:69" x14ac:dyDescent="0.2">
      <c r="A1484" s="2" t="s">
        <v>1741</v>
      </c>
      <c r="B1484" s="2" t="s">
        <v>47</v>
      </c>
      <c r="C1484" s="2" t="s">
        <v>48</v>
      </c>
      <c r="D1484" s="2" t="s">
        <v>49</v>
      </c>
      <c r="E1484" s="2" t="s">
        <v>81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89</v>
      </c>
      <c r="L1484" s="6" t="s">
        <v>141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1742</v>
      </c>
      <c r="R1484" s="2">
        <v>5882352.9409999996</v>
      </c>
      <c r="S1484" s="2">
        <v>0</v>
      </c>
      <c r="T1484" s="2" t="s">
        <v>83</v>
      </c>
      <c r="U1484" s="2" t="s">
        <v>84</v>
      </c>
      <c r="V1484" s="2" t="s">
        <v>56</v>
      </c>
      <c r="W1484" s="2" t="s">
        <v>83</v>
      </c>
      <c r="X1484" s="2" t="s">
        <v>85</v>
      </c>
      <c r="Y1484" s="2">
        <v>2.57904172540308</v>
      </c>
      <c r="Z1484" s="2">
        <v>2579.0417254030799</v>
      </c>
      <c r="AA1484" s="2">
        <v>4.71035</v>
      </c>
      <c r="AB1484" s="2">
        <v>-74.030416666666696</v>
      </c>
      <c r="AC1484" s="2">
        <v>2570</v>
      </c>
      <c r="AD1484" s="2">
        <v>10</v>
      </c>
      <c r="AE1484" s="2" t="s">
        <v>59</v>
      </c>
      <c r="AF1484" s="2" t="s">
        <v>86</v>
      </c>
      <c r="AG1484" s="2" t="s">
        <v>61</v>
      </c>
      <c r="AH1484" s="2" t="s">
        <v>62</v>
      </c>
      <c r="AI1484" s="2" t="s">
        <v>87</v>
      </c>
      <c r="AJ1484" s="2">
        <v>0.21863805430657299</v>
      </c>
      <c r="AK1484" s="2">
        <v>3.0024436997127801</v>
      </c>
      <c r="AL1484" s="2">
        <v>1.1679295454896701</v>
      </c>
      <c r="AM1484" s="2">
        <v>0.113326112797605</v>
      </c>
      <c r="AN1484" s="2">
        <v>4.6118524400510799</v>
      </c>
      <c r="AO1484" s="2">
        <v>0.122790107746029</v>
      </c>
      <c r="AP1484" s="2">
        <v>0.122790107746029</v>
      </c>
      <c r="AQ1484" s="2">
        <v>1</v>
      </c>
      <c r="AR1484" s="2">
        <v>2</v>
      </c>
      <c r="AS1484" s="2">
        <v>0</v>
      </c>
      <c r="AT1484" s="2">
        <v>0</v>
      </c>
      <c r="AU1484" s="2">
        <v>0</v>
      </c>
      <c r="AV1484" s="2">
        <v>145</v>
      </c>
      <c r="AW1484" s="2">
        <v>0</v>
      </c>
      <c r="AX1484" s="2">
        <v>0</v>
      </c>
      <c r="AY1484" s="2">
        <v>15.5</v>
      </c>
      <c r="AZ1484" s="2">
        <v>2.4</v>
      </c>
      <c r="BA1484" s="2">
        <v>10.9</v>
      </c>
      <c r="BB1484" s="2">
        <v>564</v>
      </c>
      <c r="BC1484" s="2">
        <v>68</v>
      </c>
      <c r="BD1484" s="2">
        <v>1.5</v>
      </c>
      <c r="BE1484" s="2">
        <v>135</v>
      </c>
      <c r="BF1484" s="2">
        <v>0</v>
      </c>
      <c r="BG1484" s="2">
        <v>162</v>
      </c>
      <c r="BH1484" s="2">
        <v>9.1</v>
      </c>
      <c r="BI1484" s="2">
        <v>9.1999999999999993</v>
      </c>
      <c r="BJ1484" s="2">
        <v>18.3</v>
      </c>
      <c r="BK1484" s="2">
        <v>0.34</v>
      </c>
      <c r="BL1484" s="2">
        <v>7.3</v>
      </c>
      <c r="BM1484" s="2">
        <v>0.9</v>
      </c>
      <c r="BN1484" s="2">
        <v>7.5</v>
      </c>
      <c r="BO1484" s="2">
        <v>2.9</v>
      </c>
      <c r="BP1484" s="2">
        <f t="shared" si="46"/>
        <v>2.1123607732986005</v>
      </c>
      <c r="BQ1484" s="2">
        <f t="shared" si="47"/>
        <v>10.245778712441664</v>
      </c>
    </row>
    <row r="1485" spans="1:69" x14ac:dyDescent="0.2">
      <c r="A1485" s="2" t="s">
        <v>2670</v>
      </c>
      <c r="B1485" s="2" t="s">
        <v>47</v>
      </c>
      <c r="C1485" s="2" t="s">
        <v>1935</v>
      </c>
      <c r="D1485" s="2" t="s">
        <v>49</v>
      </c>
      <c r="E1485" s="2" t="s">
        <v>1656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89</v>
      </c>
      <c r="L1485" s="6" t="s">
        <v>141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2671</v>
      </c>
      <c r="R1485" s="2">
        <v>5726074.6919999998</v>
      </c>
      <c r="S1485" s="2">
        <v>0</v>
      </c>
      <c r="T1485" s="2" t="s">
        <v>83</v>
      </c>
      <c r="U1485" s="2" t="s">
        <v>84</v>
      </c>
      <c r="V1485" s="2" t="s">
        <v>56</v>
      </c>
      <c r="W1485" s="2" t="s">
        <v>83</v>
      </c>
      <c r="X1485" s="2" t="s">
        <v>85</v>
      </c>
      <c r="Y1485" s="2">
        <v>0.55494462233058295</v>
      </c>
      <c r="Z1485" s="2">
        <v>554.944622330583</v>
      </c>
      <c r="AA1485" s="2">
        <v>4.71035</v>
      </c>
      <c r="AB1485" s="2">
        <v>-74.030416666666696</v>
      </c>
      <c r="AC1485" s="2">
        <v>2570</v>
      </c>
      <c r="AD1485" s="2">
        <v>10</v>
      </c>
      <c r="AE1485" s="2" t="s">
        <v>59</v>
      </c>
      <c r="AF1485" s="2" t="s">
        <v>86</v>
      </c>
      <c r="AG1485" s="2" t="s">
        <v>61</v>
      </c>
      <c r="AH1485" s="2" t="s">
        <v>62</v>
      </c>
      <c r="AI1485" s="2" t="s">
        <v>87</v>
      </c>
      <c r="AJ1485" s="2">
        <v>3.02986575165037</v>
      </c>
      <c r="AK1485" s="2">
        <v>0.104385846055884</v>
      </c>
      <c r="AL1485" s="2">
        <v>0.81201682887859095</v>
      </c>
      <c r="AM1485" s="2">
        <v>0.48826708776116601</v>
      </c>
      <c r="AN1485" s="2">
        <v>3.37545409422111</v>
      </c>
      <c r="AO1485" s="2">
        <v>0.63177733836661698</v>
      </c>
      <c r="AP1485" s="2">
        <v>0.63177733836661698</v>
      </c>
      <c r="AQ1485" s="2">
        <v>0</v>
      </c>
      <c r="AR1485" s="2">
        <v>0</v>
      </c>
      <c r="AS1485" s="2">
        <v>16</v>
      </c>
      <c r="AT1485" s="2">
        <v>46</v>
      </c>
      <c r="AU1485" s="2">
        <v>1</v>
      </c>
      <c r="AV1485" s="2">
        <v>77</v>
      </c>
      <c r="AW1485" s="2">
        <v>0</v>
      </c>
      <c r="AX1485" s="2">
        <v>0</v>
      </c>
      <c r="AY1485" s="2">
        <v>15.5</v>
      </c>
      <c r="AZ1485" s="2">
        <v>2.4</v>
      </c>
      <c r="BA1485" s="2">
        <v>10.9</v>
      </c>
      <c r="BB1485" s="2">
        <v>564</v>
      </c>
      <c r="BC1485" s="2">
        <v>68</v>
      </c>
      <c r="BD1485" s="2">
        <v>1.5</v>
      </c>
      <c r="BE1485" s="2">
        <v>135</v>
      </c>
      <c r="BF1485" s="2">
        <v>0</v>
      </c>
      <c r="BG1485" s="2">
        <v>162</v>
      </c>
      <c r="BH1485" s="2">
        <v>9.1</v>
      </c>
      <c r="BI1485" s="2">
        <v>9.1999999999999993</v>
      </c>
      <c r="BJ1485" s="2">
        <v>18.3</v>
      </c>
      <c r="BK1485" s="2">
        <v>0.34</v>
      </c>
      <c r="BL1485" s="2">
        <v>7.3</v>
      </c>
      <c r="BM1485" s="2">
        <v>0.9</v>
      </c>
      <c r="BN1485" s="2">
        <v>7.5</v>
      </c>
      <c r="BO1485" s="2">
        <v>2.9</v>
      </c>
      <c r="BP1485" s="2">
        <f t="shared" si="46"/>
        <v>2.3349698493382838</v>
      </c>
      <c r="BQ1485" s="2">
        <f t="shared" si="47"/>
        <v>10.755788968194462</v>
      </c>
    </row>
    <row r="1486" spans="1:69" x14ac:dyDescent="0.2">
      <c r="A1486" s="2" t="s">
        <v>446</v>
      </c>
      <c r="B1486" s="2" t="s">
        <v>47</v>
      </c>
      <c r="C1486" s="2" t="s">
        <v>48</v>
      </c>
      <c r="D1486" s="2" t="s">
        <v>49</v>
      </c>
      <c r="E1486" s="2" t="s">
        <v>447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89</v>
      </c>
      <c r="L1486" s="6" t="s">
        <v>90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448</v>
      </c>
      <c r="R1486" s="2">
        <v>9652427.9240000006</v>
      </c>
      <c r="S1486" s="2">
        <v>0</v>
      </c>
      <c r="T1486" s="2" t="s">
        <v>83</v>
      </c>
      <c r="U1486" s="2" t="s">
        <v>84</v>
      </c>
      <c r="V1486" s="2" t="s">
        <v>56</v>
      </c>
      <c r="W1486" s="2" t="s">
        <v>83</v>
      </c>
      <c r="X1486" s="2" t="s">
        <v>85</v>
      </c>
      <c r="Y1486" s="2">
        <v>3.27735208832839</v>
      </c>
      <c r="Z1486" s="2">
        <v>3277.35208832839</v>
      </c>
      <c r="AA1486" s="2">
        <v>4.71035</v>
      </c>
      <c r="AB1486" s="2">
        <v>-74.030416666666696</v>
      </c>
      <c r="AC1486" s="2">
        <v>2570</v>
      </c>
      <c r="AD1486" s="2">
        <v>10</v>
      </c>
      <c r="AE1486" s="2" t="s">
        <v>59</v>
      </c>
      <c r="AF1486" s="2" t="s">
        <v>86</v>
      </c>
      <c r="AG1486" s="2" t="s">
        <v>61</v>
      </c>
      <c r="AH1486" s="2" t="s">
        <v>62</v>
      </c>
      <c r="AI1486" s="2" t="s">
        <v>87</v>
      </c>
      <c r="AJ1486" s="2">
        <v>0.94792914640236503</v>
      </c>
      <c r="AK1486" s="2">
        <v>1.7711054310604499</v>
      </c>
      <c r="AL1486" s="2">
        <v>0.158692666997065</v>
      </c>
      <c r="AM1486" s="2">
        <v>0.19607376466279799</v>
      </c>
      <c r="AN1486" s="2">
        <v>3.9179834402850702</v>
      </c>
      <c r="AO1486" s="2">
        <v>0.43116831071587702</v>
      </c>
      <c r="AP1486" s="2">
        <v>0.43116831071587702</v>
      </c>
      <c r="AQ1486" s="2">
        <v>0</v>
      </c>
      <c r="AR1486" s="2">
        <v>1</v>
      </c>
      <c r="AS1486" s="2">
        <v>0</v>
      </c>
      <c r="AT1486" s="2">
        <v>0</v>
      </c>
      <c r="AU1486" s="2">
        <v>5</v>
      </c>
      <c r="AV1486" s="2">
        <v>180</v>
      </c>
      <c r="AW1486" s="2">
        <v>0</v>
      </c>
      <c r="AX1486" s="2">
        <v>0</v>
      </c>
      <c r="AY1486" s="2">
        <v>15.5</v>
      </c>
      <c r="AZ1486" s="2">
        <v>2.4</v>
      </c>
      <c r="BA1486" s="2">
        <v>10.9</v>
      </c>
      <c r="BB1486" s="2">
        <v>564</v>
      </c>
      <c r="BC1486" s="2">
        <v>68</v>
      </c>
      <c r="BD1486" s="2">
        <v>1.5</v>
      </c>
      <c r="BE1486" s="2">
        <v>135</v>
      </c>
      <c r="BF1486" s="2">
        <v>0</v>
      </c>
      <c r="BG1486" s="2">
        <v>162</v>
      </c>
      <c r="BH1486" s="2">
        <v>9.1</v>
      </c>
      <c r="BI1486" s="2">
        <v>9.1999999999999993</v>
      </c>
      <c r="BJ1486" s="2">
        <v>18.3</v>
      </c>
      <c r="BK1486" s="2">
        <v>0.34</v>
      </c>
      <c r="BL1486" s="2">
        <v>7.3</v>
      </c>
      <c r="BM1486" s="2">
        <v>0.9</v>
      </c>
      <c r="BN1486" s="2">
        <v>7.5</v>
      </c>
      <c r="BO1486" s="2">
        <v>2.9</v>
      </c>
      <c r="BP1486" s="2">
        <f t="shared" si="46"/>
        <v>2.0405916880870185</v>
      </c>
      <c r="BQ1486" s="2">
        <f t="shared" si="47"/>
        <v>10.075496017380571</v>
      </c>
    </row>
    <row r="1487" spans="1:69" x14ac:dyDescent="0.2">
      <c r="A1487" s="2" t="s">
        <v>1758</v>
      </c>
      <c r="B1487" s="2" t="s">
        <v>47</v>
      </c>
      <c r="C1487" s="2" t="s">
        <v>48</v>
      </c>
      <c r="D1487" s="2" t="s">
        <v>49</v>
      </c>
      <c r="E1487" s="2" t="s">
        <v>214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89</v>
      </c>
      <c r="L1487" s="6" t="s">
        <v>141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1759</v>
      </c>
      <c r="R1487" s="2">
        <v>6101694.915</v>
      </c>
      <c r="S1487" s="2">
        <v>0</v>
      </c>
      <c r="T1487" s="2" t="s">
        <v>83</v>
      </c>
      <c r="U1487" s="2" t="s">
        <v>84</v>
      </c>
      <c r="V1487" s="2" t="s">
        <v>56</v>
      </c>
      <c r="W1487" s="2" t="s">
        <v>83</v>
      </c>
      <c r="X1487" s="2" t="s">
        <v>85</v>
      </c>
      <c r="Y1487" s="2">
        <v>1.5260092847133699</v>
      </c>
      <c r="Z1487" s="2">
        <v>1526.0092847133701</v>
      </c>
      <c r="AA1487" s="2">
        <v>4.71035</v>
      </c>
      <c r="AB1487" s="2">
        <v>-74.030416666666696</v>
      </c>
      <c r="AC1487" s="2">
        <v>2570</v>
      </c>
      <c r="AD1487" s="2">
        <v>10</v>
      </c>
      <c r="AE1487" s="2" t="s">
        <v>59</v>
      </c>
      <c r="AF1487" s="2" t="s">
        <v>86</v>
      </c>
      <c r="AG1487" s="2" t="s">
        <v>61</v>
      </c>
      <c r="AH1487" s="2" t="s">
        <v>62</v>
      </c>
      <c r="AI1487" s="2" t="s">
        <v>87</v>
      </c>
      <c r="AJ1487" s="2">
        <v>1.2051367184248201</v>
      </c>
      <c r="AK1487" s="2">
        <v>2.0209053053930299</v>
      </c>
      <c r="AL1487" s="2">
        <v>1.29609583788088</v>
      </c>
      <c r="AM1487" s="2">
        <v>9.2070140103397605E-2</v>
      </c>
      <c r="AN1487" s="2">
        <v>4.3507811754319397</v>
      </c>
      <c r="AO1487" s="2">
        <v>0.33147597462414002</v>
      </c>
      <c r="AP1487" s="2">
        <v>0.33147597462414002</v>
      </c>
      <c r="AQ1487" s="2">
        <v>0</v>
      </c>
      <c r="AR1487" s="2">
        <v>0</v>
      </c>
      <c r="AS1487" s="2">
        <v>0</v>
      </c>
      <c r="AT1487" s="2">
        <v>0</v>
      </c>
      <c r="AU1487" s="2">
        <v>0</v>
      </c>
      <c r="AV1487" s="2">
        <v>123</v>
      </c>
      <c r="AW1487" s="2">
        <v>0</v>
      </c>
      <c r="AX1487" s="2">
        <v>0</v>
      </c>
      <c r="AY1487" s="2">
        <v>15.5</v>
      </c>
      <c r="AZ1487" s="2">
        <v>2.4</v>
      </c>
      <c r="BA1487" s="2">
        <v>10.9</v>
      </c>
      <c r="BB1487" s="2">
        <v>564</v>
      </c>
      <c r="BC1487" s="2">
        <v>68</v>
      </c>
      <c r="BD1487" s="2">
        <v>1.5</v>
      </c>
      <c r="BE1487" s="2">
        <v>135</v>
      </c>
      <c r="BF1487" s="2">
        <v>0</v>
      </c>
      <c r="BG1487" s="2">
        <v>162</v>
      </c>
      <c r="BH1487" s="2">
        <v>9.1</v>
      </c>
      <c r="BI1487" s="2">
        <v>9.1999999999999993</v>
      </c>
      <c r="BJ1487" s="2">
        <v>18.3</v>
      </c>
      <c r="BK1487" s="2">
        <v>0.34</v>
      </c>
      <c r="BL1487" s="2">
        <v>7.3</v>
      </c>
      <c r="BM1487" s="2">
        <v>0.9</v>
      </c>
      <c r="BN1487" s="2">
        <v>7.5</v>
      </c>
      <c r="BO1487" s="2">
        <v>2.9</v>
      </c>
      <c r="BP1487" s="2">
        <f t="shared" si="46"/>
        <v>2.2253879895911708</v>
      </c>
      <c r="BQ1487" s="2">
        <f t="shared" si="47"/>
        <v>10.508017806647896</v>
      </c>
    </row>
    <row r="1488" spans="1:69" x14ac:dyDescent="0.2">
      <c r="A1488" s="2" t="s">
        <v>1593</v>
      </c>
      <c r="B1488" s="2" t="s">
        <v>47</v>
      </c>
      <c r="C1488" s="2" t="s">
        <v>48</v>
      </c>
      <c r="D1488" s="2" t="s">
        <v>49</v>
      </c>
      <c r="E1488" s="2" t="s">
        <v>1594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89</v>
      </c>
      <c r="L1488" s="6" t="s">
        <v>141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1595</v>
      </c>
      <c r="R1488" s="2">
        <v>7234042.5530000003</v>
      </c>
      <c r="S1488" s="2">
        <v>0</v>
      </c>
      <c r="T1488" s="2" t="s">
        <v>83</v>
      </c>
      <c r="U1488" s="2" t="s">
        <v>84</v>
      </c>
      <c r="V1488" s="2" t="s">
        <v>56</v>
      </c>
      <c r="W1488" s="2" t="s">
        <v>83</v>
      </c>
      <c r="X1488" s="2" t="s">
        <v>85</v>
      </c>
      <c r="Y1488" s="2">
        <v>1.9356067000541699</v>
      </c>
      <c r="Z1488" s="2">
        <v>1935.60670005417</v>
      </c>
      <c r="AA1488" s="2">
        <v>4.71035</v>
      </c>
      <c r="AB1488" s="2">
        <v>-74.030416666666696</v>
      </c>
      <c r="AC1488" s="2">
        <v>2570</v>
      </c>
      <c r="AD1488" s="2">
        <v>10</v>
      </c>
      <c r="AE1488" s="2" t="s">
        <v>59</v>
      </c>
      <c r="AF1488" s="2" t="s">
        <v>86</v>
      </c>
      <c r="AG1488" s="2" t="s">
        <v>61</v>
      </c>
      <c r="AH1488" s="2" t="s">
        <v>62</v>
      </c>
      <c r="AI1488" s="2" t="s">
        <v>87</v>
      </c>
      <c r="AJ1488" s="2">
        <v>0.60664189496477505</v>
      </c>
      <c r="AK1488" s="2">
        <v>2.5075100966672301</v>
      </c>
      <c r="AL1488" s="2">
        <v>1.67030801252503</v>
      </c>
      <c r="AM1488" s="2">
        <v>0.31655229384087802</v>
      </c>
      <c r="AN1488" s="2">
        <v>3.67689529208499</v>
      </c>
      <c r="AO1488" s="2">
        <v>0.62391114083724197</v>
      </c>
      <c r="AP1488" s="2">
        <v>0.62391114083724197</v>
      </c>
      <c r="AQ1488" s="2">
        <v>0</v>
      </c>
      <c r="AR1488" s="2">
        <v>2</v>
      </c>
      <c r="AS1488" s="2">
        <v>0</v>
      </c>
      <c r="AT1488" s="2">
        <v>0</v>
      </c>
      <c r="AU1488" s="2">
        <v>0</v>
      </c>
      <c r="AV1488" s="2">
        <v>46</v>
      </c>
      <c r="AW1488" s="2">
        <v>0</v>
      </c>
      <c r="AX1488" s="2">
        <v>0</v>
      </c>
      <c r="AY1488" s="2">
        <v>15.5</v>
      </c>
      <c r="AZ1488" s="2">
        <v>2.4</v>
      </c>
      <c r="BA1488" s="2">
        <v>10.9</v>
      </c>
      <c r="BB1488" s="2">
        <v>564</v>
      </c>
      <c r="BC1488" s="2">
        <v>68</v>
      </c>
      <c r="BD1488" s="2">
        <v>1.5</v>
      </c>
      <c r="BE1488" s="2">
        <v>135</v>
      </c>
      <c r="BF1488" s="2">
        <v>0</v>
      </c>
      <c r="BG1488" s="2">
        <v>162</v>
      </c>
      <c r="BH1488" s="2">
        <v>9.1</v>
      </c>
      <c r="BI1488" s="2">
        <v>9.1999999999999993</v>
      </c>
      <c r="BJ1488" s="2">
        <v>18.3</v>
      </c>
      <c r="BK1488" s="2">
        <v>0.34</v>
      </c>
      <c r="BL1488" s="2">
        <v>7.3</v>
      </c>
      <c r="BM1488" s="2">
        <v>0.9</v>
      </c>
      <c r="BN1488" s="2">
        <v>7.5</v>
      </c>
      <c r="BO1488" s="2">
        <v>2.9</v>
      </c>
      <c r="BP1488" s="2">
        <f t="shared" si="46"/>
        <v>2.1807224166746337</v>
      </c>
      <c r="BQ1488" s="2">
        <f t="shared" si="47"/>
        <v>10.405226504625556</v>
      </c>
    </row>
    <row r="1489" spans="1:69" x14ac:dyDescent="0.2">
      <c r="A1489" s="2" t="s">
        <v>2113</v>
      </c>
      <c r="B1489" s="2" t="s">
        <v>47</v>
      </c>
      <c r="C1489" s="2" t="s">
        <v>1935</v>
      </c>
      <c r="D1489" s="2" t="s">
        <v>49</v>
      </c>
      <c r="E1489" s="2" t="s">
        <v>323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89</v>
      </c>
      <c r="L1489" s="6" t="s">
        <v>103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2114</v>
      </c>
      <c r="R1489" s="2">
        <v>4700854.7010000004</v>
      </c>
      <c r="S1489" s="2">
        <v>0</v>
      </c>
      <c r="T1489" s="2" t="s">
        <v>83</v>
      </c>
      <c r="U1489" s="2" t="s">
        <v>84</v>
      </c>
      <c r="V1489" s="2" t="s">
        <v>56</v>
      </c>
      <c r="W1489" s="2" t="s">
        <v>83</v>
      </c>
      <c r="X1489" s="2" t="s">
        <v>85</v>
      </c>
      <c r="Y1489" s="2">
        <v>3.35556297722413</v>
      </c>
      <c r="Z1489" s="2">
        <v>3355.56297722413</v>
      </c>
      <c r="AA1489" s="2">
        <v>4.71035</v>
      </c>
      <c r="AB1489" s="2">
        <v>-74.030416666666696</v>
      </c>
      <c r="AC1489" s="2">
        <v>2570</v>
      </c>
      <c r="AD1489" s="2">
        <v>10</v>
      </c>
      <c r="AE1489" s="2" t="s">
        <v>59</v>
      </c>
      <c r="AF1489" s="2" t="s">
        <v>86</v>
      </c>
      <c r="AG1489" s="2" t="s">
        <v>61</v>
      </c>
      <c r="AH1489" s="2" t="s">
        <v>62</v>
      </c>
      <c r="AI1489" s="2" t="s">
        <v>100</v>
      </c>
      <c r="AJ1489" s="2">
        <v>0.36082959374113299</v>
      </c>
      <c r="AK1489" s="2">
        <v>3.3401838816952298</v>
      </c>
      <c r="AL1489" s="2">
        <v>1.14311004829365</v>
      </c>
      <c r="AM1489" s="2">
        <v>5.5400412237505303E-2</v>
      </c>
      <c r="AN1489" s="2">
        <v>3.80785382088761</v>
      </c>
      <c r="AO1489" s="2">
        <v>0.129461903375126</v>
      </c>
      <c r="AP1489" s="2">
        <v>0.129461903375126</v>
      </c>
      <c r="AQ1489" s="2">
        <v>1</v>
      </c>
      <c r="AR1489" s="2">
        <v>3</v>
      </c>
      <c r="AS1489" s="2">
        <v>0</v>
      </c>
      <c r="AT1489" s="2">
        <v>0</v>
      </c>
      <c r="AU1489" s="2">
        <v>0</v>
      </c>
      <c r="AV1489" s="2">
        <v>107</v>
      </c>
      <c r="AW1489" s="2">
        <v>0</v>
      </c>
      <c r="AX1489" s="2">
        <v>0</v>
      </c>
      <c r="AY1489" s="2">
        <v>15.5</v>
      </c>
      <c r="AZ1489" s="2">
        <v>2.4</v>
      </c>
      <c r="BA1489" s="2">
        <v>10.9</v>
      </c>
      <c r="BB1489" s="2">
        <v>564</v>
      </c>
      <c r="BC1489" s="2">
        <v>68</v>
      </c>
      <c r="BD1489" s="2">
        <v>1.5</v>
      </c>
      <c r="BE1489" s="2">
        <v>135</v>
      </c>
      <c r="BF1489" s="2">
        <v>0</v>
      </c>
      <c r="BG1489" s="2">
        <v>162</v>
      </c>
      <c r="BH1489" s="2">
        <v>9.1</v>
      </c>
      <c r="BI1489" s="2">
        <v>9.1999999999999993</v>
      </c>
      <c r="BJ1489" s="2">
        <v>18.3</v>
      </c>
      <c r="BK1489" s="2">
        <v>0.34</v>
      </c>
      <c r="BL1489" s="2">
        <v>7.3</v>
      </c>
      <c r="BM1489" s="2">
        <v>0.9</v>
      </c>
      <c r="BN1489" s="2">
        <v>7.5</v>
      </c>
      <c r="BO1489" s="2">
        <v>2.9</v>
      </c>
      <c r="BP1489" s="2">
        <f t="shared" si="46"/>
        <v>2.0327069343616122</v>
      </c>
      <c r="BQ1489" s="2">
        <f t="shared" si="47"/>
        <v>10.056601432085971</v>
      </c>
    </row>
    <row r="1490" spans="1:69" x14ac:dyDescent="0.2">
      <c r="A1490" s="2" t="s">
        <v>929</v>
      </c>
      <c r="B1490" s="2" t="s">
        <v>47</v>
      </c>
      <c r="C1490" s="2" t="s">
        <v>48</v>
      </c>
      <c r="D1490" s="2" t="s">
        <v>49</v>
      </c>
      <c r="E1490" s="2" t="s">
        <v>205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89</v>
      </c>
      <c r="L1490" s="6" t="s">
        <v>103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930</v>
      </c>
      <c r="R1490" s="2">
        <v>7264957.2649999997</v>
      </c>
      <c r="S1490" s="2">
        <v>0</v>
      </c>
      <c r="T1490" s="2" t="s">
        <v>83</v>
      </c>
      <c r="U1490" s="2" t="s">
        <v>84</v>
      </c>
      <c r="V1490" s="2" t="s">
        <v>56</v>
      </c>
      <c r="W1490" s="2" t="s">
        <v>83</v>
      </c>
      <c r="X1490" s="2" t="s">
        <v>85</v>
      </c>
      <c r="Y1490" s="2">
        <v>2.7102954656329001</v>
      </c>
      <c r="Z1490" s="2">
        <v>2710.2954656328998</v>
      </c>
      <c r="AA1490" s="2">
        <v>4.71035</v>
      </c>
      <c r="AB1490" s="2">
        <v>-74.030416666666696</v>
      </c>
      <c r="AC1490" s="2">
        <v>2570</v>
      </c>
      <c r="AD1490" s="2">
        <v>10</v>
      </c>
      <c r="AE1490" s="2" t="s">
        <v>59</v>
      </c>
      <c r="AF1490" s="2" t="s">
        <v>86</v>
      </c>
      <c r="AG1490" s="2" t="s">
        <v>61</v>
      </c>
      <c r="AH1490" s="2" t="s">
        <v>62</v>
      </c>
      <c r="AI1490" s="2" t="s">
        <v>87</v>
      </c>
      <c r="AJ1490" s="2">
        <v>1.4171465631856199</v>
      </c>
      <c r="AK1490" s="2">
        <v>1.5020954577391901</v>
      </c>
      <c r="AL1490" s="2">
        <v>0.76919357009385403</v>
      </c>
      <c r="AM1490" s="2">
        <v>6.9764145696256594E-2</v>
      </c>
      <c r="AN1490" s="2">
        <v>4.5858480684699297</v>
      </c>
      <c r="AO1490" s="2">
        <v>5.0307065687747302E-2</v>
      </c>
      <c r="AP1490" s="2">
        <v>5.0307065687747302E-2</v>
      </c>
      <c r="AQ1490" s="2">
        <v>0</v>
      </c>
      <c r="AR1490" s="2">
        <v>0</v>
      </c>
      <c r="AS1490" s="2">
        <v>0</v>
      </c>
      <c r="AT1490" s="2">
        <v>0</v>
      </c>
      <c r="AU1490" s="2">
        <v>5</v>
      </c>
      <c r="AV1490" s="2">
        <v>107</v>
      </c>
      <c r="AW1490" s="2">
        <v>0</v>
      </c>
      <c r="AX1490" s="2">
        <v>0</v>
      </c>
      <c r="AY1490" s="2">
        <v>15.5</v>
      </c>
      <c r="AZ1490" s="2">
        <v>2.4</v>
      </c>
      <c r="BA1490" s="2">
        <v>10.9</v>
      </c>
      <c r="BB1490" s="2">
        <v>564</v>
      </c>
      <c r="BC1490" s="2">
        <v>68</v>
      </c>
      <c r="BD1490" s="2">
        <v>1.5</v>
      </c>
      <c r="BE1490" s="2">
        <v>135</v>
      </c>
      <c r="BF1490" s="2">
        <v>0</v>
      </c>
      <c r="BG1490" s="2">
        <v>162</v>
      </c>
      <c r="BH1490" s="2">
        <v>9.1</v>
      </c>
      <c r="BI1490" s="2">
        <v>9.1999999999999993</v>
      </c>
      <c r="BJ1490" s="2">
        <v>18.3</v>
      </c>
      <c r="BK1490" s="2">
        <v>0.34</v>
      </c>
      <c r="BL1490" s="2">
        <v>7.3</v>
      </c>
      <c r="BM1490" s="2">
        <v>0.9</v>
      </c>
      <c r="BN1490" s="2">
        <v>7.5</v>
      </c>
      <c r="BO1490" s="2">
        <v>2.9</v>
      </c>
      <c r="BP1490" s="2">
        <f t="shared" si="46"/>
        <v>2.0986811251826265</v>
      </c>
      <c r="BQ1490" s="2">
        <f t="shared" si="47"/>
        <v>10.213554371210636</v>
      </c>
    </row>
    <row r="1491" spans="1:69" x14ac:dyDescent="0.2">
      <c r="A1491" s="2" t="s">
        <v>1569</v>
      </c>
      <c r="B1491" s="2" t="s">
        <v>47</v>
      </c>
      <c r="C1491" s="2" t="s">
        <v>48</v>
      </c>
      <c r="D1491" s="2" t="s">
        <v>49</v>
      </c>
      <c r="E1491" s="2" t="s">
        <v>205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89</v>
      </c>
      <c r="L1491" s="6" t="s">
        <v>141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1570</v>
      </c>
      <c r="R1491" s="2">
        <v>5818965.517</v>
      </c>
      <c r="S1491" s="2">
        <v>0</v>
      </c>
      <c r="T1491" s="2" t="s">
        <v>83</v>
      </c>
      <c r="U1491" s="2" t="s">
        <v>84</v>
      </c>
      <c r="V1491" s="2" t="s">
        <v>56</v>
      </c>
      <c r="W1491" s="2" t="s">
        <v>83</v>
      </c>
      <c r="X1491" s="2" t="s">
        <v>85</v>
      </c>
      <c r="Y1491" s="2">
        <v>2.6885870680803698</v>
      </c>
      <c r="Z1491" s="2">
        <v>2688.58706808037</v>
      </c>
      <c r="AA1491" s="2">
        <v>4.71035</v>
      </c>
      <c r="AB1491" s="2">
        <v>-74.030416666666696</v>
      </c>
      <c r="AC1491" s="2">
        <v>2570</v>
      </c>
      <c r="AD1491" s="2">
        <v>10</v>
      </c>
      <c r="AE1491" s="2" t="s">
        <v>59</v>
      </c>
      <c r="AF1491" s="2" t="s">
        <v>86</v>
      </c>
      <c r="AG1491" s="2" t="s">
        <v>61</v>
      </c>
      <c r="AH1491" s="2" t="s">
        <v>62</v>
      </c>
      <c r="AI1491" s="2" t="s">
        <v>87</v>
      </c>
      <c r="AJ1491" s="2">
        <v>1.40495429906076</v>
      </c>
      <c r="AK1491" s="2">
        <v>1.5296215969936999</v>
      </c>
      <c r="AL1491" s="2">
        <v>0.75044790764596303</v>
      </c>
      <c r="AM1491" s="2">
        <v>8.4447861828201201E-2</v>
      </c>
      <c r="AN1491" s="2">
        <v>4.5922028146299896</v>
      </c>
      <c r="AO1491" s="2">
        <v>7.3600780936509805E-2</v>
      </c>
      <c r="AP1491" s="2">
        <v>7.3600780936509805E-2</v>
      </c>
      <c r="AQ1491" s="2">
        <v>0</v>
      </c>
      <c r="AR1491" s="2">
        <v>0</v>
      </c>
      <c r="AS1491" s="2">
        <v>0</v>
      </c>
      <c r="AT1491" s="2">
        <v>0</v>
      </c>
      <c r="AU1491" s="2">
        <v>4</v>
      </c>
      <c r="AV1491" s="2">
        <v>106</v>
      </c>
      <c r="AW1491" s="2">
        <v>0</v>
      </c>
      <c r="AX1491" s="2">
        <v>0</v>
      </c>
      <c r="AY1491" s="2">
        <v>15.5</v>
      </c>
      <c r="AZ1491" s="2">
        <v>2.4</v>
      </c>
      <c r="BA1491" s="2">
        <v>10.9</v>
      </c>
      <c r="BB1491" s="2">
        <v>564</v>
      </c>
      <c r="BC1491" s="2">
        <v>68</v>
      </c>
      <c r="BD1491" s="2">
        <v>1.5</v>
      </c>
      <c r="BE1491" s="2">
        <v>135</v>
      </c>
      <c r="BF1491" s="2">
        <v>0</v>
      </c>
      <c r="BG1491" s="2">
        <v>162</v>
      </c>
      <c r="BH1491" s="2">
        <v>9.1</v>
      </c>
      <c r="BI1491" s="2">
        <v>9.1999999999999993</v>
      </c>
      <c r="BJ1491" s="2">
        <v>18.3</v>
      </c>
      <c r="BK1491" s="2">
        <v>0.34</v>
      </c>
      <c r="BL1491" s="2">
        <v>7.3</v>
      </c>
      <c r="BM1491" s="2">
        <v>0.9</v>
      </c>
      <c r="BN1491" s="2">
        <v>7.5</v>
      </c>
      <c r="BO1491" s="2">
        <v>2.9</v>
      </c>
      <c r="BP1491" s="2">
        <f t="shared" si="46"/>
        <v>2.1009375079892409</v>
      </c>
      <c r="BQ1491" s="2">
        <f t="shared" si="47"/>
        <v>10.218877035217462</v>
      </c>
    </row>
    <row r="1492" spans="1:69" x14ac:dyDescent="0.2">
      <c r="A1492" s="2" t="s">
        <v>2887</v>
      </c>
      <c r="B1492" s="2" t="s">
        <v>47</v>
      </c>
      <c r="C1492" s="2" t="s">
        <v>1935</v>
      </c>
      <c r="D1492" s="2" t="s">
        <v>49</v>
      </c>
      <c r="E1492" s="2" t="s">
        <v>370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89</v>
      </c>
      <c r="L1492" s="6" t="s">
        <v>141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2888</v>
      </c>
      <c r="R1492" s="2">
        <v>5844155.8439999996</v>
      </c>
      <c r="S1492" s="2">
        <v>0</v>
      </c>
      <c r="T1492" s="2" t="s">
        <v>83</v>
      </c>
      <c r="U1492" s="2" t="s">
        <v>84</v>
      </c>
      <c r="V1492" s="2" t="s">
        <v>56</v>
      </c>
      <c r="W1492" s="2" t="s">
        <v>83</v>
      </c>
      <c r="X1492" s="2" t="s">
        <v>85</v>
      </c>
      <c r="Y1492" s="2">
        <v>2.2038537471272601</v>
      </c>
      <c r="Z1492" s="2">
        <v>2203.8537471272598</v>
      </c>
      <c r="AA1492" s="2">
        <v>4.71035</v>
      </c>
      <c r="AB1492" s="2">
        <v>-74.030416666666696</v>
      </c>
      <c r="AC1492" s="2">
        <v>2570</v>
      </c>
      <c r="AD1492" s="2">
        <v>10</v>
      </c>
      <c r="AE1492" s="2" t="s">
        <v>59</v>
      </c>
      <c r="AF1492" s="2" t="s">
        <v>86</v>
      </c>
      <c r="AG1492" s="2" t="s">
        <v>61</v>
      </c>
      <c r="AH1492" s="2" t="s">
        <v>62</v>
      </c>
      <c r="AI1492" s="2" t="s">
        <v>87</v>
      </c>
      <c r="AJ1492" s="2">
        <v>0.44660124070908502</v>
      </c>
      <c r="AK1492" s="2">
        <v>2.65511021334166</v>
      </c>
      <c r="AL1492" s="2">
        <v>1.60524883907657</v>
      </c>
      <c r="AM1492" s="2">
        <v>3.8504676207704903E-2</v>
      </c>
      <c r="AN1492" s="2">
        <v>3.2737225789259901</v>
      </c>
      <c r="AO1492" s="2">
        <v>0.42267416334288599</v>
      </c>
      <c r="AP1492" s="2">
        <v>0.42267416334288599</v>
      </c>
      <c r="AQ1492" s="2">
        <v>1</v>
      </c>
      <c r="AR1492" s="2">
        <v>3</v>
      </c>
      <c r="AS1492" s="2">
        <v>0</v>
      </c>
      <c r="AT1492" s="2">
        <v>0</v>
      </c>
      <c r="AU1492" s="2">
        <v>0</v>
      </c>
      <c r="AV1492" s="2">
        <v>36</v>
      </c>
      <c r="AW1492" s="2">
        <v>0</v>
      </c>
      <c r="AX1492" s="2">
        <v>0</v>
      </c>
      <c r="AY1492" s="2">
        <v>15.5</v>
      </c>
      <c r="AZ1492" s="2">
        <v>2.4</v>
      </c>
      <c r="BA1492" s="2">
        <v>10.9</v>
      </c>
      <c r="BB1492" s="2">
        <v>564</v>
      </c>
      <c r="BC1492" s="2">
        <v>68</v>
      </c>
      <c r="BD1492" s="2">
        <v>1.5</v>
      </c>
      <c r="BE1492" s="2">
        <v>135</v>
      </c>
      <c r="BF1492" s="2">
        <v>0</v>
      </c>
      <c r="BG1492" s="2">
        <v>162</v>
      </c>
      <c r="BH1492" s="2">
        <v>9.1</v>
      </c>
      <c r="BI1492" s="2">
        <v>9.1999999999999993</v>
      </c>
      <c r="BJ1492" s="2">
        <v>18.3</v>
      </c>
      <c r="BK1492" s="2">
        <v>0.34</v>
      </c>
      <c r="BL1492" s="2">
        <v>7.3</v>
      </c>
      <c r="BM1492" s="2">
        <v>0.9</v>
      </c>
      <c r="BN1492" s="2">
        <v>7.5</v>
      </c>
      <c r="BO1492" s="2">
        <v>2.9</v>
      </c>
      <c r="BP1492" s="2">
        <f t="shared" si="46"/>
        <v>2.1519576804141205</v>
      </c>
      <c r="BQ1492" s="2">
        <f t="shared" si="47"/>
        <v>10.338453564166601</v>
      </c>
    </row>
    <row r="1493" spans="1:69" x14ac:dyDescent="0.2">
      <c r="A1493" s="2" t="s">
        <v>2977</v>
      </c>
      <c r="B1493" s="2" t="s">
        <v>47</v>
      </c>
      <c r="C1493" s="2" t="s">
        <v>1935</v>
      </c>
      <c r="D1493" s="2" t="s">
        <v>49</v>
      </c>
      <c r="E1493" s="2" t="s">
        <v>370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89</v>
      </c>
      <c r="L1493" s="6" t="s">
        <v>141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2978</v>
      </c>
      <c r="R1493" s="2">
        <v>5844155.8439999996</v>
      </c>
      <c r="S1493" s="2">
        <v>0</v>
      </c>
      <c r="T1493" s="2" t="s">
        <v>83</v>
      </c>
      <c r="U1493" s="2" t="s">
        <v>84</v>
      </c>
      <c r="V1493" s="2" t="s">
        <v>56</v>
      </c>
      <c r="W1493" s="2" t="s">
        <v>83</v>
      </c>
      <c r="X1493" s="2" t="s">
        <v>85</v>
      </c>
      <c r="Y1493" s="2">
        <v>2.2038537471272601</v>
      </c>
      <c r="Z1493" s="2">
        <v>2203.8537471272598</v>
      </c>
      <c r="AA1493" s="2">
        <v>4.71035</v>
      </c>
      <c r="AB1493" s="2">
        <v>-74.030416666666696</v>
      </c>
      <c r="AC1493" s="2">
        <v>2570</v>
      </c>
      <c r="AD1493" s="2">
        <v>10</v>
      </c>
      <c r="AE1493" s="2" t="s">
        <v>59</v>
      </c>
      <c r="AF1493" s="2" t="s">
        <v>86</v>
      </c>
      <c r="AG1493" s="2" t="s">
        <v>61</v>
      </c>
      <c r="AH1493" s="2" t="s">
        <v>62</v>
      </c>
      <c r="AI1493" s="2" t="s">
        <v>87</v>
      </c>
      <c r="AJ1493" s="2">
        <v>0.44660124070908502</v>
      </c>
      <c r="AK1493" s="2">
        <v>2.65511021334166</v>
      </c>
      <c r="AL1493" s="2">
        <v>1.60524883907657</v>
      </c>
      <c r="AM1493" s="2">
        <v>3.8504676207704903E-2</v>
      </c>
      <c r="AN1493" s="2">
        <v>3.2737225789259901</v>
      </c>
      <c r="AO1493" s="2">
        <v>0.42267416334288599</v>
      </c>
      <c r="AP1493" s="2">
        <v>0.42267416334288599</v>
      </c>
      <c r="AQ1493" s="2">
        <v>1</v>
      </c>
      <c r="AR1493" s="2">
        <v>3</v>
      </c>
      <c r="AS1493" s="2">
        <v>0</v>
      </c>
      <c r="AT1493" s="2">
        <v>0</v>
      </c>
      <c r="AU1493" s="2">
        <v>0</v>
      </c>
      <c r="AV1493" s="2">
        <v>36</v>
      </c>
      <c r="AW1493" s="2">
        <v>0</v>
      </c>
      <c r="AX1493" s="2">
        <v>0</v>
      </c>
      <c r="AY1493" s="2">
        <v>15.5</v>
      </c>
      <c r="AZ1493" s="2">
        <v>2.4</v>
      </c>
      <c r="BA1493" s="2">
        <v>10.9</v>
      </c>
      <c r="BB1493" s="2">
        <v>564</v>
      </c>
      <c r="BC1493" s="2">
        <v>68</v>
      </c>
      <c r="BD1493" s="2">
        <v>1.5</v>
      </c>
      <c r="BE1493" s="2">
        <v>135</v>
      </c>
      <c r="BF1493" s="2">
        <v>0</v>
      </c>
      <c r="BG1493" s="2">
        <v>162</v>
      </c>
      <c r="BH1493" s="2">
        <v>9.1</v>
      </c>
      <c r="BI1493" s="2">
        <v>9.1999999999999993</v>
      </c>
      <c r="BJ1493" s="2">
        <v>18.3</v>
      </c>
      <c r="BK1493" s="2">
        <v>0.34</v>
      </c>
      <c r="BL1493" s="2">
        <v>7.3</v>
      </c>
      <c r="BM1493" s="2">
        <v>0.9</v>
      </c>
      <c r="BN1493" s="2">
        <v>7.5</v>
      </c>
      <c r="BO1493" s="2">
        <v>2.9</v>
      </c>
      <c r="BP1493" s="2">
        <f t="shared" si="46"/>
        <v>2.1519576804141205</v>
      </c>
      <c r="BQ1493" s="2">
        <f t="shared" si="47"/>
        <v>10.338453564166601</v>
      </c>
    </row>
    <row r="1494" spans="1:69" x14ac:dyDescent="0.2">
      <c r="A1494" s="2" t="s">
        <v>1476</v>
      </c>
      <c r="B1494" s="2" t="s">
        <v>47</v>
      </c>
      <c r="C1494" s="2" t="s">
        <v>48</v>
      </c>
      <c r="D1494" s="2" t="s">
        <v>49</v>
      </c>
      <c r="E1494" s="2" t="s">
        <v>1477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89</v>
      </c>
      <c r="L1494" s="6" t="s">
        <v>141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1478</v>
      </c>
      <c r="R1494" s="2">
        <v>5195652.1739999996</v>
      </c>
      <c r="S1494" s="2">
        <v>0</v>
      </c>
      <c r="T1494" s="2" t="s">
        <v>83</v>
      </c>
      <c r="U1494" s="2" t="s">
        <v>84</v>
      </c>
      <c r="V1494" s="2" t="s">
        <v>56</v>
      </c>
      <c r="W1494" s="2" t="s">
        <v>83</v>
      </c>
      <c r="X1494" s="2" t="s">
        <v>85</v>
      </c>
      <c r="Y1494" s="2">
        <v>3.7819452998701601</v>
      </c>
      <c r="Z1494" s="2">
        <v>3781.9452998701599</v>
      </c>
      <c r="AA1494" s="2">
        <v>4.71035</v>
      </c>
      <c r="AB1494" s="2">
        <v>-74.030416666666696</v>
      </c>
      <c r="AC1494" s="2">
        <v>2570</v>
      </c>
      <c r="AD1494" s="2">
        <v>10</v>
      </c>
      <c r="AE1494" s="2" t="s">
        <v>59</v>
      </c>
      <c r="AF1494" s="2" t="s">
        <v>86</v>
      </c>
      <c r="AG1494" s="2" t="s">
        <v>61</v>
      </c>
      <c r="AH1494" s="2" t="s">
        <v>62</v>
      </c>
      <c r="AI1494" s="2" t="s">
        <v>87</v>
      </c>
      <c r="AJ1494" s="2">
        <v>0.43640120005136901</v>
      </c>
      <c r="AK1494" s="2">
        <v>2.19962752285545</v>
      </c>
      <c r="AL1494" s="2">
        <v>0.24625434502110299</v>
      </c>
      <c r="AM1494" s="2">
        <v>3.3872409018295198E-2</v>
      </c>
      <c r="AN1494" s="2">
        <v>3.3149564063742099</v>
      </c>
      <c r="AO1494" s="2">
        <v>0.50137587067360201</v>
      </c>
      <c r="AP1494" s="2">
        <v>0.50137587067360201</v>
      </c>
      <c r="AQ1494" s="2">
        <v>1</v>
      </c>
      <c r="AR1494" s="2">
        <v>3</v>
      </c>
      <c r="AS1494" s="2">
        <v>0</v>
      </c>
      <c r="AT1494" s="2">
        <v>0</v>
      </c>
      <c r="AU1494" s="2">
        <v>5</v>
      </c>
      <c r="AV1494" s="2">
        <v>233</v>
      </c>
      <c r="AW1494" s="2">
        <v>0</v>
      </c>
      <c r="AX1494" s="2">
        <v>0</v>
      </c>
      <c r="AY1494" s="2">
        <v>15.5</v>
      </c>
      <c r="AZ1494" s="2">
        <v>2.4</v>
      </c>
      <c r="BA1494" s="2">
        <v>10.9</v>
      </c>
      <c r="BB1494" s="2">
        <v>564</v>
      </c>
      <c r="BC1494" s="2">
        <v>68</v>
      </c>
      <c r="BD1494" s="2">
        <v>1.5</v>
      </c>
      <c r="BE1494" s="2">
        <v>135</v>
      </c>
      <c r="BF1494" s="2">
        <v>0</v>
      </c>
      <c r="BG1494" s="2">
        <v>162</v>
      </c>
      <c r="BH1494" s="2">
        <v>9.1</v>
      </c>
      <c r="BI1494" s="2">
        <v>9.1999999999999993</v>
      </c>
      <c r="BJ1494" s="2">
        <v>18.3</v>
      </c>
      <c r="BK1494" s="2">
        <v>0.34</v>
      </c>
      <c r="BL1494" s="2">
        <v>7.3</v>
      </c>
      <c r="BM1494" s="2">
        <v>0.9</v>
      </c>
      <c r="BN1494" s="2">
        <v>7.5</v>
      </c>
      <c r="BO1494" s="2">
        <v>2.9</v>
      </c>
      <c r="BP1494" s="2">
        <f t="shared" si="46"/>
        <v>1.9902543507385764</v>
      </c>
      <c r="BQ1494" s="2">
        <f t="shared" si="47"/>
        <v>9.9542152237515644</v>
      </c>
    </row>
    <row r="1495" spans="1:69" x14ac:dyDescent="0.2">
      <c r="A1495" s="2" t="s">
        <v>2825</v>
      </c>
      <c r="B1495" s="2" t="s">
        <v>47</v>
      </c>
      <c r="C1495" s="2" t="s">
        <v>1935</v>
      </c>
      <c r="D1495" s="2" t="s">
        <v>49</v>
      </c>
      <c r="E1495" s="2" t="s">
        <v>249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89</v>
      </c>
      <c r="L1495" s="6" t="s">
        <v>103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2826</v>
      </c>
      <c r="R1495" s="2">
        <v>12608695.65</v>
      </c>
      <c r="S1495" s="2">
        <v>0</v>
      </c>
      <c r="T1495" s="2" t="s">
        <v>83</v>
      </c>
      <c r="U1495" s="2" t="s">
        <v>84</v>
      </c>
      <c r="V1495" s="2" t="s">
        <v>56</v>
      </c>
      <c r="W1495" s="2" t="s">
        <v>83</v>
      </c>
      <c r="X1495" s="2" t="s">
        <v>85</v>
      </c>
      <c r="Y1495" s="2">
        <v>1.98215619387956</v>
      </c>
      <c r="Z1495" s="2">
        <v>1982.1561938795601</v>
      </c>
      <c r="AA1495" s="2">
        <v>4.71035</v>
      </c>
      <c r="AB1495" s="2">
        <v>-74.030416666666696</v>
      </c>
      <c r="AC1495" s="2">
        <v>2570</v>
      </c>
      <c r="AD1495" s="2">
        <v>10</v>
      </c>
      <c r="AE1495" s="2" t="s">
        <v>59</v>
      </c>
      <c r="AF1495" s="2" t="s">
        <v>86</v>
      </c>
      <c r="AG1495" s="2" t="s">
        <v>61</v>
      </c>
      <c r="AH1495" s="2" t="s">
        <v>62</v>
      </c>
      <c r="AI1495" s="2" t="s">
        <v>87</v>
      </c>
      <c r="AJ1495" s="2">
        <v>3.0962577835784502</v>
      </c>
      <c r="AK1495" s="2">
        <v>0.19248162268840199</v>
      </c>
      <c r="AL1495" s="2">
        <v>0.27688106453474298</v>
      </c>
      <c r="AM1495" s="2">
        <v>0.40908635427203999</v>
      </c>
      <c r="AN1495" s="2">
        <v>5.39640501402027</v>
      </c>
      <c r="AO1495" s="2">
        <v>0.77003531564317096</v>
      </c>
      <c r="AP1495" s="2">
        <v>0.77003531564317096</v>
      </c>
      <c r="AQ1495" s="2">
        <v>0</v>
      </c>
      <c r="AR1495" s="2">
        <v>0</v>
      </c>
      <c r="AS1495" s="2">
        <v>7</v>
      </c>
      <c r="AT1495" s="2">
        <v>28</v>
      </c>
      <c r="AU1495" s="2">
        <v>1</v>
      </c>
      <c r="AV1495" s="2">
        <v>99</v>
      </c>
      <c r="AW1495" s="2">
        <v>0</v>
      </c>
      <c r="AX1495" s="2">
        <v>0</v>
      </c>
      <c r="AY1495" s="2">
        <v>15.5</v>
      </c>
      <c r="AZ1495" s="2">
        <v>2.4</v>
      </c>
      <c r="BA1495" s="2">
        <v>10.9</v>
      </c>
      <c r="BB1495" s="2">
        <v>564</v>
      </c>
      <c r="BC1495" s="2">
        <v>68</v>
      </c>
      <c r="BD1495" s="2">
        <v>1.5</v>
      </c>
      <c r="BE1495" s="2">
        <v>135</v>
      </c>
      <c r="BF1495" s="2">
        <v>0</v>
      </c>
      <c r="BG1495" s="2">
        <v>162</v>
      </c>
      <c r="BH1495" s="2">
        <v>9.1</v>
      </c>
      <c r="BI1495" s="2">
        <v>9.1999999999999993</v>
      </c>
      <c r="BJ1495" s="2">
        <v>18.3</v>
      </c>
      <c r="BK1495" s="2">
        <v>0.34</v>
      </c>
      <c r="BL1495" s="2">
        <v>7.3</v>
      </c>
      <c r="BM1495" s="2">
        <v>0.9</v>
      </c>
      <c r="BN1495" s="2">
        <v>7.5</v>
      </c>
      <c r="BO1495" s="2">
        <v>2.9</v>
      </c>
      <c r="BP1495" s="2">
        <f t="shared" si="46"/>
        <v>2.1757033808551483</v>
      </c>
      <c r="BQ1495" s="2">
        <f t="shared" si="47"/>
        <v>10.393608402988658</v>
      </c>
    </row>
    <row r="1496" spans="1:69" x14ac:dyDescent="0.2">
      <c r="A1496" s="2" t="s">
        <v>2823</v>
      </c>
      <c r="B1496" s="2" t="s">
        <v>47</v>
      </c>
      <c r="C1496" s="2" t="s">
        <v>1935</v>
      </c>
      <c r="D1496" s="2" t="s">
        <v>49</v>
      </c>
      <c r="E1496" s="2" t="s">
        <v>853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89</v>
      </c>
      <c r="L1496" s="6" t="s">
        <v>103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2824</v>
      </c>
      <c r="R1496" s="2">
        <v>6521739.1299999999</v>
      </c>
      <c r="S1496" s="2">
        <v>0</v>
      </c>
      <c r="T1496" s="2" t="s">
        <v>83</v>
      </c>
      <c r="U1496" s="2" t="s">
        <v>84</v>
      </c>
      <c r="V1496" s="2" t="s">
        <v>56</v>
      </c>
      <c r="W1496" s="2" t="s">
        <v>83</v>
      </c>
      <c r="X1496" s="2" t="s">
        <v>85</v>
      </c>
      <c r="Y1496" s="2">
        <v>1.7396328384181801</v>
      </c>
      <c r="Z1496" s="2">
        <v>1739.63283841818</v>
      </c>
      <c r="AA1496" s="2">
        <v>4.71035</v>
      </c>
      <c r="AB1496" s="2">
        <v>-74.030416666666696</v>
      </c>
      <c r="AC1496" s="2">
        <v>2570</v>
      </c>
      <c r="AD1496" s="2">
        <v>10</v>
      </c>
      <c r="AE1496" s="2" t="s">
        <v>59</v>
      </c>
      <c r="AF1496" s="2" t="s">
        <v>86</v>
      </c>
      <c r="AG1496" s="2" t="s">
        <v>61</v>
      </c>
      <c r="AH1496" s="2" t="s">
        <v>62</v>
      </c>
      <c r="AI1496" s="2" t="s">
        <v>87</v>
      </c>
      <c r="AJ1496" s="2">
        <v>2.8889010134922199</v>
      </c>
      <c r="AK1496" s="2">
        <v>0.37012078514069602</v>
      </c>
      <c r="AL1496" s="2">
        <v>1.8071273080010699</v>
      </c>
      <c r="AM1496" s="2">
        <v>0.269442245901583</v>
      </c>
      <c r="AN1496" s="2">
        <v>1.86549404304636</v>
      </c>
      <c r="AO1496" s="2">
        <v>0.59362744416191504</v>
      </c>
      <c r="AP1496" s="2">
        <v>0.59362744416191504</v>
      </c>
      <c r="AQ1496" s="2">
        <v>0</v>
      </c>
      <c r="AR1496" s="2">
        <v>0</v>
      </c>
      <c r="AS1496" s="2">
        <v>11</v>
      </c>
      <c r="AT1496" s="2">
        <v>37</v>
      </c>
      <c r="AU1496" s="2">
        <v>0</v>
      </c>
      <c r="AV1496" s="2">
        <v>7</v>
      </c>
      <c r="AW1496" s="2">
        <v>0</v>
      </c>
      <c r="AX1496" s="2">
        <v>0</v>
      </c>
      <c r="AY1496" s="2">
        <v>15.5</v>
      </c>
      <c r="AZ1496" s="2">
        <v>2.4</v>
      </c>
      <c r="BA1496" s="2">
        <v>10.9</v>
      </c>
      <c r="BB1496" s="2">
        <v>564</v>
      </c>
      <c r="BC1496" s="2">
        <v>68</v>
      </c>
      <c r="BD1496" s="2">
        <v>1.5</v>
      </c>
      <c r="BE1496" s="2">
        <v>135</v>
      </c>
      <c r="BF1496" s="2">
        <v>0</v>
      </c>
      <c r="BG1496" s="2">
        <v>162</v>
      </c>
      <c r="BH1496" s="2">
        <v>9.1</v>
      </c>
      <c r="BI1496" s="2">
        <v>9.1999999999999993</v>
      </c>
      <c r="BJ1496" s="2">
        <v>18.3</v>
      </c>
      <c r="BK1496" s="2">
        <v>0.34</v>
      </c>
      <c r="BL1496" s="2">
        <v>7.3</v>
      </c>
      <c r="BM1496" s="2">
        <v>0.9</v>
      </c>
      <c r="BN1496" s="2">
        <v>7.5</v>
      </c>
      <c r="BO1496" s="2">
        <v>2.9</v>
      </c>
      <c r="BP1496" s="2">
        <f t="shared" si="46"/>
        <v>2.2019799036525733</v>
      </c>
      <c r="BQ1496" s="2">
        <f t="shared" si="47"/>
        <v>10.454281434064857</v>
      </c>
    </row>
    <row r="1497" spans="1:69" x14ac:dyDescent="0.2">
      <c r="A1497" s="2" t="s">
        <v>561</v>
      </c>
      <c r="B1497" s="2" t="s">
        <v>47</v>
      </c>
      <c r="C1497" s="2" t="s">
        <v>48</v>
      </c>
      <c r="D1497" s="2" t="s">
        <v>49</v>
      </c>
      <c r="E1497" s="2" t="s">
        <v>562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89</v>
      </c>
      <c r="L1497" s="6" t="s">
        <v>141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563</v>
      </c>
      <c r="R1497" s="2">
        <v>6304347.8260000004</v>
      </c>
      <c r="S1497" s="2">
        <v>0</v>
      </c>
      <c r="T1497" s="2" t="s">
        <v>83</v>
      </c>
      <c r="U1497" s="2" t="s">
        <v>84</v>
      </c>
      <c r="V1497" s="2" t="s">
        <v>56</v>
      </c>
      <c r="W1497" s="2" t="s">
        <v>83</v>
      </c>
      <c r="X1497" s="2" t="s">
        <v>85</v>
      </c>
      <c r="Y1497" s="2">
        <v>1.49161331379141</v>
      </c>
      <c r="Z1497" s="2">
        <v>1491.6133137914101</v>
      </c>
      <c r="AA1497" s="2">
        <v>4.71035</v>
      </c>
      <c r="AB1497" s="2">
        <v>-74.030416666666696</v>
      </c>
      <c r="AC1497" s="2">
        <v>2570</v>
      </c>
      <c r="AD1497" s="2">
        <v>10</v>
      </c>
      <c r="AE1497" s="2" t="s">
        <v>59</v>
      </c>
      <c r="AF1497" s="2" t="s">
        <v>86</v>
      </c>
      <c r="AG1497" s="2" t="s">
        <v>61</v>
      </c>
      <c r="AH1497" s="2" t="s">
        <v>62</v>
      </c>
      <c r="AI1497" s="2" t="s">
        <v>87</v>
      </c>
      <c r="AJ1497" s="2">
        <v>1.1598163881235699</v>
      </c>
      <c r="AK1497" s="2">
        <v>2.0742200037002898</v>
      </c>
      <c r="AL1497" s="2">
        <v>1.2372228188932299</v>
      </c>
      <c r="AM1497" s="2">
        <v>3.0427712475189401E-2</v>
      </c>
      <c r="AN1497" s="2">
        <v>4.07637192227397</v>
      </c>
      <c r="AO1497" s="2">
        <v>1.8516142023503601E-2</v>
      </c>
      <c r="AP1497" s="2">
        <v>1.8516142023503601E-2</v>
      </c>
      <c r="AQ1497" s="2">
        <v>0</v>
      </c>
      <c r="AR1497" s="2">
        <v>0</v>
      </c>
      <c r="AS1497" s="2">
        <v>0</v>
      </c>
      <c r="AT1497" s="2">
        <v>0</v>
      </c>
      <c r="AU1497" s="2">
        <v>0</v>
      </c>
      <c r="AV1497" s="2">
        <v>107</v>
      </c>
      <c r="AW1497" s="2">
        <v>0</v>
      </c>
      <c r="AX1497" s="2">
        <v>0</v>
      </c>
      <c r="AY1497" s="2">
        <v>15.5</v>
      </c>
      <c r="AZ1497" s="2">
        <v>2.4</v>
      </c>
      <c r="BA1497" s="2">
        <v>10.9</v>
      </c>
      <c r="BB1497" s="2">
        <v>564</v>
      </c>
      <c r="BC1497" s="2">
        <v>68</v>
      </c>
      <c r="BD1497" s="2">
        <v>1.5</v>
      </c>
      <c r="BE1497" s="2">
        <v>135</v>
      </c>
      <c r="BF1497" s="2">
        <v>0</v>
      </c>
      <c r="BG1497" s="2">
        <v>162</v>
      </c>
      <c r="BH1497" s="2">
        <v>9.1</v>
      </c>
      <c r="BI1497" s="2">
        <v>9.1999999999999993</v>
      </c>
      <c r="BJ1497" s="2">
        <v>18.3</v>
      </c>
      <c r="BK1497" s="2">
        <v>0.34</v>
      </c>
      <c r="BL1497" s="2">
        <v>7.3</v>
      </c>
      <c r="BM1497" s="2">
        <v>0.9</v>
      </c>
      <c r="BN1497" s="2">
        <v>7.5</v>
      </c>
      <c r="BO1497" s="2">
        <v>2.9</v>
      </c>
      <c r="BP1497" s="2">
        <f t="shared" si="46"/>
        <v>2.2291801637927664</v>
      </c>
      <c r="BQ1497" s="2">
        <f t="shared" si="47"/>
        <v>10.516695791405827</v>
      </c>
    </row>
    <row r="1498" spans="1:69" x14ac:dyDescent="0.2">
      <c r="A1498" s="2" t="s">
        <v>1199</v>
      </c>
      <c r="B1498" s="2" t="s">
        <v>47</v>
      </c>
      <c r="C1498" s="2" t="s">
        <v>48</v>
      </c>
      <c r="D1498" s="2" t="s">
        <v>49</v>
      </c>
      <c r="E1498" s="2" t="s">
        <v>181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89</v>
      </c>
      <c r="L1498" s="6" t="s">
        <v>103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1200</v>
      </c>
      <c r="R1498" s="2">
        <v>12173913.039999999</v>
      </c>
      <c r="S1498" s="2">
        <v>0</v>
      </c>
      <c r="T1498" s="2" t="s">
        <v>83</v>
      </c>
      <c r="U1498" s="2" t="s">
        <v>84</v>
      </c>
      <c r="V1498" s="2" t="s">
        <v>56</v>
      </c>
      <c r="W1498" s="2" t="s">
        <v>83</v>
      </c>
      <c r="X1498" s="2" t="s">
        <v>85</v>
      </c>
      <c r="Y1498" s="2">
        <v>1.0635084099676599</v>
      </c>
      <c r="Z1498" s="2">
        <v>1063.5084099676601</v>
      </c>
      <c r="AA1498" s="2">
        <v>4.71035</v>
      </c>
      <c r="AB1498" s="2">
        <v>-74.030416666666696</v>
      </c>
      <c r="AC1498" s="2">
        <v>2570</v>
      </c>
      <c r="AD1498" s="2">
        <v>10</v>
      </c>
      <c r="AE1498" s="2" t="s">
        <v>59</v>
      </c>
      <c r="AF1498" s="2" t="s">
        <v>86</v>
      </c>
      <c r="AG1498" s="2" t="s">
        <v>61</v>
      </c>
      <c r="AH1498" s="2" t="s">
        <v>62</v>
      </c>
      <c r="AI1498" s="2" t="s">
        <v>87</v>
      </c>
      <c r="AJ1498" s="2">
        <v>2.8838544692985399</v>
      </c>
      <c r="AK1498" s="2">
        <v>0.33411255142011298</v>
      </c>
      <c r="AL1498" s="2">
        <v>0.444386755925675</v>
      </c>
      <c r="AM1498" s="2">
        <v>9.8689537749663894E-2</v>
      </c>
      <c r="AN1498" s="2">
        <v>4.4844919515698898</v>
      </c>
      <c r="AO1498" s="2">
        <v>0.27622586608413502</v>
      </c>
      <c r="AP1498" s="2">
        <v>0.27622586608413502</v>
      </c>
      <c r="AQ1498" s="2">
        <v>0</v>
      </c>
      <c r="AR1498" s="2">
        <v>0</v>
      </c>
      <c r="AS1498" s="2">
        <v>7</v>
      </c>
      <c r="AT1498" s="2">
        <v>30</v>
      </c>
      <c r="AU1498" s="2">
        <v>2</v>
      </c>
      <c r="AV1498" s="2">
        <v>97</v>
      </c>
      <c r="AW1498" s="2">
        <v>0</v>
      </c>
      <c r="AX1498" s="2">
        <v>0</v>
      </c>
      <c r="AY1498" s="2">
        <v>15.5</v>
      </c>
      <c r="AZ1498" s="2">
        <v>2.4</v>
      </c>
      <c r="BA1498" s="2">
        <v>10.9</v>
      </c>
      <c r="BB1498" s="2">
        <v>564</v>
      </c>
      <c r="BC1498" s="2">
        <v>68</v>
      </c>
      <c r="BD1498" s="2">
        <v>1.5</v>
      </c>
      <c r="BE1498" s="2">
        <v>135</v>
      </c>
      <c r="BF1498" s="2">
        <v>0</v>
      </c>
      <c r="BG1498" s="2">
        <v>162</v>
      </c>
      <c r="BH1498" s="2">
        <v>9.1</v>
      </c>
      <c r="BI1498" s="2">
        <v>9.1999999999999993</v>
      </c>
      <c r="BJ1498" s="2">
        <v>18.3</v>
      </c>
      <c r="BK1498" s="2">
        <v>0.34</v>
      </c>
      <c r="BL1498" s="2">
        <v>7.3</v>
      </c>
      <c r="BM1498" s="2">
        <v>0.9</v>
      </c>
      <c r="BN1498" s="2">
        <v>7.5</v>
      </c>
      <c r="BO1498" s="2">
        <v>2.9</v>
      </c>
      <c r="BP1498" s="2">
        <f t="shared" si="46"/>
        <v>2.2769232299141495</v>
      </c>
      <c r="BQ1498" s="2">
        <f t="shared" si="47"/>
        <v>10.62530677564849</v>
      </c>
    </row>
    <row r="1499" spans="1:69" x14ac:dyDescent="0.2">
      <c r="A1499" s="2" t="s">
        <v>733</v>
      </c>
      <c r="B1499" s="2" t="s">
        <v>47</v>
      </c>
      <c r="C1499" s="2" t="s">
        <v>48</v>
      </c>
      <c r="D1499" s="2" t="s">
        <v>49</v>
      </c>
      <c r="E1499" s="2" t="s">
        <v>172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89</v>
      </c>
      <c r="L1499" s="6" t="s">
        <v>103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734</v>
      </c>
      <c r="R1499" s="2">
        <v>6695652.1739999996</v>
      </c>
      <c r="S1499" s="2">
        <v>0</v>
      </c>
      <c r="T1499" s="2" t="s">
        <v>83</v>
      </c>
      <c r="U1499" s="2" t="s">
        <v>84</v>
      </c>
      <c r="V1499" s="2" t="s">
        <v>56</v>
      </c>
      <c r="W1499" s="2" t="s">
        <v>83</v>
      </c>
      <c r="X1499" s="2" t="s">
        <v>85</v>
      </c>
      <c r="Y1499" s="2">
        <v>0.93393391841664097</v>
      </c>
      <c r="Z1499" s="2">
        <v>933.93391841664095</v>
      </c>
      <c r="AA1499" s="2">
        <v>4.71035</v>
      </c>
      <c r="AB1499" s="2">
        <v>-74.030416666666696</v>
      </c>
      <c r="AC1499" s="2">
        <v>2570</v>
      </c>
      <c r="AD1499" s="2">
        <v>10</v>
      </c>
      <c r="AE1499" s="2" t="s">
        <v>59</v>
      </c>
      <c r="AF1499" s="2" t="s">
        <v>86</v>
      </c>
      <c r="AG1499" s="2" t="s">
        <v>61</v>
      </c>
      <c r="AH1499" s="2" t="s">
        <v>62</v>
      </c>
      <c r="AI1499" s="2" t="s">
        <v>87</v>
      </c>
      <c r="AJ1499" s="2">
        <v>2.3996547580454299</v>
      </c>
      <c r="AK1499" s="2">
        <v>0.79189781811531601</v>
      </c>
      <c r="AL1499" s="2">
        <v>0.107890277501083</v>
      </c>
      <c r="AM1499" s="2">
        <v>0.13014800336184101</v>
      </c>
      <c r="AN1499" s="2">
        <v>4.3889561073343897</v>
      </c>
      <c r="AO1499" s="2">
        <v>0.50608077900143</v>
      </c>
      <c r="AP1499" s="2">
        <v>0.50608077900143</v>
      </c>
      <c r="AQ1499" s="2">
        <v>0</v>
      </c>
      <c r="AR1499" s="2">
        <v>0</v>
      </c>
      <c r="AS1499" s="2">
        <v>0</v>
      </c>
      <c r="AT1499" s="2">
        <v>13</v>
      </c>
      <c r="AU1499" s="2">
        <v>3</v>
      </c>
      <c r="AV1499" s="2">
        <v>142</v>
      </c>
      <c r="AW1499" s="2">
        <v>0</v>
      </c>
      <c r="AX1499" s="2">
        <v>0</v>
      </c>
      <c r="AY1499" s="2">
        <v>15.5</v>
      </c>
      <c r="AZ1499" s="2">
        <v>2.4</v>
      </c>
      <c r="BA1499" s="2">
        <v>10.9</v>
      </c>
      <c r="BB1499" s="2">
        <v>564</v>
      </c>
      <c r="BC1499" s="2">
        <v>68</v>
      </c>
      <c r="BD1499" s="2">
        <v>1.5</v>
      </c>
      <c r="BE1499" s="2">
        <v>135</v>
      </c>
      <c r="BF1499" s="2">
        <v>0</v>
      </c>
      <c r="BG1499" s="2">
        <v>162</v>
      </c>
      <c r="BH1499" s="2">
        <v>9.1</v>
      </c>
      <c r="BI1499" s="2">
        <v>9.1999999999999993</v>
      </c>
      <c r="BJ1499" s="2">
        <v>18.3</v>
      </c>
      <c r="BK1499" s="2">
        <v>0.34</v>
      </c>
      <c r="BL1499" s="2">
        <v>7.3</v>
      </c>
      <c r="BM1499" s="2">
        <v>0.9</v>
      </c>
      <c r="BN1499" s="2">
        <v>7.5</v>
      </c>
      <c r="BO1499" s="2">
        <v>2.9</v>
      </c>
      <c r="BP1499" s="2">
        <f t="shared" si="46"/>
        <v>2.2915742078204699</v>
      </c>
      <c r="BQ1499" s="2">
        <f t="shared" si="47"/>
        <v>10.658400655803202</v>
      </c>
    </row>
    <row r="1500" spans="1:69" x14ac:dyDescent="0.2">
      <c r="A1500" s="2" t="s">
        <v>679</v>
      </c>
      <c r="B1500" s="2" t="s">
        <v>47</v>
      </c>
      <c r="C1500" s="2" t="s">
        <v>48</v>
      </c>
      <c r="D1500" s="2" t="s">
        <v>49</v>
      </c>
      <c r="E1500" s="2" t="s">
        <v>205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89</v>
      </c>
      <c r="L1500" s="6" t="s">
        <v>112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680</v>
      </c>
      <c r="R1500" s="2">
        <v>7017543.8600000003</v>
      </c>
      <c r="S1500" s="2">
        <v>0</v>
      </c>
      <c r="T1500" s="2" t="s">
        <v>83</v>
      </c>
      <c r="U1500" s="2" t="s">
        <v>84</v>
      </c>
      <c r="V1500" s="2" t="s">
        <v>56</v>
      </c>
      <c r="W1500" s="2" t="s">
        <v>83</v>
      </c>
      <c r="X1500" s="2" t="s">
        <v>85</v>
      </c>
      <c r="Y1500" s="2">
        <v>2.1462085783235998</v>
      </c>
      <c r="Z1500" s="2">
        <v>2146.2085783235998</v>
      </c>
      <c r="AA1500" s="2">
        <v>4.71035</v>
      </c>
      <c r="AB1500" s="2">
        <v>-74.030416666666696</v>
      </c>
      <c r="AC1500" s="2">
        <v>2570</v>
      </c>
      <c r="AD1500" s="2">
        <v>10</v>
      </c>
      <c r="AE1500" s="2" t="s">
        <v>59</v>
      </c>
      <c r="AF1500" s="2" t="s">
        <v>86</v>
      </c>
      <c r="AG1500" s="2" t="s">
        <v>61</v>
      </c>
      <c r="AH1500" s="2" t="s">
        <v>62</v>
      </c>
      <c r="AI1500" s="2" t="s">
        <v>87</v>
      </c>
      <c r="AJ1500" s="2">
        <v>1.7018999370719901</v>
      </c>
      <c r="AK1500" s="2">
        <v>1.55794654329767</v>
      </c>
      <c r="AL1500" s="2">
        <v>1.03439589112021</v>
      </c>
      <c r="AM1500" s="2">
        <v>0.24262463191690101</v>
      </c>
      <c r="AN1500" s="2">
        <v>5.0920889267100602</v>
      </c>
      <c r="AO1500" s="2">
        <v>0.20981103812660701</v>
      </c>
      <c r="AP1500" s="2">
        <v>0.20981103812660701</v>
      </c>
      <c r="AQ1500" s="2">
        <v>0</v>
      </c>
      <c r="AR1500" s="2">
        <v>0</v>
      </c>
      <c r="AS1500" s="2">
        <v>0</v>
      </c>
      <c r="AT1500" s="2">
        <v>0</v>
      </c>
      <c r="AU1500" s="2">
        <v>0</v>
      </c>
      <c r="AV1500" s="2">
        <v>133</v>
      </c>
      <c r="AW1500" s="2">
        <v>0</v>
      </c>
      <c r="AX1500" s="2">
        <v>0</v>
      </c>
      <c r="AY1500" s="2">
        <v>15.5</v>
      </c>
      <c r="AZ1500" s="2">
        <v>2.4</v>
      </c>
      <c r="BA1500" s="2">
        <v>10.9</v>
      </c>
      <c r="BB1500" s="2">
        <v>564</v>
      </c>
      <c r="BC1500" s="2">
        <v>68</v>
      </c>
      <c r="BD1500" s="2">
        <v>1.5</v>
      </c>
      <c r="BE1500" s="2">
        <v>135</v>
      </c>
      <c r="BF1500" s="2">
        <v>0</v>
      </c>
      <c r="BG1500" s="2">
        <v>162</v>
      </c>
      <c r="BH1500" s="2">
        <v>9.1</v>
      </c>
      <c r="BI1500" s="2">
        <v>9.1999999999999993</v>
      </c>
      <c r="BJ1500" s="2">
        <v>18.3</v>
      </c>
      <c r="BK1500" s="2">
        <v>0.34</v>
      </c>
      <c r="BL1500" s="2">
        <v>7.3</v>
      </c>
      <c r="BM1500" s="2">
        <v>0.9</v>
      </c>
      <c r="BN1500" s="2">
        <v>7.5</v>
      </c>
      <c r="BO1500" s="2">
        <v>2.9</v>
      </c>
      <c r="BP1500" s="2">
        <f t="shared" si="46"/>
        <v>2.1581069226814136</v>
      </c>
      <c r="BQ1500" s="2">
        <f t="shared" si="47"/>
        <v>10.352766548397355</v>
      </c>
    </row>
    <row r="1501" spans="1:69" x14ac:dyDescent="0.2">
      <c r="A1501" s="2" t="s">
        <v>547</v>
      </c>
      <c r="B1501" s="2" t="s">
        <v>47</v>
      </c>
      <c r="C1501" s="2" t="s">
        <v>48</v>
      </c>
      <c r="D1501" s="2" t="s">
        <v>49</v>
      </c>
      <c r="E1501" s="2" t="s">
        <v>548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89</v>
      </c>
      <c r="L1501" s="6" t="s">
        <v>112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549</v>
      </c>
      <c r="R1501" s="2">
        <v>11622807.02</v>
      </c>
      <c r="S1501" s="2">
        <v>0</v>
      </c>
      <c r="T1501" s="2" t="s">
        <v>83</v>
      </c>
      <c r="U1501" s="2" t="s">
        <v>84</v>
      </c>
      <c r="V1501" s="2" t="s">
        <v>56</v>
      </c>
      <c r="W1501" s="2" t="s">
        <v>83</v>
      </c>
      <c r="X1501" s="2" t="s">
        <v>85</v>
      </c>
      <c r="Y1501" s="2">
        <v>1.0420834880512699</v>
      </c>
      <c r="Z1501" s="2">
        <v>1042.08348805127</v>
      </c>
      <c r="AA1501" s="2">
        <v>4.71035</v>
      </c>
      <c r="AB1501" s="2">
        <v>-74.030416666666696</v>
      </c>
      <c r="AC1501" s="2">
        <v>2570</v>
      </c>
      <c r="AD1501" s="2">
        <v>10</v>
      </c>
      <c r="AE1501" s="2" t="s">
        <v>59</v>
      </c>
      <c r="AF1501" s="2" t="s">
        <v>86</v>
      </c>
      <c r="AG1501" s="2" t="s">
        <v>61</v>
      </c>
      <c r="AH1501" s="2" t="s">
        <v>62</v>
      </c>
      <c r="AI1501" s="2" t="s">
        <v>87</v>
      </c>
      <c r="AJ1501" s="2">
        <v>2.88041888259816</v>
      </c>
      <c r="AK1501" s="2">
        <v>0.34173767196218602</v>
      </c>
      <c r="AL1501" s="2">
        <v>0.44259311175034499</v>
      </c>
      <c r="AM1501" s="2">
        <v>9.2716555068276293E-2</v>
      </c>
      <c r="AN1501" s="2">
        <v>4.4629071541765803</v>
      </c>
      <c r="AO1501" s="2">
        <v>0.25653747605254201</v>
      </c>
      <c r="AP1501" s="2">
        <v>0.25653747605254201</v>
      </c>
      <c r="AQ1501" s="2">
        <v>0</v>
      </c>
      <c r="AR1501" s="2">
        <v>0</v>
      </c>
      <c r="AS1501" s="2">
        <v>10</v>
      </c>
      <c r="AT1501" s="2">
        <v>31</v>
      </c>
      <c r="AU1501" s="2">
        <v>2</v>
      </c>
      <c r="AV1501" s="2">
        <v>97</v>
      </c>
      <c r="AW1501" s="2">
        <v>0</v>
      </c>
      <c r="AX1501" s="2">
        <v>0</v>
      </c>
      <c r="AY1501" s="2">
        <v>15.5</v>
      </c>
      <c r="AZ1501" s="2">
        <v>2.4</v>
      </c>
      <c r="BA1501" s="2">
        <v>10.9</v>
      </c>
      <c r="BB1501" s="2">
        <v>564</v>
      </c>
      <c r="BC1501" s="2">
        <v>68</v>
      </c>
      <c r="BD1501" s="2">
        <v>1.5</v>
      </c>
      <c r="BE1501" s="2">
        <v>135</v>
      </c>
      <c r="BF1501" s="2">
        <v>0</v>
      </c>
      <c r="BG1501" s="2">
        <v>162</v>
      </c>
      <c r="BH1501" s="2">
        <v>9.1</v>
      </c>
      <c r="BI1501" s="2">
        <v>9.1999999999999993</v>
      </c>
      <c r="BJ1501" s="2">
        <v>18.3</v>
      </c>
      <c r="BK1501" s="2">
        <v>0.34</v>
      </c>
      <c r="BL1501" s="2">
        <v>7.3</v>
      </c>
      <c r="BM1501" s="2">
        <v>0.9</v>
      </c>
      <c r="BN1501" s="2">
        <v>7.5</v>
      </c>
      <c r="BO1501" s="2">
        <v>2.9</v>
      </c>
      <c r="BP1501" s="2">
        <f t="shared" si="46"/>
        <v>2.2793392644999915</v>
      </c>
      <c r="BQ1501" s="2">
        <f t="shared" si="47"/>
        <v>10.630771693385451</v>
      </c>
    </row>
    <row r="1502" spans="1:69" x14ac:dyDescent="0.2">
      <c r="A1502" s="2" t="s">
        <v>3262</v>
      </c>
      <c r="B1502" s="2" t="s">
        <v>47</v>
      </c>
      <c r="C1502" s="2" t="s">
        <v>1935</v>
      </c>
      <c r="D1502" s="2" t="s">
        <v>49</v>
      </c>
      <c r="E1502" s="2" t="s">
        <v>184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89</v>
      </c>
      <c r="L1502" s="6" t="s">
        <v>141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3263</v>
      </c>
      <c r="R1502" s="2">
        <v>4845814.9780000001</v>
      </c>
      <c r="S1502" s="2">
        <v>0</v>
      </c>
      <c r="T1502" s="2" t="s">
        <v>83</v>
      </c>
      <c r="U1502" s="2" t="s">
        <v>84</v>
      </c>
      <c r="V1502" s="2" t="s">
        <v>56</v>
      </c>
      <c r="W1502" s="2" t="s">
        <v>83</v>
      </c>
      <c r="X1502" s="2" t="s">
        <v>85</v>
      </c>
      <c r="Y1502" s="2">
        <v>1.9516071045152199</v>
      </c>
      <c r="Z1502" s="2">
        <v>1951.60710451522</v>
      </c>
      <c r="AA1502" s="2">
        <v>4.71035</v>
      </c>
      <c r="AB1502" s="2">
        <v>-74.030416666666696</v>
      </c>
      <c r="AC1502" s="2">
        <v>2570</v>
      </c>
      <c r="AD1502" s="2">
        <v>10</v>
      </c>
      <c r="AE1502" s="2" t="s">
        <v>59</v>
      </c>
      <c r="AF1502" s="2" t="s">
        <v>86</v>
      </c>
      <c r="AG1502" s="2" t="s">
        <v>61</v>
      </c>
      <c r="AH1502" s="2" t="s">
        <v>62</v>
      </c>
      <c r="AI1502" s="2" t="s">
        <v>87</v>
      </c>
      <c r="AJ1502" s="2">
        <v>1.75722190553306</v>
      </c>
      <c r="AK1502" s="2">
        <v>1.43862422745067</v>
      </c>
      <c r="AL1502" s="2">
        <v>0.86713965387172698</v>
      </c>
      <c r="AM1502" s="2">
        <v>3.7856728126562503E-2</v>
      </c>
      <c r="AN1502" s="2">
        <v>1.7716118148592499</v>
      </c>
      <c r="AO1502" s="2">
        <v>0.113982118723631</v>
      </c>
      <c r="AP1502" s="2">
        <v>0.113982118723631</v>
      </c>
      <c r="AQ1502" s="2">
        <v>0</v>
      </c>
      <c r="AR1502" s="2">
        <v>0</v>
      </c>
      <c r="AS1502" s="2">
        <v>0</v>
      </c>
      <c r="AT1502" s="2">
        <v>0</v>
      </c>
      <c r="AU1502" s="2">
        <v>1</v>
      </c>
      <c r="AV1502" s="2">
        <v>9</v>
      </c>
      <c r="AW1502" s="2">
        <v>0</v>
      </c>
      <c r="AX1502" s="2">
        <v>0</v>
      </c>
      <c r="AY1502" s="2">
        <v>15.5</v>
      </c>
      <c r="AZ1502" s="2">
        <v>2.4</v>
      </c>
      <c r="BA1502" s="2">
        <v>10.9</v>
      </c>
      <c r="BB1502" s="2">
        <v>564</v>
      </c>
      <c r="BC1502" s="2">
        <v>68</v>
      </c>
      <c r="BD1502" s="2">
        <v>1.5</v>
      </c>
      <c r="BE1502" s="2">
        <v>135</v>
      </c>
      <c r="BF1502" s="2">
        <v>0</v>
      </c>
      <c r="BG1502" s="2">
        <v>162</v>
      </c>
      <c r="BH1502" s="2">
        <v>9.1</v>
      </c>
      <c r="BI1502" s="2">
        <v>9.1999999999999993</v>
      </c>
      <c r="BJ1502" s="2">
        <v>18.3</v>
      </c>
      <c r="BK1502" s="2">
        <v>0.34</v>
      </c>
      <c r="BL1502" s="2">
        <v>7.3</v>
      </c>
      <c r="BM1502" s="2">
        <v>0.9</v>
      </c>
      <c r="BN1502" s="2">
        <v>7.5</v>
      </c>
      <c r="BO1502" s="2">
        <v>2.9</v>
      </c>
      <c r="BP1502" s="2">
        <f t="shared" si="46"/>
        <v>2.1789959246591448</v>
      </c>
      <c r="BQ1502" s="2">
        <f t="shared" si="47"/>
        <v>10.401231563740701</v>
      </c>
    </row>
    <row r="1503" spans="1:69" x14ac:dyDescent="0.2">
      <c r="A1503" s="2" t="s">
        <v>168</v>
      </c>
      <c r="B1503" s="2" t="s">
        <v>47</v>
      </c>
      <c r="C1503" s="2" t="s">
        <v>48</v>
      </c>
      <c r="D1503" s="2" t="s">
        <v>49</v>
      </c>
      <c r="E1503" s="2" t="s">
        <v>169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89</v>
      </c>
      <c r="L1503" s="6" t="s">
        <v>141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170</v>
      </c>
      <c r="R1503" s="2">
        <v>6666666.6670000004</v>
      </c>
      <c r="S1503" s="2">
        <v>0</v>
      </c>
      <c r="T1503" s="2" t="s">
        <v>83</v>
      </c>
      <c r="U1503" s="2" t="s">
        <v>84</v>
      </c>
      <c r="V1503" s="2" t="s">
        <v>56</v>
      </c>
      <c r="W1503" s="2" t="s">
        <v>83</v>
      </c>
      <c r="X1503" s="2" t="s">
        <v>85</v>
      </c>
      <c r="Y1503" s="2">
        <v>3.2349134079862498</v>
      </c>
      <c r="Z1503" s="2">
        <v>3234.9134079862501</v>
      </c>
      <c r="AA1503" s="2">
        <v>4.71035</v>
      </c>
      <c r="AB1503" s="2">
        <v>-74.030416666666696</v>
      </c>
      <c r="AC1503" s="2">
        <v>2570</v>
      </c>
      <c r="AD1503" s="2">
        <v>10</v>
      </c>
      <c r="AE1503" s="2" t="s">
        <v>59</v>
      </c>
      <c r="AF1503" s="2" t="s">
        <v>86</v>
      </c>
      <c r="AG1503" s="2" t="s">
        <v>61</v>
      </c>
      <c r="AH1503" s="2" t="s">
        <v>62</v>
      </c>
      <c r="AI1503" s="2" t="s">
        <v>87</v>
      </c>
      <c r="AJ1503" s="2">
        <v>1.3321404588715999</v>
      </c>
      <c r="AK1503" s="2">
        <v>1.31634918434827</v>
      </c>
      <c r="AL1503" s="2">
        <v>0.58614912944882003</v>
      </c>
      <c r="AM1503" s="2">
        <v>0.14075677572558201</v>
      </c>
      <c r="AN1503" s="2">
        <v>4.2057627505340403</v>
      </c>
      <c r="AO1503" s="2">
        <v>0.46070594476870202</v>
      </c>
      <c r="AP1503" s="2">
        <v>0.46070594476870202</v>
      </c>
      <c r="AQ1503" s="2">
        <v>0</v>
      </c>
      <c r="AR1503" s="2">
        <v>0</v>
      </c>
      <c r="AS1503" s="2">
        <v>0</v>
      </c>
      <c r="AT1503" s="2">
        <v>0</v>
      </c>
      <c r="AU1503" s="2">
        <v>6</v>
      </c>
      <c r="AV1503" s="2">
        <v>132</v>
      </c>
      <c r="AW1503" s="2">
        <v>0</v>
      </c>
      <c r="AX1503" s="2">
        <v>0</v>
      </c>
      <c r="AY1503" s="2">
        <v>15.5</v>
      </c>
      <c r="AZ1503" s="2">
        <v>2.4</v>
      </c>
      <c r="BA1503" s="2">
        <v>10.9</v>
      </c>
      <c r="BB1503" s="2">
        <v>564</v>
      </c>
      <c r="BC1503" s="2">
        <v>68</v>
      </c>
      <c r="BD1503" s="2">
        <v>1.5</v>
      </c>
      <c r="BE1503" s="2">
        <v>135</v>
      </c>
      <c r="BF1503" s="2">
        <v>0</v>
      </c>
      <c r="BG1503" s="2">
        <v>162</v>
      </c>
      <c r="BH1503" s="2">
        <v>9.1</v>
      </c>
      <c r="BI1503" s="2">
        <v>9.1999999999999993</v>
      </c>
      <c r="BJ1503" s="2">
        <v>18.3</v>
      </c>
      <c r="BK1503" s="2">
        <v>0.34</v>
      </c>
      <c r="BL1503" s="2">
        <v>7.3</v>
      </c>
      <c r="BM1503" s="2">
        <v>0.9</v>
      </c>
      <c r="BN1503" s="2">
        <v>7.5</v>
      </c>
      <c r="BO1503" s="2">
        <v>2.9</v>
      </c>
      <c r="BP1503" s="2">
        <f t="shared" si="46"/>
        <v>2.0448828947181004</v>
      </c>
      <c r="BQ1503" s="2">
        <f t="shared" si="47"/>
        <v>10.085763423429396</v>
      </c>
    </row>
    <row r="1504" spans="1:69" x14ac:dyDescent="0.2">
      <c r="A1504" s="2" t="s">
        <v>1013</v>
      </c>
      <c r="B1504" s="2" t="s">
        <v>47</v>
      </c>
      <c r="C1504" s="2" t="s">
        <v>48</v>
      </c>
      <c r="D1504" s="2" t="s">
        <v>49</v>
      </c>
      <c r="E1504" s="2" t="s">
        <v>1014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89</v>
      </c>
      <c r="L1504" s="6" t="s">
        <v>103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1015</v>
      </c>
      <c r="R1504" s="2">
        <v>9151785.7139999997</v>
      </c>
      <c r="S1504" s="2">
        <v>0</v>
      </c>
      <c r="T1504" s="2" t="s">
        <v>83</v>
      </c>
      <c r="U1504" s="2" t="s">
        <v>84</v>
      </c>
      <c r="V1504" s="2" t="s">
        <v>56</v>
      </c>
      <c r="W1504" s="2" t="s">
        <v>83</v>
      </c>
      <c r="X1504" s="2" t="s">
        <v>85</v>
      </c>
      <c r="Y1504" s="2">
        <v>0.98117670222938203</v>
      </c>
      <c r="Z1504" s="2">
        <v>981.17670222938204</v>
      </c>
      <c r="AA1504" s="2">
        <v>4.71035</v>
      </c>
      <c r="AB1504" s="2">
        <v>-74.030416666666696</v>
      </c>
      <c r="AC1504" s="2">
        <v>2570</v>
      </c>
      <c r="AD1504" s="2">
        <v>10</v>
      </c>
      <c r="AE1504" s="2" t="s">
        <v>59</v>
      </c>
      <c r="AF1504" s="2" t="s">
        <v>86</v>
      </c>
      <c r="AG1504" s="2" t="s">
        <v>61</v>
      </c>
      <c r="AH1504" s="2" t="s">
        <v>62</v>
      </c>
      <c r="AI1504" s="2" t="s">
        <v>87</v>
      </c>
      <c r="AJ1504" s="2">
        <v>2.7915837415625102</v>
      </c>
      <c r="AK1504" s="2">
        <v>0.350381430446569</v>
      </c>
      <c r="AL1504" s="2">
        <v>1.08475183395335</v>
      </c>
      <c r="AM1504" s="2">
        <v>0.38738978774410898</v>
      </c>
      <c r="AN1504" s="2">
        <v>2.5760940856471799</v>
      </c>
      <c r="AO1504" s="2">
        <v>0.24950284923650901</v>
      </c>
      <c r="AP1504" s="2">
        <v>0.24950284923650901</v>
      </c>
      <c r="AQ1504" s="2">
        <v>0</v>
      </c>
      <c r="AR1504" s="2">
        <v>0</v>
      </c>
      <c r="AS1504" s="2">
        <v>9</v>
      </c>
      <c r="AT1504" s="2">
        <v>36</v>
      </c>
      <c r="AU1504" s="2">
        <v>0</v>
      </c>
      <c r="AV1504" s="2">
        <v>68</v>
      </c>
      <c r="AW1504" s="2">
        <v>0</v>
      </c>
      <c r="AX1504" s="2">
        <v>0</v>
      </c>
      <c r="AY1504" s="2">
        <v>15.5</v>
      </c>
      <c r="AZ1504" s="2">
        <v>2.4</v>
      </c>
      <c r="BA1504" s="2">
        <v>10.9</v>
      </c>
      <c r="BB1504" s="2">
        <v>564</v>
      </c>
      <c r="BC1504" s="2">
        <v>68</v>
      </c>
      <c r="BD1504" s="2">
        <v>1.5</v>
      </c>
      <c r="BE1504" s="2">
        <v>135</v>
      </c>
      <c r="BF1504" s="2">
        <v>0</v>
      </c>
      <c r="BG1504" s="2">
        <v>162</v>
      </c>
      <c r="BH1504" s="2">
        <v>9.1</v>
      </c>
      <c r="BI1504" s="2">
        <v>9.1999999999999993</v>
      </c>
      <c r="BJ1504" s="2">
        <v>18.3</v>
      </c>
      <c r="BK1504" s="2">
        <v>0.34</v>
      </c>
      <c r="BL1504" s="2">
        <v>7.3</v>
      </c>
      <c r="BM1504" s="2">
        <v>0.9</v>
      </c>
      <c r="BN1504" s="2">
        <v>7.5</v>
      </c>
      <c r="BO1504" s="2">
        <v>2.9</v>
      </c>
      <c r="BP1504" s="2">
        <f t="shared" si="46"/>
        <v>2.2862215817932969</v>
      </c>
      <c r="BQ1504" s="2">
        <f t="shared" si="47"/>
        <v>10.646322723807357</v>
      </c>
    </row>
    <row r="1505" spans="1:69" x14ac:dyDescent="0.2">
      <c r="A1505" s="2" t="s">
        <v>2359</v>
      </c>
      <c r="B1505" s="2" t="s">
        <v>47</v>
      </c>
      <c r="C1505" s="2" t="s">
        <v>1935</v>
      </c>
      <c r="D1505" s="2" t="s">
        <v>49</v>
      </c>
      <c r="E1505" s="2" t="s">
        <v>961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89</v>
      </c>
      <c r="L1505" s="6" t="s">
        <v>141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2360</v>
      </c>
      <c r="R1505" s="2">
        <v>6561085.9730000002</v>
      </c>
      <c r="S1505" s="2">
        <v>0</v>
      </c>
      <c r="T1505" s="2" t="s">
        <v>83</v>
      </c>
      <c r="U1505" s="2" t="s">
        <v>84</v>
      </c>
      <c r="V1505" s="2" t="s">
        <v>56</v>
      </c>
      <c r="W1505" s="2" t="s">
        <v>83</v>
      </c>
      <c r="X1505" s="2" t="s">
        <v>85</v>
      </c>
      <c r="Y1505" s="2">
        <v>2.4488427528260499</v>
      </c>
      <c r="Z1505" s="2">
        <v>2448.8427528260499</v>
      </c>
      <c r="AA1505" s="2">
        <v>4.71035</v>
      </c>
      <c r="AB1505" s="2">
        <v>-74.030416666666696</v>
      </c>
      <c r="AC1505" s="2">
        <v>2570</v>
      </c>
      <c r="AD1505" s="2">
        <v>10</v>
      </c>
      <c r="AE1505" s="2" t="s">
        <v>59</v>
      </c>
      <c r="AF1505" s="2" t="s">
        <v>86</v>
      </c>
      <c r="AG1505" s="2" t="s">
        <v>61</v>
      </c>
      <c r="AH1505" s="2" t="s">
        <v>62</v>
      </c>
      <c r="AI1505" s="2" t="s">
        <v>87</v>
      </c>
      <c r="AJ1505" s="2">
        <v>0.52475807881361802</v>
      </c>
      <c r="AK1505" s="2">
        <v>3.0397357872228499</v>
      </c>
      <c r="AL1505" s="2">
        <v>1.848535655224</v>
      </c>
      <c r="AM1505" s="2">
        <v>0.201971599773002</v>
      </c>
      <c r="AN1505" s="2">
        <v>4.5215841984442502</v>
      </c>
      <c r="AO1505" s="2">
        <v>0.15598142106059201</v>
      </c>
      <c r="AP1505" s="2">
        <v>0.15598142106059201</v>
      </c>
      <c r="AQ1505" s="2">
        <v>0</v>
      </c>
      <c r="AR1505" s="2">
        <v>2</v>
      </c>
      <c r="AS1505" s="2">
        <v>0</v>
      </c>
      <c r="AT1505" s="2">
        <v>0</v>
      </c>
      <c r="AU1505" s="2">
        <v>0</v>
      </c>
      <c r="AV1505" s="2">
        <v>105</v>
      </c>
      <c r="AW1505" s="2">
        <v>0</v>
      </c>
      <c r="AX1505" s="2">
        <v>0</v>
      </c>
      <c r="AY1505" s="2">
        <v>15.5</v>
      </c>
      <c r="AZ1505" s="2">
        <v>2.4</v>
      </c>
      <c r="BA1505" s="2">
        <v>10.9</v>
      </c>
      <c r="BB1505" s="2">
        <v>564</v>
      </c>
      <c r="BC1505" s="2">
        <v>68</v>
      </c>
      <c r="BD1505" s="2">
        <v>1.5</v>
      </c>
      <c r="BE1505" s="2">
        <v>135</v>
      </c>
      <c r="BF1505" s="2">
        <v>0</v>
      </c>
      <c r="BG1505" s="2">
        <v>162</v>
      </c>
      <c r="BH1505" s="2">
        <v>9.1</v>
      </c>
      <c r="BI1505" s="2">
        <v>9.1999999999999993</v>
      </c>
      <c r="BJ1505" s="2">
        <v>18.3</v>
      </c>
      <c r="BK1505" s="2">
        <v>0.34</v>
      </c>
      <c r="BL1505" s="2">
        <v>7.3</v>
      </c>
      <c r="BM1505" s="2">
        <v>0.9</v>
      </c>
      <c r="BN1505" s="2">
        <v>7.5</v>
      </c>
      <c r="BO1505" s="2">
        <v>2.9</v>
      </c>
      <c r="BP1505" s="2">
        <f t="shared" si="46"/>
        <v>2.1260185838070562</v>
      </c>
      <c r="BQ1505" s="2">
        <f t="shared" si="47"/>
        <v>10.277844542286065</v>
      </c>
    </row>
    <row r="1506" spans="1:69" x14ac:dyDescent="0.2">
      <c r="A1506" s="2" t="s">
        <v>2115</v>
      </c>
      <c r="B1506" s="2" t="s">
        <v>47</v>
      </c>
      <c r="C1506" s="2" t="s">
        <v>1935</v>
      </c>
      <c r="D1506" s="2" t="s">
        <v>49</v>
      </c>
      <c r="E1506" s="2" t="s">
        <v>189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89</v>
      </c>
      <c r="L1506" s="6" t="s">
        <v>141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2116</v>
      </c>
      <c r="R1506" s="2">
        <v>5454545.4550000001</v>
      </c>
      <c r="S1506" s="2">
        <v>0</v>
      </c>
      <c r="T1506" s="2" t="s">
        <v>83</v>
      </c>
      <c r="U1506" s="2" t="s">
        <v>84</v>
      </c>
      <c r="V1506" s="2" t="s">
        <v>56</v>
      </c>
      <c r="W1506" s="2" t="s">
        <v>83</v>
      </c>
      <c r="X1506" s="2" t="s">
        <v>85</v>
      </c>
      <c r="Y1506" s="2">
        <v>3.04745748936294</v>
      </c>
      <c r="Z1506" s="2">
        <v>3047.4574893629401</v>
      </c>
      <c r="AA1506" s="2">
        <v>4.71035</v>
      </c>
      <c r="AB1506" s="2">
        <v>-74.030416666666696</v>
      </c>
      <c r="AC1506" s="2">
        <v>2570</v>
      </c>
      <c r="AD1506" s="2">
        <v>10</v>
      </c>
      <c r="AE1506" s="2" t="s">
        <v>59</v>
      </c>
      <c r="AF1506" s="2" t="s">
        <v>86</v>
      </c>
      <c r="AG1506" s="2" t="s">
        <v>61</v>
      </c>
      <c r="AH1506" s="2" t="s">
        <v>62</v>
      </c>
      <c r="AI1506" s="2" t="s">
        <v>87</v>
      </c>
      <c r="AJ1506" s="2">
        <v>0.250583263397886</v>
      </c>
      <c r="AK1506" s="2">
        <v>2.7742345977021499</v>
      </c>
      <c r="AL1506" s="2">
        <v>0.56545938036127796</v>
      </c>
      <c r="AM1506" s="2">
        <v>0.12307136374926</v>
      </c>
      <c r="AN1506" s="2">
        <v>3.96542634999112</v>
      </c>
      <c r="AO1506" s="2">
        <v>0.26449305980564802</v>
      </c>
      <c r="AP1506" s="2">
        <v>0.26449305980564802</v>
      </c>
      <c r="AQ1506" s="2">
        <v>2</v>
      </c>
      <c r="AR1506" s="2">
        <v>3</v>
      </c>
      <c r="AS1506" s="2">
        <v>0</v>
      </c>
      <c r="AT1506" s="2">
        <v>0</v>
      </c>
      <c r="AU1506" s="2">
        <v>3</v>
      </c>
      <c r="AV1506" s="2">
        <v>157</v>
      </c>
      <c r="AW1506" s="2">
        <v>0</v>
      </c>
      <c r="AX1506" s="2">
        <v>0</v>
      </c>
      <c r="AY1506" s="2">
        <v>15.5</v>
      </c>
      <c r="AZ1506" s="2">
        <v>2.4</v>
      </c>
      <c r="BA1506" s="2">
        <v>10.9</v>
      </c>
      <c r="BB1506" s="2">
        <v>564</v>
      </c>
      <c r="BC1506" s="2">
        <v>68</v>
      </c>
      <c r="BD1506" s="2">
        <v>1.5</v>
      </c>
      <c r="BE1506" s="2">
        <v>135</v>
      </c>
      <c r="BF1506" s="2">
        <v>0</v>
      </c>
      <c r="BG1506" s="2">
        <v>162</v>
      </c>
      <c r="BH1506" s="2">
        <v>9.1</v>
      </c>
      <c r="BI1506" s="2">
        <v>9.1999999999999993</v>
      </c>
      <c r="BJ1506" s="2">
        <v>18.3</v>
      </c>
      <c r="BK1506" s="2">
        <v>0.34</v>
      </c>
      <c r="BL1506" s="2">
        <v>7.3</v>
      </c>
      <c r="BM1506" s="2">
        <v>0.9</v>
      </c>
      <c r="BN1506" s="2">
        <v>7.5</v>
      </c>
      <c r="BO1506" s="2">
        <v>2.9</v>
      </c>
      <c r="BP1506" s="2">
        <f t="shared" si="46"/>
        <v>2.0639458083503786</v>
      </c>
      <c r="BQ1506" s="2">
        <f t="shared" si="47"/>
        <v>10.131240912156704</v>
      </c>
    </row>
    <row r="1507" spans="1:69" x14ac:dyDescent="0.2">
      <c r="A1507" s="2" t="s">
        <v>852</v>
      </c>
      <c r="B1507" s="2" t="s">
        <v>47</v>
      </c>
      <c r="C1507" s="2" t="s">
        <v>48</v>
      </c>
      <c r="D1507" s="2" t="s">
        <v>49</v>
      </c>
      <c r="E1507" s="2" t="s">
        <v>853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89</v>
      </c>
      <c r="L1507" s="6" t="s">
        <v>141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854</v>
      </c>
      <c r="R1507" s="2">
        <v>5681818.182</v>
      </c>
      <c r="S1507" s="2">
        <v>0</v>
      </c>
      <c r="T1507" s="2" t="s">
        <v>83</v>
      </c>
      <c r="U1507" s="2" t="s">
        <v>84</v>
      </c>
      <c r="V1507" s="2" t="s">
        <v>56</v>
      </c>
      <c r="W1507" s="2" t="s">
        <v>83</v>
      </c>
      <c r="X1507" s="2" t="s">
        <v>85</v>
      </c>
      <c r="Y1507" s="2">
        <v>1.8400269308816199</v>
      </c>
      <c r="Z1507" s="2">
        <v>1840.02693088162</v>
      </c>
      <c r="AA1507" s="2">
        <v>4.71035</v>
      </c>
      <c r="AB1507" s="2">
        <v>-74.030416666666696</v>
      </c>
      <c r="AC1507" s="2">
        <v>2570</v>
      </c>
      <c r="AD1507" s="2">
        <v>10</v>
      </c>
      <c r="AE1507" s="2" t="s">
        <v>59</v>
      </c>
      <c r="AF1507" s="2" t="s">
        <v>86</v>
      </c>
      <c r="AG1507" s="2" t="s">
        <v>61</v>
      </c>
      <c r="AH1507" s="2" t="s">
        <v>62</v>
      </c>
      <c r="AI1507" s="2" t="s">
        <v>87</v>
      </c>
      <c r="AJ1507" s="2">
        <v>2.8402580858973501</v>
      </c>
      <c r="AK1507" s="2">
        <v>0.37250271345462999</v>
      </c>
      <c r="AL1507" s="2">
        <v>1.86372487270688</v>
      </c>
      <c r="AM1507" s="2">
        <v>0.194618848326084</v>
      </c>
      <c r="AN1507" s="2">
        <v>1.74701100076933</v>
      </c>
      <c r="AO1507" s="2">
        <v>0.611621544947338</v>
      </c>
      <c r="AP1507" s="2">
        <v>0.611621544947338</v>
      </c>
      <c r="AQ1507" s="2">
        <v>0</v>
      </c>
      <c r="AR1507" s="2">
        <v>0</v>
      </c>
      <c r="AS1507" s="2">
        <v>11</v>
      </c>
      <c r="AT1507" s="2">
        <v>34</v>
      </c>
      <c r="AU1507" s="2">
        <v>0</v>
      </c>
      <c r="AV1507" s="2">
        <v>7</v>
      </c>
      <c r="AW1507" s="2">
        <v>0</v>
      </c>
      <c r="AX1507" s="2">
        <v>0</v>
      </c>
      <c r="AY1507" s="2">
        <v>15.5</v>
      </c>
      <c r="AZ1507" s="2">
        <v>2.4</v>
      </c>
      <c r="BA1507" s="2">
        <v>10.9</v>
      </c>
      <c r="BB1507" s="2">
        <v>564</v>
      </c>
      <c r="BC1507" s="2">
        <v>68</v>
      </c>
      <c r="BD1507" s="2">
        <v>1.5</v>
      </c>
      <c r="BE1507" s="2">
        <v>135</v>
      </c>
      <c r="BF1507" s="2">
        <v>0</v>
      </c>
      <c r="BG1507" s="2">
        <v>162</v>
      </c>
      <c r="BH1507" s="2">
        <v>9.1</v>
      </c>
      <c r="BI1507" s="2">
        <v>9.1999999999999993</v>
      </c>
      <c r="BJ1507" s="2">
        <v>18.3</v>
      </c>
      <c r="BK1507" s="2">
        <v>0.34</v>
      </c>
      <c r="BL1507" s="2">
        <v>7.3</v>
      </c>
      <c r="BM1507" s="2">
        <v>0.9</v>
      </c>
      <c r="BN1507" s="2">
        <v>7.5</v>
      </c>
      <c r="BO1507" s="2">
        <v>2.9</v>
      </c>
      <c r="BP1507" s="2">
        <f t="shared" si="46"/>
        <v>2.1910642929065793</v>
      </c>
      <c r="BQ1507" s="2">
        <f t="shared" si="47"/>
        <v>10.429122601488105</v>
      </c>
    </row>
    <row r="1508" spans="1:69" x14ac:dyDescent="0.2">
      <c r="A1508" s="2" t="s">
        <v>876</v>
      </c>
      <c r="B1508" s="2" t="s">
        <v>47</v>
      </c>
      <c r="C1508" s="2" t="s">
        <v>48</v>
      </c>
      <c r="D1508" s="2" t="s">
        <v>49</v>
      </c>
      <c r="E1508" s="2" t="s">
        <v>81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89</v>
      </c>
      <c r="L1508" s="6" t="s">
        <v>112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877</v>
      </c>
      <c r="R1508" s="2">
        <v>10454545.449999999</v>
      </c>
      <c r="S1508" s="2">
        <v>0</v>
      </c>
      <c r="T1508" s="2" t="s">
        <v>83</v>
      </c>
      <c r="U1508" s="2" t="s">
        <v>84</v>
      </c>
      <c r="V1508" s="2" t="s">
        <v>56</v>
      </c>
      <c r="W1508" s="2" t="s">
        <v>83</v>
      </c>
      <c r="X1508" s="2" t="s">
        <v>85</v>
      </c>
      <c r="Y1508" s="2">
        <v>1.57969278464966</v>
      </c>
      <c r="Z1508" s="2">
        <v>1579.6927846496601</v>
      </c>
      <c r="AA1508" s="2">
        <v>4.71035</v>
      </c>
      <c r="AB1508" s="2">
        <v>-74.030416666666696</v>
      </c>
      <c r="AC1508" s="2">
        <v>2570</v>
      </c>
      <c r="AD1508" s="2">
        <v>10</v>
      </c>
      <c r="AE1508" s="2" t="s">
        <v>59</v>
      </c>
      <c r="AF1508" s="2" t="s">
        <v>86</v>
      </c>
      <c r="AG1508" s="2" t="s">
        <v>61</v>
      </c>
      <c r="AH1508" s="2" t="s">
        <v>62</v>
      </c>
      <c r="AI1508" s="2" t="s">
        <v>87</v>
      </c>
      <c r="AJ1508" s="2">
        <v>1.6555885209032</v>
      </c>
      <c r="AK1508" s="2">
        <v>1.57591702226459</v>
      </c>
      <c r="AL1508" s="2">
        <v>0.85658535810318104</v>
      </c>
      <c r="AM1508" s="2">
        <v>6.5747557010965699E-2</v>
      </c>
      <c r="AN1508" s="2">
        <v>4.8319995098427597</v>
      </c>
      <c r="AO1508" s="2">
        <v>2.9681819786046299E-2</v>
      </c>
      <c r="AP1508" s="2">
        <v>2.9681819786046299E-2</v>
      </c>
      <c r="AQ1508" s="2">
        <v>0</v>
      </c>
      <c r="AR1508" s="2">
        <v>0</v>
      </c>
      <c r="AS1508" s="2">
        <v>0</v>
      </c>
      <c r="AT1508" s="2">
        <v>0</v>
      </c>
      <c r="AU1508" s="2">
        <v>1</v>
      </c>
      <c r="AV1508" s="2">
        <v>135</v>
      </c>
      <c r="AW1508" s="2">
        <v>0</v>
      </c>
      <c r="AX1508" s="2">
        <v>0</v>
      </c>
      <c r="AY1508" s="2">
        <v>15.5</v>
      </c>
      <c r="AZ1508" s="2">
        <v>2.4</v>
      </c>
      <c r="BA1508" s="2">
        <v>10.9</v>
      </c>
      <c r="BB1508" s="2">
        <v>564</v>
      </c>
      <c r="BC1508" s="2">
        <v>68</v>
      </c>
      <c r="BD1508" s="2">
        <v>1.5</v>
      </c>
      <c r="BE1508" s="2">
        <v>135</v>
      </c>
      <c r="BF1508" s="2">
        <v>0</v>
      </c>
      <c r="BG1508" s="2">
        <v>162</v>
      </c>
      <c r="BH1508" s="2">
        <v>9.1</v>
      </c>
      <c r="BI1508" s="2">
        <v>9.1999999999999993</v>
      </c>
      <c r="BJ1508" s="2">
        <v>18.3</v>
      </c>
      <c r="BK1508" s="2">
        <v>0.34</v>
      </c>
      <c r="BL1508" s="2">
        <v>7.3</v>
      </c>
      <c r="BM1508" s="2">
        <v>0.9</v>
      </c>
      <c r="BN1508" s="2">
        <v>7.5</v>
      </c>
      <c r="BO1508" s="2">
        <v>2.9</v>
      </c>
      <c r="BP1508" s="2">
        <f t="shared" si="46"/>
        <v>2.2194822423437981</v>
      </c>
      <c r="BQ1508" s="2">
        <f t="shared" si="47"/>
        <v>10.494487952320627</v>
      </c>
    </row>
    <row r="1509" spans="1:69" x14ac:dyDescent="0.2">
      <c r="A1509" s="2" t="s">
        <v>567</v>
      </c>
      <c r="B1509" s="2" t="s">
        <v>47</v>
      </c>
      <c r="C1509" s="2" t="s">
        <v>48</v>
      </c>
      <c r="D1509" s="2" t="s">
        <v>49</v>
      </c>
      <c r="E1509" s="2" t="s">
        <v>52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89</v>
      </c>
      <c r="L1509" s="6" t="s">
        <v>112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568</v>
      </c>
      <c r="R1509" s="2">
        <v>10454545.449999999</v>
      </c>
      <c r="S1509" s="2">
        <v>0</v>
      </c>
      <c r="T1509" s="2" t="s">
        <v>83</v>
      </c>
      <c r="U1509" s="2" t="s">
        <v>84</v>
      </c>
      <c r="V1509" s="2" t="s">
        <v>56</v>
      </c>
      <c r="W1509" s="2" t="s">
        <v>83</v>
      </c>
      <c r="X1509" s="2" t="s">
        <v>85</v>
      </c>
      <c r="Y1509" s="2">
        <v>1.57944001353351</v>
      </c>
      <c r="Z1509" s="2">
        <v>1579.44001353351</v>
      </c>
      <c r="AA1509" s="2">
        <v>4.71035</v>
      </c>
      <c r="AB1509" s="2">
        <v>-74.030416666666696</v>
      </c>
      <c r="AC1509" s="2">
        <v>2570</v>
      </c>
      <c r="AD1509" s="2">
        <v>10</v>
      </c>
      <c r="AE1509" s="2" t="s">
        <v>59</v>
      </c>
      <c r="AF1509" s="2" t="s">
        <v>86</v>
      </c>
      <c r="AG1509" s="2" t="s">
        <v>61</v>
      </c>
      <c r="AH1509" s="2" t="s">
        <v>62</v>
      </c>
      <c r="AI1509" s="2" t="s">
        <v>87</v>
      </c>
      <c r="AJ1509" s="2">
        <v>1.65597201736709</v>
      </c>
      <c r="AK1509" s="2">
        <v>1.57551949840289</v>
      </c>
      <c r="AL1509" s="2">
        <v>0.85619920507939795</v>
      </c>
      <c r="AM1509" s="2">
        <v>6.5409200609849893E-2</v>
      </c>
      <c r="AN1509" s="2">
        <v>4.8318988813213997</v>
      </c>
      <c r="AO1509" s="2">
        <v>2.9284294500871801E-2</v>
      </c>
      <c r="AP1509" s="2">
        <v>2.9284294500871801E-2</v>
      </c>
      <c r="AQ1509" s="2">
        <v>0</v>
      </c>
      <c r="AR1509" s="2">
        <v>0</v>
      </c>
      <c r="AS1509" s="2">
        <v>0</v>
      </c>
      <c r="AT1509" s="2">
        <v>0</v>
      </c>
      <c r="AU1509" s="2">
        <v>1</v>
      </c>
      <c r="AV1509" s="2">
        <v>135</v>
      </c>
      <c r="AW1509" s="2">
        <v>0</v>
      </c>
      <c r="AX1509" s="2">
        <v>0</v>
      </c>
      <c r="AY1509" s="2">
        <v>15.5</v>
      </c>
      <c r="AZ1509" s="2">
        <v>2.4</v>
      </c>
      <c r="BA1509" s="2">
        <v>10.9</v>
      </c>
      <c r="BB1509" s="2">
        <v>564</v>
      </c>
      <c r="BC1509" s="2">
        <v>68</v>
      </c>
      <c r="BD1509" s="2">
        <v>1.5</v>
      </c>
      <c r="BE1509" s="2">
        <v>135</v>
      </c>
      <c r="BF1509" s="2">
        <v>0</v>
      </c>
      <c r="BG1509" s="2">
        <v>162</v>
      </c>
      <c r="BH1509" s="2">
        <v>9.1</v>
      </c>
      <c r="BI1509" s="2">
        <v>9.1999999999999993</v>
      </c>
      <c r="BJ1509" s="2">
        <v>18.3</v>
      </c>
      <c r="BK1509" s="2">
        <v>0.34</v>
      </c>
      <c r="BL1509" s="2">
        <v>7.3</v>
      </c>
      <c r="BM1509" s="2">
        <v>0.9</v>
      </c>
      <c r="BN1509" s="2">
        <v>7.5</v>
      </c>
      <c r="BO1509" s="2">
        <v>2.9</v>
      </c>
      <c r="BP1509" s="2">
        <f t="shared" si="46"/>
        <v>2.2195100130572154</v>
      </c>
      <c r="BQ1509" s="2">
        <f t="shared" si="47"/>
        <v>10.494551617396134</v>
      </c>
    </row>
    <row r="1510" spans="1:69" x14ac:dyDescent="0.2">
      <c r="A1510" s="2" t="s">
        <v>2061</v>
      </c>
      <c r="B1510" s="2" t="s">
        <v>47</v>
      </c>
      <c r="C1510" s="2" t="s">
        <v>1935</v>
      </c>
      <c r="D1510" s="2" t="s">
        <v>49</v>
      </c>
      <c r="E1510" s="2" t="s">
        <v>2062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89</v>
      </c>
      <c r="L1510" s="6" t="s">
        <v>141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2063</v>
      </c>
      <c r="R1510" s="2">
        <v>6136363.6359999999</v>
      </c>
      <c r="S1510" s="2">
        <v>0</v>
      </c>
      <c r="T1510" s="2" t="s">
        <v>83</v>
      </c>
      <c r="U1510" s="2" t="s">
        <v>84</v>
      </c>
      <c r="V1510" s="2" t="s">
        <v>56</v>
      </c>
      <c r="W1510" s="2" t="s">
        <v>83</v>
      </c>
      <c r="X1510" s="2" t="s">
        <v>85</v>
      </c>
      <c r="Y1510" s="2">
        <v>1.0254768162049299</v>
      </c>
      <c r="Z1510" s="2">
        <v>1025.4768162049299</v>
      </c>
      <c r="AA1510" s="2">
        <v>4.71035</v>
      </c>
      <c r="AB1510" s="2">
        <v>-74.030416666666696</v>
      </c>
      <c r="AC1510" s="2">
        <v>2570</v>
      </c>
      <c r="AD1510" s="2">
        <v>10</v>
      </c>
      <c r="AE1510" s="2" t="s">
        <v>59</v>
      </c>
      <c r="AF1510" s="2" t="s">
        <v>86</v>
      </c>
      <c r="AG1510" s="2" t="s">
        <v>61</v>
      </c>
      <c r="AH1510" s="2" t="s">
        <v>62</v>
      </c>
      <c r="AI1510" s="2" t="s">
        <v>87</v>
      </c>
      <c r="AJ1510" s="2">
        <v>2.34156687258726</v>
      </c>
      <c r="AK1510" s="2">
        <v>0.75853137777120805</v>
      </c>
      <c r="AL1510" s="2">
        <v>1.00978853365656</v>
      </c>
      <c r="AM1510" s="2">
        <v>0.33534819081804201</v>
      </c>
      <c r="AN1510" s="2">
        <v>2.4623380887933299</v>
      </c>
      <c r="AO1510" s="2">
        <v>0.208833457600577</v>
      </c>
      <c r="AP1510" s="2">
        <v>0.208833457600577</v>
      </c>
      <c r="AQ1510" s="2">
        <v>0</v>
      </c>
      <c r="AR1510" s="2">
        <v>0</v>
      </c>
      <c r="AS1510" s="2">
        <v>0</v>
      </c>
      <c r="AT1510" s="2">
        <v>21</v>
      </c>
      <c r="AU1510" s="2">
        <v>0</v>
      </c>
      <c r="AV1510" s="2">
        <v>74</v>
      </c>
      <c r="AW1510" s="2">
        <v>0</v>
      </c>
      <c r="AX1510" s="2">
        <v>0</v>
      </c>
      <c r="AY1510" s="2">
        <v>15.5</v>
      </c>
      <c r="AZ1510" s="2">
        <v>2.4</v>
      </c>
      <c r="BA1510" s="2">
        <v>10.9</v>
      </c>
      <c r="BB1510" s="2">
        <v>564</v>
      </c>
      <c r="BC1510" s="2">
        <v>68</v>
      </c>
      <c r="BD1510" s="2">
        <v>1.5</v>
      </c>
      <c r="BE1510" s="2">
        <v>135</v>
      </c>
      <c r="BF1510" s="2">
        <v>0</v>
      </c>
      <c r="BG1510" s="2">
        <v>162</v>
      </c>
      <c r="BH1510" s="2">
        <v>9.1</v>
      </c>
      <c r="BI1510" s="2">
        <v>9.1999999999999993</v>
      </c>
      <c r="BJ1510" s="2">
        <v>18.3</v>
      </c>
      <c r="BK1510" s="2">
        <v>0.34</v>
      </c>
      <c r="BL1510" s="2">
        <v>7.3</v>
      </c>
      <c r="BM1510" s="2">
        <v>0.9</v>
      </c>
      <c r="BN1510" s="2">
        <v>7.5</v>
      </c>
      <c r="BO1510" s="2">
        <v>2.9</v>
      </c>
      <c r="BP1510" s="2">
        <f t="shared" si="46"/>
        <v>2.2812137206642853</v>
      </c>
      <c r="BQ1510" s="2">
        <f t="shared" si="47"/>
        <v>10.635009539535247</v>
      </c>
    </row>
    <row r="1511" spans="1:69" x14ac:dyDescent="0.2">
      <c r="A1511" s="2" t="s">
        <v>171</v>
      </c>
      <c r="B1511" s="2" t="s">
        <v>47</v>
      </c>
      <c r="C1511" s="2" t="s">
        <v>48</v>
      </c>
      <c r="D1511" s="2" t="s">
        <v>49</v>
      </c>
      <c r="E1511" s="2" t="s">
        <v>172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89</v>
      </c>
      <c r="L1511" s="6" t="s">
        <v>103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173</v>
      </c>
      <c r="R1511" s="2">
        <v>12727272.73</v>
      </c>
      <c r="S1511" s="2">
        <v>0</v>
      </c>
      <c r="T1511" s="2" t="s">
        <v>83</v>
      </c>
      <c r="U1511" s="2" t="s">
        <v>84</v>
      </c>
      <c r="V1511" s="2" t="s">
        <v>56</v>
      </c>
      <c r="W1511" s="2" t="s">
        <v>83</v>
      </c>
      <c r="X1511" s="2" t="s">
        <v>85</v>
      </c>
      <c r="Y1511" s="2">
        <v>0.98387453578777895</v>
      </c>
      <c r="Z1511" s="2">
        <v>983.874535787779</v>
      </c>
      <c r="AA1511" s="2">
        <v>4.71035</v>
      </c>
      <c r="AB1511" s="2">
        <v>-74.030416666666696</v>
      </c>
      <c r="AC1511" s="2">
        <v>2570</v>
      </c>
      <c r="AD1511" s="2">
        <v>10</v>
      </c>
      <c r="AE1511" s="2" t="s">
        <v>59</v>
      </c>
      <c r="AF1511" s="2" t="s">
        <v>86</v>
      </c>
      <c r="AG1511" s="2" t="s">
        <v>61</v>
      </c>
      <c r="AH1511" s="2" t="s">
        <v>62</v>
      </c>
      <c r="AI1511" s="2" t="s">
        <v>87</v>
      </c>
      <c r="AJ1511" s="2">
        <v>2.5369966113754598</v>
      </c>
      <c r="AK1511" s="2">
        <v>0.66717051416451201</v>
      </c>
      <c r="AL1511" s="2">
        <v>0.10533467421758599</v>
      </c>
      <c r="AM1511" s="2">
        <v>6.1447112159727299E-2</v>
      </c>
      <c r="AN1511" s="2">
        <v>4.4474718348175104</v>
      </c>
      <c r="AO1511" s="2">
        <v>0.42281337681862302</v>
      </c>
      <c r="AP1511" s="2">
        <v>0.42281337681862302</v>
      </c>
      <c r="AQ1511" s="2">
        <v>0</v>
      </c>
      <c r="AR1511" s="2">
        <v>0</v>
      </c>
      <c r="AS1511" s="2">
        <v>0</v>
      </c>
      <c r="AT1511" s="2">
        <v>21</v>
      </c>
      <c r="AU1511" s="2">
        <v>2</v>
      </c>
      <c r="AV1511" s="2">
        <v>122</v>
      </c>
      <c r="AW1511" s="2">
        <v>0</v>
      </c>
      <c r="AX1511" s="2">
        <v>0</v>
      </c>
      <c r="AY1511" s="2">
        <v>15.5</v>
      </c>
      <c r="AZ1511" s="2">
        <v>2.4</v>
      </c>
      <c r="BA1511" s="2">
        <v>10.9</v>
      </c>
      <c r="BB1511" s="2">
        <v>564</v>
      </c>
      <c r="BC1511" s="2">
        <v>68</v>
      </c>
      <c r="BD1511" s="2">
        <v>1.5</v>
      </c>
      <c r="BE1511" s="2">
        <v>135</v>
      </c>
      <c r="BF1511" s="2">
        <v>0</v>
      </c>
      <c r="BG1511" s="2">
        <v>162</v>
      </c>
      <c r="BH1511" s="2">
        <v>9.1</v>
      </c>
      <c r="BI1511" s="2">
        <v>9.1999999999999993</v>
      </c>
      <c r="BJ1511" s="2">
        <v>18.3</v>
      </c>
      <c r="BK1511" s="2">
        <v>0.34</v>
      </c>
      <c r="BL1511" s="2">
        <v>7.3</v>
      </c>
      <c r="BM1511" s="2">
        <v>0.9</v>
      </c>
      <c r="BN1511" s="2">
        <v>7.5</v>
      </c>
      <c r="BO1511" s="2">
        <v>2.9</v>
      </c>
      <c r="BP1511" s="2">
        <f t="shared" si="46"/>
        <v>2.285916293835637</v>
      </c>
      <c r="BQ1511" s="2">
        <f t="shared" si="47"/>
        <v>10.645633417961959</v>
      </c>
    </row>
    <row r="1512" spans="1:69" x14ac:dyDescent="0.2">
      <c r="A1512" s="2" t="s">
        <v>1807</v>
      </c>
      <c r="B1512" s="2" t="s">
        <v>47</v>
      </c>
      <c r="C1512" s="2" t="s">
        <v>48</v>
      </c>
      <c r="D1512" s="2" t="s">
        <v>49</v>
      </c>
      <c r="E1512" s="2" t="s">
        <v>1808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89</v>
      </c>
      <c r="L1512" s="6" t="s">
        <v>141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1809</v>
      </c>
      <c r="R1512" s="2">
        <v>6880733.9450000003</v>
      </c>
      <c r="S1512" s="2">
        <v>0</v>
      </c>
      <c r="T1512" s="2" t="s">
        <v>83</v>
      </c>
      <c r="U1512" s="2" t="s">
        <v>84</v>
      </c>
      <c r="V1512" s="2" t="s">
        <v>56</v>
      </c>
      <c r="W1512" s="2" t="s">
        <v>83</v>
      </c>
      <c r="X1512" s="2" t="s">
        <v>85</v>
      </c>
      <c r="Y1512" s="2">
        <v>0.95313504121863402</v>
      </c>
      <c r="Z1512" s="2">
        <v>953.135041218634</v>
      </c>
      <c r="AA1512" s="2">
        <v>4.71035</v>
      </c>
      <c r="AB1512" s="2">
        <v>-74.030416666666696</v>
      </c>
      <c r="AC1512" s="2">
        <v>2570</v>
      </c>
      <c r="AD1512" s="2">
        <v>10</v>
      </c>
      <c r="AE1512" s="2" t="s">
        <v>59</v>
      </c>
      <c r="AF1512" s="2" t="s">
        <v>86</v>
      </c>
      <c r="AG1512" s="2" t="s">
        <v>61</v>
      </c>
      <c r="AH1512" s="2" t="s">
        <v>62</v>
      </c>
      <c r="AI1512" s="2" t="s">
        <v>87</v>
      </c>
      <c r="AJ1512" s="2">
        <v>2.7006099934426602</v>
      </c>
      <c r="AK1512" s="2">
        <v>0.43484383514401098</v>
      </c>
      <c r="AL1512" s="2">
        <v>1.0363730309232999</v>
      </c>
      <c r="AM1512" s="2">
        <v>0.31912799413709703</v>
      </c>
      <c r="AN1512" s="2">
        <v>2.56690408028923</v>
      </c>
      <c r="AO1512" s="2">
        <v>0.218576400391465</v>
      </c>
      <c r="AP1512" s="2">
        <v>0.218576400391465</v>
      </c>
      <c r="AQ1512" s="2">
        <v>0</v>
      </c>
      <c r="AR1512" s="2">
        <v>0</v>
      </c>
      <c r="AS1512" s="2">
        <v>3</v>
      </c>
      <c r="AT1512" s="2">
        <v>32</v>
      </c>
      <c r="AU1512" s="2">
        <v>0</v>
      </c>
      <c r="AV1512" s="2">
        <v>69</v>
      </c>
      <c r="AW1512" s="2">
        <v>0</v>
      </c>
      <c r="AX1512" s="2">
        <v>0</v>
      </c>
      <c r="AY1512" s="2">
        <v>15.5</v>
      </c>
      <c r="AZ1512" s="2">
        <v>2.4</v>
      </c>
      <c r="BA1512" s="2">
        <v>10.9</v>
      </c>
      <c r="BB1512" s="2">
        <v>564</v>
      </c>
      <c r="BC1512" s="2">
        <v>68</v>
      </c>
      <c r="BD1512" s="2">
        <v>1.5</v>
      </c>
      <c r="BE1512" s="2">
        <v>135</v>
      </c>
      <c r="BF1512" s="2">
        <v>0</v>
      </c>
      <c r="BG1512" s="2">
        <v>162</v>
      </c>
      <c r="BH1512" s="2">
        <v>9.1</v>
      </c>
      <c r="BI1512" s="2">
        <v>9.1999999999999993</v>
      </c>
      <c r="BJ1512" s="2">
        <v>18.3</v>
      </c>
      <c r="BK1512" s="2">
        <v>0.34</v>
      </c>
      <c r="BL1512" s="2">
        <v>7.3</v>
      </c>
      <c r="BM1512" s="2">
        <v>0.9</v>
      </c>
      <c r="BN1512" s="2">
        <v>7.5</v>
      </c>
      <c r="BO1512" s="2">
        <v>2.9</v>
      </c>
      <c r="BP1512" s="2">
        <f t="shared" si="46"/>
        <v>2.2893972030676872</v>
      </c>
      <c r="BQ1512" s="2">
        <f t="shared" si="47"/>
        <v>10.653490109109468</v>
      </c>
    </row>
    <row r="1513" spans="1:69" x14ac:dyDescent="0.2">
      <c r="A1513" s="2" t="s">
        <v>2803</v>
      </c>
      <c r="B1513" s="2" t="s">
        <v>47</v>
      </c>
      <c r="C1513" s="2" t="s">
        <v>1935</v>
      </c>
      <c r="D1513" s="2" t="s">
        <v>49</v>
      </c>
      <c r="E1513" s="2" t="s">
        <v>323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89</v>
      </c>
      <c r="L1513" s="6" t="s">
        <v>141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2804</v>
      </c>
      <c r="R1513" s="2">
        <v>4377880.1840000004</v>
      </c>
      <c r="S1513" s="2">
        <v>0</v>
      </c>
      <c r="T1513" s="2" t="s">
        <v>83</v>
      </c>
      <c r="U1513" s="2" t="s">
        <v>84</v>
      </c>
      <c r="V1513" s="2" t="s">
        <v>56</v>
      </c>
      <c r="W1513" s="2" t="s">
        <v>83</v>
      </c>
      <c r="X1513" s="2" t="s">
        <v>85</v>
      </c>
      <c r="Y1513" s="2">
        <v>3.3560909922686499</v>
      </c>
      <c r="Z1513" s="2">
        <v>3356.0909922686501</v>
      </c>
      <c r="AA1513" s="2">
        <v>4.71035</v>
      </c>
      <c r="AB1513" s="2">
        <v>-74.030416666666696</v>
      </c>
      <c r="AC1513" s="2">
        <v>2570</v>
      </c>
      <c r="AD1513" s="2">
        <v>10</v>
      </c>
      <c r="AE1513" s="2" t="s">
        <v>59</v>
      </c>
      <c r="AF1513" s="2" t="s">
        <v>86</v>
      </c>
      <c r="AG1513" s="2" t="s">
        <v>61</v>
      </c>
      <c r="AH1513" s="2" t="s">
        <v>62</v>
      </c>
      <c r="AI1513" s="2" t="s">
        <v>100</v>
      </c>
      <c r="AJ1513" s="2">
        <v>0.640901583630616</v>
      </c>
      <c r="AK1513" s="2">
        <v>3.7262095634355399</v>
      </c>
      <c r="AL1513" s="2">
        <v>1.2273061128719001</v>
      </c>
      <c r="AM1513" s="2">
        <v>0.13957814209265301</v>
      </c>
      <c r="AN1513" s="2">
        <v>4.03373993972634</v>
      </c>
      <c r="AO1513" s="2">
        <v>7.5063621058680502E-2</v>
      </c>
      <c r="AP1513" s="2">
        <v>7.5063621058680502E-2</v>
      </c>
      <c r="AQ1513" s="2">
        <v>0</v>
      </c>
      <c r="AR1513" s="2">
        <v>2</v>
      </c>
      <c r="AS1513" s="2">
        <v>0</v>
      </c>
      <c r="AT1513" s="2">
        <v>0</v>
      </c>
      <c r="AU1513" s="2">
        <v>0</v>
      </c>
      <c r="AV1513" s="2">
        <v>74</v>
      </c>
      <c r="AW1513" s="2">
        <v>0</v>
      </c>
      <c r="AX1513" s="2">
        <v>0</v>
      </c>
      <c r="AY1513" s="2">
        <v>15.5</v>
      </c>
      <c r="AZ1513" s="2">
        <v>2.4</v>
      </c>
      <c r="BA1513" s="2">
        <v>10.9</v>
      </c>
      <c r="BB1513" s="2">
        <v>564</v>
      </c>
      <c r="BC1513" s="2">
        <v>68</v>
      </c>
      <c r="BD1513" s="2">
        <v>1.5</v>
      </c>
      <c r="BE1513" s="2">
        <v>135</v>
      </c>
      <c r="BF1513" s="2">
        <v>0</v>
      </c>
      <c r="BG1513" s="2">
        <v>162</v>
      </c>
      <c r="BH1513" s="2">
        <v>9.1</v>
      </c>
      <c r="BI1513" s="2">
        <v>9.1999999999999993</v>
      </c>
      <c r="BJ1513" s="2">
        <v>18.3</v>
      </c>
      <c r="BK1513" s="2">
        <v>0.34</v>
      </c>
      <c r="BL1513" s="2">
        <v>7.3</v>
      </c>
      <c r="BM1513" s="2">
        <v>0.9</v>
      </c>
      <c r="BN1513" s="2">
        <v>7.5</v>
      </c>
      <c r="BO1513" s="2">
        <v>2.9</v>
      </c>
      <c r="BP1513" s="2">
        <f t="shared" si="46"/>
        <v>2.0326538067137063</v>
      </c>
      <c r="BQ1513" s="2">
        <f t="shared" si="47"/>
        <v>10.056473992008987</v>
      </c>
    </row>
    <row r="1514" spans="1:69" x14ac:dyDescent="0.2">
      <c r="A1514" s="2" t="s">
        <v>1523</v>
      </c>
      <c r="B1514" s="2" t="s">
        <v>47</v>
      </c>
      <c r="C1514" s="2" t="s">
        <v>48</v>
      </c>
      <c r="D1514" s="2" t="s">
        <v>49</v>
      </c>
      <c r="E1514" s="2" t="s">
        <v>1524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89</v>
      </c>
      <c r="L1514" s="6" t="s">
        <v>141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1525</v>
      </c>
      <c r="R1514" s="2">
        <v>7116279.0700000003</v>
      </c>
      <c r="S1514" s="2">
        <v>0</v>
      </c>
      <c r="T1514" s="2" t="s">
        <v>83</v>
      </c>
      <c r="U1514" s="2" t="s">
        <v>84</v>
      </c>
      <c r="V1514" s="2" t="s">
        <v>56</v>
      </c>
      <c r="W1514" s="2" t="s">
        <v>83</v>
      </c>
      <c r="X1514" s="2" t="s">
        <v>85</v>
      </c>
      <c r="Y1514" s="2">
        <v>0.38831972333682602</v>
      </c>
      <c r="Z1514" s="2">
        <v>388.31972333682597</v>
      </c>
      <c r="AA1514" s="2">
        <v>4.71035</v>
      </c>
      <c r="AB1514" s="2">
        <v>-74.030416666666696</v>
      </c>
      <c r="AC1514" s="2">
        <v>2570</v>
      </c>
      <c r="AD1514" s="2">
        <v>10</v>
      </c>
      <c r="AE1514" s="2" t="s">
        <v>59</v>
      </c>
      <c r="AF1514" s="2" t="s">
        <v>86</v>
      </c>
      <c r="AG1514" s="2" t="s">
        <v>61</v>
      </c>
      <c r="AH1514" s="2" t="s">
        <v>62</v>
      </c>
      <c r="AI1514" s="2" t="s">
        <v>87</v>
      </c>
      <c r="AJ1514" s="2">
        <v>2.8606077231059199</v>
      </c>
      <c r="AK1514" s="2">
        <v>0.26982510397814502</v>
      </c>
      <c r="AL1514" s="2">
        <v>0.64253759428271295</v>
      </c>
      <c r="AM1514" s="2">
        <v>0.31824216393475702</v>
      </c>
      <c r="AN1514" s="2">
        <v>3.3666249407397899</v>
      </c>
      <c r="AO1514" s="2">
        <v>0.62449412446749597</v>
      </c>
      <c r="AP1514" s="2">
        <v>0.62449412446749597</v>
      </c>
      <c r="AQ1514" s="2">
        <v>0</v>
      </c>
      <c r="AR1514" s="2">
        <v>0</v>
      </c>
      <c r="AS1514" s="2">
        <v>14</v>
      </c>
      <c r="AT1514" s="2">
        <v>46</v>
      </c>
      <c r="AU1514" s="2">
        <v>1</v>
      </c>
      <c r="AV1514" s="2">
        <v>84</v>
      </c>
      <c r="AW1514" s="2">
        <v>0</v>
      </c>
      <c r="AX1514" s="2">
        <v>0</v>
      </c>
      <c r="AY1514" s="2">
        <v>15.5</v>
      </c>
      <c r="AZ1514" s="2">
        <v>2.4</v>
      </c>
      <c r="BA1514" s="2">
        <v>10.9</v>
      </c>
      <c r="BB1514" s="2">
        <v>564</v>
      </c>
      <c r="BC1514" s="2">
        <v>68</v>
      </c>
      <c r="BD1514" s="2">
        <v>1.5</v>
      </c>
      <c r="BE1514" s="2">
        <v>135</v>
      </c>
      <c r="BF1514" s="2">
        <v>0</v>
      </c>
      <c r="BG1514" s="2">
        <v>162</v>
      </c>
      <c r="BH1514" s="2">
        <v>9.1</v>
      </c>
      <c r="BI1514" s="2">
        <v>9.1999999999999993</v>
      </c>
      <c r="BJ1514" s="2">
        <v>18.3</v>
      </c>
      <c r="BK1514" s="2">
        <v>0.34</v>
      </c>
      <c r="BL1514" s="2">
        <v>7.3</v>
      </c>
      <c r="BM1514" s="2">
        <v>0.9</v>
      </c>
      <c r="BN1514" s="2">
        <v>7.5</v>
      </c>
      <c r="BO1514" s="2">
        <v>2.9</v>
      </c>
      <c r="BP1514" s="2">
        <f t="shared" si="46"/>
        <v>2.3543081639730841</v>
      </c>
      <c r="BQ1514" s="2">
        <f t="shared" si="47"/>
        <v>10.798887460151215</v>
      </c>
    </row>
    <row r="1515" spans="1:69" x14ac:dyDescent="0.2">
      <c r="A1515" s="2" t="s">
        <v>2628</v>
      </c>
      <c r="B1515" s="2" t="s">
        <v>47</v>
      </c>
      <c r="C1515" s="2" t="s">
        <v>1935</v>
      </c>
      <c r="D1515" s="2" t="s">
        <v>49</v>
      </c>
      <c r="E1515" s="2" t="s">
        <v>989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89</v>
      </c>
      <c r="L1515" s="6" t="s">
        <v>141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2629</v>
      </c>
      <c r="R1515" s="2">
        <v>6308411.2149999999</v>
      </c>
      <c r="S1515" s="2">
        <v>0</v>
      </c>
      <c r="T1515" s="2" t="s">
        <v>83</v>
      </c>
      <c r="U1515" s="2" t="s">
        <v>84</v>
      </c>
      <c r="V1515" s="2" t="s">
        <v>56</v>
      </c>
      <c r="W1515" s="2" t="s">
        <v>83</v>
      </c>
      <c r="X1515" s="2" t="s">
        <v>85</v>
      </c>
      <c r="Y1515" s="2">
        <v>4.00442341843668</v>
      </c>
      <c r="Z1515" s="2">
        <v>4004.4234184366801</v>
      </c>
      <c r="AA1515" s="2">
        <v>4.71035</v>
      </c>
      <c r="AB1515" s="2">
        <v>-74.030416666666696</v>
      </c>
      <c r="AC1515" s="2">
        <v>2570</v>
      </c>
      <c r="AD1515" s="2">
        <v>10</v>
      </c>
      <c r="AE1515" s="2" t="s">
        <v>59</v>
      </c>
      <c r="AF1515" s="2" t="s">
        <v>86</v>
      </c>
      <c r="AG1515" s="2" t="s">
        <v>61</v>
      </c>
      <c r="AH1515" s="2" t="s">
        <v>62</v>
      </c>
      <c r="AI1515" s="2" t="s">
        <v>100</v>
      </c>
      <c r="AJ1515" s="2">
        <v>0.55416845789129998</v>
      </c>
      <c r="AK1515" s="2">
        <v>2.86453880589454</v>
      </c>
      <c r="AL1515" s="2">
        <v>0.91426837518752901</v>
      </c>
      <c r="AM1515" s="2">
        <v>0.123660203158601</v>
      </c>
      <c r="AN1515" s="2">
        <v>2.9959068370620598</v>
      </c>
      <c r="AO1515" s="2">
        <v>0.16281421786247899</v>
      </c>
      <c r="AP1515" s="2">
        <v>0.16281421786247899</v>
      </c>
      <c r="AQ1515" s="2">
        <v>0</v>
      </c>
      <c r="AR1515" s="2">
        <v>5</v>
      </c>
      <c r="AS1515" s="2">
        <v>0</v>
      </c>
      <c r="AT1515" s="2">
        <v>0</v>
      </c>
      <c r="AU1515" s="2">
        <v>1</v>
      </c>
      <c r="AV1515" s="2">
        <v>201</v>
      </c>
      <c r="AW1515" s="2">
        <v>0</v>
      </c>
      <c r="AX1515" s="2">
        <v>0</v>
      </c>
      <c r="AY1515" s="2">
        <v>15.5</v>
      </c>
      <c r="AZ1515" s="2">
        <v>2.4</v>
      </c>
      <c r="BA1515" s="2">
        <v>10.9</v>
      </c>
      <c r="BB1515" s="2">
        <v>564</v>
      </c>
      <c r="BC1515" s="2">
        <v>68</v>
      </c>
      <c r="BD1515" s="2">
        <v>1.5</v>
      </c>
      <c r="BE1515" s="2">
        <v>135</v>
      </c>
      <c r="BF1515" s="2">
        <v>0</v>
      </c>
      <c r="BG1515" s="2">
        <v>162</v>
      </c>
      <c r="BH1515" s="2">
        <v>9.1</v>
      </c>
      <c r="BI1515" s="2">
        <v>9.1999999999999993</v>
      </c>
      <c r="BJ1515" s="2">
        <v>18.3</v>
      </c>
      <c r="BK1515" s="2">
        <v>0.34</v>
      </c>
      <c r="BL1515" s="2">
        <v>7.3</v>
      </c>
      <c r="BM1515" s="2">
        <v>0.9</v>
      </c>
      <c r="BN1515" s="2">
        <v>7.5</v>
      </c>
      <c r="BO1515" s="2">
        <v>2.9</v>
      </c>
      <c r="BP1515" s="2">
        <f t="shared" si="46"/>
        <v>1.9684565886356427</v>
      </c>
      <c r="BQ1515" s="2">
        <f t="shared" si="47"/>
        <v>9.9012065870374464</v>
      </c>
    </row>
    <row r="1516" spans="1:69" x14ac:dyDescent="0.2">
      <c r="A1516" s="2" t="s">
        <v>2183</v>
      </c>
      <c r="B1516" s="2" t="s">
        <v>47</v>
      </c>
      <c r="C1516" s="2" t="s">
        <v>1935</v>
      </c>
      <c r="D1516" s="2" t="s">
        <v>49</v>
      </c>
      <c r="E1516" s="2" t="s">
        <v>1543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89</v>
      </c>
      <c r="L1516" s="6" t="s">
        <v>141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2184</v>
      </c>
      <c r="R1516" s="2">
        <v>3504672.8969999999</v>
      </c>
      <c r="S1516" s="2">
        <v>0</v>
      </c>
      <c r="T1516" s="2" t="s">
        <v>83</v>
      </c>
      <c r="U1516" s="2" t="s">
        <v>84</v>
      </c>
      <c r="V1516" s="2" t="s">
        <v>56</v>
      </c>
      <c r="W1516" s="2" t="s">
        <v>83</v>
      </c>
      <c r="X1516" s="2" t="s">
        <v>85</v>
      </c>
      <c r="Y1516" s="2">
        <v>2.6447736364133498</v>
      </c>
      <c r="Z1516" s="2">
        <v>2644.7736364133498</v>
      </c>
      <c r="AA1516" s="2">
        <v>4.71035</v>
      </c>
      <c r="AB1516" s="2">
        <v>-74.030416666666696</v>
      </c>
      <c r="AC1516" s="2">
        <v>2570</v>
      </c>
      <c r="AD1516" s="2">
        <v>10</v>
      </c>
      <c r="AE1516" s="2" t="s">
        <v>59</v>
      </c>
      <c r="AF1516" s="2" t="s">
        <v>86</v>
      </c>
      <c r="AG1516" s="2" t="s">
        <v>61</v>
      </c>
      <c r="AH1516" s="2" t="s">
        <v>62</v>
      </c>
      <c r="AI1516" s="2" t="s">
        <v>87</v>
      </c>
      <c r="AJ1516" s="2">
        <v>2.0879713698226099</v>
      </c>
      <c r="AK1516" s="2">
        <v>0.945076840955832</v>
      </c>
      <c r="AL1516" s="2">
        <v>1.0698987724309099</v>
      </c>
      <c r="AM1516" s="2">
        <v>0.513234355600234</v>
      </c>
      <c r="AN1516" s="2">
        <v>0.91618505787263105</v>
      </c>
      <c r="AO1516" s="2">
        <v>4.4641770871558302E-2</v>
      </c>
      <c r="AP1516" s="2">
        <v>4.4641770871558302E-2</v>
      </c>
      <c r="AQ1516" s="2">
        <v>0</v>
      </c>
      <c r="AR1516" s="2">
        <v>0</v>
      </c>
      <c r="AS1516" s="2">
        <v>0</v>
      </c>
      <c r="AT1516" s="2">
        <v>1</v>
      </c>
      <c r="AU1516" s="2">
        <v>0</v>
      </c>
      <c r="AV1516" s="2">
        <v>11</v>
      </c>
      <c r="AW1516" s="2">
        <v>1</v>
      </c>
      <c r="AX1516" s="2">
        <v>0</v>
      </c>
      <c r="AY1516" s="2">
        <v>15.5</v>
      </c>
      <c r="AZ1516" s="2">
        <v>2.4</v>
      </c>
      <c r="BA1516" s="2">
        <v>10.9</v>
      </c>
      <c r="BB1516" s="2">
        <v>564</v>
      </c>
      <c r="BC1516" s="2">
        <v>68</v>
      </c>
      <c r="BD1516" s="2">
        <v>1.5</v>
      </c>
      <c r="BE1516" s="2">
        <v>135</v>
      </c>
      <c r="BF1516" s="2">
        <v>0</v>
      </c>
      <c r="BG1516" s="2">
        <v>162</v>
      </c>
      <c r="BH1516" s="2">
        <v>9.1</v>
      </c>
      <c r="BI1516" s="2">
        <v>9.1999999999999993</v>
      </c>
      <c r="BJ1516" s="2">
        <v>18.3</v>
      </c>
      <c r="BK1516" s="2">
        <v>0.34</v>
      </c>
      <c r="BL1516" s="2">
        <v>7.3</v>
      </c>
      <c r="BM1516" s="2">
        <v>0.9</v>
      </c>
      <c r="BN1516" s="2">
        <v>7.5</v>
      </c>
      <c r="BO1516" s="2">
        <v>2.9</v>
      </c>
      <c r="BP1516" s="2">
        <f t="shared" si="46"/>
        <v>2.1054988919421618</v>
      </c>
      <c r="BQ1516" s="2">
        <f t="shared" si="47"/>
        <v>10.229628064397343</v>
      </c>
    </row>
    <row r="1517" spans="1:69" x14ac:dyDescent="0.2">
      <c r="A1517" s="2" t="s">
        <v>2810</v>
      </c>
      <c r="B1517" s="2" t="s">
        <v>47</v>
      </c>
      <c r="C1517" s="2" t="s">
        <v>1935</v>
      </c>
      <c r="D1517" s="2" t="s">
        <v>49</v>
      </c>
      <c r="E1517" s="2" t="s">
        <v>2199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89</v>
      </c>
      <c r="L1517" s="6" t="s">
        <v>141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2811</v>
      </c>
      <c r="R1517" s="2">
        <v>6603773.585</v>
      </c>
      <c r="S1517" s="2">
        <v>0</v>
      </c>
      <c r="T1517" s="2" t="s">
        <v>83</v>
      </c>
      <c r="U1517" s="2" t="s">
        <v>84</v>
      </c>
      <c r="V1517" s="2" t="s">
        <v>56</v>
      </c>
      <c r="W1517" s="2" t="s">
        <v>83</v>
      </c>
      <c r="X1517" s="2" t="s">
        <v>85</v>
      </c>
      <c r="Y1517" s="2">
        <v>3.4301879658507</v>
      </c>
      <c r="Z1517" s="2">
        <v>3430.1879658507</v>
      </c>
      <c r="AA1517" s="2">
        <v>4.71035</v>
      </c>
      <c r="AB1517" s="2">
        <v>-74.030416666666696</v>
      </c>
      <c r="AC1517" s="2">
        <v>2570</v>
      </c>
      <c r="AD1517" s="2">
        <v>10</v>
      </c>
      <c r="AE1517" s="2" t="s">
        <v>59</v>
      </c>
      <c r="AF1517" s="2" t="s">
        <v>86</v>
      </c>
      <c r="AG1517" s="2" t="s">
        <v>61</v>
      </c>
      <c r="AH1517" s="2" t="s">
        <v>62</v>
      </c>
      <c r="AI1517" s="2" t="s">
        <v>100</v>
      </c>
      <c r="AJ1517" s="2">
        <v>0.62901470474072796</v>
      </c>
      <c r="AK1517" s="2">
        <v>3.6415325998963102</v>
      </c>
      <c r="AL1517" s="2">
        <v>1.13599689121392</v>
      </c>
      <c r="AM1517" s="2">
        <v>0.110644813542318</v>
      </c>
      <c r="AN1517" s="2">
        <v>3.8915023613795299</v>
      </c>
      <c r="AO1517" s="2">
        <v>8.15111673763175E-2</v>
      </c>
      <c r="AP1517" s="2">
        <v>8.15111673763175E-2</v>
      </c>
      <c r="AQ1517" s="2">
        <v>0</v>
      </c>
      <c r="AR1517" s="2">
        <v>2</v>
      </c>
      <c r="AS1517" s="2">
        <v>0</v>
      </c>
      <c r="AT1517" s="2">
        <v>0</v>
      </c>
      <c r="AU1517" s="2">
        <v>0</v>
      </c>
      <c r="AV1517" s="2">
        <v>65</v>
      </c>
      <c r="AW1517" s="2">
        <v>0</v>
      </c>
      <c r="AX1517" s="2">
        <v>0</v>
      </c>
      <c r="AY1517" s="2">
        <v>15.5</v>
      </c>
      <c r="AZ1517" s="2">
        <v>2.4</v>
      </c>
      <c r="BA1517" s="2">
        <v>10.9</v>
      </c>
      <c r="BB1517" s="2">
        <v>564</v>
      </c>
      <c r="BC1517" s="2">
        <v>68</v>
      </c>
      <c r="BD1517" s="2">
        <v>1.5</v>
      </c>
      <c r="BE1517" s="2">
        <v>135</v>
      </c>
      <c r="BF1517" s="2">
        <v>0</v>
      </c>
      <c r="BG1517" s="2">
        <v>162</v>
      </c>
      <c r="BH1517" s="2">
        <v>9.1</v>
      </c>
      <c r="BI1517" s="2">
        <v>9.1999999999999993</v>
      </c>
      <c r="BJ1517" s="2">
        <v>18.3</v>
      </c>
      <c r="BK1517" s="2">
        <v>0.34</v>
      </c>
      <c r="BL1517" s="2">
        <v>7.3</v>
      </c>
      <c r="BM1517" s="2">
        <v>0.9</v>
      </c>
      <c r="BN1517" s="2">
        <v>7.5</v>
      </c>
      <c r="BO1517" s="2">
        <v>2.9</v>
      </c>
      <c r="BP1517" s="2">
        <f t="shared" si="46"/>
        <v>2.0252120943901128</v>
      </c>
      <c r="BQ1517" s="2">
        <f t="shared" si="47"/>
        <v>10.038606181221121</v>
      </c>
    </row>
    <row r="1518" spans="1:69" x14ac:dyDescent="0.2">
      <c r="A1518" s="2" t="s">
        <v>1555</v>
      </c>
      <c r="B1518" s="2" t="s">
        <v>47</v>
      </c>
      <c r="C1518" s="2" t="s">
        <v>48</v>
      </c>
      <c r="D1518" s="2" t="s">
        <v>49</v>
      </c>
      <c r="E1518" s="2" t="s">
        <v>961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89</v>
      </c>
      <c r="L1518" s="6" t="s">
        <v>141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1556</v>
      </c>
      <c r="R1518" s="2">
        <v>7877358.4910000004</v>
      </c>
      <c r="S1518" s="2">
        <v>0</v>
      </c>
      <c r="T1518" s="2" t="s">
        <v>83</v>
      </c>
      <c r="U1518" s="2" t="s">
        <v>84</v>
      </c>
      <c r="V1518" s="2" t="s">
        <v>56</v>
      </c>
      <c r="W1518" s="2" t="s">
        <v>83</v>
      </c>
      <c r="X1518" s="2" t="s">
        <v>85</v>
      </c>
      <c r="Y1518" s="2">
        <v>1.8850160691695601</v>
      </c>
      <c r="Z1518" s="2">
        <v>1885.0160691695601</v>
      </c>
      <c r="AA1518" s="2">
        <v>4.71035</v>
      </c>
      <c r="AB1518" s="2">
        <v>-74.030416666666696</v>
      </c>
      <c r="AC1518" s="2">
        <v>2570</v>
      </c>
      <c r="AD1518" s="2">
        <v>10</v>
      </c>
      <c r="AE1518" s="2" t="s">
        <v>59</v>
      </c>
      <c r="AF1518" s="2" t="s">
        <v>86</v>
      </c>
      <c r="AG1518" s="2" t="s">
        <v>61</v>
      </c>
      <c r="AH1518" s="2" t="s">
        <v>62</v>
      </c>
      <c r="AI1518" s="2" t="s">
        <v>87</v>
      </c>
      <c r="AJ1518" s="2">
        <v>0.65174394450694795</v>
      </c>
      <c r="AK1518" s="2">
        <v>2.4582821227872902</v>
      </c>
      <c r="AL1518" s="2">
        <v>1.61973113186592</v>
      </c>
      <c r="AM1518" s="2">
        <v>0.323373038111474</v>
      </c>
      <c r="AN1518" s="2">
        <v>3.6617734504157999</v>
      </c>
      <c r="AO1518" s="2">
        <v>0.61353058172763897</v>
      </c>
      <c r="AP1518" s="2">
        <v>0.61353058172763897</v>
      </c>
      <c r="AQ1518" s="2">
        <v>0</v>
      </c>
      <c r="AR1518" s="2">
        <v>2</v>
      </c>
      <c r="AS1518" s="2">
        <v>0</v>
      </c>
      <c r="AT1518" s="2">
        <v>0</v>
      </c>
      <c r="AU1518" s="2">
        <v>0</v>
      </c>
      <c r="AV1518" s="2">
        <v>47</v>
      </c>
      <c r="AW1518" s="2">
        <v>0</v>
      </c>
      <c r="AX1518" s="2">
        <v>0</v>
      </c>
      <c r="AY1518" s="2">
        <v>15.5</v>
      </c>
      <c r="AZ1518" s="2">
        <v>2.4</v>
      </c>
      <c r="BA1518" s="2">
        <v>10.9</v>
      </c>
      <c r="BB1518" s="2">
        <v>564</v>
      </c>
      <c r="BC1518" s="2">
        <v>68</v>
      </c>
      <c r="BD1518" s="2">
        <v>1.5</v>
      </c>
      <c r="BE1518" s="2">
        <v>135</v>
      </c>
      <c r="BF1518" s="2">
        <v>0</v>
      </c>
      <c r="BG1518" s="2">
        <v>162</v>
      </c>
      <c r="BH1518" s="2">
        <v>9.1</v>
      </c>
      <c r="BI1518" s="2">
        <v>9.1999999999999993</v>
      </c>
      <c r="BJ1518" s="2">
        <v>18.3</v>
      </c>
      <c r="BK1518" s="2">
        <v>0.34</v>
      </c>
      <c r="BL1518" s="2">
        <v>7.3</v>
      </c>
      <c r="BM1518" s="2">
        <v>0.9</v>
      </c>
      <c r="BN1518" s="2">
        <v>7.5</v>
      </c>
      <c r="BO1518" s="2">
        <v>2.9</v>
      </c>
      <c r="BP1518" s="2">
        <f t="shared" si="46"/>
        <v>2.1861903043390756</v>
      </c>
      <c r="BQ1518" s="2">
        <f t="shared" si="47"/>
        <v>10.417867944894587</v>
      </c>
    </row>
    <row r="1519" spans="1:69" x14ac:dyDescent="0.2">
      <c r="A1519" s="2" t="s">
        <v>1197</v>
      </c>
      <c r="B1519" s="2" t="s">
        <v>47</v>
      </c>
      <c r="C1519" s="2" t="s">
        <v>48</v>
      </c>
      <c r="D1519" s="2" t="s">
        <v>49</v>
      </c>
      <c r="E1519" s="2" t="s">
        <v>1062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89</v>
      </c>
      <c r="L1519" s="6" t="s">
        <v>94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1198</v>
      </c>
      <c r="R1519" s="2">
        <v>8018867.9249999998</v>
      </c>
      <c r="S1519" s="2">
        <v>0</v>
      </c>
      <c r="T1519" s="2" t="s">
        <v>83</v>
      </c>
      <c r="U1519" s="2" t="s">
        <v>84</v>
      </c>
      <c r="V1519" s="2" t="s">
        <v>56</v>
      </c>
      <c r="W1519" s="2" t="s">
        <v>83</v>
      </c>
      <c r="X1519" s="2" t="s">
        <v>85</v>
      </c>
      <c r="Y1519" s="2">
        <v>0.30195335674080698</v>
      </c>
      <c r="Z1519" s="2">
        <v>301.95335674080701</v>
      </c>
      <c r="AA1519" s="2">
        <v>4.71035</v>
      </c>
      <c r="AB1519" s="2">
        <v>-74.030416666666696</v>
      </c>
      <c r="AC1519" s="2">
        <v>2570</v>
      </c>
      <c r="AD1519" s="2">
        <v>10</v>
      </c>
      <c r="AE1519" s="2" t="s">
        <v>59</v>
      </c>
      <c r="AF1519" s="2" t="s">
        <v>86</v>
      </c>
      <c r="AG1519" s="2" t="s">
        <v>61</v>
      </c>
      <c r="AH1519" s="2" t="s">
        <v>62</v>
      </c>
      <c r="AI1519" s="2" t="s">
        <v>87</v>
      </c>
      <c r="AJ1519" s="2">
        <v>2.77264734691544</v>
      </c>
      <c r="AK1519" s="2">
        <v>0.354961587475072</v>
      </c>
      <c r="AL1519" s="2">
        <v>0.55064936793612496</v>
      </c>
      <c r="AM1519" s="2">
        <v>0.31911667404280702</v>
      </c>
      <c r="AN1519" s="2">
        <v>3.6298096003909501</v>
      </c>
      <c r="AO1519" s="2">
        <v>0.35411782818635401</v>
      </c>
      <c r="AP1519" s="2">
        <v>0.35411782818635401</v>
      </c>
      <c r="AQ1519" s="2">
        <v>0</v>
      </c>
      <c r="AR1519" s="2">
        <v>0</v>
      </c>
      <c r="AS1519" s="2">
        <v>5</v>
      </c>
      <c r="AT1519" s="2">
        <v>37</v>
      </c>
      <c r="AU1519" s="2">
        <v>2</v>
      </c>
      <c r="AV1519" s="2">
        <v>92</v>
      </c>
      <c r="AW1519" s="2">
        <v>0</v>
      </c>
      <c r="AX1519" s="2">
        <v>0</v>
      </c>
      <c r="AY1519" s="2">
        <v>15.5</v>
      </c>
      <c r="AZ1519" s="2">
        <v>2.4</v>
      </c>
      <c r="BA1519" s="2">
        <v>10.9</v>
      </c>
      <c r="BB1519" s="2">
        <v>564</v>
      </c>
      <c r="BC1519" s="2">
        <v>68</v>
      </c>
      <c r="BD1519" s="2">
        <v>1.5</v>
      </c>
      <c r="BE1519" s="2">
        <v>135</v>
      </c>
      <c r="BF1519" s="2">
        <v>0</v>
      </c>
      <c r="BG1519" s="2">
        <v>162</v>
      </c>
      <c r="BH1519" s="2">
        <v>9.1</v>
      </c>
      <c r="BI1519" s="2">
        <v>9.1999999999999993</v>
      </c>
      <c r="BJ1519" s="2">
        <v>18.3</v>
      </c>
      <c r="BK1519" s="2">
        <v>0.34</v>
      </c>
      <c r="BL1519" s="2">
        <v>7.3</v>
      </c>
      <c r="BM1519" s="2">
        <v>0.9</v>
      </c>
      <c r="BN1519" s="2">
        <v>7.5</v>
      </c>
      <c r="BO1519" s="2">
        <v>2.9</v>
      </c>
      <c r="BP1519" s="2">
        <f t="shared" si="46"/>
        <v>2.3643946948294312</v>
      </c>
      <c r="BQ1519" s="2">
        <f t="shared" si="47"/>
        <v>10.821294530893141</v>
      </c>
    </row>
    <row r="1520" spans="1:69" x14ac:dyDescent="0.2">
      <c r="A1520" s="2" t="s">
        <v>2695</v>
      </c>
      <c r="B1520" s="2" t="s">
        <v>47</v>
      </c>
      <c r="C1520" s="2" t="s">
        <v>1935</v>
      </c>
      <c r="D1520" s="2" t="s">
        <v>49</v>
      </c>
      <c r="E1520" s="2" t="s">
        <v>323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89</v>
      </c>
      <c r="L1520" s="6" t="s">
        <v>141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2696</v>
      </c>
      <c r="R1520" s="2">
        <v>5238095.2379999999</v>
      </c>
      <c r="S1520" s="2">
        <v>0</v>
      </c>
      <c r="T1520" s="2" t="s">
        <v>83</v>
      </c>
      <c r="U1520" s="2" t="s">
        <v>84</v>
      </c>
      <c r="V1520" s="2" t="s">
        <v>56</v>
      </c>
      <c r="W1520" s="2" t="s">
        <v>83</v>
      </c>
      <c r="X1520" s="2" t="s">
        <v>85</v>
      </c>
      <c r="Y1520" s="2">
        <v>3.59466912786832</v>
      </c>
      <c r="Z1520" s="2">
        <v>3594.6691278683202</v>
      </c>
      <c r="AA1520" s="2">
        <v>4.71035</v>
      </c>
      <c r="AB1520" s="2">
        <v>-74.030416666666696</v>
      </c>
      <c r="AC1520" s="2">
        <v>2570</v>
      </c>
      <c r="AD1520" s="2">
        <v>10</v>
      </c>
      <c r="AE1520" s="2" t="s">
        <v>59</v>
      </c>
      <c r="AF1520" s="2" t="s">
        <v>86</v>
      </c>
      <c r="AG1520" s="2" t="s">
        <v>61</v>
      </c>
      <c r="AH1520" s="2" t="s">
        <v>62</v>
      </c>
      <c r="AI1520" s="2" t="s">
        <v>100</v>
      </c>
      <c r="AJ1520" s="2">
        <v>0.88453473478697997</v>
      </c>
      <c r="AK1520" s="2">
        <v>4.0142907063136297</v>
      </c>
      <c r="AL1520" s="2">
        <v>1.06608671828033</v>
      </c>
      <c r="AM1520" s="2">
        <v>0.440564932042249</v>
      </c>
      <c r="AN1520" s="2">
        <v>3.9811575574005902</v>
      </c>
      <c r="AO1520" s="2">
        <v>3.1382160903610297E-2</v>
      </c>
      <c r="AP1520" s="2">
        <v>3.1382160903610297E-2</v>
      </c>
      <c r="AQ1520" s="2">
        <v>0</v>
      </c>
      <c r="AR1520" s="2">
        <v>3</v>
      </c>
      <c r="AS1520" s="2">
        <v>0</v>
      </c>
      <c r="AT1520" s="2">
        <v>0</v>
      </c>
      <c r="AU1520" s="2">
        <v>0</v>
      </c>
      <c r="AV1520" s="2">
        <v>34</v>
      </c>
      <c r="AW1520" s="2">
        <v>0</v>
      </c>
      <c r="AX1520" s="2">
        <v>0</v>
      </c>
      <c r="AY1520" s="2">
        <v>15.5</v>
      </c>
      <c r="AZ1520" s="2">
        <v>2.4</v>
      </c>
      <c r="BA1520" s="2">
        <v>10.9</v>
      </c>
      <c r="BB1520" s="2">
        <v>564</v>
      </c>
      <c r="BC1520" s="2">
        <v>68</v>
      </c>
      <c r="BD1520" s="2">
        <v>1.5</v>
      </c>
      <c r="BE1520" s="2">
        <v>135</v>
      </c>
      <c r="BF1520" s="2">
        <v>0</v>
      </c>
      <c r="BG1520" s="2">
        <v>162</v>
      </c>
      <c r="BH1520" s="2">
        <v>9.1</v>
      </c>
      <c r="BI1520" s="2">
        <v>9.1999999999999993</v>
      </c>
      <c r="BJ1520" s="2">
        <v>18.3</v>
      </c>
      <c r="BK1520" s="2">
        <v>0.34</v>
      </c>
      <c r="BL1520" s="2">
        <v>7.3</v>
      </c>
      <c r="BM1520" s="2">
        <v>0.9</v>
      </c>
      <c r="BN1520" s="2">
        <v>7.5</v>
      </c>
      <c r="BO1520" s="2">
        <v>2.9</v>
      </c>
      <c r="BP1520" s="2">
        <f t="shared" si="46"/>
        <v>2.0087901301132427</v>
      </c>
      <c r="BQ1520" s="2">
        <f t="shared" si="47"/>
        <v>9.9990564162424427</v>
      </c>
    </row>
    <row r="1521" spans="1:69" x14ac:dyDescent="0.2">
      <c r="A1521" s="2" t="s">
        <v>313</v>
      </c>
      <c r="B1521" s="2" t="s">
        <v>47</v>
      </c>
      <c r="C1521" s="2" t="s">
        <v>48</v>
      </c>
      <c r="D1521" s="2" t="s">
        <v>49</v>
      </c>
      <c r="E1521" s="2" t="s">
        <v>192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89</v>
      </c>
      <c r="L1521" s="6" t="s">
        <v>141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314</v>
      </c>
      <c r="R1521" s="2">
        <v>6904761.9050000003</v>
      </c>
      <c r="S1521" s="2">
        <v>0</v>
      </c>
      <c r="T1521" s="2" t="s">
        <v>83</v>
      </c>
      <c r="U1521" s="2" t="s">
        <v>84</v>
      </c>
      <c r="V1521" s="2" t="s">
        <v>56</v>
      </c>
      <c r="W1521" s="2" t="s">
        <v>83</v>
      </c>
      <c r="X1521" s="2" t="s">
        <v>85</v>
      </c>
      <c r="Y1521" s="2">
        <v>1.3742133944625301</v>
      </c>
      <c r="Z1521" s="2">
        <v>1374.21339446253</v>
      </c>
      <c r="AA1521" s="2">
        <v>4.71035</v>
      </c>
      <c r="AB1521" s="2">
        <v>-74.030416666666696</v>
      </c>
      <c r="AC1521" s="2">
        <v>2570</v>
      </c>
      <c r="AD1521" s="2">
        <v>10</v>
      </c>
      <c r="AE1521" s="2" t="s">
        <v>59</v>
      </c>
      <c r="AF1521" s="2" t="s">
        <v>86</v>
      </c>
      <c r="AG1521" s="2" t="s">
        <v>61</v>
      </c>
      <c r="AH1521" s="2" t="s">
        <v>62</v>
      </c>
      <c r="AI1521" s="2" t="s">
        <v>87</v>
      </c>
      <c r="AJ1521" s="2">
        <v>1.6671972003197499</v>
      </c>
      <c r="AK1521" s="2">
        <v>1.5317858173130601</v>
      </c>
      <c r="AL1521" s="2">
        <v>0.77591746709578902</v>
      </c>
      <c r="AM1521" s="2">
        <v>0.195844168078708</v>
      </c>
      <c r="AN1521" s="2">
        <v>4.6021398497299799</v>
      </c>
      <c r="AO1521" s="2">
        <v>8.8134563912122005E-3</v>
      </c>
      <c r="AP1521" s="2">
        <v>8.8134563912122005E-3</v>
      </c>
      <c r="AQ1521" s="2">
        <v>0</v>
      </c>
      <c r="AR1521" s="2">
        <v>0</v>
      </c>
      <c r="AS1521" s="2">
        <v>0</v>
      </c>
      <c r="AT1521" s="2">
        <v>0</v>
      </c>
      <c r="AU1521" s="2">
        <v>1</v>
      </c>
      <c r="AV1521" s="2">
        <v>121</v>
      </c>
      <c r="AW1521" s="2">
        <v>0</v>
      </c>
      <c r="AX1521" s="2">
        <v>0</v>
      </c>
      <c r="AY1521" s="2">
        <v>15.5</v>
      </c>
      <c r="AZ1521" s="2">
        <v>2.4</v>
      </c>
      <c r="BA1521" s="2">
        <v>10.9</v>
      </c>
      <c r="BB1521" s="2">
        <v>564</v>
      </c>
      <c r="BC1521" s="2">
        <v>68</v>
      </c>
      <c r="BD1521" s="2">
        <v>1.5</v>
      </c>
      <c r="BE1521" s="2">
        <v>135</v>
      </c>
      <c r="BF1521" s="2">
        <v>0</v>
      </c>
      <c r="BG1521" s="2">
        <v>162</v>
      </c>
      <c r="BH1521" s="2">
        <v>9.1</v>
      </c>
      <c r="BI1521" s="2">
        <v>9.1999999999999993</v>
      </c>
      <c r="BJ1521" s="2">
        <v>18.3</v>
      </c>
      <c r="BK1521" s="2">
        <v>0.34</v>
      </c>
      <c r="BL1521" s="2">
        <v>7.3</v>
      </c>
      <c r="BM1521" s="2">
        <v>0.9</v>
      </c>
      <c r="BN1521" s="2">
        <v>7.5</v>
      </c>
      <c r="BO1521" s="2">
        <v>2.9</v>
      </c>
      <c r="BP1521" s="2">
        <f t="shared" si="46"/>
        <v>2.242172303598811</v>
      </c>
      <c r="BQ1521" s="2">
        <f t="shared" si="47"/>
        <v>10.546369397622744</v>
      </c>
    </row>
    <row r="1522" spans="1:69" x14ac:dyDescent="0.2">
      <c r="A1522" s="2" t="s">
        <v>1771</v>
      </c>
      <c r="B1522" s="2" t="s">
        <v>47</v>
      </c>
      <c r="C1522" s="2" t="s">
        <v>48</v>
      </c>
      <c r="D1522" s="2" t="s">
        <v>49</v>
      </c>
      <c r="E1522" s="2" t="s">
        <v>214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89</v>
      </c>
      <c r="L1522" s="6" t="s">
        <v>141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1772</v>
      </c>
      <c r="R1522" s="2">
        <v>7177033.4929999998</v>
      </c>
      <c r="S1522" s="2">
        <v>0</v>
      </c>
      <c r="T1522" s="2" t="s">
        <v>83</v>
      </c>
      <c r="U1522" s="2" t="s">
        <v>84</v>
      </c>
      <c r="V1522" s="2" t="s">
        <v>56</v>
      </c>
      <c r="W1522" s="2" t="s">
        <v>83</v>
      </c>
      <c r="X1522" s="2" t="s">
        <v>85</v>
      </c>
      <c r="Y1522" s="2">
        <v>1.32031389763544</v>
      </c>
      <c r="Z1522" s="2">
        <v>1320.3138976354401</v>
      </c>
      <c r="AA1522" s="2">
        <v>4.71035</v>
      </c>
      <c r="AB1522" s="2">
        <v>-74.030416666666696</v>
      </c>
      <c r="AC1522" s="2">
        <v>2570</v>
      </c>
      <c r="AD1522" s="2">
        <v>10</v>
      </c>
      <c r="AE1522" s="2" t="s">
        <v>59</v>
      </c>
      <c r="AF1522" s="2" t="s">
        <v>86</v>
      </c>
      <c r="AG1522" s="2" t="s">
        <v>61</v>
      </c>
      <c r="AH1522" s="2" t="s">
        <v>62</v>
      </c>
      <c r="AI1522" s="2" t="s">
        <v>87</v>
      </c>
      <c r="AJ1522" s="2">
        <v>1.4057665337533201</v>
      </c>
      <c r="AK1522" s="2">
        <v>1.84916691083385</v>
      </c>
      <c r="AL1522" s="2">
        <v>1.0912619807674799</v>
      </c>
      <c r="AM1522" s="2">
        <v>7.9820711160270397E-2</v>
      </c>
      <c r="AN1522" s="2">
        <v>4.2070675849328696</v>
      </c>
      <c r="AO1522" s="2">
        <v>0.226026395978695</v>
      </c>
      <c r="AP1522" s="2">
        <v>0.226026395978695</v>
      </c>
      <c r="AQ1522" s="2">
        <v>0</v>
      </c>
      <c r="AR1522" s="2">
        <v>0</v>
      </c>
      <c r="AS1522" s="2">
        <v>0</v>
      </c>
      <c r="AT1522" s="2">
        <v>0</v>
      </c>
      <c r="AU1522" s="2">
        <v>0</v>
      </c>
      <c r="AV1522" s="2">
        <v>92</v>
      </c>
      <c r="AW1522" s="2">
        <v>0</v>
      </c>
      <c r="AX1522" s="2">
        <v>0</v>
      </c>
      <c r="AY1522" s="2">
        <v>15.5</v>
      </c>
      <c r="AZ1522" s="2">
        <v>2.4</v>
      </c>
      <c r="BA1522" s="2">
        <v>10.9</v>
      </c>
      <c r="BB1522" s="2">
        <v>564</v>
      </c>
      <c r="BC1522" s="2">
        <v>68</v>
      </c>
      <c r="BD1522" s="2">
        <v>1.5</v>
      </c>
      <c r="BE1522" s="2">
        <v>135</v>
      </c>
      <c r="BF1522" s="2">
        <v>0</v>
      </c>
      <c r="BG1522" s="2">
        <v>162</v>
      </c>
      <c r="BH1522" s="2">
        <v>9.1</v>
      </c>
      <c r="BI1522" s="2">
        <v>9.1999999999999993</v>
      </c>
      <c r="BJ1522" s="2">
        <v>18.3</v>
      </c>
      <c r="BK1522" s="2">
        <v>0.34</v>
      </c>
      <c r="BL1522" s="2">
        <v>7.3</v>
      </c>
      <c r="BM1522" s="2">
        <v>0.9</v>
      </c>
      <c r="BN1522" s="2">
        <v>7.5</v>
      </c>
      <c r="BO1522" s="2">
        <v>2.9</v>
      </c>
      <c r="BP1522" s="2">
        <f t="shared" si="46"/>
        <v>2.2481624629619144</v>
      </c>
      <c r="BQ1522" s="2">
        <f t="shared" si="47"/>
        <v>10.560020881509656</v>
      </c>
    </row>
    <row r="1523" spans="1:69" x14ac:dyDescent="0.2">
      <c r="A1523" s="2" t="s">
        <v>235</v>
      </c>
      <c r="B1523" s="2" t="s">
        <v>47</v>
      </c>
      <c r="C1523" s="2" t="s">
        <v>48</v>
      </c>
      <c r="D1523" s="2" t="s">
        <v>49</v>
      </c>
      <c r="E1523" s="2" t="s">
        <v>236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89</v>
      </c>
      <c r="L1523" s="6" t="s">
        <v>141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237</v>
      </c>
      <c r="R1523" s="2">
        <v>7451923.0769999996</v>
      </c>
      <c r="S1523" s="2">
        <v>0</v>
      </c>
      <c r="T1523" s="2" t="s">
        <v>83</v>
      </c>
      <c r="U1523" s="2" t="s">
        <v>84</v>
      </c>
      <c r="V1523" s="2" t="s">
        <v>56</v>
      </c>
      <c r="W1523" s="2" t="s">
        <v>83</v>
      </c>
      <c r="X1523" s="2" t="s">
        <v>85</v>
      </c>
      <c r="Y1523" s="2">
        <v>0.54072355135796202</v>
      </c>
      <c r="Z1523" s="2">
        <v>540.72355135796204</v>
      </c>
      <c r="AA1523" s="2">
        <v>4.71035</v>
      </c>
      <c r="AB1523" s="2">
        <v>-74.030416666666696</v>
      </c>
      <c r="AC1523" s="2">
        <v>2570</v>
      </c>
      <c r="AD1523" s="2">
        <v>10</v>
      </c>
      <c r="AE1523" s="2" t="s">
        <v>59</v>
      </c>
      <c r="AF1523" s="2" t="s">
        <v>86</v>
      </c>
      <c r="AG1523" s="2" t="s">
        <v>61</v>
      </c>
      <c r="AH1523" s="2" t="s">
        <v>62</v>
      </c>
      <c r="AI1523" s="2" t="s">
        <v>87</v>
      </c>
      <c r="AJ1523" s="2">
        <v>2.2075416479560901</v>
      </c>
      <c r="AK1523" s="2">
        <v>1.02407455778795</v>
      </c>
      <c r="AL1523" s="2">
        <v>0.42331080201926502</v>
      </c>
      <c r="AM1523" s="2">
        <v>0.249124473425022</v>
      </c>
      <c r="AN1523" s="2">
        <v>3.8876603536792098</v>
      </c>
      <c r="AO1523" s="2">
        <v>2.0218344267336302E-2</v>
      </c>
      <c r="AP1523" s="2">
        <v>2.0218344267336302E-2</v>
      </c>
      <c r="AQ1523" s="2">
        <v>0</v>
      </c>
      <c r="AR1523" s="2">
        <v>0</v>
      </c>
      <c r="AS1523" s="2">
        <v>0</v>
      </c>
      <c r="AT1523" s="2">
        <v>0</v>
      </c>
      <c r="AU1523" s="2">
        <v>2</v>
      </c>
      <c r="AV1523" s="2">
        <v>118</v>
      </c>
      <c r="AW1523" s="2">
        <v>0</v>
      </c>
      <c r="AX1523" s="2">
        <v>0</v>
      </c>
      <c r="AY1523" s="2">
        <v>15.5</v>
      </c>
      <c r="AZ1523" s="2">
        <v>2.4</v>
      </c>
      <c r="BA1523" s="2">
        <v>10.9</v>
      </c>
      <c r="BB1523" s="2">
        <v>564</v>
      </c>
      <c r="BC1523" s="2">
        <v>68</v>
      </c>
      <c r="BD1523" s="2">
        <v>1.5</v>
      </c>
      <c r="BE1523" s="2">
        <v>135</v>
      </c>
      <c r="BF1523" s="2">
        <v>0</v>
      </c>
      <c r="BG1523" s="2">
        <v>162</v>
      </c>
      <c r="BH1523" s="2">
        <v>9.1</v>
      </c>
      <c r="BI1523" s="2">
        <v>9.1999999999999993</v>
      </c>
      <c r="BJ1523" s="2">
        <v>18.3</v>
      </c>
      <c r="BK1523" s="2">
        <v>0.34</v>
      </c>
      <c r="BL1523" s="2">
        <v>7.3</v>
      </c>
      <c r="BM1523" s="2">
        <v>0.9</v>
      </c>
      <c r="BN1523" s="2">
        <v>7.5</v>
      </c>
      <c r="BO1523" s="2">
        <v>2.9</v>
      </c>
      <c r="BP1523" s="2">
        <f t="shared" si="46"/>
        <v>2.3366141137159397</v>
      </c>
      <c r="BQ1523" s="2">
        <f t="shared" si="47"/>
        <v>10.759460606853226</v>
      </c>
    </row>
    <row r="1524" spans="1:69" x14ac:dyDescent="0.2">
      <c r="A1524" s="2" t="s">
        <v>1162</v>
      </c>
      <c r="B1524" s="2" t="s">
        <v>47</v>
      </c>
      <c r="C1524" s="2" t="s">
        <v>48</v>
      </c>
      <c r="D1524" s="2" t="s">
        <v>49</v>
      </c>
      <c r="E1524" s="2" t="s">
        <v>1163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89</v>
      </c>
      <c r="L1524" s="6" t="s">
        <v>141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1164</v>
      </c>
      <c r="R1524" s="2">
        <v>6097560.9759999998</v>
      </c>
      <c r="S1524" s="2">
        <v>0</v>
      </c>
      <c r="T1524" s="2" t="s">
        <v>83</v>
      </c>
      <c r="U1524" s="2" t="s">
        <v>84</v>
      </c>
      <c r="V1524" s="2" t="s">
        <v>56</v>
      </c>
      <c r="W1524" s="2" t="s">
        <v>83</v>
      </c>
      <c r="X1524" s="2" t="s">
        <v>85</v>
      </c>
      <c r="Y1524" s="2">
        <v>1.587701670945</v>
      </c>
      <c r="Z1524" s="2">
        <v>1587.7016709449999</v>
      </c>
      <c r="AA1524" s="2">
        <v>4.71035</v>
      </c>
      <c r="AB1524" s="2">
        <v>-74.030416666666696</v>
      </c>
      <c r="AC1524" s="2">
        <v>2570</v>
      </c>
      <c r="AD1524" s="2">
        <v>10</v>
      </c>
      <c r="AE1524" s="2" t="s">
        <v>59</v>
      </c>
      <c r="AF1524" s="2" t="s">
        <v>86</v>
      </c>
      <c r="AG1524" s="2" t="s">
        <v>61</v>
      </c>
      <c r="AH1524" s="2" t="s">
        <v>62</v>
      </c>
      <c r="AI1524" s="2" t="s">
        <v>87</v>
      </c>
      <c r="AJ1524" s="2">
        <v>3.0603716377732799</v>
      </c>
      <c r="AK1524" s="2">
        <v>0.111917923405511</v>
      </c>
      <c r="AL1524" s="2">
        <v>1.69215925767998</v>
      </c>
      <c r="AM1524" s="2">
        <v>0.41464166948581299</v>
      </c>
      <c r="AN1524" s="2">
        <v>2.1205457114905601</v>
      </c>
      <c r="AO1524" s="2">
        <v>0.53012986260883599</v>
      </c>
      <c r="AP1524" s="2">
        <v>0.53012986260883599</v>
      </c>
      <c r="AQ1524" s="2">
        <v>0</v>
      </c>
      <c r="AR1524" s="2">
        <v>0</v>
      </c>
      <c r="AS1524" s="2">
        <v>15</v>
      </c>
      <c r="AT1524" s="2">
        <v>44</v>
      </c>
      <c r="AU1524" s="2">
        <v>0</v>
      </c>
      <c r="AV1524" s="2">
        <v>9</v>
      </c>
      <c r="AW1524" s="2">
        <v>0</v>
      </c>
      <c r="AX1524" s="2">
        <v>0</v>
      </c>
      <c r="AY1524" s="2">
        <v>15.5</v>
      </c>
      <c r="AZ1524" s="2">
        <v>2.4</v>
      </c>
      <c r="BA1524" s="2">
        <v>10.9</v>
      </c>
      <c r="BB1524" s="2">
        <v>564</v>
      </c>
      <c r="BC1524" s="2">
        <v>68</v>
      </c>
      <c r="BD1524" s="2">
        <v>1.5</v>
      </c>
      <c r="BE1524" s="2">
        <v>135</v>
      </c>
      <c r="BF1524" s="2">
        <v>0</v>
      </c>
      <c r="BG1524" s="2">
        <v>162</v>
      </c>
      <c r="BH1524" s="2">
        <v>9.1</v>
      </c>
      <c r="BI1524" s="2">
        <v>9.1999999999999993</v>
      </c>
      <c r="BJ1524" s="2">
        <v>18.3</v>
      </c>
      <c r="BK1524" s="2">
        <v>0.34</v>
      </c>
      <c r="BL1524" s="2">
        <v>7.3</v>
      </c>
      <c r="BM1524" s="2">
        <v>0.9</v>
      </c>
      <c r="BN1524" s="2">
        <v>7.5</v>
      </c>
      <c r="BO1524" s="2">
        <v>2.9</v>
      </c>
      <c r="BP1524" s="2">
        <f t="shared" si="46"/>
        <v>2.2186025254775243</v>
      </c>
      <c r="BQ1524" s="2">
        <f t="shared" si="47"/>
        <v>10.492470966314865</v>
      </c>
    </row>
    <row r="1525" spans="1:69" x14ac:dyDescent="0.2">
      <c r="A1525" s="2" t="s">
        <v>836</v>
      </c>
      <c r="B1525" s="2" t="s">
        <v>47</v>
      </c>
      <c r="C1525" s="2" t="s">
        <v>48</v>
      </c>
      <c r="D1525" s="2" t="s">
        <v>49</v>
      </c>
      <c r="E1525" s="2" t="s">
        <v>349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89</v>
      </c>
      <c r="L1525" s="6" t="s">
        <v>103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837</v>
      </c>
      <c r="R1525" s="2">
        <v>9803921.5690000001</v>
      </c>
      <c r="S1525" s="2">
        <v>0</v>
      </c>
      <c r="T1525" s="2" t="s">
        <v>83</v>
      </c>
      <c r="U1525" s="2" t="s">
        <v>84</v>
      </c>
      <c r="V1525" s="2" t="s">
        <v>56</v>
      </c>
      <c r="W1525" s="2" t="s">
        <v>83</v>
      </c>
      <c r="X1525" s="2" t="s">
        <v>85</v>
      </c>
      <c r="Y1525" s="2">
        <v>0.60560925640005103</v>
      </c>
      <c r="Z1525" s="2">
        <v>605.60925640005098</v>
      </c>
      <c r="AA1525" s="2">
        <v>4.71035</v>
      </c>
      <c r="AB1525" s="2">
        <v>-74.030416666666696</v>
      </c>
      <c r="AC1525" s="2">
        <v>2570</v>
      </c>
      <c r="AD1525" s="2">
        <v>10</v>
      </c>
      <c r="AE1525" s="2" t="s">
        <v>59</v>
      </c>
      <c r="AF1525" s="2" t="s">
        <v>86</v>
      </c>
      <c r="AG1525" s="2" t="s">
        <v>61</v>
      </c>
      <c r="AH1525" s="2" t="s">
        <v>62</v>
      </c>
      <c r="AI1525" s="2" t="s">
        <v>87</v>
      </c>
      <c r="AJ1525" s="2">
        <v>3.0735841084319002</v>
      </c>
      <c r="AK1525" s="2">
        <v>6.7221756050779805E-2</v>
      </c>
      <c r="AL1525" s="2">
        <v>0.86056265669686904</v>
      </c>
      <c r="AM1525" s="2">
        <v>0.53567781429343597</v>
      </c>
      <c r="AN1525" s="2">
        <v>3.3520682404044502</v>
      </c>
      <c r="AO1525" s="2">
        <v>0.66078024660277301</v>
      </c>
      <c r="AP1525" s="2">
        <v>0.66078024660277301</v>
      </c>
      <c r="AQ1525" s="2">
        <v>0</v>
      </c>
      <c r="AR1525" s="2">
        <v>0</v>
      </c>
      <c r="AS1525" s="2">
        <v>17</v>
      </c>
      <c r="AT1525" s="2">
        <v>46</v>
      </c>
      <c r="AU1525" s="2">
        <v>1</v>
      </c>
      <c r="AV1525" s="2">
        <v>72</v>
      </c>
      <c r="AW1525" s="2">
        <v>0</v>
      </c>
      <c r="AX1525" s="2">
        <v>0</v>
      </c>
      <c r="AY1525" s="2">
        <v>15.5</v>
      </c>
      <c r="AZ1525" s="2">
        <v>2.4</v>
      </c>
      <c r="BA1525" s="2">
        <v>10.9</v>
      </c>
      <c r="BB1525" s="2">
        <v>564</v>
      </c>
      <c r="BC1525" s="2">
        <v>68</v>
      </c>
      <c r="BD1525" s="2">
        <v>1.5</v>
      </c>
      <c r="BE1525" s="2">
        <v>135</v>
      </c>
      <c r="BF1525" s="2">
        <v>0</v>
      </c>
      <c r="BG1525" s="2">
        <v>162</v>
      </c>
      <c r="BH1525" s="2">
        <v>9.1</v>
      </c>
      <c r="BI1525" s="2">
        <v>9.1999999999999993</v>
      </c>
      <c r="BJ1525" s="2">
        <v>18.3</v>
      </c>
      <c r="BK1525" s="2">
        <v>0.34</v>
      </c>
      <c r="BL1525" s="2">
        <v>7.3</v>
      </c>
      <c r="BM1525" s="2">
        <v>0.9</v>
      </c>
      <c r="BN1525" s="2">
        <v>7.5</v>
      </c>
      <c r="BO1525" s="2">
        <v>2.9</v>
      </c>
      <c r="BP1525" s="2">
        <f t="shared" si="46"/>
        <v>2.3291213167168525</v>
      </c>
      <c r="BQ1525" s="2">
        <f t="shared" si="47"/>
        <v>10.742718401697681</v>
      </c>
    </row>
    <row r="1526" spans="1:69" x14ac:dyDescent="0.2">
      <c r="A1526" s="2" t="s">
        <v>1864</v>
      </c>
      <c r="B1526" s="2" t="s">
        <v>47</v>
      </c>
      <c r="C1526" s="2" t="s">
        <v>48</v>
      </c>
      <c r="D1526" s="2" t="s">
        <v>49</v>
      </c>
      <c r="E1526" s="2" t="s">
        <v>189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89</v>
      </c>
      <c r="L1526" s="6" t="s">
        <v>141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1865</v>
      </c>
      <c r="R1526" s="2">
        <v>5862068.966</v>
      </c>
      <c r="S1526" s="2">
        <v>0</v>
      </c>
      <c r="T1526" s="2" t="s">
        <v>83</v>
      </c>
      <c r="U1526" s="2" t="s">
        <v>84</v>
      </c>
      <c r="V1526" s="2" t="s">
        <v>56</v>
      </c>
      <c r="W1526" s="2" t="s">
        <v>83</v>
      </c>
      <c r="X1526" s="2" t="s">
        <v>85</v>
      </c>
      <c r="Y1526" s="2">
        <v>2.4210946157621902</v>
      </c>
      <c r="Z1526" s="2">
        <v>2421.0946157621902</v>
      </c>
      <c r="AA1526" s="2">
        <v>4.71035</v>
      </c>
      <c r="AB1526" s="2">
        <v>-74.030416666666696</v>
      </c>
      <c r="AC1526" s="2">
        <v>2570</v>
      </c>
      <c r="AD1526" s="2">
        <v>10</v>
      </c>
      <c r="AE1526" s="2" t="s">
        <v>59</v>
      </c>
      <c r="AF1526" s="2" t="s">
        <v>86</v>
      </c>
      <c r="AG1526" s="2" t="s">
        <v>61</v>
      </c>
      <c r="AH1526" s="2" t="s">
        <v>62</v>
      </c>
      <c r="AI1526" s="2" t="s">
        <v>87</v>
      </c>
      <c r="AJ1526" s="2">
        <v>1.3056517174763</v>
      </c>
      <c r="AK1526" s="2">
        <v>1.88732964378977</v>
      </c>
      <c r="AL1526" s="2">
        <v>0.60485148313578296</v>
      </c>
      <c r="AM1526" s="2">
        <v>0.16382757599011899</v>
      </c>
      <c r="AN1526" s="2">
        <v>4.6965480858550803</v>
      </c>
      <c r="AO1526" s="2">
        <v>0.12437949151493601</v>
      </c>
      <c r="AP1526" s="2">
        <v>0.12437949151493601</v>
      </c>
      <c r="AQ1526" s="2">
        <v>0</v>
      </c>
      <c r="AR1526" s="2">
        <v>0</v>
      </c>
      <c r="AS1526" s="2">
        <v>0</v>
      </c>
      <c r="AT1526" s="2">
        <v>0</v>
      </c>
      <c r="AU1526" s="2">
        <v>3</v>
      </c>
      <c r="AV1526" s="2">
        <v>120</v>
      </c>
      <c r="AW1526" s="2">
        <v>0</v>
      </c>
      <c r="AX1526" s="2">
        <v>0</v>
      </c>
      <c r="AY1526" s="2">
        <v>15.5</v>
      </c>
      <c r="AZ1526" s="2">
        <v>2.4</v>
      </c>
      <c r="BA1526" s="2">
        <v>10.9</v>
      </c>
      <c r="BB1526" s="2">
        <v>564</v>
      </c>
      <c r="BC1526" s="2">
        <v>68</v>
      </c>
      <c r="BD1526" s="2">
        <v>1.5</v>
      </c>
      <c r="BE1526" s="2">
        <v>135</v>
      </c>
      <c r="BF1526" s="2">
        <v>0</v>
      </c>
      <c r="BG1526" s="2">
        <v>162</v>
      </c>
      <c r="BH1526" s="2">
        <v>9.1</v>
      </c>
      <c r="BI1526" s="2">
        <v>9.1999999999999993</v>
      </c>
      <c r="BJ1526" s="2">
        <v>18.3</v>
      </c>
      <c r="BK1526" s="2">
        <v>0.34</v>
      </c>
      <c r="BL1526" s="2">
        <v>7.3</v>
      </c>
      <c r="BM1526" s="2">
        <v>0.9</v>
      </c>
      <c r="BN1526" s="2">
        <v>7.5</v>
      </c>
      <c r="BO1526" s="2">
        <v>2.9</v>
      </c>
      <c r="BP1526" s="2">
        <f t="shared" si="46"/>
        <v>2.1289407464163763</v>
      </c>
      <c r="BQ1526" s="2">
        <f t="shared" si="47"/>
        <v>10.284691406823775</v>
      </c>
    </row>
    <row r="1527" spans="1:69" x14ac:dyDescent="0.2">
      <c r="A1527" s="2" t="s">
        <v>2829</v>
      </c>
      <c r="B1527" s="2" t="s">
        <v>47</v>
      </c>
      <c r="C1527" s="2" t="s">
        <v>1935</v>
      </c>
      <c r="D1527" s="2" t="s">
        <v>49</v>
      </c>
      <c r="E1527" s="2" t="s">
        <v>1258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89</v>
      </c>
      <c r="L1527" s="6" t="s">
        <v>141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2830</v>
      </c>
      <c r="R1527" s="2">
        <v>8929014.3359999992</v>
      </c>
      <c r="S1527" s="2">
        <v>0</v>
      </c>
      <c r="T1527" s="2" t="s">
        <v>83</v>
      </c>
      <c r="U1527" s="2" t="s">
        <v>84</v>
      </c>
      <c r="V1527" s="2" t="s">
        <v>56</v>
      </c>
      <c r="W1527" s="2" t="s">
        <v>83</v>
      </c>
      <c r="X1527" s="2" t="s">
        <v>85</v>
      </c>
      <c r="Y1527" s="2">
        <v>3.0815654751667401</v>
      </c>
      <c r="Z1527" s="2">
        <v>3081.5654751667398</v>
      </c>
      <c r="AA1527" s="2">
        <v>4.71035</v>
      </c>
      <c r="AB1527" s="2">
        <v>-74.030416666666696</v>
      </c>
      <c r="AC1527" s="2">
        <v>2570</v>
      </c>
      <c r="AD1527" s="2">
        <v>10</v>
      </c>
      <c r="AE1527" s="2" t="s">
        <v>59</v>
      </c>
      <c r="AF1527" s="2" t="s">
        <v>86</v>
      </c>
      <c r="AG1527" s="2" t="s">
        <v>61</v>
      </c>
      <c r="AH1527" s="2" t="s">
        <v>62</v>
      </c>
      <c r="AI1527" s="2" t="s">
        <v>100</v>
      </c>
      <c r="AJ1527" s="2">
        <v>0.36450806413144599</v>
      </c>
      <c r="AK1527" s="2">
        <v>3.5386647716579902</v>
      </c>
      <c r="AL1527" s="2">
        <v>1.4474307633736201</v>
      </c>
      <c r="AM1527" s="2">
        <v>2.39300630774999E-2</v>
      </c>
      <c r="AN1527" s="2">
        <v>4.2925188003570698</v>
      </c>
      <c r="AO1527" s="2">
        <v>6.1143842476335697E-2</v>
      </c>
      <c r="AP1527" s="2">
        <v>6.1143842476335697E-2</v>
      </c>
      <c r="AQ1527" s="2">
        <v>1</v>
      </c>
      <c r="AR1527" s="2">
        <v>2</v>
      </c>
      <c r="AS1527" s="2">
        <v>0</v>
      </c>
      <c r="AT1527" s="2">
        <v>0</v>
      </c>
      <c r="AU1527" s="2">
        <v>0</v>
      </c>
      <c r="AV1527" s="2">
        <v>121</v>
      </c>
      <c r="AW1527" s="2">
        <v>0</v>
      </c>
      <c r="AX1527" s="2">
        <v>0</v>
      </c>
      <c r="AY1527" s="2">
        <v>15.5</v>
      </c>
      <c r="AZ1527" s="2">
        <v>2.4</v>
      </c>
      <c r="BA1527" s="2">
        <v>10.9</v>
      </c>
      <c r="BB1527" s="2">
        <v>564</v>
      </c>
      <c r="BC1527" s="2">
        <v>68</v>
      </c>
      <c r="BD1527" s="2">
        <v>1.5</v>
      </c>
      <c r="BE1527" s="2">
        <v>135</v>
      </c>
      <c r="BF1527" s="2">
        <v>0</v>
      </c>
      <c r="BG1527" s="2">
        <v>162</v>
      </c>
      <c r="BH1527" s="2">
        <v>9.1</v>
      </c>
      <c r="BI1527" s="2">
        <v>9.1999999999999993</v>
      </c>
      <c r="BJ1527" s="2">
        <v>18.3</v>
      </c>
      <c r="BK1527" s="2">
        <v>0.34</v>
      </c>
      <c r="BL1527" s="2">
        <v>7.3</v>
      </c>
      <c r="BM1527" s="2">
        <v>0.9</v>
      </c>
      <c r="BN1527" s="2">
        <v>7.5</v>
      </c>
      <c r="BO1527" s="2">
        <v>2.9</v>
      </c>
      <c r="BP1527" s="2">
        <f t="shared" si="46"/>
        <v>2.0604640951451056</v>
      </c>
      <c r="BQ1527" s="2">
        <f t="shared" si="47"/>
        <v>10.122950956355</v>
      </c>
    </row>
    <row r="1528" spans="1:69" x14ac:dyDescent="0.2">
      <c r="A1528" s="2" t="s">
        <v>2881</v>
      </c>
      <c r="B1528" s="2" t="s">
        <v>47</v>
      </c>
      <c r="C1528" s="2" t="s">
        <v>1935</v>
      </c>
      <c r="D1528" s="2" t="s">
        <v>49</v>
      </c>
      <c r="E1528" s="2" t="s">
        <v>541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89</v>
      </c>
      <c r="L1528" s="6" t="s">
        <v>141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2882</v>
      </c>
      <c r="R1528" s="2">
        <v>10442565.890000001</v>
      </c>
      <c r="S1528" s="2">
        <v>0</v>
      </c>
      <c r="T1528" s="2" t="s">
        <v>83</v>
      </c>
      <c r="U1528" s="2" t="s">
        <v>84</v>
      </c>
      <c r="V1528" s="2" t="s">
        <v>56</v>
      </c>
      <c r="W1528" s="2" t="s">
        <v>83</v>
      </c>
      <c r="X1528" s="2" t="s">
        <v>85</v>
      </c>
      <c r="Y1528" s="2">
        <v>1.8865950458481799</v>
      </c>
      <c r="Z1528" s="2">
        <v>1886.59504584818</v>
      </c>
      <c r="AA1528" s="2">
        <v>4.71035</v>
      </c>
      <c r="AB1528" s="2">
        <v>-74.030416666666696</v>
      </c>
      <c r="AC1528" s="2">
        <v>2570</v>
      </c>
      <c r="AD1528" s="2">
        <v>10</v>
      </c>
      <c r="AE1528" s="2" t="s">
        <v>59</v>
      </c>
      <c r="AF1528" s="2" t="s">
        <v>86</v>
      </c>
      <c r="AG1528" s="2" t="s">
        <v>61</v>
      </c>
      <c r="AH1528" s="2" t="s">
        <v>62</v>
      </c>
      <c r="AI1528" s="2" t="s">
        <v>87</v>
      </c>
      <c r="AJ1528" s="2">
        <v>2.8241436979761301</v>
      </c>
      <c r="AK1528" s="2">
        <v>0.45183210114398697</v>
      </c>
      <c r="AL1528" s="2">
        <v>0.13240485757058701</v>
      </c>
      <c r="AM1528" s="2">
        <v>0.18523501209330601</v>
      </c>
      <c r="AN1528" s="2">
        <v>5.3338837642336401</v>
      </c>
      <c r="AO1528" s="2">
        <v>0.52090197139611705</v>
      </c>
      <c r="AP1528" s="2">
        <v>0.52090197139611705</v>
      </c>
      <c r="AQ1528" s="2">
        <v>0</v>
      </c>
      <c r="AR1528" s="2">
        <v>0</v>
      </c>
      <c r="AS1528" s="2">
        <v>2</v>
      </c>
      <c r="AT1528" s="2">
        <v>21</v>
      </c>
      <c r="AU1528" s="2">
        <v>2</v>
      </c>
      <c r="AV1528" s="2">
        <v>108</v>
      </c>
      <c r="AW1528" s="2">
        <v>0</v>
      </c>
      <c r="AX1528" s="2">
        <v>0</v>
      </c>
      <c r="AY1528" s="2">
        <v>15.5</v>
      </c>
      <c r="AZ1528" s="2">
        <v>2.4</v>
      </c>
      <c r="BA1528" s="2">
        <v>10.9</v>
      </c>
      <c r="BB1528" s="2">
        <v>564</v>
      </c>
      <c r="BC1528" s="2">
        <v>68</v>
      </c>
      <c r="BD1528" s="2">
        <v>1.5</v>
      </c>
      <c r="BE1528" s="2">
        <v>135</v>
      </c>
      <c r="BF1528" s="2">
        <v>0</v>
      </c>
      <c r="BG1528" s="2">
        <v>162</v>
      </c>
      <c r="BH1528" s="2">
        <v>9.1</v>
      </c>
      <c r="BI1528" s="2">
        <v>9.1999999999999993</v>
      </c>
      <c r="BJ1528" s="2">
        <v>18.3</v>
      </c>
      <c r="BK1528" s="2">
        <v>0.34</v>
      </c>
      <c r="BL1528" s="2">
        <v>7.3</v>
      </c>
      <c r="BM1528" s="2">
        <v>0.9</v>
      </c>
      <c r="BN1528" s="2">
        <v>7.5</v>
      </c>
      <c r="BO1528" s="2">
        <v>2.9</v>
      </c>
      <c r="BP1528" s="2">
        <f t="shared" si="46"/>
        <v>2.1860194398129664</v>
      </c>
      <c r="BQ1528" s="2">
        <f t="shared" si="47"/>
        <v>10.417473162682235</v>
      </c>
    </row>
    <row r="1529" spans="1:69" x14ac:dyDescent="0.2">
      <c r="A1529" s="2" t="s">
        <v>942</v>
      </c>
      <c r="B1529" s="2" t="s">
        <v>47</v>
      </c>
      <c r="C1529" s="2" t="s">
        <v>48</v>
      </c>
      <c r="D1529" s="2" t="s">
        <v>49</v>
      </c>
      <c r="E1529" s="2" t="s">
        <v>158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89</v>
      </c>
      <c r="L1529" s="6" t="s">
        <v>94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943</v>
      </c>
      <c r="R1529" s="2">
        <v>6250000</v>
      </c>
      <c r="S1529" s="2">
        <v>0</v>
      </c>
      <c r="T1529" s="2" t="s">
        <v>83</v>
      </c>
      <c r="U1529" s="2" t="s">
        <v>84</v>
      </c>
      <c r="V1529" s="2" t="s">
        <v>56</v>
      </c>
      <c r="W1529" s="2" t="s">
        <v>83</v>
      </c>
      <c r="X1529" s="2" t="s">
        <v>85</v>
      </c>
      <c r="Y1529" s="2">
        <v>3.86963148290925</v>
      </c>
      <c r="Z1529" s="2">
        <v>3869.6314829092498</v>
      </c>
      <c r="AA1529" s="2">
        <v>4.71035</v>
      </c>
      <c r="AB1529" s="2">
        <v>-74.030416666666696</v>
      </c>
      <c r="AC1529" s="2">
        <v>2570</v>
      </c>
      <c r="AD1529" s="2">
        <v>10</v>
      </c>
      <c r="AE1529" s="2" t="s">
        <v>59</v>
      </c>
      <c r="AF1529" s="2" t="s">
        <v>86</v>
      </c>
      <c r="AG1529" s="2" t="s">
        <v>61</v>
      </c>
      <c r="AH1529" s="2" t="s">
        <v>62</v>
      </c>
      <c r="AI1529" s="2" t="s">
        <v>109</v>
      </c>
      <c r="AJ1529" s="2">
        <v>1.3986187321575201</v>
      </c>
      <c r="AK1529" s="2">
        <v>0.92342432282646403</v>
      </c>
      <c r="AL1529" s="2">
        <v>0.82652476163703703</v>
      </c>
      <c r="AM1529" s="2">
        <v>6.0306343421051997E-2</v>
      </c>
      <c r="AN1529" s="2">
        <v>4.0215888986002497</v>
      </c>
      <c r="AO1529" s="2">
        <v>1.1013523874014399</v>
      </c>
      <c r="AP1529" s="2">
        <v>1.1013523874014399</v>
      </c>
      <c r="AQ1529" s="2">
        <v>0</v>
      </c>
      <c r="AR1529" s="2">
        <v>0</v>
      </c>
      <c r="AS1529" s="2">
        <v>0</v>
      </c>
      <c r="AT1529" s="2">
        <v>1</v>
      </c>
      <c r="AU1529" s="2">
        <v>4</v>
      </c>
      <c r="AV1529" s="2">
        <v>100</v>
      </c>
      <c r="AW1529" s="2">
        <v>0</v>
      </c>
      <c r="AX1529" s="2">
        <v>0</v>
      </c>
      <c r="AY1529" s="2">
        <v>15.5</v>
      </c>
      <c r="AZ1529" s="2">
        <v>2.4</v>
      </c>
      <c r="BA1529" s="2">
        <v>10.9</v>
      </c>
      <c r="BB1529" s="2">
        <v>564</v>
      </c>
      <c r="BC1529" s="2">
        <v>68</v>
      </c>
      <c r="BD1529" s="2">
        <v>1.5</v>
      </c>
      <c r="BE1529" s="2">
        <v>135</v>
      </c>
      <c r="BF1529" s="2">
        <v>0</v>
      </c>
      <c r="BG1529" s="2">
        <v>162</v>
      </c>
      <c r="BH1529" s="2">
        <v>9.1</v>
      </c>
      <c r="BI1529" s="2">
        <v>9.1999999999999993</v>
      </c>
      <c r="BJ1529" s="2">
        <v>18.3</v>
      </c>
      <c r="BK1529" s="2">
        <v>0.34</v>
      </c>
      <c r="BL1529" s="2">
        <v>7.3</v>
      </c>
      <c r="BM1529" s="2">
        <v>0.9</v>
      </c>
      <c r="BN1529" s="2">
        <v>7.5</v>
      </c>
      <c r="BO1529" s="2">
        <v>2.9</v>
      </c>
      <c r="BP1529" s="2">
        <f t="shared" si="46"/>
        <v>1.9816344400255108</v>
      </c>
      <c r="BQ1529" s="2">
        <f t="shared" si="47"/>
        <v>9.9332889195327603</v>
      </c>
    </row>
    <row r="1530" spans="1:69" x14ac:dyDescent="0.2">
      <c r="A1530" s="2" t="s">
        <v>1553</v>
      </c>
      <c r="B1530" s="2" t="s">
        <v>47</v>
      </c>
      <c r="C1530" s="2" t="s">
        <v>48</v>
      </c>
      <c r="D1530" s="2" t="s">
        <v>49</v>
      </c>
      <c r="E1530" s="2" t="s">
        <v>189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89</v>
      </c>
      <c r="L1530" s="6" t="s">
        <v>141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1554</v>
      </c>
      <c r="R1530" s="2">
        <v>6750000</v>
      </c>
      <c r="S1530" s="2">
        <v>0</v>
      </c>
      <c r="T1530" s="2" t="s">
        <v>83</v>
      </c>
      <c r="U1530" s="2" t="s">
        <v>84</v>
      </c>
      <c r="V1530" s="2" t="s">
        <v>56</v>
      </c>
      <c r="W1530" s="2" t="s">
        <v>83</v>
      </c>
      <c r="X1530" s="2" t="s">
        <v>85</v>
      </c>
      <c r="Y1530" s="2">
        <v>2.3129431373940399</v>
      </c>
      <c r="Z1530" s="2">
        <v>2312.9431373940401</v>
      </c>
      <c r="AA1530" s="2">
        <v>4.71035</v>
      </c>
      <c r="AB1530" s="2">
        <v>-74.030416666666696</v>
      </c>
      <c r="AC1530" s="2">
        <v>2570</v>
      </c>
      <c r="AD1530" s="2">
        <v>10</v>
      </c>
      <c r="AE1530" s="2" t="s">
        <v>59</v>
      </c>
      <c r="AF1530" s="2" t="s">
        <v>86</v>
      </c>
      <c r="AG1530" s="2" t="s">
        <v>61</v>
      </c>
      <c r="AH1530" s="2" t="s">
        <v>62</v>
      </c>
      <c r="AI1530" s="2" t="s">
        <v>87</v>
      </c>
      <c r="AJ1530" s="2">
        <v>1.2380762153927001</v>
      </c>
      <c r="AK1530" s="2">
        <v>2.0199058334003999</v>
      </c>
      <c r="AL1530" s="2">
        <v>0.61900829313802797</v>
      </c>
      <c r="AM1530" s="2">
        <v>6.1077206888256299E-3</v>
      </c>
      <c r="AN1530" s="2">
        <v>4.7574147930617503</v>
      </c>
      <c r="AO1530" s="2">
        <v>0.26188877961818202</v>
      </c>
      <c r="AP1530" s="2">
        <v>0.26188877961818202</v>
      </c>
      <c r="AQ1530" s="2">
        <v>0</v>
      </c>
      <c r="AR1530" s="2">
        <v>0</v>
      </c>
      <c r="AS1530" s="2">
        <v>0</v>
      </c>
      <c r="AT1530" s="2">
        <v>0</v>
      </c>
      <c r="AU1530" s="2">
        <v>1</v>
      </c>
      <c r="AV1530" s="2">
        <v>124</v>
      </c>
      <c r="AW1530" s="2">
        <v>0</v>
      </c>
      <c r="AX1530" s="2">
        <v>0</v>
      </c>
      <c r="AY1530" s="2">
        <v>15.5</v>
      </c>
      <c r="AZ1530" s="2">
        <v>2.4</v>
      </c>
      <c r="BA1530" s="2">
        <v>10.9</v>
      </c>
      <c r="BB1530" s="2">
        <v>564</v>
      </c>
      <c r="BC1530" s="2">
        <v>68</v>
      </c>
      <c r="BD1530" s="2">
        <v>1.5</v>
      </c>
      <c r="BE1530" s="2">
        <v>135</v>
      </c>
      <c r="BF1530" s="2">
        <v>0</v>
      </c>
      <c r="BG1530" s="2">
        <v>162</v>
      </c>
      <c r="BH1530" s="2">
        <v>9.1</v>
      </c>
      <c r="BI1530" s="2">
        <v>9.1999999999999993</v>
      </c>
      <c r="BJ1530" s="2">
        <v>18.3</v>
      </c>
      <c r="BK1530" s="2">
        <v>0.34</v>
      </c>
      <c r="BL1530" s="2">
        <v>7.3</v>
      </c>
      <c r="BM1530" s="2">
        <v>0.9</v>
      </c>
      <c r="BN1530" s="2">
        <v>7.5</v>
      </c>
      <c r="BO1530" s="2">
        <v>2.9</v>
      </c>
      <c r="BP1530" s="2">
        <f t="shared" si="46"/>
        <v>2.1403685889997925</v>
      </c>
      <c r="BQ1530" s="2">
        <f t="shared" si="47"/>
        <v>10.311421392390864</v>
      </c>
    </row>
    <row r="1531" spans="1:69" x14ac:dyDescent="0.2">
      <c r="A1531" s="2" t="s">
        <v>2356</v>
      </c>
      <c r="B1531" s="2" t="s">
        <v>47</v>
      </c>
      <c r="C1531" s="2" t="s">
        <v>1935</v>
      </c>
      <c r="D1531" s="2" t="s">
        <v>49</v>
      </c>
      <c r="E1531" s="2" t="s">
        <v>2357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89</v>
      </c>
      <c r="L1531" s="6" t="s">
        <v>94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2358</v>
      </c>
      <c r="R1531" s="2">
        <v>7750000</v>
      </c>
      <c r="S1531" s="2">
        <v>0</v>
      </c>
      <c r="T1531" s="2" t="s">
        <v>83</v>
      </c>
      <c r="U1531" s="2" t="s">
        <v>84</v>
      </c>
      <c r="V1531" s="2" t="s">
        <v>56</v>
      </c>
      <c r="W1531" s="2" t="s">
        <v>83</v>
      </c>
      <c r="X1531" s="2" t="s">
        <v>85</v>
      </c>
      <c r="Y1531" s="2">
        <v>2.24667497565797</v>
      </c>
      <c r="Z1531" s="2">
        <v>2246.6749756579702</v>
      </c>
      <c r="AA1531" s="2">
        <v>4.71035</v>
      </c>
      <c r="AB1531" s="2">
        <v>-74.030416666666696</v>
      </c>
      <c r="AC1531" s="2">
        <v>2570</v>
      </c>
      <c r="AD1531" s="2">
        <v>10</v>
      </c>
      <c r="AE1531" s="2" t="s">
        <v>59</v>
      </c>
      <c r="AF1531" s="2" t="s">
        <v>86</v>
      </c>
      <c r="AG1531" s="2" t="s">
        <v>61</v>
      </c>
      <c r="AH1531" s="2" t="s">
        <v>62</v>
      </c>
      <c r="AI1531" s="2" t="s">
        <v>87</v>
      </c>
      <c r="AJ1531" s="2">
        <v>0.299082023803935</v>
      </c>
      <c r="AK1531" s="2">
        <v>2.8256026783408901</v>
      </c>
      <c r="AL1531" s="2">
        <v>1.9801483343544699</v>
      </c>
      <c r="AM1531" s="2">
        <v>0.460285390511811</v>
      </c>
      <c r="AN1531" s="2">
        <v>3.8696426787785998</v>
      </c>
      <c r="AO1531" s="2">
        <v>0.31443799475387002</v>
      </c>
      <c r="AP1531" s="2">
        <v>0.31443799475387002</v>
      </c>
      <c r="AQ1531" s="2">
        <v>1</v>
      </c>
      <c r="AR1531" s="2">
        <v>2</v>
      </c>
      <c r="AS1531" s="2">
        <v>0</v>
      </c>
      <c r="AT1531" s="2">
        <v>0</v>
      </c>
      <c r="AU1531" s="2">
        <v>0</v>
      </c>
      <c r="AV1531" s="2">
        <v>64</v>
      </c>
      <c r="AW1531" s="2">
        <v>0</v>
      </c>
      <c r="AX1531" s="2">
        <v>0</v>
      </c>
      <c r="AY1531" s="2">
        <v>15.5</v>
      </c>
      <c r="AZ1531" s="2">
        <v>2.4</v>
      </c>
      <c r="BA1531" s="2">
        <v>10.9</v>
      </c>
      <c r="BB1531" s="2">
        <v>564</v>
      </c>
      <c r="BC1531" s="2">
        <v>68</v>
      </c>
      <c r="BD1531" s="2">
        <v>1.5</v>
      </c>
      <c r="BE1531" s="2">
        <v>135</v>
      </c>
      <c r="BF1531" s="2">
        <v>0</v>
      </c>
      <c r="BG1531" s="2">
        <v>162</v>
      </c>
      <c r="BH1531" s="2">
        <v>9.1</v>
      </c>
      <c r="BI1531" s="2">
        <v>9.1999999999999993</v>
      </c>
      <c r="BJ1531" s="2">
        <v>18.3</v>
      </c>
      <c r="BK1531" s="2">
        <v>0.34</v>
      </c>
      <c r="BL1531" s="2">
        <v>7.3</v>
      </c>
      <c r="BM1531" s="2">
        <v>0.9</v>
      </c>
      <c r="BN1531" s="2">
        <v>7.5</v>
      </c>
      <c r="BO1531" s="2">
        <v>2.9</v>
      </c>
      <c r="BP1531" s="2">
        <f t="shared" si="46"/>
        <v>2.1474011124413863</v>
      </c>
      <c r="BQ1531" s="2">
        <f t="shared" si="47"/>
        <v>10.327834095180371</v>
      </c>
    </row>
    <row r="1532" spans="1:69" x14ac:dyDescent="0.2">
      <c r="A1532" s="2" t="s">
        <v>1349</v>
      </c>
      <c r="B1532" s="2" t="s">
        <v>47</v>
      </c>
      <c r="C1532" s="2" t="s">
        <v>48</v>
      </c>
      <c r="D1532" s="2" t="s">
        <v>49</v>
      </c>
      <c r="E1532" s="2" t="s">
        <v>539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89</v>
      </c>
      <c r="L1532" s="6" t="s">
        <v>141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1350</v>
      </c>
      <c r="R1532" s="2">
        <v>8000000</v>
      </c>
      <c r="S1532" s="2">
        <v>0</v>
      </c>
      <c r="T1532" s="2" t="s">
        <v>83</v>
      </c>
      <c r="U1532" s="2" t="s">
        <v>84</v>
      </c>
      <c r="V1532" s="2" t="s">
        <v>56</v>
      </c>
      <c r="W1532" s="2" t="s">
        <v>83</v>
      </c>
      <c r="X1532" s="2" t="s">
        <v>85</v>
      </c>
      <c r="Y1532" s="2">
        <v>0.43575735439390001</v>
      </c>
      <c r="Z1532" s="2">
        <v>435.75735439390002</v>
      </c>
      <c r="AA1532" s="2">
        <v>4.71035</v>
      </c>
      <c r="AB1532" s="2">
        <v>-74.030416666666696</v>
      </c>
      <c r="AC1532" s="2">
        <v>2570</v>
      </c>
      <c r="AD1532" s="2">
        <v>10</v>
      </c>
      <c r="AE1532" s="2" t="s">
        <v>59</v>
      </c>
      <c r="AF1532" s="2" t="s">
        <v>86</v>
      </c>
      <c r="AG1532" s="2" t="s">
        <v>61</v>
      </c>
      <c r="AH1532" s="2" t="s">
        <v>62</v>
      </c>
      <c r="AI1532" s="2" t="s">
        <v>87</v>
      </c>
      <c r="AJ1532" s="2">
        <v>2.3549855402814401</v>
      </c>
      <c r="AK1532" s="2">
        <v>0.75565550825374495</v>
      </c>
      <c r="AL1532" s="2">
        <v>0.41073716788892001</v>
      </c>
      <c r="AM1532" s="2">
        <v>7.6925389830023005E-2</v>
      </c>
      <c r="AN1532" s="2">
        <v>3.0681073367708702</v>
      </c>
      <c r="AO1532" s="2">
        <v>0.31142912930715599</v>
      </c>
      <c r="AP1532" s="2">
        <v>0.31142912930715599</v>
      </c>
      <c r="AQ1532" s="2">
        <v>0</v>
      </c>
      <c r="AR1532" s="2">
        <v>0</v>
      </c>
      <c r="AS1532" s="2">
        <v>0</v>
      </c>
      <c r="AT1532" s="2">
        <v>19</v>
      </c>
      <c r="AU1532" s="2">
        <v>1</v>
      </c>
      <c r="AV1532" s="2">
        <v>77</v>
      </c>
      <c r="AW1532" s="2">
        <v>0</v>
      </c>
      <c r="AX1532" s="2">
        <v>0</v>
      </c>
      <c r="AY1532" s="2">
        <v>15.5</v>
      </c>
      <c r="AZ1532" s="2">
        <v>2.4</v>
      </c>
      <c r="BA1532" s="2">
        <v>10.9</v>
      </c>
      <c r="BB1532" s="2">
        <v>564</v>
      </c>
      <c r="BC1532" s="2">
        <v>68</v>
      </c>
      <c r="BD1532" s="2">
        <v>1.5</v>
      </c>
      <c r="BE1532" s="2">
        <v>135</v>
      </c>
      <c r="BF1532" s="2">
        <v>0</v>
      </c>
      <c r="BG1532" s="2">
        <v>162</v>
      </c>
      <c r="BH1532" s="2">
        <v>9.1</v>
      </c>
      <c r="BI1532" s="2">
        <v>9.1999999999999993</v>
      </c>
      <c r="BJ1532" s="2">
        <v>18.3</v>
      </c>
      <c r="BK1532" s="2">
        <v>0.34</v>
      </c>
      <c r="BL1532" s="2">
        <v>7.3</v>
      </c>
      <c r="BM1532" s="2">
        <v>0.9</v>
      </c>
      <c r="BN1532" s="2">
        <v>7.5</v>
      </c>
      <c r="BO1532" s="2">
        <v>2.9</v>
      </c>
      <c r="BP1532" s="2">
        <f t="shared" si="46"/>
        <v>2.3487863508653652</v>
      </c>
      <c r="BQ1532" s="2">
        <f t="shared" si="47"/>
        <v>10.786599888857873</v>
      </c>
    </row>
    <row r="1533" spans="1:69" x14ac:dyDescent="0.2">
      <c r="A1533" s="2" t="s">
        <v>1802</v>
      </c>
      <c r="B1533" s="2" t="s">
        <v>47</v>
      </c>
      <c r="C1533" s="2" t="s">
        <v>48</v>
      </c>
      <c r="D1533" s="2" t="s">
        <v>49</v>
      </c>
      <c r="E1533" s="2" t="s">
        <v>1803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89</v>
      </c>
      <c r="L1533" s="6" t="s">
        <v>112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1804</v>
      </c>
      <c r="R1533" s="2">
        <v>11055276.380000001</v>
      </c>
      <c r="S1533" s="2">
        <v>0</v>
      </c>
      <c r="T1533" s="2" t="s">
        <v>83</v>
      </c>
      <c r="U1533" s="2" t="s">
        <v>84</v>
      </c>
      <c r="V1533" s="2" t="s">
        <v>56</v>
      </c>
      <c r="W1533" s="2" t="s">
        <v>83</v>
      </c>
      <c r="X1533" s="2" t="s">
        <v>85</v>
      </c>
      <c r="Y1533" s="2">
        <v>0.647457749807126</v>
      </c>
      <c r="Z1533" s="2">
        <v>647.45774980712599</v>
      </c>
      <c r="AA1533" s="2">
        <v>4.71035</v>
      </c>
      <c r="AB1533" s="2">
        <v>-74.030416666666696</v>
      </c>
      <c r="AC1533" s="2">
        <v>2570</v>
      </c>
      <c r="AD1533" s="2">
        <v>10</v>
      </c>
      <c r="AE1533" s="2" t="s">
        <v>59</v>
      </c>
      <c r="AF1533" s="2" t="s">
        <v>86</v>
      </c>
      <c r="AG1533" s="2" t="s">
        <v>61</v>
      </c>
      <c r="AH1533" s="2" t="s">
        <v>62</v>
      </c>
      <c r="AI1533" s="2" t="s">
        <v>87</v>
      </c>
      <c r="AJ1533" s="2">
        <v>2.9980468715366499</v>
      </c>
      <c r="AK1533" s="2">
        <v>0.332947711444251</v>
      </c>
      <c r="AL1533" s="2">
        <v>0.76585516078716098</v>
      </c>
      <c r="AM1533" s="2">
        <v>0.34426606992471198</v>
      </c>
      <c r="AN1533" s="2">
        <v>3.9702165014907802</v>
      </c>
      <c r="AO1533" s="2">
        <v>2.3251852403442599E-2</v>
      </c>
      <c r="AP1533" s="2">
        <v>2.3251852403442599E-2</v>
      </c>
      <c r="AQ1533" s="2">
        <v>0</v>
      </c>
      <c r="AR1533" s="2">
        <v>0</v>
      </c>
      <c r="AS1533" s="2">
        <v>14</v>
      </c>
      <c r="AT1533" s="2">
        <v>36</v>
      </c>
      <c r="AU1533" s="2">
        <v>2</v>
      </c>
      <c r="AV1533" s="2">
        <v>79</v>
      </c>
      <c r="AW1533" s="2">
        <v>0</v>
      </c>
      <c r="AX1533" s="2">
        <v>0</v>
      </c>
      <c r="AY1533" s="2">
        <v>15.5</v>
      </c>
      <c r="AZ1533" s="2">
        <v>2.4</v>
      </c>
      <c r="BA1533" s="2">
        <v>10.9</v>
      </c>
      <c r="BB1533" s="2">
        <v>564</v>
      </c>
      <c r="BC1533" s="2">
        <v>68</v>
      </c>
      <c r="BD1533" s="2">
        <v>1.5</v>
      </c>
      <c r="BE1533" s="2">
        <v>135</v>
      </c>
      <c r="BF1533" s="2">
        <v>0</v>
      </c>
      <c r="BG1533" s="2">
        <v>162</v>
      </c>
      <c r="BH1533" s="2">
        <v>9.1</v>
      </c>
      <c r="BI1533" s="2">
        <v>9.1999999999999993</v>
      </c>
      <c r="BJ1533" s="2">
        <v>18.3</v>
      </c>
      <c r="BK1533" s="2">
        <v>0.34</v>
      </c>
      <c r="BL1533" s="2">
        <v>7.3</v>
      </c>
      <c r="BM1533" s="2">
        <v>0.9</v>
      </c>
      <c r="BN1533" s="2">
        <v>7.5</v>
      </c>
      <c r="BO1533" s="2">
        <v>2.9</v>
      </c>
      <c r="BP1533" s="2">
        <f t="shared" si="46"/>
        <v>2.3243015347362679</v>
      </c>
      <c r="BQ1533" s="2">
        <f t="shared" si="47"/>
        <v>10.731934220300174</v>
      </c>
    </row>
    <row r="1534" spans="1:69" x14ac:dyDescent="0.2">
      <c r="A1534" s="2" t="s">
        <v>216</v>
      </c>
      <c r="B1534" s="2" t="s">
        <v>47</v>
      </c>
      <c r="C1534" s="2" t="s">
        <v>48</v>
      </c>
      <c r="D1534" s="2" t="s">
        <v>49</v>
      </c>
      <c r="E1534" s="2" t="s">
        <v>208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89</v>
      </c>
      <c r="L1534" s="6" t="s">
        <v>94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217</v>
      </c>
      <c r="R1534" s="2">
        <v>5555555.5559999999</v>
      </c>
      <c r="S1534" s="2">
        <v>0</v>
      </c>
      <c r="T1534" s="2" t="s">
        <v>83</v>
      </c>
      <c r="U1534" s="2" t="s">
        <v>84</v>
      </c>
      <c r="V1534" s="2" t="s">
        <v>56</v>
      </c>
      <c r="W1534" s="2" t="s">
        <v>83</v>
      </c>
      <c r="X1534" s="2" t="s">
        <v>85</v>
      </c>
      <c r="Y1534" s="2">
        <v>4.1622937435219001</v>
      </c>
      <c r="Z1534" s="2">
        <v>4162.2937435219001</v>
      </c>
      <c r="AA1534" s="2">
        <v>4.71035</v>
      </c>
      <c r="AB1534" s="2">
        <v>-74.030416666666696</v>
      </c>
      <c r="AC1534" s="2">
        <v>2570</v>
      </c>
      <c r="AD1534" s="2">
        <v>10</v>
      </c>
      <c r="AE1534" s="2" t="s">
        <v>59</v>
      </c>
      <c r="AF1534" s="2" t="s">
        <v>86</v>
      </c>
      <c r="AG1534" s="2" t="s">
        <v>61</v>
      </c>
      <c r="AH1534" s="2" t="s">
        <v>62</v>
      </c>
      <c r="AI1534" s="2" t="s">
        <v>109</v>
      </c>
      <c r="AJ1534" s="2">
        <v>0.75384723586034097</v>
      </c>
      <c r="AK1534" s="2">
        <v>1.5538914833403701</v>
      </c>
      <c r="AL1534" s="2">
        <v>0.64806250572072099</v>
      </c>
      <c r="AM1534" s="2">
        <v>4.3455130515512599E-2</v>
      </c>
      <c r="AN1534" s="2">
        <v>3.3550835123806499</v>
      </c>
      <c r="AO1534" s="2">
        <v>0.72994036556174802</v>
      </c>
      <c r="AP1534" s="2">
        <v>0.72994036556174802</v>
      </c>
      <c r="AQ1534" s="2">
        <v>0</v>
      </c>
      <c r="AR1534" s="2">
        <v>2</v>
      </c>
      <c r="AS1534" s="2">
        <v>0</v>
      </c>
      <c r="AT1534" s="2">
        <v>0</v>
      </c>
      <c r="AU1534" s="2">
        <v>4</v>
      </c>
      <c r="AV1534" s="2">
        <v>215</v>
      </c>
      <c r="AW1534" s="2">
        <v>0</v>
      </c>
      <c r="AX1534" s="2">
        <v>0</v>
      </c>
      <c r="AY1534" s="2">
        <v>15.5</v>
      </c>
      <c r="AZ1534" s="2">
        <v>2.4</v>
      </c>
      <c r="BA1534" s="2">
        <v>10.9</v>
      </c>
      <c r="BB1534" s="2">
        <v>564</v>
      </c>
      <c r="BC1534" s="2">
        <v>68</v>
      </c>
      <c r="BD1534" s="2">
        <v>1.5</v>
      </c>
      <c r="BE1534" s="2">
        <v>135</v>
      </c>
      <c r="BF1534" s="2">
        <v>0</v>
      </c>
      <c r="BG1534" s="2">
        <v>162</v>
      </c>
      <c r="BH1534" s="2">
        <v>9.1</v>
      </c>
      <c r="BI1534" s="2">
        <v>9.1999999999999993</v>
      </c>
      <c r="BJ1534" s="2">
        <v>18.3</v>
      </c>
      <c r="BK1534" s="2">
        <v>0.34</v>
      </c>
      <c r="BL1534" s="2">
        <v>7.3</v>
      </c>
      <c r="BM1534" s="2">
        <v>0.9</v>
      </c>
      <c r="BN1534" s="2">
        <v>7.5</v>
      </c>
      <c r="BO1534" s="2">
        <v>2.9</v>
      </c>
      <c r="BP1534" s="2">
        <f t="shared" si="46"/>
        <v>1.9531338732758916</v>
      </c>
      <c r="BQ1534" s="2">
        <f t="shared" si="47"/>
        <v>9.8637630057324923</v>
      </c>
    </row>
    <row r="1535" spans="1:69" x14ac:dyDescent="0.2">
      <c r="A1535" s="2" t="s">
        <v>2624</v>
      </c>
      <c r="B1535" s="2" t="s">
        <v>47</v>
      </c>
      <c r="C1535" s="2" t="s">
        <v>1935</v>
      </c>
      <c r="D1535" s="2" t="s">
        <v>49</v>
      </c>
      <c r="E1535" s="2" t="s">
        <v>853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89</v>
      </c>
      <c r="L1535" s="6" t="s">
        <v>112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2625</v>
      </c>
      <c r="R1535" s="2">
        <v>8121827.4110000003</v>
      </c>
      <c r="S1535" s="2">
        <v>0</v>
      </c>
      <c r="T1535" s="2" t="s">
        <v>83</v>
      </c>
      <c r="U1535" s="2" t="s">
        <v>84</v>
      </c>
      <c r="V1535" s="2" t="s">
        <v>56</v>
      </c>
      <c r="W1535" s="2" t="s">
        <v>83</v>
      </c>
      <c r="X1535" s="2" t="s">
        <v>85</v>
      </c>
      <c r="Y1535" s="2">
        <v>1.6588177689502099</v>
      </c>
      <c r="Z1535" s="2">
        <v>1658.8177689502099</v>
      </c>
      <c r="AA1535" s="2">
        <v>4.71035</v>
      </c>
      <c r="AB1535" s="2">
        <v>-74.030416666666696</v>
      </c>
      <c r="AC1535" s="2">
        <v>2570</v>
      </c>
      <c r="AD1535" s="2">
        <v>10</v>
      </c>
      <c r="AE1535" s="2" t="s">
        <v>59</v>
      </c>
      <c r="AF1535" s="2" t="s">
        <v>86</v>
      </c>
      <c r="AG1535" s="2" t="s">
        <v>61</v>
      </c>
      <c r="AH1535" s="2" t="s">
        <v>62</v>
      </c>
      <c r="AI1535" s="2" t="s">
        <v>87</v>
      </c>
      <c r="AJ1535" s="2">
        <v>3.0277083773419</v>
      </c>
      <c r="AK1535" s="2">
        <v>0.189153186174707</v>
      </c>
      <c r="AL1535" s="2">
        <v>1.75268946591068</v>
      </c>
      <c r="AM1535" s="2">
        <v>0.373253674365912</v>
      </c>
      <c r="AN1535" s="2">
        <v>2.0263773282925501</v>
      </c>
      <c r="AO1535" s="2">
        <v>0.56544281887685399</v>
      </c>
      <c r="AP1535" s="2">
        <v>0.56544281887685399</v>
      </c>
      <c r="AQ1535" s="2">
        <v>0</v>
      </c>
      <c r="AR1535" s="2">
        <v>0</v>
      </c>
      <c r="AS1535" s="2">
        <v>15</v>
      </c>
      <c r="AT1535" s="2">
        <v>42</v>
      </c>
      <c r="AU1535" s="2">
        <v>0</v>
      </c>
      <c r="AV1535" s="2">
        <v>4</v>
      </c>
      <c r="AW1535" s="2">
        <v>0</v>
      </c>
      <c r="AX1535" s="2">
        <v>0</v>
      </c>
      <c r="AY1535" s="2">
        <v>15.5</v>
      </c>
      <c r="AZ1535" s="2">
        <v>2.4</v>
      </c>
      <c r="BA1535" s="2">
        <v>10.9</v>
      </c>
      <c r="BB1535" s="2">
        <v>564</v>
      </c>
      <c r="BC1535" s="2">
        <v>68</v>
      </c>
      <c r="BD1535" s="2">
        <v>1.5</v>
      </c>
      <c r="BE1535" s="2">
        <v>135</v>
      </c>
      <c r="BF1535" s="2">
        <v>0</v>
      </c>
      <c r="BG1535" s="2">
        <v>162</v>
      </c>
      <c r="BH1535" s="2">
        <v>9.1</v>
      </c>
      <c r="BI1535" s="2">
        <v>9.1999999999999993</v>
      </c>
      <c r="BJ1535" s="2">
        <v>18.3</v>
      </c>
      <c r="BK1535" s="2">
        <v>0.34</v>
      </c>
      <c r="BL1535" s="2">
        <v>7.3</v>
      </c>
      <c r="BM1535" s="2">
        <v>0.9</v>
      </c>
      <c r="BN1535" s="2">
        <v>7.5</v>
      </c>
      <c r="BO1535" s="2">
        <v>2.9</v>
      </c>
      <c r="BP1535" s="2">
        <f t="shared" si="46"/>
        <v>2.2108062274209268</v>
      </c>
      <c r="BQ1535" s="2">
        <f t="shared" si="47"/>
        <v>10.474577834289995</v>
      </c>
    </row>
    <row r="1536" spans="1:69" x14ac:dyDescent="0.2">
      <c r="A1536" s="2" t="s">
        <v>2588</v>
      </c>
      <c r="B1536" s="2" t="s">
        <v>47</v>
      </c>
      <c r="C1536" s="2" t="s">
        <v>1935</v>
      </c>
      <c r="D1536" s="2" t="s">
        <v>49</v>
      </c>
      <c r="E1536" s="2" t="s">
        <v>751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89</v>
      </c>
      <c r="L1536" s="6" t="s">
        <v>141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2589</v>
      </c>
      <c r="R1536" s="2">
        <v>4309644.67</v>
      </c>
      <c r="S1536" s="2">
        <v>0</v>
      </c>
      <c r="T1536" s="2" t="s">
        <v>83</v>
      </c>
      <c r="U1536" s="2" t="s">
        <v>84</v>
      </c>
      <c r="V1536" s="2" t="s">
        <v>56</v>
      </c>
      <c r="W1536" s="2" t="s">
        <v>83</v>
      </c>
      <c r="X1536" s="2" t="s">
        <v>85</v>
      </c>
      <c r="Y1536" s="2">
        <v>1.5454359359652099</v>
      </c>
      <c r="Z1536" s="2">
        <v>1545.4359359652101</v>
      </c>
      <c r="AA1536" s="2">
        <v>4.71035</v>
      </c>
      <c r="AB1536" s="2">
        <v>-74.030416666666696</v>
      </c>
      <c r="AC1536" s="2">
        <v>2570</v>
      </c>
      <c r="AD1536" s="2">
        <v>10</v>
      </c>
      <c r="AE1536" s="2" t="s">
        <v>59</v>
      </c>
      <c r="AF1536" s="2" t="s">
        <v>86</v>
      </c>
      <c r="AG1536" s="2" t="s">
        <v>61</v>
      </c>
      <c r="AH1536" s="2" t="s">
        <v>62</v>
      </c>
      <c r="AI1536" s="2" t="s">
        <v>87</v>
      </c>
      <c r="AJ1536" s="2">
        <v>1.51551722839083</v>
      </c>
      <c r="AK1536" s="2">
        <v>1.58546315639707</v>
      </c>
      <c r="AL1536" s="2">
        <v>1.2063108493146599</v>
      </c>
      <c r="AM1536" s="2">
        <v>0.29465694545107302</v>
      </c>
      <c r="AN1536" s="2">
        <v>2.4530477286411299</v>
      </c>
      <c r="AO1536" s="2">
        <v>7.7174952689478002E-3</v>
      </c>
      <c r="AP1536" s="2">
        <v>7.7174952689478002E-3</v>
      </c>
      <c r="AQ1536" s="2">
        <v>0</v>
      </c>
      <c r="AR1536" s="2">
        <v>0</v>
      </c>
      <c r="AS1536" s="2">
        <v>0</v>
      </c>
      <c r="AT1536" s="2">
        <v>0</v>
      </c>
      <c r="AU1536" s="2">
        <v>0</v>
      </c>
      <c r="AV1536" s="2">
        <v>36</v>
      </c>
      <c r="AW1536" s="2">
        <v>0</v>
      </c>
      <c r="AX1536" s="2">
        <v>0</v>
      </c>
      <c r="AY1536" s="2">
        <v>15.5</v>
      </c>
      <c r="AZ1536" s="2">
        <v>2.4</v>
      </c>
      <c r="BA1536" s="2">
        <v>10.9</v>
      </c>
      <c r="BB1536" s="2">
        <v>564</v>
      </c>
      <c r="BC1536" s="2">
        <v>68</v>
      </c>
      <c r="BD1536" s="2">
        <v>1.5</v>
      </c>
      <c r="BE1536" s="2">
        <v>135</v>
      </c>
      <c r="BF1536" s="2">
        <v>0</v>
      </c>
      <c r="BG1536" s="2">
        <v>162</v>
      </c>
      <c r="BH1536" s="2">
        <v>9.1</v>
      </c>
      <c r="BI1536" s="2">
        <v>9.1999999999999993</v>
      </c>
      <c r="BJ1536" s="2">
        <v>18.3</v>
      </c>
      <c r="BK1536" s="2">
        <v>0.34</v>
      </c>
      <c r="BL1536" s="2">
        <v>7.3</v>
      </c>
      <c r="BM1536" s="2">
        <v>0.9</v>
      </c>
      <c r="BN1536" s="2">
        <v>7.5</v>
      </c>
      <c r="BO1536" s="2">
        <v>2.9</v>
      </c>
      <c r="BP1536" s="2">
        <f t="shared" si="46"/>
        <v>2.2232490422819322</v>
      </c>
      <c r="BQ1536" s="2">
        <f t="shared" si="47"/>
        <v>10.503119694249012</v>
      </c>
    </row>
    <row r="1537" spans="1:69" x14ac:dyDescent="0.2">
      <c r="A1537" s="2" t="s">
        <v>1267</v>
      </c>
      <c r="B1537" s="2" t="s">
        <v>47</v>
      </c>
      <c r="C1537" s="2" t="s">
        <v>48</v>
      </c>
      <c r="D1537" s="2" t="s">
        <v>49</v>
      </c>
      <c r="E1537" s="2" t="s">
        <v>192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89</v>
      </c>
      <c r="L1537" s="6" t="s">
        <v>141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1268</v>
      </c>
      <c r="R1537" s="2">
        <v>6884944.9199999999</v>
      </c>
      <c r="S1537" s="2">
        <v>0</v>
      </c>
      <c r="T1537" s="2" t="s">
        <v>83</v>
      </c>
      <c r="U1537" s="2" t="s">
        <v>84</v>
      </c>
      <c r="V1537" s="2" t="s">
        <v>56</v>
      </c>
      <c r="W1537" s="2" t="s">
        <v>83</v>
      </c>
      <c r="X1537" s="2" t="s">
        <v>85</v>
      </c>
      <c r="Y1537" s="2">
        <v>1.91577193592424</v>
      </c>
      <c r="Z1537" s="2">
        <v>1915.7719359242401</v>
      </c>
      <c r="AA1537" s="2">
        <v>4.71035</v>
      </c>
      <c r="AB1537" s="2">
        <v>-74.030416666666696</v>
      </c>
      <c r="AC1537" s="2">
        <v>2570</v>
      </c>
      <c r="AD1537" s="2">
        <v>10</v>
      </c>
      <c r="AE1537" s="2" t="s">
        <v>59</v>
      </c>
      <c r="AF1537" s="2" t="s">
        <v>86</v>
      </c>
      <c r="AG1537" s="2" t="s">
        <v>61</v>
      </c>
      <c r="AH1537" s="2" t="s">
        <v>62</v>
      </c>
      <c r="AI1537" s="2" t="s">
        <v>87</v>
      </c>
      <c r="AJ1537" s="2">
        <v>1.9046151594366101</v>
      </c>
      <c r="AK1537" s="2">
        <v>1.3576842137724401</v>
      </c>
      <c r="AL1537" s="2">
        <v>0.95353670107735</v>
      </c>
      <c r="AM1537" s="2">
        <v>9.8842513169400903E-2</v>
      </c>
      <c r="AN1537" s="2">
        <v>5.2934716042163803</v>
      </c>
      <c r="AO1537" s="2">
        <v>0.19387123273919901</v>
      </c>
      <c r="AP1537" s="2">
        <v>0.19387123273919901</v>
      </c>
      <c r="AQ1537" s="2">
        <v>0</v>
      </c>
      <c r="AR1537" s="2">
        <v>0</v>
      </c>
      <c r="AS1537" s="2">
        <v>0</v>
      </c>
      <c r="AT1537" s="2">
        <v>0</v>
      </c>
      <c r="AU1537" s="2">
        <v>2</v>
      </c>
      <c r="AV1537" s="2">
        <v>144</v>
      </c>
      <c r="AW1537" s="2">
        <v>0</v>
      </c>
      <c r="AX1537" s="2">
        <v>0</v>
      </c>
      <c r="AY1537" s="2">
        <v>15.5</v>
      </c>
      <c r="AZ1537" s="2">
        <v>2.4</v>
      </c>
      <c r="BA1537" s="2">
        <v>10.9</v>
      </c>
      <c r="BB1537" s="2">
        <v>564</v>
      </c>
      <c r="BC1537" s="2">
        <v>68</v>
      </c>
      <c r="BD1537" s="2">
        <v>1.5</v>
      </c>
      <c r="BE1537" s="2">
        <v>135</v>
      </c>
      <c r="BF1537" s="2">
        <v>0</v>
      </c>
      <c r="BG1537" s="2">
        <v>162</v>
      </c>
      <c r="BH1537" s="2">
        <v>9.1</v>
      </c>
      <c r="BI1537" s="2">
        <v>9.1999999999999993</v>
      </c>
      <c r="BJ1537" s="2">
        <v>18.3</v>
      </c>
      <c r="BK1537" s="2">
        <v>0.34</v>
      </c>
      <c r="BL1537" s="2">
        <v>7.3</v>
      </c>
      <c r="BM1537" s="2">
        <v>0.9</v>
      </c>
      <c r="BN1537" s="2">
        <v>7.5</v>
      </c>
      <c r="BO1537" s="2">
        <v>2.9</v>
      </c>
      <c r="BP1537" s="2">
        <f t="shared" si="46"/>
        <v>2.1828645467775218</v>
      </c>
      <c r="BQ1537" s="2">
        <f t="shared" si="47"/>
        <v>10.410180928892544</v>
      </c>
    </row>
    <row r="1538" spans="1:69" x14ac:dyDescent="0.2">
      <c r="A1538" s="2" t="s">
        <v>2947</v>
      </c>
      <c r="B1538" s="2" t="s">
        <v>47</v>
      </c>
      <c r="C1538" s="2" t="s">
        <v>1935</v>
      </c>
      <c r="D1538" s="2" t="s">
        <v>49</v>
      </c>
      <c r="E1538" s="2" t="s">
        <v>323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89</v>
      </c>
      <c r="L1538" s="6" t="s">
        <v>141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2948</v>
      </c>
      <c r="R1538" s="2">
        <v>6122448.9800000004</v>
      </c>
      <c r="S1538" s="2">
        <v>0</v>
      </c>
      <c r="T1538" s="2" t="s">
        <v>83</v>
      </c>
      <c r="U1538" s="2" t="s">
        <v>84</v>
      </c>
      <c r="V1538" s="2" t="s">
        <v>56</v>
      </c>
      <c r="W1538" s="2" t="s">
        <v>83</v>
      </c>
      <c r="X1538" s="2" t="s">
        <v>85</v>
      </c>
      <c r="Y1538" s="2">
        <v>3.8326388976007499</v>
      </c>
      <c r="Z1538" s="2">
        <v>3832.6388976007502</v>
      </c>
      <c r="AA1538" s="2">
        <v>4.71035</v>
      </c>
      <c r="AB1538" s="2">
        <v>-74.030416666666696</v>
      </c>
      <c r="AC1538" s="2">
        <v>2570</v>
      </c>
      <c r="AD1538" s="2">
        <v>10</v>
      </c>
      <c r="AE1538" s="2" t="s">
        <v>59</v>
      </c>
      <c r="AF1538" s="2" t="s">
        <v>86</v>
      </c>
      <c r="AG1538" s="2" t="s">
        <v>61</v>
      </c>
      <c r="AH1538" s="2" t="s">
        <v>62</v>
      </c>
      <c r="AI1538" s="2" t="s">
        <v>100</v>
      </c>
      <c r="AJ1538" s="2">
        <v>0.67753088212774704</v>
      </c>
      <c r="AK1538" s="2">
        <v>3.5238778367468</v>
      </c>
      <c r="AL1538" s="2">
        <v>0.82068310187710503</v>
      </c>
      <c r="AM1538" s="2">
        <v>0.29212939656505998</v>
      </c>
      <c r="AN1538" s="2">
        <v>3.3597338121707501</v>
      </c>
      <c r="AO1538" s="2">
        <v>1.86969385631599E-2</v>
      </c>
      <c r="AP1538" s="2">
        <v>1.86969385631599E-2</v>
      </c>
      <c r="AQ1538" s="2">
        <v>0</v>
      </c>
      <c r="AR1538" s="2">
        <v>4</v>
      </c>
      <c r="AS1538" s="2">
        <v>0</v>
      </c>
      <c r="AT1538" s="2">
        <v>0</v>
      </c>
      <c r="AU1538" s="2">
        <v>1</v>
      </c>
      <c r="AV1538" s="2">
        <v>93</v>
      </c>
      <c r="AW1538" s="2">
        <v>0</v>
      </c>
      <c r="AX1538" s="2">
        <v>0</v>
      </c>
      <c r="AY1538" s="2">
        <v>15.5</v>
      </c>
      <c r="AZ1538" s="2">
        <v>2.4</v>
      </c>
      <c r="BA1538" s="2">
        <v>10.9</v>
      </c>
      <c r="BB1538" s="2">
        <v>564</v>
      </c>
      <c r="BC1538" s="2">
        <v>68</v>
      </c>
      <c r="BD1538" s="2">
        <v>1.5</v>
      </c>
      <c r="BE1538" s="2">
        <v>135</v>
      </c>
      <c r="BF1538" s="2">
        <v>0</v>
      </c>
      <c r="BG1538" s="2">
        <v>162</v>
      </c>
      <c r="BH1538" s="2">
        <v>9.1</v>
      </c>
      <c r="BI1538" s="2">
        <v>9.1999999999999993</v>
      </c>
      <c r="BJ1538" s="2">
        <v>18.3</v>
      </c>
      <c r="BK1538" s="2">
        <v>0.34</v>
      </c>
      <c r="BL1538" s="2">
        <v>7.3</v>
      </c>
      <c r="BM1538" s="2">
        <v>0.9</v>
      </c>
      <c r="BN1538" s="2">
        <v>7.5</v>
      </c>
      <c r="BO1538" s="2">
        <v>2.9</v>
      </c>
      <c r="BP1538" s="2">
        <f t="shared" ref="BP1538:BP1601" si="48">+AZ1538*EXP(-0.0495*Y1538)</f>
        <v>1.9852664004750422</v>
      </c>
      <c r="BQ1538" s="2">
        <f t="shared" ref="BQ1538:BQ1601" si="49">+BA1538*EXP(-0.024*Y1538)</f>
        <v>9.9421118284457428</v>
      </c>
    </row>
    <row r="1539" spans="1:69" x14ac:dyDescent="0.2">
      <c r="A1539" s="2" t="s">
        <v>2718</v>
      </c>
      <c r="B1539" s="2" t="s">
        <v>47</v>
      </c>
      <c r="C1539" s="2" t="s">
        <v>1935</v>
      </c>
      <c r="D1539" s="2" t="s">
        <v>49</v>
      </c>
      <c r="E1539" s="2" t="s">
        <v>184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89</v>
      </c>
      <c r="L1539" s="6" t="s">
        <v>90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2719</v>
      </c>
      <c r="R1539" s="2">
        <v>6410256.4100000001</v>
      </c>
      <c r="S1539" s="2">
        <v>0</v>
      </c>
      <c r="T1539" s="2" t="s">
        <v>83</v>
      </c>
      <c r="U1539" s="2" t="s">
        <v>84</v>
      </c>
      <c r="V1539" s="2" t="s">
        <v>56</v>
      </c>
      <c r="W1539" s="2" t="s">
        <v>83</v>
      </c>
      <c r="X1539" s="2" t="s">
        <v>85</v>
      </c>
      <c r="Y1539" s="2">
        <v>0.834270958369836</v>
      </c>
      <c r="Z1539" s="2">
        <v>834.27095836983597</v>
      </c>
      <c r="AA1539" s="2">
        <v>4.71035</v>
      </c>
      <c r="AB1539" s="2">
        <v>-74.030416666666696</v>
      </c>
      <c r="AC1539" s="2">
        <v>2570</v>
      </c>
      <c r="AD1539" s="2">
        <v>10</v>
      </c>
      <c r="AE1539" s="2" t="s">
        <v>59</v>
      </c>
      <c r="AF1539" s="2" t="s">
        <v>86</v>
      </c>
      <c r="AG1539" s="2" t="s">
        <v>61</v>
      </c>
      <c r="AH1539" s="2" t="s">
        <v>62</v>
      </c>
      <c r="AI1539" s="2" t="s">
        <v>87</v>
      </c>
      <c r="AJ1539" s="2">
        <v>2.38445336369786</v>
      </c>
      <c r="AK1539" s="2">
        <v>0.762419835340991</v>
      </c>
      <c r="AL1539" s="2">
        <v>0.83474033497585898</v>
      </c>
      <c r="AM1539" s="2">
        <v>0.175439341743339</v>
      </c>
      <c r="AN1539" s="2">
        <v>2.64687516946741</v>
      </c>
      <c r="AO1539" s="2">
        <v>0.111574250905557</v>
      </c>
      <c r="AP1539" s="2">
        <v>0.111574250905557</v>
      </c>
      <c r="AQ1539" s="2">
        <v>0</v>
      </c>
      <c r="AR1539" s="2">
        <v>0</v>
      </c>
      <c r="AS1539" s="2">
        <v>0</v>
      </c>
      <c r="AT1539" s="2">
        <v>27</v>
      </c>
      <c r="AU1539" s="2">
        <v>1</v>
      </c>
      <c r="AV1539" s="2">
        <v>74</v>
      </c>
      <c r="AW1539" s="2">
        <v>0</v>
      </c>
      <c r="AX1539" s="2">
        <v>0</v>
      </c>
      <c r="AY1539" s="2">
        <v>15.5</v>
      </c>
      <c r="AZ1539" s="2">
        <v>2.4</v>
      </c>
      <c r="BA1539" s="2">
        <v>10.9</v>
      </c>
      <c r="BB1539" s="2">
        <v>564</v>
      </c>
      <c r="BC1539" s="2">
        <v>68</v>
      </c>
      <c r="BD1539" s="2">
        <v>1.5</v>
      </c>
      <c r="BE1539" s="2">
        <v>135</v>
      </c>
      <c r="BF1539" s="2">
        <v>0</v>
      </c>
      <c r="BG1539" s="2">
        <v>162</v>
      </c>
      <c r="BH1539" s="2">
        <v>9.1</v>
      </c>
      <c r="BI1539" s="2">
        <v>9.1999999999999993</v>
      </c>
      <c r="BJ1539" s="2">
        <v>18.3</v>
      </c>
      <c r="BK1539" s="2">
        <v>0.34</v>
      </c>
      <c r="BL1539" s="2">
        <v>7.3</v>
      </c>
      <c r="BM1539" s="2">
        <v>0.9</v>
      </c>
      <c r="BN1539" s="2">
        <v>7.5</v>
      </c>
      <c r="BO1539" s="2">
        <v>2.9</v>
      </c>
      <c r="BP1539" s="2">
        <f t="shared" si="48"/>
        <v>2.3029072003568678</v>
      </c>
      <c r="BQ1539" s="2">
        <f t="shared" si="49"/>
        <v>10.683925115962278</v>
      </c>
    </row>
    <row r="1540" spans="1:69" x14ac:dyDescent="0.2">
      <c r="A1540" s="2" t="s">
        <v>3146</v>
      </c>
      <c r="B1540" s="2" t="s">
        <v>47</v>
      </c>
      <c r="C1540" s="2" t="s">
        <v>1935</v>
      </c>
      <c r="D1540" s="2" t="s">
        <v>49</v>
      </c>
      <c r="E1540" s="2" t="s">
        <v>2062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89</v>
      </c>
      <c r="L1540" s="6" t="s">
        <v>103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3147</v>
      </c>
      <c r="R1540" s="2">
        <v>6717948.7180000003</v>
      </c>
      <c r="S1540" s="2">
        <v>0</v>
      </c>
      <c r="T1540" s="2" t="s">
        <v>83</v>
      </c>
      <c r="U1540" s="2" t="s">
        <v>84</v>
      </c>
      <c r="V1540" s="2" t="s">
        <v>56</v>
      </c>
      <c r="W1540" s="2" t="s">
        <v>83</v>
      </c>
      <c r="X1540" s="2" t="s">
        <v>85</v>
      </c>
      <c r="Y1540" s="2">
        <v>0.82272338891044505</v>
      </c>
      <c r="Z1540" s="2">
        <v>822.72338891044501</v>
      </c>
      <c r="AA1540" s="2">
        <v>4.71035</v>
      </c>
      <c r="AB1540" s="2">
        <v>-74.030416666666696</v>
      </c>
      <c r="AC1540" s="2">
        <v>2570</v>
      </c>
      <c r="AD1540" s="2">
        <v>10</v>
      </c>
      <c r="AE1540" s="2" t="s">
        <v>59</v>
      </c>
      <c r="AF1540" s="2" t="s">
        <v>86</v>
      </c>
      <c r="AG1540" s="2" t="s">
        <v>61</v>
      </c>
      <c r="AH1540" s="2" t="s">
        <v>62</v>
      </c>
      <c r="AI1540" s="2" t="s">
        <v>87</v>
      </c>
      <c r="AJ1540" s="2">
        <v>2.4419942097345699</v>
      </c>
      <c r="AK1540" s="2">
        <v>0.71272932713551296</v>
      </c>
      <c r="AL1540" s="2">
        <v>0.84177165498676698</v>
      </c>
      <c r="AM1540" s="2">
        <v>0.14218170243821701</v>
      </c>
      <c r="AN1540" s="2">
        <v>2.65411817723527</v>
      </c>
      <c r="AO1540" s="2">
        <v>0.11922237894734899</v>
      </c>
      <c r="AP1540" s="2">
        <v>0.11922237894734899</v>
      </c>
      <c r="AQ1540" s="2">
        <v>0</v>
      </c>
      <c r="AR1540" s="2">
        <v>0</v>
      </c>
      <c r="AS1540" s="2">
        <v>0</v>
      </c>
      <c r="AT1540" s="2">
        <v>30</v>
      </c>
      <c r="AU1540" s="2">
        <v>1</v>
      </c>
      <c r="AV1540" s="2">
        <v>74</v>
      </c>
      <c r="AW1540" s="2">
        <v>0</v>
      </c>
      <c r="AX1540" s="2">
        <v>0</v>
      </c>
      <c r="AY1540" s="2">
        <v>15.5</v>
      </c>
      <c r="AZ1540" s="2">
        <v>2.4</v>
      </c>
      <c r="BA1540" s="2">
        <v>10.9</v>
      </c>
      <c r="BB1540" s="2">
        <v>564</v>
      </c>
      <c r="BC1540" s="2">
        <v>68</v>
      </c>
      <c r="BD1540" s="2">
        <v>1.5</v>
      </c>
      <c r="BE1540" s="2">
        <v>135</v>
      </c>
      <c r="BF1540" s="2">
        <v>0</v>
      </c>
      <c r="BG1540" s="2">
        <v>162</v>
      </c>
      <c r="BH1540" s="2">
        <v>9.1</v>
      </c>
      <c r="BI1540" s="2">
        <v>9.1999999999999993</v>
      </c>
      <c r="BJ1540" s="2">
        <v>18.3</v>
      </c>
      <c r="BK1540" s="2">
        <v>0.34</v>
      </c>
      <c r="BL1540" s="2">
        <v>7.3</v>
      </c>
      <c r="BM1540" s="2">
        <v>0.9</v>
      </c>
      <c r="BN1540" s="2">
        <v>7.5</v>
      </c>
      <c r="BO1540" s="2">
        <v>2.9</v>
      </c>
      <c r="BP1540" s="2">
        <f t="shared" si="48"/>
        <v>2.3042239291975108</v>
      </c>
      <c r="BQ1540" s="2">
        <f t="shared" si="49"/>
        <v>10.686886487120006</v>
      </c>
    </row>
    <row r="1541" spans="1:69" x14ac:dyDescent="0.2">
      <c r="A1541" s="2" t="s">
        <v>1120</v>
      </c>
      <c r="B1541" s="2" t="s">
        <v>47</v>
      </c>
      <c r="C1541" s="2" t="s">
        <v>48</v>
      </c>
      <c r="D1541" s="2" t="s">
        <v>49</v>
      </c>
      <c r="E1541" s="2" t="s">
        <v>1121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89</v>
      </c>
      <c r="L1541" s="6" t="s">
        <v>141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1122</v>
      </c>
      <c r="R1541" s="2">
        <v>4908038.8509999998</v>
      </c>
      <c r="S1541" s="2">
        <v>0</v>
      </c>
      <c r="T1541" s="2" t="s">
        <v>83</v>
      </c>
      <c r="U1541" s="2" t="s">
        <v>84</v>
      </c>
      <c r="V1541" s="2" t="s">
        <v>56</v>
      </c>
      <c r="W1541" s="2" t="s">
        <v>83</v>
      </c>
      <c r="X1541" s="2" t="s">
        <v>85</v>
      </c>
      <c r="Y1541" s="2">
        <v>3.4843992229176002</v>
      </c>
      <c r="Z1541" s="2">
        <v>3484.3992229176001</v>
      </c>
      <c r="AA1541" s="2">
        <v>4.71035</v>
      </c>
      <c r="AB1541" s="2">
        <v>-74.030416666666696</v>
      </c>
      <c r="AC1541" s="2">
        <v>2570</v>
      </c>
      <c r="AD1541" s="2">
        <v>10</v>
      </c>
      <c r="AE1541" s="2" t="s">
        <v>59</v>
      </c>
      <c r="AF1541" s="2" t="s">
        <v>86</v>
      </c>
      <c r="AG1541" s="2" t="s">
        <v>61</v>
      </c>
      <c r="AH1541" s="2" t="s">
        <v>62</v>
      </c>
      <c r="AI1541" s="2" t="s">
        <v>100</v>
      </c>
      <c r="AJ1541" s="2">
        <v>0.80505758278155104</v>
      </c>
      <c r="AK1541" s="2">
        <v>3.99286261016581</v>
      </c>
      <c r="AL1541" s="2">
        <v>1.238663490185</v>
      </c>
      <c r="AM1541" s="2">
        <v>0.37158754669343202</v>
      </c>
      <c r="AN1541" s="2">
        <v>4.1672276051484198</v>
      </c>
      <c r="AO1541" s="2">
        <v>0.107832569451496</v>
      </c>
      <c r="AP1541" s="2">
        <v>0.107832569451496</v>
      </c>
      <c r="AQ1541" s="2">
        <v>0</v>
      </c>
      <c r="AR1541" s="2">
        <v>1</v>
      </c>
      <c r="AS1541" s="2">
        <v>0</v>
      </c>
      <c r="AT1541" s="2">
        <v>0</v>
      </c>
      <c r="AU1541" s="2">
        <v>0</v>
      </c>
      <c r="AV1541" s="2">
        <v>40</v>
      </c>
      <c r="AW1541" s="2">
        <v>0</v>
      </c>
      <c r="AX1541" s="2">
        <v>0</v>
      </c>
      <c r="AY1541" s="2">
        <v>15.5</v>
      </c>
      <c r="AZ1541" s="2">
        <v>2.4</v>
      </c>
      <c r="BA1541" s="2">
        <v>10.9</v>
      </c>
      <c r="BB1541" s="2">
        <v>564</v>
      </c>
      <c r="BC1541" s="2">
        <v>68</v>
      </c>
      <c r="BD1541" s="2">
        <v>1.5</v>
      </c>
      <c r="BE1541" s="2">
        <v>135</v>
      </c>
      <c r="BF1541" s="2">
        <v>0</v>
      </c>
      <c r="BG1541" s="2">
        <v>162</v>
      </c>
      <c r="BH1541" s="2">
        <v>9.1</v>
      </c>
      <c r="BI1541" s="2">
        <v>9.1999999999999993</v>
      </c>
      <c r="BJ1541" s="2">
        <v>18.3</v>
      </c>
      <c r="BK1541" s="2">
        <v>0.34</v>
      </c>
      <c r="BL1541" s="2">
        <v>7.3</v>
      </c>
      <c r="BM1541" s="2">
        <v>0.9</v>
      </c>
      <c r="BN1541" s="2">
        <v>7.5</v>
      </c>
      <c r="BO1541" s="2">
        <v>2.9</v>
      </c>
      <c r="BP1541" s="2">
        <f t="shared" si="48"/>
        <v>2.0197848095637818</v>
      </c>
      <c r="BQ1541" s="2">
        <f t="shared" si="49"/>
        <v>10.025553743084512</v>
      </c>
    </row>
    <row r="1542" spans="1:69" x14ac:dyDescent="0.2">
      <c r="A1542" s="2" t="s">
        <v>1664</v>
      </c>
      <c r="B1542" s="2" t="s">
        <v>47</v>
      </c>
      <c r="C1542" s="2" t="s">
        <v>48</v>
      </c>
      <c r="D1542" s="2" t="s">
        <v>49</v>
      </c>
      <c r="E1542" s="2" t="s">
        <v>1665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89</v>
      </c>
      <c r="L1542" s="6" t="s">
        <v>141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1666</v>
      </c>
      <c r="R1542" s="2">
        <v>7202072.5389999999</v>
      </c>
      <c r="S1542" s="2">
        <v>0</v>
      </c>
      <c r="T1542" s="2" t="s">
        <v>83</v>
      </c>
      <c r="U1542" s="2" t="s">
        <v>84</v>
      </c>
      <c r="V1542" s="2" t="s">
        <v>56</v>
      </c>
      <c r="W1542" s="2" t="s">
        <v>83</v>
      </c>
      <c r="X1542" s="2" t="s">
        <v>85</v>
      </c>
      <c r="Y1542" s="2">
        <v>2.10481109120688</v>
      </c>
      <c r="Z1542" s="2">
        <v>2104.8110912068801</v>
      </c>
      <c r="AA1542" s="2">
        <v>4.71035</v>
      </c>
      <c r="AB1542" s="2">
        <v>-74.030416666666696</v>
      </c>
      <c r="AC1542" s="2">
        <v>2570</v>
      </c>
      <c r="AD1542" s="2">
        <v>10</v>
      </c>
      <c r="AE1542" s="2" t="s">
        <v>59</v>
      </c>
      <c r="AF1542" s="2" t="s">
        <v>86</v>
      </c>
      <c r="AG1542" s="2" t="s">
        <v>61</v>
      </c>
      <c r="AH1542" s="2" t="s">
        <v>62</v>
      </c>
      <c r="AI1542" s="2" t="s">
        <v>87</v>
      </c>
      <c r="AJ1542" s="2">
        <v>0.66542135816079095</v>
      </c>
      <c r="AK1542" s="2">
        <v>2.68299398595006</v>
      </c>
      <c r="AL1542" s="2">
        <v>1.62589225701949</v>
      </c>
      <c r="AM1542" s="2">
        <v>9.7044373611101797E-2</v>
      </c>
      <c r="AN1542" s="2">
        <v>4.46879082152478</v>
      </c>
      <c r="AO1542" s="2">
        <v>0.22756006372319601</v>
      </c>
      <c r="AP1542" s="2">
        <v>0.22756006372319601</v>
      </c>
      <c r="AQ1542" s="2">
        <v>0</v>
      </c>
      <c r="AR1542" s="2">
        <v>2</v>
      </c>
      <c r="AS1542" s="2">
        <v>0</v>
      </c>
      <c r="AT1542" s="2">
        <v>0</v>
      </c>
      <c r="AU1542" s="2">
        <v>0</v>
      </c>
      <c r="AV1542" s="2">
        <v>133</v>
      </c>
      <c r="AW1542" s="2">
        <v>0</v>
      </c>
      <c r="AX1542" s="2">
        <v>0</v>
      </c>
      <c r="AY1542" s="2">
        <v>15.5</v>
      </c>
      <c r="AZ1542" s="2">
        <v>2.4</v>
      </c>
      <c r="BA1542" s="2">
        <v>10.9</v>
      </c>
      <c r="BB1542" s="2">
        <v>564</v>
      </c>
      <c r="BC1542" s="2">
        <v>68</v>
      </c>
      <c r="BD1542" s="2">
        <v>1.5</v>
      </c>
      <c r="BE1542" s="2">
        <v>135</v>
      </c>
      <c r="BF1542" s="2">
        <v>0</v>
      </c>
      <c r="BG1542" s="2">
        <v>162</v>
      </c>
      <c r="BH1542" s="2">
        <v>9.1</v>
      </c>
      <c r="BI1542" s="2">
        <v>9.1999999999999993</v>
      </c>
      <c r="BJ1542" s="2">
        <v>18.3</v>
      </c>
      <c r="BK1542" s="2">
        <v>0.34</v>
      </c>
      <c r="BL1542" s="2">
        <v>7.3</v>
      </c>
      <c r="BM1542" s="2">
        <v>0.9</v>
      </c>
      <c r="BN1542" s="2">
        <v>7.5</v>
      </c>
      <c r="BO1542" s="2">
        <v>2.9</v>
      </c>
      <c r="BP1542" s="2">
        <f t="shared" si="48"/>
        <v>2.1625337969283511</v>
      </c>
      <c r="BQ1542" s="2">
        <f t="shared" si="49"/>
        <v>10.363057544282684</v>
      </c>
    </row>
    <row r="1543" spans="1:69" x14ac:dyDescent="0.2">
      <c r="A1543" s="2" t="s">
        <v>174</v>
      </c>
      <c r="B1543" s="2" t="s">
        <v>47</v>
      </c>
      <c r="C1543" s="2" t="s">
        <v>48</v>
      </c>
      <c r="D1543" s="2" t="s">
        <v>49</v>
      </c>
      <c r="E1543" s="2" t="s">
        <v>175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89</v>
      </c>
      <c r="L1543" s="6" t="s">
        <v>141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176</v>
      </c>
      <c r="R1543" s="2">
        <v>5096203.8480000002</v>
      </c>
      <c r="S1543" s="2">
        <v>0</v>
      </c>
      <c r="T1543" s="2" t="s">
        <v>83</v>
      </c>
      <c r="U1543" s="2" t="s">
        <v>84</v>
      </c>
      <c r="V1543" s="2" t="s">
        <v>56</v>
      </c>
      <c r="W1543" s="2" t="s">
        <v>83</v>
      </c>
      <c r="X1543" s="2" t="s">
        <v>85</v>
      </c>
      <c r="Y1543" s="2">
        <v>3.89332208174836</v>
      </c>
      <c r="Z1543" s="2">
        <v>3893.3220817483598</v>
      </c>
      <c r="AA1543" s="2">
        <v>4.71035</v>
      </c>
      <c r="AB1543" s="2">
        <v>-74.030416666666696</v>
      </c>
      <c r="AC1543" s="2">
        <v>2570</v>
      </c>
      <c r="AD1543" s="2">
        <v>10</v>
      </c>
      <c r="AE1543" s="2" t="s">
        <v>59</v>
      </c>
      <c r="AF1543" s="2" t="s">
        <v>86</v>
      </c>
      <c r="AG1543" s="2" t="s">
        <v>61</v>
      </c>
      <c r="AH1543" s="2" t="s">
        <v>62</v>
      </c>
      <c r="AI1543" s="2" t="s">
        <v>109</v>
      </c>
      <c r="AJ1543" s="2">
        <v>1.4483208044748399</v>
      </c>
      <c r="AK1543" s="2">
        <v>0.86867148796271798</v>
      </c>
      <c r="AL1543" s="2">
        <v>0.81434729858094901</v>
      </c>
      <c r="AM1543" s="2">
        <v>4.4903368541760497E-2</v>
      </c>
      <c r="AN1543" s="2">
        <v>4.0507460065599101</v>
      </c>
      <c r="AO1543" s="2">
        <v>1.12331169893623</v>
      </c>
      <c r="AP1543" s="2">
        <v>1.12331169893623</v>
      </c>
      <c r="AQ1543" s="2">
        <v>0</v>
      </c>
      <c r="AR1543" s="2">
        <v>0</v>
      </c>
      <c r="AS1543" s="2">
        <v>0</v>
      </c>
      <c r="AT1543" s="2">
        <v>1</v>
      </c>
      <c r="AU1543" s="2">
        <v>4</v>
      </c>
      <c r="AV1543" s="2">
        <v>98</v>
      </c>
      <c r="AW1543" s="2">
        <v>0</v>
      </c>
      <c r="AX1543" s="2">
        <v>0</v>
      </c>
      <c r="AY1543" s="2">
        <v>15.5</v>
      </c>
      <c r="AZ1543" s="2">
        <v>2.4</v>
      </c>
      <c r="BA1543" s="2">
        <v>10.9</v>
      </c>
      <c r="BB1543" s="2">
        <v>564</v>
      </c>
      <c r="BC1543" s="2">
        <v>68</v>
      </c>
      <c r="BD1543" s="2">
        <v>1.5</v>
      </c>
      <c r="BE1543" s="2">
        <v>135</v>
      </c>
      <c r="BF1543" s="2">
        <v>0</v>
      </c>
      <c r="BG1543" s="2">
        <v>162</v>
      </c>
      <c r="BH1543" s="2">
        <v>9.1</v>
      </c>
      <c r="BI1543" s="2">
        <v>9.1999999999999993</v>
      </c>
      <c r="BJ1543" s="2">
        <v>18.3</v>
      </c>
      <c r="BK1543" s="2">
        <v>0.34</v>
      </c>
      <c r="BL1543" s="2">
        <v>7.3</v>
      </c>
      <c r="BM1543" s="2">
        <v>0.9</v>
      </c>
      <c r="BN1543" s="2">
        <v>7.5</v>
      </c>
      <c r="BO1543" s="2">
        <v>2.9</v>
      </c>
      <c r="BP1543" s="2">
        <f t="shared" si="48"/>
        <v>1.9793119697793209</v>
      </c>
      <c r="BQ1543" s="2">
        <f t="shared" si="49"/>
        <v>9.9276427113188159</v>
      </c>
    </row>
    <row r="1544" spans="1:69" x14ac:dyDescent="0.2">
      <c r="A1544" s="2" t="s">
        <v>889</v>
      </c>
      <c r="B1544" s="2" t="s">
        <v>47</v>
      </c>
      <c r="C1544" s="2" t="s">
        <v>48</v>
      </c>
      <c r="D1544" s="2" t="s">
        <v>49</v>
      </c>
      <c r="E1544" s="2" t="s">
        <v>447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89</v>
      </c>
      <c r="L1544" s="6" t="s">
        <v>141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890</v>
      </c>
      <c r="R1544" s="2">
        <v>7842105.2630000003</v>
      </c>
      <c r="S1544" s="2">
        <v>0</v>
      </c>
      <c r="T1544" s="2" t="s">
        <v>83</v>
      </c>
      <c r="U1544" s="2" t="s">
        <v>84</v>
      </c>
      <c r="V1544" s="2" t="s">
        <v>56</v>
      </c>
      <c r="W1544" s="2" t="s">
        <v>83</v>
      </c>
      <c r="X1544" s="2" t="s">
        <v>85</v>
      </c>
      <c r="Y1544" s="2">
        <v>3.8090011172943701</v>
      </c>
      <c r="Z1544" s="2">
        <v>3809.00111729437</v>
      </c>
      <c r="AA1544" s="2">
        <v>4.71035</v>
      </c>
      <c r="AB1544" s="2">
        <v>-74.030416666666696</v>
      </c>
      <c r="AC1544" s="2">
        <v>2570</v>
      </c>
      <c r="AD1544" s="2">
        <v>10</v>
      </c>
      <c r="AE1544" s="2" t="s">
        <v>59</v>
      </c>
      <c r="AF1544" s="2" t="s">
        <v>86</v>
      </c>
      <c r="AG1544" s="2" t="s">
        <v>61</v>
      </c>
      <c r="AH1544" s="2" t="s">
        <v>62</v>
      </c>
      <c r="AI1544" s="2" t="s">
        <v>87</v>
      </c>
      <c r="AJ1544" s="2">
        <v>0.430985632570484</v>
      </c>
      <c r="AK1544" s="2">
        <v>2.3381068346647802</v>
      </c>
      <c r="AL1544" s="2">
        <v>0.38306878776409597</v>
      </c>
      <c r="AM1544" s="2">
        <v>0.10631300514610199</v>
      </c>
      <c r="AN1544" s="2">
        <v>3.24943970615633</v>
      </c>
      <c r="AO1544" s="2">
        <v>0.489924257274163</v>
      </c>
      <c r="AP1544" s="2">
        <v>0.489924257274163</v>
      </c>
      <c r="AQ1544" s="2">
        <v>1</v>
      </c>
      <c r="AR1544" s="2">
        <v>4</v>
      </c>
      <c r="AS1544" s="2">
        <v>0</v>
      </c>
      <c r="AT1544" s="2">
        <v>0</v>
      </c>
      <c r="AU1544" s="2">
        <v>5</v>
      </c>
      <c r="AV1544" s="2">
        <v>227</v>
      </c>
      <c r="AW1544" s="2">
        <v>0</v>
      </c>
      <c r="AX1544" s="2">
        <v>0</v>
      </c>
      <c r="AY1544" s="2">
        <v>15.5</v>
      </c>
      <c r="AZ1544" s="2">
        <v>2.4</v>
      </c>
      <c r="BA1544" s="2">
        <v>10.9</v>
      </c>
      <c r="BB1544" s="2">
        <v>564</v>
      </c>
      <c r="BC1544" s="2">
        <v>68</v>
      </c>
      <c r="BD1544" s="2">
        <v>1.5</v>
      </c>
      <c r="BE1544" s="2">
        <v>135</v>
      </c>
      <c r="BF1544" s="2">
        <v>0</v>
      </c>
      <c r="BG1544" s="2">
        <v>162</v>
      </c>
      <c r="BH1544" s="2">
        <v>9.1</v>
      </c>
      <c r="BI1544" s="2">
        <v>9.1999999999999993</v>
      </c>
      <c r="BJ1544" s="2">
        <v>18.3</v>
      </c>
      <c r="BK1544" s="2">
        <v>0.34</v>
      </c>
      <c r="BL1544" s="2">
        <v>7.3</v>
      </c>
      <c r="BM1544" s="2">
        <v>0.9</v>
      </c>
      <c r="BN1544" s="2">
        <v>7.5</v>
      </c>
      <c r="BO1544" s="2">
        <v>2.9</v>
      </c>
      <c r="BP1544" s="2">
        <f t="shared" si="48"/>
        <v>1.9875906608893987</v>
      </c>
      <c r="BQ1544" s="2">
        <f t="shared" si="49"/>
        <v>9.9477536555420389</v>
      </c>
    </row>
    <row r="1545" spans="1:69" x14ac:dyDescent="0.2">
      <c r="A1545" s="2" t="s">
        <v>2021</v>
      </c>
      <c r="B1545" s="2" t="s">
        <v>47</v>
      </c>
      <c r="C1545" s="2" t="s">
        <v>1935</v>
      </c>
      <c r="D1545" s="2" t="s">
        <v>49</v>
      </c>
      <c r="E1545" s="2" t="s">
        <v>2022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89</v>
      </c>
      <c r="L1545" s="6" t="s">
        <v>103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2023</v>
      </c>
      <c r="R1545" s="2">
        <v>8465608.466</v>
      </c>
      <c r="S1545" s="2">
        <v>0</v>
      </c>
      <c r="T1545" s="2" t="s">
        <v>83</v>
      </c>
      <c r="U1545" s="2" t="s">
        <v>84</v>
      </c>
      <c r="V1545" s="2" t="s">
        <v>56</v>
      </c>
      <c r="W1545" s="2" t="s">
        <v>83</v>
      </c>
      <c r="X1545" s="2" t="s">
        <v>85</v>
      </c>
      <c r="Y1545" s="2">
        <v>2.1635787771880799</v>
      </c>
      <c r="Z1545" s="2">
        <v>2163.57877718808</v>
      </c>
      <c r="AA1545" s="2">
        <v>4.71035</v>
      </c>
      <c r="AB1545" s="2">
        <v>-74.030416666666696</v>
      </c>
      <c r="AC1545" s="2">
        <v>2570</v>
      </c>
      <c r="AD1545" s="2">
        <v>10</v>
      </c>
      <c r="AE1545" s="2" t="s">
        <v>59</v>
      </c>
      <c r="AF1545" s="2" t="s">
        <v>86</v>
      </c>
      <c r="AG1545" s="2" t="s">
        <v>61</v>
      </c>
      <c r="AH1545" s="2" t="s">
        <v>62</v>
      </c>
      <c r="AI1545" s="2" t="s">
        <v>87</v>
      </c>
      <c r="AJ1545" s="2">
        <v>0.34421935897906603</v>
      </c>
      <c r="AK1545" s="2">
        <v>2.7548991771445701</v>
      </c>
      <c r="AL1545" s="2">
        <v>1.8965945578674099</v>
      </c>
      <c r="AM1545" s="2">
        <v>0.50036685659735303</v>
      </c>
      <c r="AN1545" s="2">
        <v>3.9025527788308798</v>
      </c>
      <c r="AO1545" s="2">
        <v>0.39294586325247299</v>
      </c>
      <c r="AP1545" s="2">
        <v>0.39294586325247299</v>
      </c>
      <c r="AQ1545" s="2">
        <v>1</v>
      </c>
      <c r="AR1545" s="2">
        <v>2</v>
      </c>
      <c r="AS1545" s="2">
        <v>0</v>
      </c>
      <c r="AT1545" s="2">
        <v>0</v>
      </c>
      <c r="AU1545" s="2">
        <v>0</v>
      </c>
      <c r="AV1545" s="2">
        <v>81</v>
      </c>
      <c r="AW1545" s="2">
        <v>0</v>
      </c>
      <c r="AX1545" s="2">
        <v>0</v>
      </c>
      <c r="AY1545" s="2">
        <v>15.5</v>
      </c>
      <c r="AZ1545" s="2">
        <v>2.4</v>
      </c>
      <c r="BA1545" s="2">
        <v>10.9</v>
      </c>
      <c r="BB1545" s="2">
        <v>564</v>
      </c>
      <c r="BC1545" s="2">
        <v>68</v>
      </c>
      <c r="BD1545" s="2">
        <v>1.5</v>
      </c>
      <c r="BE1545" s="2">
        <v>135</v>
      </c>
      <c r="BF1545" s="2">
        <v>0</v>
      </c>
      <c r="BG1545" s="2">
        <v>162</v>
      </c>
      <c r="BH1545" s="2">
        <v>9.1</v>
      </c>
      <c r="BI1545" s="2">
        <v>9.1999999999999993</v>
      </c>
      <c r="BJ1545" s="2">
        <v>18.3</v>
      </c>
      <c r="BK1545" s="2">
        <v>0.34</v>
      </c>
      <c r="BL1545" s="2">
        <v>7.3</v>
      </c>
      <c r="BM1545" s="2">
        <v>0.9</v>
      </c>
      <c r="BN1545" s="2">
        <v>7.5</v>
      </c>
      <c r="BO1545" s="2">
        <v>2.9</v>
      </c>
      <c r="BP1545" s="2">
        <f t="shared" si="48"/>
        <v>2.156252126248031</v>
      </c>
      <c r="BQ1545" s="2">
        <f t="shared" si="49"/>
        <v>10.34845153716125</v>
      </c>
    </row>
    <row r="1546" spans="1:69" x14ac:dyDescent="0.2">
      <c r="A1546" s="2" t="s">
        <v>581</v>
      </c>
      <c r="B1546" s="2" t="s">
        <v>47</v>
      </c>
      <c r="C1546" s="2" t="s">
        <v>48</v>
      </c>
      <c r="D1546" s="2" t="s">
        <v>49</v>
      </c>
      <c r="E1546" s="2" t="s">
        <v>192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89</v>
      </c>
      <c r="L1546" s="6" t="s">
        <v>103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582</v>
      </c>
      <c r="R1546" s="2">
        <v>7671957.6720000003</v>
      </c>
      <c r="S1546" s="2">
        <v>0</v>
      </c>
      <c r="T1546" s="2" t="s">
        <v>83</v>
      </c>
      <c r="U1546" s="2" t="s">
        <v>84</v>
      </c>
      <c r="V1546" s="2" t="s">
        <v>56</v>
      </c>
      <c r="W1546" s="2" t="s">
        <v>83</v>
      </c>
      <c r="X1546" s="2" t="s">
        <v>85</v>
      </c>
      <c r="Y1546" s="2">
        <v>1.1908916495089099</v>
      </c>
      <c r="Z1546" s="2">
        <v>1190.8916495089099</v>
      </c>
      <c r="AA1546" s="2">
        <v>4.71035</v>
      </c>
      <c r="AB1546" s="2">
        <v>-74.030416666666696</v>
      </c>
      <c r="AC1546" s="2">
        <v>2570</v>
      </c>
      <c r="AD1546" s="2">
        <v>10</v>
      </c>
      <c r="AE1546" s="2" t="s">
        <v>59</v>
      </c>
      <c r="AF1546" s="2" t="s">
        <v>86</v>
      </c>
      <c r="AG1546" s="2" t="s">
        <v>61</v>
      </c>
      <c r="AH1546" s="2" t="s">
        <v>62</v>
      </c>
      <c r="AI1546" s="2" t="s">
        <v>87</v>
      </c>
      <c r="AJ1546" s="2">
        <v>2.2029169306801202</v>
      </c>
      <c r="AK1546" s="2">
        <v>0.998905072743698</v>
      </c>
      <c r="AL1546" s="2">
        <v>0.26960720846591302</v>
      </c>
      <c r="AM1546" s="2">
        <v>0.27675786341664499</v>
      </c>
      <c r="AN1546" s="2">
        <v>4.6139633957586996</v>
      </c>
      <c r="AO1546" s="2">
        <v>0.31895635328172001</v>
      </c>
      <c r="AP1546" s="2">
        <v>0.31895635328172001</v>
      </c>
      <c r="AQ1546" s="2">
        <v>0</v>
      </c>
      <c r="AR1546" s="2">
        <v>0</v>
      </c>
      <c r="AS1546" s="2">
        <v>0</v>
      </c>
      <c r="AT1546" s="2">
        <v>1</v>
      </c>
      <c r="AU1546" s="2">
        <v>2</v>
      </c>
      <c r="AV1546" s="2">
        <v>158</v>
      </c>
      <c r="AW1546" s="2">
        <v>0</v>
      </c>
      <c r="AX1546" s="2">
        <v>0</v>
      </c>
      <c r="AY1546" s="2">
        <v>15.5</v>
      </c>
      <c r="AZ1546" s="2">
        <v>2.4</v>
      </c>
      <c r="BA1546" s="2">
        <v>10.9</v>
      </c>
      <c r="BB1546" s="2">
        <v>564</v>
      </c>
      <c r="BC1546" s="2">
        <v>68</v>
      </c>
      <c r="BD1546" s="2">
        <v>1.5</v>
      </c>
      <c r="BE1546" s="2">
        <v>135</v>
      </c>
      <c r="BF1546" s="2">
        <v>0</v>
      </c>
      <c r="BG1546" s="2">
        <v>162</v>
      </c>
      <c r="BH1546" s="2">
        <v>9.1</v>
      </c>
      <c r="BI1546" s="2">
        <v>9.1999999999999993</v>
      </c>
      <c r="BJ1546" s="2">
        <v>18.3</v>
      </c>
      <c r="BK1546" s="2">
        <v>0.34</v>
      </c>
      <c r="BL1546" s="2">
        <v>7.3</v>
      </c>
      <c r="BM1546" s="2">
        <v>0.9</v>
      </c>
      <c r="BN1546" s="2">
        <v>7.5</v>
      </c>
      <c r="BO1546" s="2">
        <v>2.9</v>
      </c>
      <c r="BP1546" s="2">
        <f t="shared" si="48"/>
        <v>2.2626113270405881</v>
      </c>
      <c r="BQ1546" s="2">
        <f t="shared" si="49"/>
        <v>10.592872715621263</v>
      </c>
    </row>
    <row r="1547" spans="1:69" x14ac:dyDescent="0.2">
      <c r="A1547" s="2" t="s">
        <v>1181</v>
      </c>
      <c r="B1547" s="2" t="s">
        <v>47</v>
      </c>
      <c r="C1547" s="2" t="s">
        <v>48</v>
      </c>
      <c r="D1547" s="2" t="s">
        <v>49</v>
      </c>
      <c r="E1547" s="2" t="s">
        <v>169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89</v>
      </c>
      <c r="L1547" s="6" t="s">
        <v>141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1182</v>
      </c>
      <c r="R1547" s="2">
        <v>5312084.9929999998</v>
      </c>
      <c r="S1547" s="2">
        <v>0</v>
      </c>
      <c r="T1547" s="2" t="s">
        <v>83</v>
      </c>
      <c r="U1547" s="2" t="s">
        <v>84</v>
      </c>
      <c r="V1547" s="2" t="s">
        <v>56</v>
      </c>
      <c r="W1547" s="2" t="s">
        <v>83</v>
      </c>
      <c r="X1547" s="2" t="s">
        <v>85</v>
      </c>
      <c r="Y1547" s="2">
        <v>3.13701307111997</v>
      </c>
      <c r="Z1547" s="2">
        <v>3137.0130711199699</v>
      </c>
      <c r="AA1547" s="2">
        <v>4.71035</v>
      </c>
      <c r="AB1547" s="2">
        <v>-74.030416666666696</v>
      </c>
      <c r="AC1547" s="2">
        <v>2570</v>
      </c>
      <c r="AD1547" s="2">
        <v>10</v>
      </c>
      <c r="AE1547" s="2" t="s">
        <v>59</v>
      </c>
      <c r="AF1547" s="2" t="s">
        <v>86</v>
      </c>
      <c r="AG1547" s="2" t="s">
        <v>61</v>
      </c>
      <c r="AH1547" s="2" t="s">
        <v>62</v>
      </c>
      <c r="AI1547" s="2" t="s">
        <v>87</v>
      </c>
      <c r="AJ1547" s="2">
        <v>1.54711091063062</v>
      </c>
      <c r="AK1547" s="2">
        <v>1.1427009334751299</v>
      </c>
      <c r="AL1547" s="2">
        <v>0.61804651590043302</v>
      </c>
      <c r="AM1547" s="2">
        <v>6.5193065854640603E-2</v>
      </c>
      <c r="AN1547" s="2">
        <v>4.4098915689785203</v>
      </c>
      <c r="AO1547" s="2">
        <v>0.36795388278637398</v>
      </c>
      <c r="AP1547" s="2">
        <v>0.36795388278637398</v>
      </c>
      <c r="AQ1547" s="2">
        <v>0</v>
      </c>
      <c r="AR1547" s="2">
        <v>0</v>
      </c>
      <c r="AS1547" s="2">
        <v>0</v>
      </c>
      <c r="AT1547" s="2">
        <v>0</v>
      </c>
      <c r="AU1547" s="2">
        <v>7</v>
      </c>
      <c r="AV1547" s="2">
        <v>109</v>
      </c>
      <c r="AW1547" s="2">
        <v>0</v>
      </c>
      <c r="AX1547" s="2">
        <v>0</v>
      </c>
      <c r="AY1547" s="2">
        <v>15.5</v>
      </c>
      <c r="AZ1547" s="2">
        <v>2.4</v>
      </c>
      <c r="BA1547" s="2">
        <v>10.9</v>
      </c>
      <c r="BB1547" s="2">
        <v>564</v>
      </c>
      <c r="BC1547" s="2">
        <v>68</v>
      </c>
      <c r="BD1547" s="2">
        <v>1.5</v>
      </c>
      <c r="BE1547" s="2">
        <v>135</v>
      </c>
      <c r="BF1547" s="2">
        <v>0</v>
      </c>
      <c r="BG1547" s="2">
        <v>162</v>
      </c>
      <c r="BH1547" s="2">
        <v>9.1</v>
      </c>
      <c r="BI1547" s="2">
        <v>9.1999999999999993</v>
      </c>
      <c r="BJ1547" s="2">
        <v>18.3</v>
      </c>
      <c r="BK1547" s="2">
        <v>0.34</v>
      </c>
      <c r="BL1547" s="2">
        <v>7.3</v>
      </c>
      <c r="BM1547" s="2">
        <v>0.9</v>
      </c>
      <c r="BN1547" s="2">
        <v>7.5</v>
      </c>
      <c r="BO1547" s="2">
        <v>2.9</v>
      </c>
      <c r="BP1547" s="2">
        <f t="shared" si="48"/>
        <v>2.0548165837874848</v>
      </c>
      <c r="BQ1547" s="2">
        <f t="shared" si="49"/>
        <v>10.109488876553602</v>
      </c>
    </row>
    <row r="1548" spans="1:69" x14ac:dyDescent="0.2">
      <c r="A1548" s="2" t="s">
        <v>2688</v>
      </c>
      <c r="B1548" s="2" t="s">
        <v>47</v>
      </c>
      <c r="C1548" s="2" t="s">
        <v>1935</v>
      </c>
      <c r="D1548" s="2" t="s">
        <v>49</v>
      </c>
      <c r="E1548" s="2" t="s">
        <v>961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89</v>
      </c>
      <c r="L1548" s="6" t="s">
        <v>141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2689</v>
      </c>
      <c r="R1548" s="2">
        <v>5882352.9409999996</v>
      </c>
      <c r="S1548" s="2">
        <v>0</v>
      </c>
      <c r="T1548" s="2" t="s">
        <v>83</v>
      </c>
      <c r="U1548" s="2" t="s">
        <v>84</v>
      </c>
      <c r="V1548" s="2" t="s">
        <v>56</v>
      </c>
      <c r="W1548" s="2" t="s">
        <v>83</v>
      </c>
      <c r="X1548" s="2" t="s">
        <v>85</v>
      </c>
      <c r="Y1548" s="2">
        <v>2.5369552566342102</v>
      </c>
      <c r="Z1548" s="2">
        <v>2536.9552566342099</v>
      </c>
      <c r="AA1548" s="2">
        <v>4.71035</v>
      </c>
      <c r="AB1548" s="2">
        <v>-74.030416666666696</v>
      </c>
      <c r="AC1548" s="2">
        <v>2570</v>
      </c>
      <c r="AD1548" s="2">
        <v>10</v>
      </c>
      <c r="AE1548" s="2" t="s">
        <v>59</v>
      </c>
      <c r="AF1548" s="2" t="s">
        <v>86</v>
      </c>
      <c r="AG1548" s="2" t="s">
        <v>61</v>
      </c>
      <c r="AH1548" s="2" t="s">
        <v>62</v>
      </c>
      <c r="AI1548" s="2" t="s">
        <v>87</v>
      </c>
      <c r="AJ1548" s="2">
        <v>0.39779447515973798</v>
      </c>
      <c r="AK1548" s="2">
        <v>3.1177885215125798</v>
      </c>
      <c r="AL1548" s="2">
        <v>1.67503238009696</v>
      </c>
      <c r="AM1548" s="2">
        <v>0.14255365927090199</v>
      </c>
      <c r="AN1548" s="2">
        <v>4.7183953584193503</v>
      </c>
      <c r="AO1548" s="2">
        <v>0.29610314784504099</v>
      </c>
      <c r="AP1548" s="2">
        <v>0.29610314784504099</v>
      </c>
      <c r="AQ1548" s="2">
        <v>1</v>
      </c>
      <c r="AR1548" s="2">
        <v>2</v>
      </c>
      <c r="AS1548" s="2">
        <v>0</v>
      </c>
      <c r="AT1548" s="2">
        <v>0</v>
      </c>
      <c r="AU1548" s="2">
        <v>0</v>
      </c>
      <c r="AV1548" s="2">
        <v>114</v>
      </c>
      <c r="AW1548" s="2">
        <v>0</v>
      </c>
      <c r="AX1548" s="2">
        <v>0</v>
      </c>
      <c r="AY1548" s="2">
        <v>15.5</v>
      </c>
      <c r="AZ1548" s="2">
        <v>2.4</v>
      </c>
      <c r="BA1548" s="2">
        <v>10.9</v>
      </c>
      <c r="BB1548" s="2">
        <v>564</v>
      </c>
      <c r="BC1548" s="2">
        <v>68</v>
      </c>
      <c r="BD1548" s="2">
        <v>1.5</v>
      </c>
      <c r="BE1548" s="2">
        <v>135</v>
      </c>
      <c r="BF1548" s="2">
        <v>0</v>
      </c>
      <c r="BG1548" s="2">
        <v>162</v>
      </c>
      <c r="BH1548" s="2">
        <v>9.1</v>
      </c>
      <c r="BI1548" s="2">
        <v>9.1999999999999993</v>
      </c>
      <c r="BJ1548" s="2">
        <v>18.3</v>
      </c>
      <c r="BK1548" s="2">
        <v>0.34</v>
      </c>
      <c r="BL1548" s="2">
        <v>7.3</v>
      </c>
      <c r="BM1548" s="2">
        <v>0.9</v>
      </c>
      <c r="BN1548" s="2">
        <v>7.5</v>
      </c>
      <c r="BO1548" s="2">
        <v>2.9</v>
      </c>
      <c r="BP1548" s="2">
        <f t="shared" si="48"/>
        <v>2.1167659997487291</v>
      </c>
      <c r="BQ1548" s="2">
        <f t="shared" si="49"/>
        <v>10.256132948339099</v>
      </c>
    </row>
    <row r="1549" spans="1:69" x14ac:dyDescent="0.2">
      <c r="A1549" s="2" t="s">
        <v>818</v>
      </c>
      <c r="B1549" s="2" t="s">
        <v>47</v>
      </c>
      <c r="C1549" s="2" t="s">
        <v>48</v>
      </c>
      <c r="D1549" s="2" t="s">
        <v>49</v>
      </c>
      <c r="E1549" s="2" t="s">
        <v>316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89</v>
      </c>
      <c r="L1549" s="6" t="s">
        <v>141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819</v>
      </c>
      <c r="R1549" s="2">
        <v>5894962.4869999997</v>
      </c>
      <c r="S1549" s="2">
        <v>0</v>
      </c>
      <c r="T1549" s="2" t="s">
        <v>83</v>
      </c>
      <c r="U1549" s="2" t="s">
        <v>84</v>
      </c>
      <c r="V1549" s="2" t="s">
        <v>56</v>
      </c>
      <c r="W1549" s="2" t="s">
        <v>83</v>
      </c>
      <c r="X1549" s="2" t="s">
        <v>85</v>
      </c>
      <c r="Y1549" s="2">
        <v>2.1752810930606099</v>
      </c>
      <c r="Z1549" s="2">
        <v>2175.2810930606101</v>
      </c>
      <c r="AA1549" s="2">
        <v>4.71035</v>
      </c>
      <c r="AB1549" s="2">
        <v>-74.030416666666696</v>
      </c>
      <c r="AC1549" s="2">
        <v>2570</v>
      </c>
      <c r="AD1549" s="2">
        <v>10</v>
      </c>
      <c r="AE1549" s="2" t="s">
        <v>59</v>
      </c>
      <c r="AF1549" s="2" t="s">
        <v>86</v>
      </c>
      <c r="AG1549" s="2" t="s">
        <v>61</v>
      </c>
      <c r="AH1549" s="2" t="s">
        <v>62</v>
      </c>
      <c r="AI1549" s="2" t="s">
        <v>87</v>
      </c>
      <c r="AJ1549" s="2">
        <v>0.931709478660386</v>
      </c>
      <c r="AK1549" s="2">
        <v>2.3598058264847799</v>
      </c>
      <c r="AL1549" s="2">
        <v>0.81340873638619604</v>
      </c>
      <c r="AM1549" s="2">
        <v>9.6643863836440899E-2</v>
      </c>
      <c r="AN1549" s="2">
        <v>4.82608146433871</v>
      </c>
      <c r="AO1549" s="2">
        <v>0.14279708313490699</v>
      </c>
      <c r="AP1549" s="2">
        <v>0.14279708313490699</v>
      </c>
      <c r="AQ1549" s="2">
        <v>0</v>
      </c>
      <c r="AR1549" s="2">
        <v>2</v>
      </c>
      <c r="AS1549" s="2">
        <v>0</v>
      </c>
      <c r="AT1549" s="2">
        <v>0</v>
      </c>
      <c r="AU1549" s="2">
        <v>1</v>
      </c>
      <c r="AV1549" s="2">
        <v>196</v>
      </c>
      <c r="AW1549" s="2">
        <v>0</v>
      </c>
      <c r="AX1549" s="2">
        <v>0</v>
      </c>
      <c r="AY1549" s="2">
        <v>15.5</v>
      </c>
      <c r="AZ1549" s="2">
        <v>2.4</v>
      </c>
      <c r="BA1549" s="2">
        <v>10.9</v>
      </c>
      <c r="BB1549" s="2">
        <v>564</v>
      </c>
      <c r="BC1549" s="2">
        <v>68</v>
      </c>
      <c r="BD1549" s="2">
        <v>1.5</v>
      </c>
      <c r="BE1549" s="2">
        <v>135</v>
      </c>
      <c r="BF1549" s="2">
        <v>0</v>
      </c>
      <c r="BG1549" s="2">
        <v>162</v>
      </c>
      <c r="BH1549" s="2">
        <v>9.1</v>
      </c>
      <c r="BI1549" s="2">
        <v>9.1999999999999993</v>
      </c>
      <c r="BJ1549" s="2">
        <v>18.3</v>
      </c>
      <c r="BK1549" s="2">
        <v>0.34</v>
      </c>
      <c r="BL1549" s="2">
        <v>7.3</v>
      </c>
      <c r="BM1549" s="2">
        <v>0.9</v>
      </c>
      <c r="BN1549" s="2">
        <v>7.5</v>
      </c>
      <c r="BO1549" s="2">
        <v>2.9</v>
      </c>
      <c r="BP1549" s="2">
        <f t="shared" si="48"/>
        <v>2.1550034473383461</v>
      </c>
      <c r="BQ1549" s="2">
        <f t="shared" si="49"/>
        <v>10.345545524896927</v>
      </c>
    </row>
    <row r="1550" spans="1:69" x14ac:dyDescent="0.2">
      <c r="A1550" s="2" t="s">
        <v>1857</v>
      </c>
      <c r="B1550" s="2" t="s">
        <v>47</v>
      </c>
      <c r="C1550" s="2" t="s">
        <v>48</v>
      </c>
      <c r="D1550" s="2" t="s">
        <v>49</v>
      </c>
      <c r="E1550" s="2" t="s">
        <v>1858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89</v>
      </c>
      <c r="L1550" s="6" t="s">
        <v>103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1859</v>
      </c>
      <c r="R1550" s="2">
        <v>13513513.51</v>
      </c>
      <c r="S1550" s="2">
        <v>0</v>
      </c>
      <c r="T1550" s="2" t="s">
        <v>83</v>
      </c>
      <c r="U1550" s="2" t="s">
        <v>84</v>
      </c>
      <c r="V1550" s="2" t="s">
        <v>56</v>
      </c>
      <c r="W1550" s="2" t="s">
        <v>83</v>
      </c>
      <c r="X1550" s="2" t="s">
        <v>85</v>
      </c>
      <c r="Y1550" s="2">
        <v>2.6857911196949802</v>
      </c>
      <c r="Z1550" s="2">
        <v>2685.7911196949799</v>
      </c>
      <c r="AA1550" s="2">
        <v>4.71035</v>
      </c>
      <c r="AB1550" s="2">
        <v>-74.030416666666696</v>
      </c>
      <c r="AC1550" s="2">
        <v>2570</v>
      </c>
      <c r="AD1550" s="2">
        <v>10</v>
      </c>
      <c r="AE1550" s="2" t="s">
        <v>59</v>
      </c>
      <c r="AF1550" s="2" t="s">
        <v>86</v>
      </c>
      <c r="AG1550" s="2" t="s">
        <v>61</v>
      </c>
      <c r="AH1550" s="2" t="s">
        <v>62</v>
      </c>
      <c r="AI1550" s="2" t="s">
        <v>87</v>
      </c>
      <c r="AJ1550" s="2">
        <v>2.08818199744699</v>
      </c>
      <c r="AK1550" s="2">
        <v>0.99094004698294103</v>
      </c>
      <c r="AL1550" s="2">
        <v>0.574388038822778</v>
      </c>
      <c r="AM1550" s="2">
        <v>0.12583445848917099</v>
      </c>
      <c r="AN1550" s="2">
        <v>5.0757974138667796</v>
      </c>
      <c r="AO1550" s="2">
        <v>0.102242064166517</v>
      </c>
      <c r="AP1550" s="2">
        <v>0.102242064166517</v>
      </c>
      <c r="AQ1550" s="2">
        <v>0</v>
      </c>
      <c r="AR1550" s="2">
        <v>0</v>
      </c>
      <c r="AS1550" s="2">
        <v>0</v>
      </c>
      <c r="AT1550" s="2">
        <v>1</v>
      </c>
      <c r="AU1550" s="2">
        <v>3</v>
      </c>
      <c r="AV1550" s="2">
        <v>72</v>
      </c>
      <c r="AW1550" s="2">
        <v>0</v>
      </c>
      <c r="AX1550" s="2">
        <v>0</v>
      </c>
      <c r="AY1550" s="2">
        <v>15.5</v>
      </c>
      <c r="AZ1550" s="2">
        <v>2.4</v>
      </c>
      <c r="BA1550" s="2">
        <v>10.9</v>
      </c>
      <c r="BB1550" s="2">
        <v>564</v>
      </c>
      <c r="BC1550" s="2">
        <v>68</v>
      </c>
      <c r="BD1550" s="2">
        <v>1.5</v>
      </c>
      <c r="BE1550" s="2">
        <v>135</v>
      </c>
      <c r="BF1550" s="2">
        <v>0</v>
      </c>
      <c r="BG1550" s="2">
        <v>162</v>
      </c>
      <c r="BH1550" s="2">
        <v>9.1</v>
      </c>
      <c r="BI1550" s="2">
        <v>9.1999999999999993</v>
      </c>
      <c r="BJ1550" s="2">
        <v>18.3</v>
      </c>
      <c r="BK1550" s="2">
        <v>0.34</v>
      </c>
      <c r="BL1550" s="2">
        <v>7.3</v>
      </c>
      <c r="BM1550" s="2">
        <v>0.9</v>
      </c>
      <c r="BN1550" s="2">
        <v>7.5</v>
      </c>
      <c r="BO1550" s="2">
        <v>2.9</v>
      </c>
      <c r="BP1550" s="2">
        <f t="shared" si="48"/>
        <v>2.1012282966965214</v>
      </c>
      <c r="BQ1550" s="2">
        <f t="shared" si="49"/>
        <v>10.219562773090589</v>
      </c>
    </row>
    <row r="1551" spans="1:69" x14ac:dyDescent="0.2">
      <c r="A1551" s="2" t="s">
        <v>1903</v>
      </c>
      <c r="B1551" s="2" t="s">
        <v>47</v>
      </c>
      <c r="C1551" s="2" t="s">
        <v>48</v>
      </c>
      <c r="D1551" s="2" t="s">
        <v>49</v>
      </c>
      <c r="E1551" s="2" t="s">
        <v>208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89</v>
      </c>
      <c r="L1551" s="6" t="s">
        <v>141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1904</v>
      </c>
      <c r="R1551" s="2">
        <v>6521739.1299999999</v>
      </c>
      <c r="S1551" s="2">
        <v>0</v>
      </c>
      <c r="T1551" s="2" t="s">
        <v>83</v>
      </c>
      <c r="U1551" s="2" t="s">
        <v>84</v>
      </c>
      <c r="V1551" s="2" t="s">
        <v>56</v>
      </c>
      <c r="W1551" s="2" t="s">
        <v>83</v>
      </c>
      <c r="X1551" s="2" t="s">
        <v>85</v>
      </c>
      <c r="Y1551" s="2">
        <v>4.1054607722179801</v>
      </c>
      <c r="Z1551" s="2">
        <v>4105.4607722179799</v>
      </c>
      <c r="AA1551" s="2">
        <v>4.71035</v>
      </c>
      <c r="AB1551" s="2">
        <v>-74.030416666666696</v>
      </c>
      <c r="AC1551" s="2">
        <v>2570</v>
      </c>
      <c r="AD1551" s="2">
        <v>10</v>
      </c>
      <c r="AE1551" s="2" t="s">
        <v>59</v>
      </c>
      <c r="AF1551" s="2" t="s">
        <v>86</v>
      </c>
      <c r="AG1551" s="2" t="s">
        <v>61</v>
      </c>
      <c r="AH1551" s="2" t="s">
        <v>62</v>
      </c>
      <c r="AI1551" s="2" t="s">
        <v>109</v>
      </c>
      <c r="AJ1551" s="2">
        <v>0.94224689271969997</v>
      </c>
      <c r="AK1551" s="2">
        <v>1.3595855958448699</v>
      </c>
      <c r="AL1551" s="2">
        <v>0.73504490979140102</v>
      </c>
      <c r="AM1551" s="2">
        <v>6.6988360438581501E-2</v>
      </c>
      <c r="AN1551" s="2">
        <v>3.5285100002699199</v>
      </c>
      <c r="AO1551" s="2">
        <v>0.92221754752401197</v>
      </c>
      <c r="AP1551" s="2">
        <v>0.92221754752401197</v>
      </c>
      <c r="AQ1551" s="2">
        <v>0</v>
      </c>
      <c r="AR1551" s="2">
        <v>1</v>
      </c>
      <c r="AS1551" s="2">
        <v>0</v>
      </c>
      <c r="AT1551" s="2">
        <v>0</v>
      </c>
      <c r="AU1551" s="2">
        <v>4</v>
      </c>
      <c r="AV1551" s="2">
        <v>185</v>
      </c>
      <c r="AW1551" s="2">
        <v>0</v>
      </c>
      <c r="AX1551" s="2">
        <v>0</v>
      </c>
      <c r="AY1551" s="2">
        <v>15.5</v>
      </c>
      <c r="AZ1551" s="2">
        <v>2.4</v>
      </c>
      <c r="BA1551" s="2">
        <v>10.9</v>
      </c>
      <c r="BB1551" s="2">
        <v>564</v>
      </c>
      <c r="BC1551" s="2">
        <v>68</v>
      </c>
      <c r="BD1551" s="2">
        <v>1.5</v>
      </c>
      <c r="BE1551" s="2">
        <v>135</v>
      </c>
      <c r="BF1551" s="2">
        <v>0</v>
      </c>
      <c r="BG1551" s="2">
        <v>162</v>
      </c>
      <c r="BH1551" s="2">
        <v>9.1</v>
      </c>
      <c r="BI1551" s="2">
        <v>9.1999999999999993</v>
      </c>
      <c r="BJ1551" s="2">
        <v>18.3</v>
      </c>
      <c r="BK1551" s="2">
        <v>0.34</v>
      </c>
      <c r="BL1551" s="2">
        <v>7.3</v>
      </c>
      <c r="BM1551" s="2">
        <v>0.9</v>
      </c>
      <c r="BN1551" s="2">
        <v>7.5</v>
      </c>
      <c r="BO1551" s="2">
        <v>2.9</v>
      </c>
      <c r="BP1551" s="2">
        <f t="shared" si="48"/>
        <v>1.9586362282156216</v>
      </c>
      <c r="BQ1551" s="2">
        <f t="shared" si="49"/>
        <v>9.8772262725711339</v>
      </c>
    </row>
    <row r="1552" spans="1:69" x14ac:dyDescent="0.2">
      <c r="A1552" s="2" t="s">
        <v>1650</v>
      </c>
      <c r="B1552" s="2" t="s">
        <v>47</v>
      </c>
      <c r="C1552" s="2" t="s">
        <v>48</v>
      </c>
      <c r="D1552" s="2" t="s">
        <v>49</v>
      </c>
      <c r="E1552" s="2" t="s">
        <v>961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89</v>
      </c>
      <c r="L1552" s="6" t="s">
        <v>103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1651</v>
      </c>
      <c r="R1552" s="2">
        <v>7065217.3909999998</v>
      </c>
      <c r="S1552" s="2">
        <v>0</v>
      </c>
      <c r="T1552" s="2" t="s">
        <v>83</v>
      </c>
      <c r="U1552" s="2" t="s">
        <v>84</v>
      </c>
      <c r="V1552" s="2" t="s">
        <v>56</v>
      </c>
      <c r="W1552" s="2" t="s">
        <v>83</v>
      </c>
      <c r="X1552" s="2" t="s">
        <v>85</v>
      </c>
      <c r="Y1552" s="2">
        <v>2.04305935642296</v>
      </c>
      <c r="Z1552" s="2">
        <v>2043.05935642296</v>
      </c>
      <c r="AA1552" s="2">
        <v>4.71035</v>
      </c>
      <c r="AB1552" s="2">
        <v>-74.030416666666696</v>
      </c>
      <c r="AC1552" s="2">
        <v>2570</v>
      </c>
      <c r="AD1552" s="2">
        <v>10</v>
      </c>
      <c r="AE1552" s="2" t="s">
        <v>59</v>
      </c>
      <c r="AF1552" s="2" t="s">
        <v>86</v>
      </c>
      <c r="AG1552" s="2" t="s">
        <v>61</v>
      </c>
      <c r="AH1552" s="2" t="s">
        <v>62</v>
      </c>
      <c r="AI1552" s="2" t="s">
        <v>87</v>
      </c>
      <c r="AJ1552" s="2">
        <v>0.54644249007884105</v>
      </c>
      <c r="AK1552" s="2">
        <v>2.6025089855452999</v>
      </c>
      <c r="AL1552" s="2">
        <v>1.7787145442589201</v>
      </c>
      <c r="AM1552" s="2">
        <v>0.25943684103380199</v>
      </c>
      <c r="AN1552" s="2">
        <v>3.65758825325124</v>
      </c>
      <c r="AO1552" s="2">
        <v>0.55220896236614903</v>
      </c>
      <c r="AP1552" s="2">
        <v>0.55220896236614903</v>
      </c>
      <c r="AQ1552" s="2">
        <v>0</v>
      </c>
      <c r="AR1552" s="2">
        <v>2</v>
      </c>
      <c r="AS1552" s="2">
        <v>0</v>
      </c>
      <c r="AT1552" s="2">
        <v>0</v>
      </c>
      <c r="AU1552" s="2">
        <v>0</v>
      </c>
      <c r="AV1552" s="2">
        <v>40</v>
      </c>
      <c r="AW1552" s="2">
        <v>0</v>
      </c>
      <c r="AX1552" s="2">
        <v>0</v>
      </c>
      <c r="AY1552" s="2">
        <v>15.5</v>
      </c>
      <c r="AZ1552" s="2">
        <v>2.4</v>
      </c>
      <c r="BA1552" s="2">
        <v>10.9</v>
      </c>
      <c r="BB1552" s="2">
        <v>564</v>
      </c>
      <c r="BC1552" s="2">
        <v>68</v>
      </c>
      <c r="BD1552" s="2">
        <v>1.5</v>
      </c>
      <c r="BE1552" s="2">
        <v>135</v>
      </c>
      <c r="BF1552" s="2">
        <v>0</v>
      </c>
      <c r="BG1552" s="2">
        <v>162</v>
      </c>
      <c r="BH1552" s="2">
        <v>9.1</v>
      </c>
      <c r="BI1552" s="2">
        <v>9.1999999999999993</v>
      </c>
      <c r="BJ1552" s="2">
        <v>18.3</v>
      </c>
      <c r="BK1552" s="2">
        <v>0.34</v>
      </c>
      <c r="BL1552" s="2">
        <v>7.3</v>
      </c>
      <c r="BM1552" s="2">
        <v>0.9</v>
      </c>
      <c r="BN1552" s="2">
        <v>7.5</v>
      </c>
      <c r="BO1552" s="2">
        <v>2.9</v>
      </c>
      <c r="BP1552" s="2">
        <f t="shared" si="48"/>
        <v>2.1691541505948178</v>
      </c>
      <c r="BQ1552" s="2">
        <f t="shared" si="49"/>
        <v>10.378427413607156</v>
      </c>
    </row>
    <row r="1553" spans="1:69" x14ac:dyDescent="0.2">
      <c r="A1553" s="2" t="s">
        <v>824</v>
      </c>
      <c r="B1553" s="2" t="s">
        <v>47</v>
      </c>
      <c r="C1553" s="2" t="s">
        <v>48</v>
      </c>
      <c r="D1553" s="2" t="s">
        <v>49</v>
      </c>
      <c r="E1553" s="2" t="s">
        <v>727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89</v>
      </c>
      <c r="L1553" s="6" t="s">
        <v>103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825</v>
      </c>
      <c r="R1553" s="2">
        <v>9561274.1079999991</v>
      </c>
      <c r="S1553" s="2">
        <v>0</v>
      </c>
      <c r="T1553" s="2" t="s">
        <v>83</v>
      </c>
      <c r="U1553" s="2" t="s">
        <v>84</v>
      </c>
      <c r="V1553" s="2" t="s">
        <v>56</v>
      </c>
      <c r="W1553" s="2" t="s">
        <v>83</v>
      </c>
      <c r="X1553" s="2" t="s">
        <v>85</v>
      </c>
      <c r="Y1553" s="2">
        <v>2.1189549446688898</v>
      </c>
      <c r="Z1553" s="2">
        <v>2118.9549446688902</v>
      </c>
      <c r="AA1553" s="2">
        <v>4.71035</v>
      </c>
      <c r="AB1553" s="2">
        <v>-74.030416666666696</v>
      </c>
      <c r="AC1553" s="2">
        <v>2570</v>
      </c>
      <c r="AD1553" s="2">
        <v>10</v>
      </c>
      <c r="AE1553" s="2" t="s">
        <v>59</v>
      </c>
      <c r="AF1553" s="2" t="s">
        <v>86</v>
      </c>
      <c r="AG1553" s="2" t="s">
        <v>61</v>
      </c>
      <c r="AH1553" s="2" t="s">
        <v>62</v>
      </c>
      <c r="AI1553" s="2" t="s">
        <v>87</v>
      </c>
      <c r="AJ1553" s="2">
        <v>1.5279930675803901</v>
      </c>
      <c r="AK1553" s="2">
        <v>1.7281023629732899</v>
      </c>
      <c r="AL1553" s="2">
        <v>0.90844540772508497</v>
      </c>
      <c r="AM1553" s="2">
        <v>5.0734887948505898E-2</v>
      </c>
      <c r="AN1553" s="2">
        <v>5.0212293875845404</v>
      </c>
      <c r="AO1553" s="2">
        <v>0.21422080790115799</v>
      </c>
      <c r="AP1553" s="2">
        <v>0.21422080790115799</v>
      </c>
      <c r="AQ1553" s="2">
        <v>0</v>
      </c>
      <c r="AR1553" s="2">
        <v>0</v>
      </c>
      <c r="AS1553" s="2">
        <v>0</v>
      </c>
      <c r="AT1553" s="2">
        <v>0</v>
      </c>
      <c r="AU1553" s="2">
        <v>1</v>
      </c>
      <c r="AV1553" s="2">
        <v>122</v>
      </c>
      <c r="AW1553" s="2">
        <v>0</v>
      </c>
      <c r="AX1553" s="2">
        <v>0</v>
      </c>
      <c r="AY1553" s="2">
        <v>15.5</v>
      </c>
      <c r="AZ1553" s="2">
        <v>2.4</v>
      </c>
      <c r="BA1553" s="2">
        <v>10.9</v>
      </c>
      <c r="BB1553" s="2">
        <v>564</v>
      </c>
      <c r="BC1553" s="2">
        <v>68</v>
      </c>
      <c r="BD1553" s="2">
        <v>1.5</v>
      </c>
      <c r="BE1553" s="2">
        <v>135</v>
      </c>
      <c r="BF1553" s="2">
        <v>0</v>
      </c>
      <c r="BG1553" s="2">
        <v>162</v>
      </c>
      <c r="BH1553" s="2">
        <v>9.1</v>
      </c>
      <c r="BI1553" s="2">
        <v>9.1999999999999993</v>
      </c>
      <c r="BJ1553" s="2">
        <v>18.3</v>
      </c>
      <c r="BK1553" s="2">
        <v>0.34</v>
      </c>
      <c r="BL1553" s="2">
        <v>7.3</v>
      </c>
      <c r="BM1553" s="2">
        <v>0.9</v>
      </c>
      <c r="BN1553" s="2">
        <v>7.5</v>
      </c>
      <c r="BO1553" s="2">
        <v>2.9</v>
      </c>
      <c r="BP1553" s="2">
        <f t="shared" si="48"/>
        <v>2.1610202920323083</v>
      </c>
      <c r="BQ1553" s="2">
        <f t="shared" si="49"/>
        <v>10.359540375656476</v>
      </c>
    </row>
    <row r="1554" spans="1:69" x14ac:dyDescent="0.2">
      <c r="A1554" s="2" t="s">
        <v>2658</v>
      </c>
      <c r="B1554" s="2" t="s">
        <v>47</v>
      </c>
      <c r="C1554" s="2" t="s">
        <v>1935</v>
      </c>
      <c r="D1554" s="2" t="s">
        <v>49</v>
      </c>
      <c r="E1554" s="2" t="s">
        <v>214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89</v>
      </c>
      <c r="L1554" s="6" t="s">
        <v>90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2659</v>
      </c>
      <c r="R1554" s="2">
        <v>10382513.66</v>
      </c>
      <c r="S1554" s="2">
        <v>0</v>
      </c>
      <c r="T1554" s="2" t="s">
        <v>83</v>
      </c>
      <c r="U1554" s="2" t="s">
        <v>84</v>
      </c>
      <c r="V1554" s="2" t="s">
        <v>56</v>
      </c>
      <c r="W1554" s="2" t="s">
        <v>83</v>
      </c>
      <c r="X1554" s="2" t="s">
        <v>85</v>
      </c>
      <c r="Y1554" s="2">
        <v>0.84610306261512502</v>
      </c>
      <c r="Z1554" s="2">
        <v>846.10306261512505</v>
      </c>
      <c r="AA1554" s="2">
        <v>4.71035</v>
      </c>
      <c r="AB1554" s="2">
        <v>-74.030416666666696</v>
      </c>
      <c r="AC1554" s="2">
        <v>2570</v>
      </c>
      <c r="AD1554" s="2">
        <v>10</v>
      </c>
      <c r="AE1554" s="2" t="s">
        <v>59</v>
      </c>
      <c r="AF1554" s="2" t="s">
        <v>86</v>
      </c>
      <c r="AG1554" s="2" t="s">
        <v>61</v>
      </c>
      <c r="AH1554" s="2" t="s">
        <v>62</v>
      </c>
      <c r="AI1554" s="2" t="s">
        <v>87</v>
      </c>
      <c r="AJ1554" s="2">
        <v>1.99736978059574</v>
      </c>
      <c r="AK1554" s="2">
        <v>1.2324120057124699</v>
      </c>
      <c r="AL1554" s="2">
        <v>0.61552966610716697</v>
      </c>
      <c r="AM1554" s="2">
        <v>0.201455595340505</v>
      </c>
      <c r="AN1554" s="2">
        <v>4.1270510444397202</v>
      </c>
      <c r="AO1554" s="2">
        <v>0.23341279049630001</v>
      </c>
      <c r="AP1554" s="2">
        <v>0.23341279049630001</v>
      </c>
      <c r="AQ1554" s="2">
        <v>0</v>
      </c>
      <c r="AR1554" s="2">
        <v>0</v>
      </c>
      <c r="AS1554" s="2">
        <v>0</v>
      </c>
      <c r="AT1554" s="2">
        <v>0</v>
      </c>
      <c r="AU1554" s="2">
        <v>2</v>
      </c>
      <c r="AV1554" s="2">
        <v>129</v>
      </c>
      <c r="AW1554" s="2">
        <v>0</v>
      </c>
      <c r="AX1554" s="2">
        <v>0</v>
      </c>
      <c r="AY1554" s="2">
        <v>15.5</v>
      </c>
      <c r="AZ1554" s="2">
        <v>2.4</v>
      </c>
      <c r="BA1554" s="2">
        <v>10.9</v>
      </c>
      <c r="BB1554" s="2">
        <v>564</v>
      </c>
      <c r="BC1554" s="2">
        <v>68</v>
      </c>
      <c r="BD1554" s="2">
        <v>1.5</v>
      </c>
      <c r="BE1554" s="2">
        <v>135</v>
      </c>
      <c r="BF1554" s="2">
        <v>0</v>
      </c>
      <c r="BG1554" s="2">
        <v>162</v>
      </c>
      <c r="BH1554" s="2">
        <v>9.1</v>
      </c>
      <c r="BI1554" s="2">
        <v>9.1999999999999993</v>
      </c>
      <c r="BJ1554" s="2">
        <v>18.3</v>
      </c>
      <c r="BK1554" s="2">
        <v>0.34</v>
      </c>
      <c r="BL1554" s="2">
        <v>7.3</v>
      </c>
      <c r="BM1554" s="2">
        <v>0.9</v>
      </c>
      <c r="BN1554" s="2">
        <v>7.5</v>
      </c>
      <c r="BO1554" s="2">
        <v>2.9</v>
      </c>
      <c r="BP1554" s="2">
        <f t="shared" si="48"/>
        <v>2.3015588074808968</v>
      </c>
      <c r="BQ1554" s="2">
        <f t="shared" si="49"/>
        <v>10.680891627116036</v>
      </c>
    </row>
    <row r="1555" spans="1:69" x14ac:dyDescent="0.2">
      <c r="A1555" s="2" t="s">
        <v>1752</v>
      </c>
      <c r="B1555" s="2" t="s">
        <v>47</v>
      </c>
      <c r="C1555" s="2" t="s">
        <v>48</v>
      </c>
      <c r="D1555" s="2" t="s">
        <v>49</v>
      </c>
      <c r="E1555" s="2" t="s">
        <v>1753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89</v>
      </c>
      <c r="L1555" s="6" t="s">
        <v>112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1754</v>
      </c>
      <c r="R1555" s="2">
        <v>9065934.0659999996</v>
      </c>
      <c r="S1555" s="2">
        <v>0</v>
      </c>
      <c r="T1555" s="2" t="s">
        <v>83</v>
      </c>
      <c r="U1555" s="2" t="s">
        <v>84</v>
      </c>
      <c r="V1555" s="2" t="s">
        <v>56</v>
      </c>
      <c r="W1555" s="2" t="s">
        <v>83</v>
      </c>
      <c r="X1555" s="2" t="s">
        <v>85</v>
      </c>
      <c r="Y1555" s="2">
        <v>2.4533138594237598</v>
      </c>
      <c r="Z1555" s="2">
        <v>2453.3138594237598</v>
      </c>
      <c r="AA1555" s="2">
        <v>4.71035</v>
      </c>
      <c r="AB1555" s="2">
        <v>-74.030416666666696</v>
      </c>
      <c r="AC1555" s="2">
        <v>2570</v>
      </c>
      <c r="AD1555" s="2">
        <v>10</v>
      </c>
      <c r="AE1555" s="2" t="s">
        <v>59</v>
      </c>
      <c r="AF1555" s="2" t="s">
        <v>86</v>
      </c>
      <c r="AG1555" s="2" t="s">
        <v>61</v>
      </c>
      <c r="AH1555" s="2" t="s">
        <v>62</v>
      </c>
      <c r="AI1555" s="2" t="s">
        <v>87</v>
      </c>
      <c r="AJ1555" s="2">
        <v>2.1028525174078898</v>
      </c>
      <c r="AK1555" s="2">
        <v>1.19489831728427</v>
      </c>
      <c r="AL1555" s="2">
        <v>0.80467309583881497</v>
      </c>
      <c r="AM1555" s="2">
        <v>0.20515515514558999</v>
      </c>
      <c r="AN1555" s="2">
        <v>5.2107743494246801</v>
      </c>
      <c r="AO1555" s="2">
        <v>0.32969161856235402</v>
      </c>
      <c r="AP1555" s="2">
        <v>0.32969161856235402</v>
      </c>
      <c r="AQ1555" s="2">
        <v>0</v>
      </c>
      <c r="AR1555" s="2">
        <v>0</v>
      </c>
      <c r="AS1555" s="2">
        <v>0</v>
      </c>
      <c r="AT1555" s="2">
        <v>0</v>
      </c>
      <c r="AU1555" s="2">
        <v>3</v>
      </c>
      <c r="AV1555" s="2">
        <v>87</v>
      </c>
      <c r="AW1555" s="2">
        <v>0</v>
      </c>
      <c r="AX1555" s="2">
        <v>0</v>
      </c>
      <c r="AY1555" s="2">
        <v>15.5</v>
      </c>
      <c r="AZ1555" s="2">
        <v>2.4</v>
      </c>
      <c r="BA1555" s="2">
        <v>10.9</v>
      </c>
      <c r="BB1555" s="2">
        <v>564</v>
      </c>
      <c r="BC1555" s="2">
        <v>68</v>
      </c>
      <c r="BD1555" s="2">
        <v>1.5</v>
      </c>
      <c r="BE1555" s="2">
        <v>135</v>
      </c>
      <c r="BF1555" s="2">
        <v>0</v>
      </c>
      <c r="BG1555" s="2">
        <v>162</v>
      </c>
      <c r="BH1555" s="2">
        <v>9.1</v>
      </c>
      <c r="BI1555" s="2">
        <v>9.1999999999999993</v>
      </c>
      <c r="BJ1555" s="2">
        <v>18.3</v>
      </c>
      <c r="BK1555" s="2">
        <v>0.34</v>
      </c>
      <c r="BL1555" s="2">
        <v>7.3</v>
      </c>
      <c r="BM1555" s="2">
        <v>0.9</v>
      </c>
      <c r="BN1555" s="2">
        <v>7.5</v>
      </c>
      <c r="BO1555" s="2">
        <v>2.9</v>
      </c>
      <c r="BP1555" s="2">
        <f t="shared" si="48"/>
        <v>2.1255481059140209</v>
      </c>
      <c r="BQ1555" s="2">
        <f t="shared" si="49"/>
        <v>10.276741721332046</v>
      </c>
    </row>
    <row r="1556" spans="1:69" x14ac:dyDescent="0.2">
      <c r="A1556" s="2" t="s">
        <v>2578</v>
      </c>
      <c r="B1556" s="2" t="s">
        <v>47</v>
      </c>
      <c r="C1556" s="2" t="s">
        <v>1935</v>
      </c>
      <c r="D1556" s="2" t="s">
        <v>49</v>
      </c>
      <c r="E1556" s="2" t="s">
        <v>980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89</v>
      </c>
      <c r="L1556" s="6" t="s">
        <v>103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2579</v>
      </c>
      <c r="R1556" s="2">
        <v>5277777.7779999999</v>
      </c>
      <c r="S1556" s="2">
        <v>0</v>
      </c>
      <c r="T1556" s="2" t="s">
        <v>83</v>
      </c>
      <c r="U1556" s="2" t="s">
        <v>84</v>
      </c>
      <c r="V1556" s="2" t="s">
        <v>56</v>
      </c>
      <c r="W1556" s="2" t="s">
        <v>83</v>
      </c>
      <c r="X1556" s="2" t="s">
        <v>85</v>
      </c>
      <c r="Y1556" s="2">
        <v>4.2636815119018499</v>
      </c>
      <c r="Z1556" s="2">
        <v>4263.6815119018502</v>
      </c>
      <c r="AA1556" s="2">
        <v>4.71035</v>
      </c>
      <c r="AB1556" s="2">
        <v>-74.030416666666696</v>
      </c>
      <c r="AC1556" s="2">
        <v>2570</v>
      </c>
      <c r="AD1556" s="2">
        <v>10</v>
      </c>
      <c r="AE1556" s="2" t="s">
        <v>59</v>
      </c>
      <c r="AF1556" s="2" t="s">
        <v>86</v>
      </c>
      <c r="AG1556" s="2" t="s">
        <v>61</v>
      </c>
      <c r="AH1556" s="2" t="s">
        <v>62</v>
      </c>
      <c r="AI1556" s="2" t="s">
        <v>100</v>
      </c>
      <c r="AJ1556" s="2">
        <v>0.25659012800557701</v>
      </c>
      <c r="AK1556" s="2">
        <v>3.5397348376648901</v>
      </c>
      <c r="AL1556" s="2">
        <v>0.71352866630844802</v>
      </c>
      <c r="AM1556" s="2">
        <v>6.7767515152708999E-2</v>
      </c>
      <c r="AN1556" s="2">
        <v>2.8706179813394002</v>
      </c>
      <c r="AO1556" s="2">
        <v>0.23863103303887401</v>
      </c>
      <c r="AP1556" s="2">
        <v>0.23863103303887401</v>
      </c>
      <c r="AQ1556" s="2">
        <v>1</v>
      </c>
      <c r="AR1556" s="2">
        <v>5</v>
      </c>
      <c r="AS1556" s="2">
        <v>0</v>
      </c>
      <c r="AT1556" s="2">
        <v>0</v>
      </c>
      <c r="AU1556" s="2">
        <v>1</v>
      </c>
      <c r="AV1556" s="2">
        <v>104</v>
      </c>
      <c r="AW1556" s="2">
        <v>0</v>
      </c>
      <c r="AX1556" s="2">
        <v>0</v>
      </c>
      <c r="AY1556" s="2">
        <v>15.5</v>
      </c>
      <c r="AZ1556" s="2">
        <v>2.4</v>
      </c>
      <c r="BA1556" s="2">
        <v>10.9</v>
      </c>
      <c r="BB1556" s="2">
        <v>564</v>
      </c>
      <c r="BC1556" s="2">
        <v>68</v>
      </c>
      <c r="BD1556" s="2">
        <v>1.5</v>
      </c>
      <c r="BE1556" s="2">
        <v>135</v>
      </c>
      <c r="BF1556" s="2">
        <v>0</v>
      </c>
      <c r="BG1556" s="2">
        <v>162</v>
      </c>
      <c r="BH1556" s="2">
        <v>9.1</v>
      </c>
      <c r="BI1556" s="2">
        <v>9.1999999999999993</v>
      </c>
      <c r="BJ1556" s="2">
        <v>18.3</v>
      </c>
      <c r="BK1556" s="2">
        <v>0.34</v>
      </c>
      <c r="BL1556" s="2">
        <v>7.3</v>
      </c>
      <c r="BM1556" s="2">
        <v>0.9</v>
      </c>
      <c r="BN1556" s="2">
        <v>7.5</v>
      </c>
      <c r="BO1556" s="2">
        <v>2.9</v>
      </c>
      <c r="BP1556" s="2">
        <f t="shared" si="48"/>
        <v>1.9433562469628594</v>
      </c>
      <c r="BQ1556" s="2">
        <f t="shared" si="49"/>
        <v>9.839790625578825</v>
      </c>
    </row>
    <row r="1557" spans="1:69" x14ac:dyDescent="0.2">
      <c r="A1557" s="2" t="s">
        <v>899</v>
      </c>
      <c r="B1557" s="2" t="s">
        <v>47</v>
      </c>
      <c r="C1557" s="2" t="s">
        <v>48</v>
      </c>
      <c r="D1557" s="2" t="s">
        <v>49</v>
      </c>
      <c r="E1557" s="2" t="s">
        <v>447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89</v>
      </c>
      <c r="L1557" s="6" t="s">
        <v>141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900</v>
      </c>
      <c r="R1557" s="2">
        <v>8444444.4440000001</v>
      </c>
      <c r="S1557" s="2">
        <v>0</v>
      </c>
      <c r="T1557" s="2" t="s">
        <v>83</v>
      </c>
      <c r="U1557" s="2" t="s">
        <v>84</v>
      </c>
      <c r="V1557" s="2" t="s">
        <v>56</v>
      </c>
      <c r="W1557" s="2" t="s">
        <v>83</v>
      </c>
      <c r="X1557" s="2" t="s">
        <v>85</v>
      </c>
      <c r="Y1557" s="2">
        <v>3.5349601187936801</v>
      </c>
      <c r="Z1557" s="2">
        <v>3534.9601187936801</v>
      </c>
      <c r="AA1557" s="2">
        <v>4.71035</v>
      </c>
      <c r="AB1557" s="2">
        <v>-74.030416666666696</v>
      </c>
      <c r="AC1557" s="2">
        <v>2570</v>
      </c>
      <c r="AD1557" s="2">
        <v>10</v>
      </c>
      <c r="AE1557" s="2" t="s">
        <v>59</v>
      </c>
      <c r="AF1557" s="2" t="s">
        <v>86</v>
      </c>
      <c r="AG1557" s="2" t="s">
        <v>61</v>
      </c>
      <c r="AH1557" s="2" t="s">
        <v>62</v>
      </c>
      <c r="AI1557" s="2" t="s">
        <v>87</v>
      </c>
      <c r="AJ1557" s="2">
        <v>0.34329016083779501</v>
      </c>
      <c r="AK1557" s="2">
        <v>2.4284900448852</v>
      </c>
      <c r="AL1557" s="2">
        <v>0.51568988721089104</v>
      </c>
      <c r="AM1557" s="2">
        <v>0.118469795589019</v>
      </c>
      <c r="AN1557" s="2">
        <v>3.4834869590956101</v>
      </c>
      <c r="AO1557" s="2">
        <v>0.36713314649545697</v>
      </c>
      <c r="AP1557" s="2">
        <v>0.36713314649545697</v>
      </c>
      <c r="AQ1557" s="2">
        <v>1</v>
      </c>
      <c r="AR1557" s="2">
        <v>3</v>
      </c>
      <c r="AS1557" s="2">
        <v>0</v>
      </c>
      <c r="AT1557" s="2">
        <v>0</v>
      </c>
      <c r="AU1557" s="2">
        <v>5</v>
      </c>
      <c r="AV1557" s="2">
        <v>198</v>
      </c>
      <c r="AW1557" s="2">
        <v>0</v>
      </c>
      <c r="AX1557" s="2">
        <v>0</v>
      </c>
      <c r="AY1557" s="2">
        <v>15.5</v>
      </c>
      <c r="AZ1557" s="2">
        <v>2.4</v>
      </c>
      <c r="BA1557" s="2">
        <v>10.9</v>
      </c>
      <c r="BB1557" s="2">
        <v>564</v>
      </c>
      <c r="BC1557" s="2">
        <v>68</v>
      </c>
      <c r="BD1557" s="2">
        <v>1.5</v>
      </c>
      <c r="BE1557" s="2">
        <v>135</v>
      </c>
      <c r="BF1557" s="2">
        <v>0</v>
      </c>
      <c r="BG1557" s="2">
        <v>162</v>
      </c>
      <c r="BH1557" s="2">
        <v>9.1</v>
      </c>
      <c r="BI1557" s="2">
        <v>9.1999999999999993</v>
      </c>
      <c r="BJ1557" s="2">
        <v>18.3</v>
      </c>
      <c r="BK1557" s="2">
        <v>0.34</v>
      </c>
      <c r="BL1557" s="2">
        <v>7.3</v>
      </c>
      <c r="BM1557" s="2">
        <v>0.9</v>
      </c>
      <c r="BN1557" s="2">
        <v>7.5</v>
      </c>
      <c r="BO1557" s="2">
        <v>2.9</v>
      </c>
      <c r="BP1557" s="2">
        <f t="shared" si="48"/>
        <v>2.0147360846757674</v>
      </c>
      <c r="BQ1557" s="2">
        <f t="shared" si="49"/>
        <v>10.013395497863968</v>
      </c>
    </row>
    <row r="1558" spans="1:69" x14ac:dyDescent="0.2">
      <c r="A1558" s="2" t="s">
        <v>1743</v>
      </c>
      <c r="B1558" s="2" t="s">
        <v>47</v>
      </c>
      <c r="C1558" s="2" t="s">
        <v>48</v>
      </c>
      <c r="D1558" s="2" t="s">
        <v>49</v>
      </c>
      <c r="E1558" s="2" t="s">
        <v>1686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89</v>
      </c>
      <c r="L1558" s="6" t="s">
        <v>141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1744</v>
      </c>
      <c r="R1558" s="2">
        <v>9382022.4719999991</v>
      </c>
      <c r="S1558" s="2">
        <v>0</v>
      </c>
      <c r="T1558" s="2" t="s">
        <v>83</v>
      </c>
      <c r="U1558" s="2" t="s">
        <v>84</v>
      </c>
      <c r="V1558" s="2" t="s">
        <v>56</v>
      </c>
      <c r="W1558" s="2" t="s">
        <v>83</v>
      </c>
      <c r="X1558" s="2" t="s">
        <v>85</v>
      </c>
      <c r="Y1558" s="2">
        <v>1.2374924905759199</v>
      </c>
      <c r="Z1558" s="2">
        <v>1237.4924905759201</v>
      </c>
      <c r="AA1558" s="2">
        <v>4.71035</v>
      </c>
      <c r="AB1558" s="2">
        <v>-74.030416666666696</v>
      </c>
      <c r="AC1558" s="2">
        <v>2570</v>
      </c>
      <c r="AD1558" s="2">
        <v>10</v>
      </c>
      <c r="AE1558" s="2" t="s">
        <v>59</v>
      </c>
      <c r="AF1558" s="2" t="s">
        <v>86</v>
      </c>
      <c r="AG1558" s="2" t="s">
        <v>61</v>
      </c>
      <c r="AH1558" s="2" t="s">
        <v>62</v>
      </c>
      <c r="AI1558" s="2" t="s">
        <v>87</v>
      </c>
      <c r="AJ1558" s="2">
        <v>3.0616252579716701</v>
      </c>
      <c r="AK1558" s="2">
        <v>4.4300473066884401E-2</v>
      </c>
      <c r="AL1558" s="2">
        <v>1.3705815384387401</v>
      </c>
      <c r="AM1558" s="2">
        <v>0.55176218090893003</v>
      </c>
      <c r="AN1558" s="2">
        <v>2.4692806820586402</v>
      </c>
      <c r="AO1558" s="2">
        <v>0.39703372475293702</v>
      </c>
      <c r="AP1558" s="2">
        <v>0.39703372475293702</v>
      </c>
      <c r="AQ1558" s="2">
        <v>0</v>
      </c>
      <c r="AR1558" s="2">
        <v>0</v>
      </c>
      <c r="AS1558" s="2">
        <v>16</v>
      </c>
      <c r="AT1558" s="2">
        <v>43</v>
      </c>
      <c r="AU1558" s="2">
        <v>0</v>
      </c>
      <c r="AV1558" s="2">
        <v>24</v>
      </c>
      <c r="AW1558" s="2">
        <v>0</v>
      </c>
      <c r="AX1558" s="2">
        <v>0</v>
      </c>
      <c r="AY1558" s="2">
        <v>15.5</v>
      </c>
      <c r="AZ1558" s="2">
        <v>2.4</v>
      </c>
      <c r="BA1558" s="2">
        <v>10.9</v>
      </c>
      <c r="BB1558" s="2">
        <v>564</v>
      </c>
      <c r="BC1558" s="2">
        <v>68</v>
      </c>
      <c r="BD1558" s="2">
        <v>1.5</v>
      </c>
      <c r="BE1558" s="2">
        <v>135</v>
      </c>
      <c r="BF1558" s="2">
        <v>0</v>
      </c>
      <c r="BG1558" s="2">
        <v>162</v>
      </c>
      <c r="BH1558" s="2">
        <v>9.1</v>
      </c>
      <c r="BI1558" s="2">
        <v>9.1999999999999993</v>
      </c>
      <c r="BJ1558" s="2">
        <v>18.3</v>
      </c>
      <c r="BK1558" s="2">
        <v>0.34</v>
      </c>
      <c r="BL1558" s="2">
        <v>7.3</v>
      </c>
      <c r="BM1558" s="2">
        <v>0.9</v>
      </c>
      <c r="BN1558" s="2">
        <v>7.5</v>
      </c>
      <c r="BO1558" s="2">
        <v>2.9</v>
      </c>
      <c r="BP1558" s="2">
        <f t="shared" si="48"/>
        <v>2.2573980824095008</v>
      </c>
      <c r="BQ1558" s="2">
        <f t="shared" si="49"/>
        <v>10.581032055603375</v>
      </c>
    </row>
    <row r="1559" spans="1:69" x14ac:dyDescent="0.2">
      <c r="A1559" s="2" t="s">
        <v>2386</v>
      </c>
      <c r="B1559" s="2" t="s">
        <v>47</v>
      </c>
      <c r="C1559" s="2" t="s">
        <v>1935</v>
      </c>
      <c r="D1559" s="2" t="s">
        <v>49</v>
      </c>
      <c r="E1559" s="2" t="s">
        <v>2062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89</v>
      </c>
      <c r="L1559" s="6" t="s">
        <v>141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2387</v>
      </c>
      <c r="R1559" s="2">
        <v>7865168.5389999999</v>
      </c>
      <c r="S1559" s="2">
        <v>0</v>
      </c>
      <c r="T1559" s="2" t="s">
        <v>83</v>
      </c>
      <c r="U1559" s="2" t="s">
        <v>84</v>
      </c>
      <c r="V1559" s="2" t="s">
        <v>56</v>
      </c>
      <c r="W1559" s="2" t="s">
        <v>83</v>
      </c>
      <c r="X1559" s="2" t="s">
        <v>85</v>
      </c>
      <c r="Y1559" s="2">
        <v>1.0718059153549799</v>
      </c>
      <c r="Z1559" s="2">
        <v>1071.80591535498</v>
      </c>
      <c r="AA1559" s="2">
        <v>4.71035</v>
      </c>
      <c r="AB1559" s="2">
        <v>-74.030416666666696</v>
      </c>
      <c r="AC1559" s="2">
        <v>2570</v>
      </c>
      <c r="AD1559" s="2">
        <v>10</v>
      </c>
      <c r="AE1559" s="2" t="s">
        <v>59</v>
      </c>
      <c r="AF1559" s="2" t="s">
        <v>86</v>
      </c>
      <c r="AG1559" s="2" t="s">
        <v>61</v>
      </c>
      <c r="AH1559" s="2" t="s">
        <v>62</v>
      </c>
      <c r="AI1559" s="2" t="s">
        <v>87</v>
      </c>
      <c r="AJ1559" s="2">
        <v>2.2639391392252799</v>
      </c>
      <c r="AK1559" s="2">
        <v>0.83432353169656603</v>
      </c>
      <c r="AL1559" s="2">
        <v>1.0356259231906499</v>
      </c>
      <c r="AM1559" s="2">
        <v>0.29019842046636402</v>
      </c>
      <c r="AN1559" s="2">
        <v>2.4331334469361798</v>
      </c>
      <c r="AO1559" s="2">
        <v>0.17093615323688499</v>
      </c>
      <c r="AP1559" s="2">
        <v>0.17093615323688499</v>
      </c>
      <c r="AQ1559" s="2">
        <v>0</v>
      </c>
      <c r="AR1559" s="2">
        <v>0</v>
      </c>
      <c r="AS1559" s="2">
        <v>0</v>
      </c>
      <c r="AT1559" s="2">
        <v>6</v>
      </c>
      <c r="AU1559" s="2">
        <v>0</v>
      </c>
      <c r="AV1559" s="2">
        <v>75</v>
      </c>
      <c r="AW1559" s="2">
        <v>0</v>
      </c>
      <c r="AX1559" s="2">
        <v>0</v>
      </c>
      <c r="AY1559" s="2">
        <v>15.5</v>
      </c>
      <c r="AZ1559" s="2">
        <v>2.4</v>
      </c>
      <c r="BA1559" s="2">
        <v>10.9</v>
      </c>
      <c r="BB1559" s="2">
        <v>564</v>
      </c>
      <c r="BC1559" s="2">
        <v>68</v>
      </c>
      <c r="BD1559" s="2">
        <v>1.5</v>
      </c>
      <c r="BE1559" s="2">
        <v>135</v>
      </c>
      <c r="BF1559" s="2">
        <v>0</v>
      </c>
      <c r="BG1559" s="2">
        <v>162</v>
      </c>
      <c r="BH1559" s="2">
        <v>9.1</v>
      </c>
      <c r="BI1559" s="2">
        <v>9.1999999999999993</v>
      </c>
      <c r="BJ1559" s="2">
        <v>18.3</v>
      </c>
      <c r="BK1559" s="2">
        <v>0.34</v>
      </c>
      <c r="BL1559" s="2">
        <v>7.3</v>
      </c>
      <c r="BM1559" s="2">
        <v>0.9</v>
      </c>
      <c r="BN1559" s="2">
        <v>7.5</v>
      </c>
      <c r="BO1559" s="2">
        <v>2.9</v>
      </c>
      <c r="BP1559" s="2">
        <f t="shared" si="48"/>
        <v>2.2759882291951348</v>
      </c>
      <c r="BQ1559" s="2">
        <f t="shared" si="49"/>
        <v>10.623191061352182</v>
      </c>
    </row>
    <row r="1560" spans="1:69" x14ac:dyDescent="0.2">
      <c r="A1560" s="2" t="s">
        <v>1331</v>
      </c>
      <c r="B1560" s="2" t="s">
        <v>47</v>
      </c>
      <c r="C1560" s="2" t="s">
        <v>48</v>
      </c>
      <c r="D1560" s="2" t="s">
        <v>49</v>
      </c>
      <c r="E1560" s="2" t="s">
        <v>1128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89</v>
      </c>
      <c r="L1560" s="6" t="s">
        <v>103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1332</v>
      </c>
      <c r="R1560" s="2">
        <v>9375000</v>
      </c>
      <c r="S1560" s="2">
        <v>0</v>
      </c>
      <c r="T1560" s="2" t="s">
        <v>83</v>
      </c>
      <c r="U1560" s="2" t="s">
        <v>84</v>
      </c>
      <c r="V1560" s="2" t="s">
        <v>56</v>
      </c>
      <c r="W1560" s="2" t="s">
        <v>83</v>
      </c>
      <c r="X1560" s="2" t="s">
        <v>85</v>
      </c>
      <c r="Y1560" s="2">
        <v>0.87421361137011</v>
      </c>
      <c r="Z1560" s="2">
        <v>874.21361137011002</v>
      </c>
      <c r="AA1560" s="2">
        <v>4.71035</v>
      </c>
      <c r="AB1560" s="2">
        <v>-74.030416666666696</v>
      </c>
      <c r="AC1560" s="2">
        <v>2570</v>
      </c>
      <c r="AD1560" s="2">
        <v>10</v>
      </c>
      <c r="AE1560" s="2" t="s">
        <v>59</v>
      </c>
      <c r="AF1560" s="2" t="s">
        <v>86</v>
      </c>
      <c r="AG1560" s="2" t="s">
        <v>61</v>
      </c>
      <c r="AH1560" s="2" t="s">
        <v>62</v>
      </c>
      <c r="AI1560" s="2" t="s">
        <v>87</v>
      </c>
      <c r="AJ1560" s="2">
        <v>2.9720623531675199</v>
      </c>
      <c r="AK1560" s="2">
        <v>0.22824599128300699</v>
      </c>
      <c r="AL1560" s="2">
        <v>0.58642443954355605</v>
      </c>
      <c r="AM1560" s="2">
        <v>0.16972509078113401</v>
      </c>
      <c r="AN1560" s="2">
        <v>4.2520414638834501</v>
      </c>
      <c r="AO1560" s="2">
        <v>2.1793330463850499E-2</v>
      </c>
      <c r="AP1560" s="2">
        <v>2.1793330463850499E-2</v>
      </c>
      <c r="AQ1560" s="2">
        <v>0</v>
      </c>
      <c r="AR1560" s="2">
        <v>0</v>
      </c>
      <c r="AS1560" s="2">
        <v>11</v>
      </c>
      <c r="AT1560" s="2">
        <v>34</v>
      </c>
      <c r="AU1560" s="2">
        <v>2</v>
      </c>
      <c r="AV1560" s="2">
        <v>97</v>
      </c>
      <c r="AW1560" s="2">
        <v>0</v>
      </c>
      <c r="AX1560" s="2">
        <v>0</v>
      </c>
      <c r="AY1560" s="2">
        <v>15.5</v>
      </c>
      <c r="AZ1560" s="2">
        <v>2.4</v>
      </c>
      <c r="BA1560" s="2">
        <v>10.9</v>
      </c>
      <c r="BB1560" s="2">
        <v>564</v>
      </c>
      <c r="BC1560" s="2">
        <v>68</v>
      </c>
      <c r="BD1560" s="2">
        <v>1.5</v>
      </c>
      <c r="BE1560" s="2">
        <v>135</v>
      </c>
      <c r="BF1560" s="2">
        <v>0</v>
      </c>
      <c r="BG1560" s="2">
        <v>162</v>
      </c>
      <c r="BH1560" s="2">
        <v>9.1</v>
      </c>
      <c r="BI1560" s="2">
        <v>9.1999999999999993</v>
      </c>
      <c r="BJ1560" s="2">
        <v>18.3</v>
      </c>
      <c r="BK1560" s="2">
        <v>0.34</v>
      </c>
      <c r="BL1560" s="2">
        <v>7.3</v>
      </c>
      <c r="BM1560" s="2">
        <v>0.9</v>
      </c>
      <c r="BN1560" s="2">
        <v>7.5</v>
      </c>
      <c r="BO1560" s="2">
        <v>2.9</v>
      </c>
      <c r="BP1560" s="2">
        <f t="shared" si="48"/>
        <v>2.2983584795678977</v>
      </c>
      <c r="BQ1560" s="2">
        <f t="shared" si="49"/>
        <v>10.673688159914315</v>
      </c>
    </row>
    <row r="1561" spans="1:69" x14ac:dyDescent="0.2">
      <c r="A1561" s="2" t="s">
        <v>155</v>
      </c>
      <c r="B1561" s="2" t="s">
        <v>47</v>
      </c>
      <c r="C1561" s="2" t="s">
        <v>48</v>
      </c>
      <c r="D1561" s="2" t="s">
        <v>49</v>
      </c>
      <c r="E1561" s="2" t="s">
        <v>156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89</v>
      </c>
      <c r="L1561" s="6" t="s">
        <v>141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157</v>
      </c>
      <c r="R1561" s="2">
        <v>8807318.5979999993</v>
      </c>
      <c r="S1561" s="2">
        <v>0</v>
      </c>
      <c r="T1561" s="2" t="s">
        <v>83</v>
      </c>
      <c r="U1561" s="2" t="s">
        <v>84</v>
      </c>
      <c r="V1561" s="2" t="s">
        <v>56</v>
      </c>
      <c r="W1561" s="2" t="s">
        <v>83</v>
      </c>
      <c r="X1561" s="2" t="s">
        <v>85</v>
      </c>
      <c r="Y1561" s="2">
        <v>1.9076994810893999</v>
      </c>
      <c r="Z1561" s="2">
        <v>1907.6994810894</v>
      </c>
      <c r="AA1561" s="2">
        <v>4.71035</v>
      </c>
      <c r="AB1561" s="2">
        <v>-74.030416666666696</v>
      </c>
      <c r="AC1561" s="2">
        <v>2570</v>
      </c>
      <c r="AD1561" s="2">
        <v>10</v>
      </c>
      <c r="AE1561" s="2" t="s">
        <v>59</v>
      </c>
      <c r="AF1561" s="2" t="s">
        <v>86</v>
      </c>
      <c r="AG1561" s="2" t="s">
        <v>61</v>
      </c>
      <c r="AH1561" s="2" t="s">
        <v>62</v>
      </c>
      <c r="AI1561" s="2" t="s">
        <v>87</v>
      </c>
      <c r="AJ1561" s="2">
        <v>0.60645266927407104</v>
      </c>
      <c r="AK1561" s="2">
        <v>2.49335557172193</v>
      </c>
      <c r="AL1561" s="2">
        <v>1.6413905186854401</v>
      </c>
      <c r="AM1561" s="2">
        <v>0.396887341986287</v>
      </c>
      <c r="AN1561" s="2">
        <v>3.74053445697735</v>
      </c>
      <c r="AO1561" s="2">
        <v>0.541113379845651</v>
      </c>
      <c r="AP1561" s="2">
        <v>0.541113379845651</v>
      </c>
      <c r="AQ1561" s="2">
        <v>0</v>
      </c>
      <c r="AR1561" s="2">
        <v>2</v>
      </c>
      <c r="AS1561" s="2">
        <v>0</v>
      </c>
      <c r="AT1561" s="2">
        <v>0</v>
      </c>
      <c r="AU1561" s="2">
        <v>0</v>
      </c>
      <c r="AV1561" s="2">
        <v>51</v>
      </c>
      <c r="AW1561" s="2">
        <v>0</v>
      </c>
      <c r="AX1561" s="2">
        <v>0</v>
      </c>
      <c r="AY1561" s="2">
        <v>15.5</v>
      </c>
      <c r="AZ1561" s="2">
        <v>2.4</v>
      </c>
      <c r="BA1561" s="2">
        <v>10.9</v>
      </c>
      <c r="BB1561" s="2">
        <v>564</v>
      </c>
      <c r="BC1561" s="2">
        <v>68</v>
      </c>
      <c r="BD1561" s="2">
        <v>1.5</v>
      </c>
      <c r="BE1561" s="2">
        <v>135</v>
      </c>
      <c r="BF1561" s="2">
        <v>0</v>
      </c>
      <c r="BG1561" s="2">
        <v>162</v>
      </c>
      <c r="BH1561" s="2">
        <v>9.1</v>
      </c>
      <c r="BI1561" s="2">
        <v>9.1999999999999993</v>
      </c>
      <c r="BJ1561" s="2">
        <v>18.3</v>
      </c>
      <c r="BK1561" s="2">
        <v>0.34</v>
      </c>
      <c r="BL1561" s="2">
        <v>7.3</v>
      </c>
      <c r="BM1561" s="2">
        <v>0.9</v>
      </c>
      <c r="BN1561" s="2">
        <v>7.5</v>
      </c>
      <c r="BO1561" s="2">
        <v>2.9</v>
      </c>
      <c r="BP1561" s="2">
        <f t="shared" si="48"/>
        <v>2.1837369643045426</v>
      </c>
      <c r="BQ1561" s="2">
        <f t="shared" si="49"/>
        <v>10.412197981445926</v>
      </c>
    </row>
    <row r="1562" spans="1:69" x14ac:dyDescent="0.2">
      <c r="A1562" s="2" t="s">
        <v>2851</v>
      </c>
      <c r="B1562" s="2" t="s">
        <v>47</v>
      </c>
      <c r="C1562" s="2" t="s">
        <v>1935</v>
      </c>
      <c r="D1562" s="2" t="s">
        <v>49</v>
      </c>
      <c r="E1562" s="2" t="s">
        <v>1121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89</v>
      </c>
      <c r="L1562" s="6" t="s">
        <v>141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2852</v>
      </c>
      <c r="R1562" s="2">
        <v>5428571.4289999995</v>
      </c>
      <c r="S1562" s="2">
        <v>0</v>
      </c>
      <c r="T1562" s="2" t="s">
        <v>83</v>
      </c>
      <c r="U1562" s="2" t="s">
        <v>84</v>
      </c>
      <c r="V1562" s="2" t="s">
        <v>56</v>
      </c>
      <c r="W1562" s="2" t="s">
        <v>83</v>
      </c>
      <c r="X1562" s="2" t="s">
        <v>85</v>
      </c>
      <c r="Y1562" s="2">
        <v>3.1785127280559902</v>
      </c>
      <c r="Z1562" s="2">
        <v>3178.51272805599</v>
      </c>
      <c r="AA1562" s="2">
        <v>4.71035</v>
      </c>
      <c r="AB1562" s="2">
        <v>-74.030416666666696</v>
      </c>
      <c r="AC1562" s="2">
        <v>2570</v>
      </c>
      <c r="AD1562" s="2">
        <v>10</v>
      </c>
      <c r="AE1562" s="2" t="s">
        <v>59</v>
      </c>
      <c r="AF1562" s="2" t="s">
        <v>86</v>
      </c>
      <c r="AG1562" s="2" t="s">
        <v>61</v>
      </c>
      <c r="AH1562" s="2" t="s">
        <v>62</v>
      </c>
      <c r="AI1562" s="2" t="s">
        <v>100</v>
      </c>
      <c r="AJ1562" s="2">
        <v>0.51604662815669</v>
      </c>
      <c r="AK1562" s="2">
        <v>3.6964996181565399</v>
      </c>
      <c r="AL1562" s="2">
        <v>1.5007217555324901</v>
      </c>
      <c r="AM1562" s="2">
        <v>0.13740181863725101</v>
      </c>
      <c r="AN1562" s="2">
        <v>4.3755970144509702</v>
      </c>
      <c r="AO1562" s="2">
        <v>2.6446611202917698E-2</v>
      </c>
      <c r="AP1562" s="2">
        <v>2.6446611202917698E-2</v>
      </c>
      <c r="AQ1562" s="2">
        <v>0</v>
      </c>
      <c r="AR1562" s="2">
        <v>2</v>
      </c>
      <c r="AS1562" s="2">
        <v>0</v>
      </c>
      <c r="AT1562" s="2">
        <v>0</v>
      </c>
      <c r="AU1562" s="2">
        <v>0</v>
      </c>
      <c r="AV1562" s="2">
        <v>99</v>
      </c>
      <c r="AW1562" s="2">
        <v>0</v>
      </c>
      <c r="AX1562" s="2">
        <v>0</v>
      </c>
      <c r="AY1562" s="2">
        <v>15.5</v>
      </c>
      <c r="AZ1562" s="2">
        <v>2.4</v>
      </c>
      <c r="BA1562" s="2">
        <v>10.9</v>
      </c>
      <c r="BB1562" s="2">
        <v>564</v>
      </c>
      <c r="BC1562" s="2">
        <v>68</v>
      </c>
      <c r="BD1562" s="2">
        <v>1.5</v>
      </c>
      <c r="BE1562" s="2">
        <v>135</v>
      </c>
      <c r="BF1562" s="2">
        <v>0</v>
      </c>
      <c r="BG1562" s="2">
        <v>162</v>
      </c>
      <c r="BH1562" s="2">
        <v>9.1</v>
      </c>
      <c r="BI1562" s="2">
        <v>9.1999999999999993</v>
      </c>
      <c r="BJ1562" s="2">
        <v>18.3</v>
      </c>
      <c r="BK1562" s="2">
        <v>0.34</v>
      </c>
      <c r="BL1562" s="2">
        <v>7.3</v>
      </c>
      <c r="BM1562" s="2">
        <v>0.9</v>
      </c>
      <c r="BN1562" s="2">
        <v>7.5</v>
      </c>
      <c r="BO1562" s="2">
        <v>2.9</v>
      </c>
      <c r="BP1562" s="2">
        <f t="shared" si="48"/>
        <v>2.0505998442800557</v>
      </c>
      <c r="BQ1562" s="2">
        <f t="shared" si="49"/>
        <v>10.099424921509524</v>
      </c>
    </row>
    <row r="1563" spans="1:69" x14ac:dyDescent="0.2">
      <c r="A1563" s="2" t="s">
        <v>564</v>
      </c>
      <c r="B1563" s="2" t="s">
        <v>47</v>
      </c>
      <c r="C1563" s="2" t="s">
        <v>48</v>
      </c>
      <c r="D1563" s="2" t="s">
        <v>49</v>
      </c>
      <c r="E1563" s="2" t="s">
        <v>565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89</v>
      </c>
      <c r="L1563" s="6" t="s">
        <v>103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566</v>
      </c>
      <c r="R1563" s="2">
        <v>8333333.3329999996</v>
      </c>
      <c r="S1563" s="2">
        <v>0</v>
      </c>
      <c r="T1563" s="2" t="s">
        <v>83</v>
      </c>
      <c r="U1563" s="2" t="s">
        <v>84</v>
      </c>
      <c r="V1563" s="2" t="s">
        <v>56</v>
      </c>
      <c r="W1563" s="2" t="s">
        <v>83</v>
      </c>
      <c r="X1563" s="2" t="s">
        <v>85</v>
      </c>
      <c r="Y1563" s="2">
        <v>2.062273207079</v>
      </c>
      <c r="Z1563" s="2">
        <v>2062.2732070789998</v>
      </c>
      <c r="AA1563" s="2">
        <v>4.71035</v>
      </c>
      <c r="AB1563" s="2">
        <v>-74.030416666666696</v>
      </c>
      <c r="AC1563" s="2">
        <v>2570</v>
      </c>
      <c r="AD1563" s="2">
        <v>10</v>
      </c>
      <c r="AE1563" s="2" t="s">
        <v>59</v>
      </c>
      <c r="AF1563" s="2" t="s">
        <v>86</v>
      </c>
      <c r="AG1563" s="2" t="s">
        <v>61</v>
      </c>
      <c r="AH1563" s="2" t="s">
        <v>62</v>
      </c>
      <c r="AI1563" s="2" t="s">
        <v>87</v>
      </c>
      <c r="AJ1563" s="2">
        <v>0.54729814534271704</v>
      </c>
      <c r="AK1563" s="2">
        <v>2.66001095262884</v>
      </c>
      <c r="AL1563" s="2">
        <v>1.79781295256944</v>
      </c>
      <c r="AM1563" s="2">
        <v>0.310107736050931</v>
      </c>
      <c r="AN1563" s="2">
        <v>4.1683414005096999</v>
      </c>
      <c r="AO1563" s="2">
        <v>0.17664103806607001</v>
      </c>
      <c r="AP1563" s="2">
        <v>0.17664103806607001</v>
      </c>
      <c r="AQ1563" s="2">
        <v>0</v>
      </c>
      <c r="AR1563" s="2">
        <v>2</v>
      </c>
      <c r="AS1563" s="2">
        <v>0</v>
      </c>
      <c r="AT1563" s="2">
        <v>0</v>
      </c>
      <c r="AU1563" s="2">
        <v>0</v>
      </c>
      <c r="AV1563" s="2">
        <v>101</v>
      </c>
      <c r="AW1563" s="2">
        <v>0</v>
      </c>
      <c r="AX1563" s="2">
        <v>0</v>
      </c>
      <c r="AY1563" s="2">
        <v>15.5</v>
      </c>
      <c r="AZ1563" s="2">
        <v>2.4</v>
      </c>
      <c r="BA1563" s="2">
        <v>10.9</v>
      </c>
      <c r="BB1563" s="2">
        <v>564</v>
      </c>
      <c r="BC1563" s="2">
        <v>68</v>
      </c>
      <c r="BD1563" s="2">
        <v>1.5</v>
      </c>
      <c r="BE1563" s="2">
        <v>135</v>
      </c>
      <c r="BF1563" s="2">
        <v>0</v>
      </c>
      <c r="BG1563" s="2">
        <v>162</v>
      </c>
      <c r="BH1563" s="2">
        <v>9.1</v>
      </c>
      <c r="BI1563" s="2">
        <v>9.1999999999999993</v>
      </c>
      <c r="BJ1563" s="2">
        <v>18.3</v>
      </c>
      <c r="BK1563" s="2">
        <v>0.34</v>
      </c>
      <c r="BL1563" s="2">
        <v>7.3</v>
      </c>
      <c r="BM1563" s="2">
        <v>0.9</v>
      </c>
      <c r="BN1563" s="2">
        <v>7.5</v>
      </c>
      <c r="BO1563" s="2">
        <v>2.9</v>
      </c>
      <c r="BP1563" s="2">
        <f t="shared" si="48"/>
        <v>2.167092080060038</v>
      </c>
      <c r="BQ1563" s="2">
        <f t="shared" si="49"/>
        <v>10.373642687583208</v>
      </c>
    </row>
    <row r="1564" spans="1:69" x14ac:dyDescent="0.2">
      <c r="A1564" s="2" t="s">
        <v>1205</v>
      </c>
      <c r="B1564" s="2" t="s">
        <v>47</v>
      </c>
      <c r="C1564" s="2" t="s">
        <v>48</v>
      </c>
      <c r="D1564" s="2" t="s">
        <v>49</v>
      </c>
      <c r="E1564" s="2" t="s">
        <v>205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89</v>
      </c>
      <c r="L1564" s="6" t="s">
        <v>103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1206</v>
      </c>
      <c r="R1564" s="2">
        <v>7976878.6129999999</v>
      </c>
      <c r="S1564" s="2">
        <v>0</v>
      </c>
      <c r="T1564" s="2" t="s">
        <v>83</v>
      </c>
      <c r="U1564" s="2" t="s">
        <v>84</v>
      </c>
      <c r="V1564" s="2" t="s">
        <v>56</v>
      </c>
      <c r="W1564" s="2" t="s">
        <v>83</v>
      </c>
      <c r="X1564" s="2" t="s">
        <v>85</v>
      </c>
      <c r="Y1564" s="2">
        <v>2.4873050049348402</v>
      </c>
      <c r="Z1564" s="2">
        <v>2487.3050049348399</v>
      </c>
      <c r="AA1564" s="2">
        <v>4.71035</v>
      </c>
      <c r="AB1564" s="2">
        <v>-74.030416666666696</v>
      </c>
      <c r="AC1564" s="2">
        <v>2570</v>
      </c>
      <c r="AD1564" s="2">
        <v>10</v>
      </c>
      <c r="AE1564" s="2" t="s">
        <v>59</v>
      </c>
      <c r="AF1564" s="2" t="s">
        <v>86</v>
      </c>
      <c r="AG1564" s="2" t="s">
        <v>61</v>
      </c>
      <c r="AH1564" s="2" t="s">
        <v>62</v>
      </c>
      <c r="AI1564" s="2" t="s">
        <v>87</v>
      </c>
      <c r="AJ1564" s="2">
        <v>1.8167660553437199</v>
      </c>
      <c r="AK1564" s="2">
        <v>1.33410455358225</v>
      </c>
      <c r="AL1564" s="2">
        <v>0.86218412597440897</v>
      </c>
      <c r="AM1564" s="2">
        <v>0.152776441107938</v>
      </c>
      <c r="AN1564" s="2">
        <v>4.9771888009219296</v>
      </c>
      <c r="AO1564" s="2">
        <v>0.289301248376716</v>
      </c>
      <c r="AP1564" s="2">
        <v>0.289301248376716</v>
      </c>
      <c r="AQ1564" s="2">
        <v>0</v>
      </c>
      <c r="AR1564" s="2">
        <v>0</v>
      </c>
      <c r="AS1564" s="2">
        <v>0</v>
      </c>
      <c r="AT1564" s="2">
        <v>0</v>
      </c>
      <c r="AU1564" s="2">
        <v>3</v>
      </c>
      <c r="AV1564" s="2">
        <v>99</v>
      </c>
      <c r="AW1564" s="2">
        <v>0</v>
      </c>
      <c r="AX1564" s="2">
        <v>0</v>
      </c>
      <c r="AY1564" s="2">
        <v>15.5</v>
      </c>
      <c r="AZ1564" s="2">
        <v>2.4</v>
      </c>
      <c r="BA1564" s="2">
        <v>10.9</v>
      </c>
      <c r="BB1564" s="2">
        <v>564</v>
      </c>
      <c r="BC1564" s="2">
        <v>68</v>
      </c>
      <c r="BD1564" s="2">
        <v>1.5</v>
      </c>
      <c r="BE1564" s="2">
        <v>135</v>
      </c>
      <c r="BF1564" s="2">
        <v>0</v>
      </c>
      <c r="BG1564" s="2">
        <v>162</v>
      </c>
      <c r="BH1564" s="2">
        <v>9.1</v>
      </c>
      <c r="BI1564" s="2">
        <v>9.1999999999999993</v>
      </c>
      <c r="BJ1564" s="2">
        <v>18.3</v>
      </c>
      <c r="BK1564" s="2">
        <v>0.34</v>
      </c>
      <c r="BL1564" s="2">
        <v>7.3</v>
      </c>
      <c r="BM1564" s="2">
        <v>0.9</v>
      </c>
      <c r="BN1564" s="2">
        <v>7.5</v>
      </c>
      <c r="BO1564" s="2">
        <v>2.9</v>
      </c>
      <c r="BP1564" s="2">
        <f t="shared" si="48"/>
        <v>2.1219747471149057</v>
      </c>
      <c r="BQ1564" s="2">
        <f t="shared" si="49"/>
        <v>10.268361502678076</v>
      </c>
    </row>
    <row r="1565" spans="1:69" x14ac:dyDescent="0.2">
      <c r="A1565" s="2" t="s">
        <v>1456</v>
      </c>
      <c r="B1565" s="2" t="s">
        <v>47</v>
      </c>
      <c r="C1565" s="2" t="s">
        <v>48</v>
      </c>
      <c r="D1565" s="2" t="s">
        <v>49</v>
      </c>
      <c r="E1565" s="2" t="s">
        <v>1457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89</v>
      </c>
      <c r="L1565" s="6" t="s">
        <v>103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1458</v>
      </c>
      <c r="R1565" s="2">
        <v>7785817.6560000004</v>
      </c>
      <c r="S1565" s="2">
        <v>0</v>
      </c>
      <c r="T1565" s="2" t="s">
        <v>83</v>
      </c>
      <c r="U1565" s="2" t="s">
        <v>84</v>
      </c>
      <c r="V1565" s="2" t="s">
        <v>56</v>
      </c>
      <c r="W1565" s="2" t="s">
        <v>83</v>
      </c>
      <c r="X1565" s="2" t="s">
        <v>85</v>
      </c>
      <c r="Y1565" s="2">
        <v>0.32968216356650798</v>
      </c>
      <c r="Z1565" s="2">
        <v>329.682163566508</v>
      </c>
      <c r="AA1565" s="2">
        <v>4.71035</v>
      </c>
      <c r="AB1565" s="2">
        <v>-74.030416666666696</v>
      </c>
      <c r="AC1565" s="2">
        <v>2570</v>
      </c>
      <c r="AD1565" s="2">
        <v>10</v>
      </c>
      <c r="AE1565" s="2" t="s">
        <v>59</v>
      </c>
      <c r="AF1565" s="2" t="s">
        <v>86</v>
      </c>
      <c r="AG1565" s="2" t="s">
        <v>61</v>
      </c>
      <c r="AH1565" s="2" t="s">
        <v>62</v>
      </c>
      <c r="AI1565" s="2" t="s">
        <v>87</v>
      </c>
      <c r="AJ1565" s="2">
        <v>2.4815757305847699</v>
      </c>
      <c r="AK1565" s="2">
        <v>0.71583310218612906</v>
      </c>
      <c r="AL1565" s="2">
        <v>0.39146078845420001</v>
      </c>
      <c r="AM1565" s="2">
        <v>0.26066235298446799</v>
      </c>
      <c r="AN1565" s="2">
        <v>3.7929452663080401</v>
      </c>
      <c r="AO1565" s="2">
        <v>0.18934711133479501</v>
      </c>
      <c r="AP1565" s="2">
        <v>0.18934711133479501</v>
      </c>
      <c r="AQ1565" s="2">
        <v>0</v>
      </c>
      <c r="AR1565" s="2">
        <v>0</v>
      </c>
      <c r="AS1565" s="2">
        <v>0</v>
      </c>
      <c r="AT1565" s="2">
        <v>23</v>
      </c>
      <c r="AU1565" s="2">
        <v>2</v>
      </c>
      <c r="AV1565" s="2">
        <v>107</v>
      </c>
      <c r="AW1565" s="2">
        <v>0</v>
      </c>
      <c r="AX1565" s="2">
        <v>0</v>
      </c>
      <c r="AY1565" s="2">
        <v>15.5</v>
      </c>
      <c r="AZ1565" s="2">
        <v>2.4</v>
      </c>
      <c r="BA1565" s="2">
        <v>10.9</v>
      </c>
      <c r="BB1565" s="2">
        <v>564</v>
      </c>
      <c r="BC1565" s="2">
        <v>68</v>
      </c>
      <c r="BD1565" s="2">
        <v>1.5</v>
      </c>
      <c r="BE1565" s="2">
        <v>135</v>
      </c>
      <c r="BF1565" s="2">
        <v>0</v>
      </c>
      <c r="BG1565" s="2">
        <v>162</v>
      </c>
      <c r="BH1565" s="2">
        <v>9.1</v>
      </c>
      <c r="BI1565" s="2">
        <v>9.1999999999999993</v>
      </c>
      <c r="BJ1565" s="2">
        <v>18.3</v>
      </c>
      <c r="BK1565" s="2">
        <v>0.34</v>
      </c>
      <c r="BL1565" s="2">
        <v>7.3</v>
      </c>
      <c r="BM1565" s="2">
        <v>0.9</v>
      </c>
      <c r="BN1565" s="2">
        <v>7.5</v>
      </c>
      <c r="BO1565" s="2">
        <v>2.9</v>
      </c>
      <c r="BP1565" s="2">
        <f t="shared" si="48"/>
        <v>2.3611516097630938</v>
      </c>
      <c r="BQ1565" s="2">
        <f t="shared" si="49"/>
        <v>10.814095448566766</v>
      </c>
    </row>
    <row r="1566" spans="1:69" x14ac:dyDescent="0.2">
      <c r="A1566" s="2" t="s">
        <v>1141</v>
      </c>
      <c r="B1566" s="2" t="s">
        <v>47</v>
      </c>
      <c r="C1566" s="2" t="s">
        <v>48</v>
      </c>
      <c r="D1566" s="2" t="s">
        <v>49</v>
      </c>
      <c r="E1566" s="2" t="s">
        <v>192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89</v>
      </c>
      <c r="L1566" s="6" t="s">
        <v>141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1142</v>
      </c>
      <c r="R1566" s="2">
        <v>7527756.7869999995</v>
      </c>
      <c r="S1566" s="2">
        <v>0</v>
      </c>
      <c r="T1566" s="2" t="s">
        <v>83</v>
      </c>
      <c r="U1566" s="2" t="s">
        <v>84</v>
      </c>
      <c r="V1566" s="2" t="s">
        <v>56</v>
      </c>
      <c r="W1566" s="2" t="s">
        <v>83</v>
      </c>
      <c r="X1566" s="2" t="s">
        <v>85</v>
      </c>
      <c r="Y1566" s="2">
        <v>2.4105350158050101</v>
      </c>
      <c r="Z1566" s="2">
        <v>2410.5350158050101</v>
      </c>
      <c r="AA1566" s="2">
        <v>4.71035</v>
      </c>
      <c r="AB1566" s="2">
        <v>-74.030416666666696</v>
      </c>
      <c r="AC1566" s="2">
        <v>2570</v>
      </c>
      <c r="AD1566" s="2">
        <v>10</v>
      </c>
      <c r="AE1566" s="2" t="s">
        <v>59</v>
      </c>
      <c r="AF1566" s="2" t="s">
        <v>86</v>
      </c>
      <c r="AG1566" s="2" t="s">
        <v>61</v>
      </c>
      <c r="AH1566" s="2" t="s">
        <v>62</v>
      </c>
      <c r="AI1566" s="2" t="s">
        <v>87</v>
      </c>
      <c r="AJ1566" s="2">
        <v>0.83511886415605296</v>
      </c>
      <c r="AK1566" s="2">
        <v>2.4303709749791</v>
      </c>
      <c r="AL1566" s="2">
        <v>0.50473149063835598</v>
      </c>
      <c r="AM1566" s="2">
        <v>0.121187271065527</v>
      </c>
      <c r="AN1566" s="2">
        <v>4.5863827459955804</v>
      </c>
      <c r="AO1566" s="2">
        <v>0.34675636735381599</v>
      </c>
      <c r="AP1566" s="2">
        <v>0.34675636735381599</v>
      </c>
      <c r="AQ1566" s="2">
        <v>0</v>
      </c>
      <c r="AR1566" s="2">
        <v>1</v>
      </c>
      <c r="AS1566" s="2">
        <v>0</v>
      </c>
      <c r="AT1566" s="2">
        <v>0</v>
      </c>
      <c r="AU1566" s="2">
        <v>1</v>
      </c>
      <c r="AV1566" s="2">
        <v>142</v>
      </c>
      <c r="AW1566" s="2">
        <v>0</v>
      </c>
      <c r="AX1566" s="2">
        <v>0</v>
      </c>
      <c r="AY1566" s="2">
        <v>15.5</v>
      </c>
      <c r="AZ1566" s="2">
        <v>2.4</v>
      </c>
      <c r="BA1566" s="2">
        <v>10.9</v>
      </c>
      <c r="BB1566" s="2">
        <v>564</v>
      </c>
      <c r="BC1566" s="2">
        <v>68</v>
      </c>
      <c r="BD1566" s="2">
        <v>1.5</v>
      </c>
      <c r="BE1566" s="2">
        <v>135</v>
      </c>
      <c r="BF1566" s="2">
        <v>0</v>
      </c>
      <c r="BG1566" s="2">
        <v>162</v>
      </c>
      <c r="BH1566" s="2">
        <v>9.1</v>
      </c>
      <c r="BI1566" s="2">
        <v>9.1999999999999993</v>
      </c>
      <c r="BJ1566" s="2">
        <v>18.3</v>
      </c>
      <c r="BK1566" s="2">
        <v>0.34</v>
      </c>
      <c r="BL1566" s="2">
        <v>7.3</v>
      </c>
      <c r="BM1566" s="2">
        <v>0.9</v>
      </c>
      <c r="BN1566" s="2">
        <v>7.5</v>
      </c>
      <c r="BO1566" s="2">
        <v>2.9</v>
      </c>
      <c r="BP1566" s="2">
        <f t="shared" si="48"/>
        <v>2.1300538350462848</v>
      </c>
      <c r="BQ1566" s="2">
        <f t="shared" si="49"/>
        <v>10.287298190575484</v>
      </c>
    </row>
    <row r="1567" spans="1:69" x14ac:dyDescent="0.2">
      <c r="A1567" s="2" t="s">
        <v>1982</v>
      </c>
      <c r="B1567" s="2" t="s">
        <v>47</v>
      </c>
      <c r="C1567" s="2" t="s">
        <v>1935</v>
      </c>
      <c r="D1567" s="2" t="s">
        <v>49</v>
      </c>
      <c r="E1567" s="2" t="s">
        <v>1121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89</v>
      </c>
      <c r="L1567" s="6" t="s">
        <v>141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1983</v>
      </c>
      <c r="R1567" s="2">
        <v>5348837.2089999998</v>
      </c>
      <c r="S1567" s="2">
        <v>0</v>
      </c>
      <c r="T1567" s="2" t="s">
        <v>83</v>
      </c>
      <c r="U1567" s="2" t="s">
        <v>84</v>
      </c>
      <c r="V1567" s="2" t="s">
        <v>56</v>
      </c>
      <c r="W1567" s="2" t="s">
        <v>83</v>
      </c>
      <c r="X1567" s="2" t="s">
        <v>85</v>
      </c>
      <c r="Y1567" s="2">
        <v>3.3541818568095598</v>
      </c>
      <c r="Z1567" s="2">
        <v>3354.18185680956</v>
      </c>
      <c r="AA1567" s="2">
        <v>4.71035</v>
      </c>
      <c r="AB1567" s="2">
        <v>-74.030416666666696</v>
      </c>
      <c r="AC1567" s="2">
        <v>2570</v>
      </c>
      <c r="AD1567" s="2">
        <v>10</v>
      </c>
      <c r="AE1567" s="2" t="s">
        <v>59</v>
      </c>
      <c r="AF1567" s="2" t="s">
        <v>86</v>
      </c>
      <c r="AG1567" s="2" t="s">
        <v>61</v>
      </c>
      <c r="AH1567" s="2" t="s">
        <v>62</v>
      </c>
      <c r="AI1567" s="2" t="s">
        <v>100</v>
      </c>
      <c r="AJ1567" s="2">
        <v>0.69171153032202404</v>
      </c>
      <c r="AK1567" s="2">
        <v>3.8751490958515298</v>
      </c>
      <c r="AL1567" s="2">
        <v>1.3660555038773201</v>
      </c>
      <c r="AM1567" s="2">
        <v>0.23819826744692499</v>
      </c>
      <c r="AN1567" s="2">
        <v>4.2797061947291599</v>
      </c>
      <c r="AO1567" s="2">
        <v>0.20412251479287399</v>
      </c>
      <c r="AP1567" s="2">
        <v>0.20412251479287399</v>
      </c>
      <c r="AQ1567" s="2">
        <v>0</v>
      </c>
      <c r="AR1567" s="2">
        <v>1</v>
      </c>
      <c r="AS1567" s="2">
        <v>0</v>
      </c>
      <c r="AT1567" s="2">
        <v>0</v>
      </c>
      <c r="AU1567" s="2">
        <v>0</v>
      </c>
      <c r="AV1567" s="2">
        <v>58</v>
      </c>
      <c r="AW1567" s="2">
        <v>0</v>
      </c>
      <c r="AX1567" s="2">
        <v>0</v>
      </c>
      <c r="AY1567" s="2">
        <v>15.5</v>
      </c>
      <c r="AZ1567" s="2">
        <v>2.4</v>
      </c>
      <c r="BA1567" s="2">
        <v>10.9</v>
      </c>
      <c r="BB1567" s="2">
        <v>564</v>
      </c>
      <c r="BC1567" s="2">
        <v>68</v>
      </c>
      <c r="BD1567" s="2">
        <v>1.5</v>
      </c>
      <c r="BE1567" s="2">
        <v>135</v>
      </c>
      <c r="BF1567" s="2">
        <v>0</v>
      </c>
      <c r="BG1567" s="2">
        <v>162</v>
      </c>
      <c r="BH1567" s="2">
        <v>9.1</v>
      </c>
      <c r="BI1567" s="2">
        <v>9.1999999999999993</v>
      </c>
      <c r="BJ1567" s="2">
        <v>18.3</v>
      </c>
      <c r="BK1567" s="2">
        <v>0.34</v>
      </c>
      <c r="BL1567" s="2">
        <v>7.3</v>
      </c>
      <c r="BM1567" s="2">
        <v>0.9</v>
      </c>
      <c r="BN1567" s="2">
        <v>7.5</v>
      </c>
      <c r="BO1567" s="2">
        <v>2.9</v>
      </c>
      <c r="BP1567" s="2">
        <f t="shared" si="48"/>
        <v>2.0328459060576627</v>
      </c>
      <c r="BQ1567" s="2">
        <f t="shared" si="49"/>
        <v>10.056934782671645</v>
      </c>
    </row>
    <row r="1568" spans="1:69" x14ac:dyDescent="0.2">
      <c r="A1568" s="2" t="s">
        <v>1955</v>
      </c>
      <c r="B1568" s="2" t="s">
        <v>47</v>
      </c>
      <c r="C1568" s="2" t="s">
        <v>1935</v>
      </c>
      <c r="D1568" s="2" t="s">
        <v>49</v>
      </c>
      <c r="E1568" s="2" t="s">
        <v>961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89</v>
      </c>
      <c r="L1568" s="6" t="s">
        <v>141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1956</v>
      </c>
      <c r="R1568" s="2">
        <v>3517441.86</v>
      </c>
      <c r="S1568" s="2">
        <v>0</v>
      </c>
      <c r="T1568" s="2" t="s">
        <v>83</v>
      </c>
      <c r="U1568" s="2" t="s">
        <v>84</v>
      </c>
      <c r="V1568" s="2" t="s">
        <v>56</v>
      </c>
      <c r="W1568" s="2" t="s">
        <v>83</v>
      </c>
      <c r="X1568" s="2" t="s">
        <v>85</v>
      </c>
      <c r="Y1568" s="2">
        <v>2.0708026299757698</v>
      </c>
      <c r="Z1568" s="2">
        <v>2070.8026299757698</v>
      </c>
      <c r="AA1568" s="2">
        <v>4.71035</v>
      </c>
      <c r="AB1568" s="2">
        <v>-74.030416666666696</v>
      </c>
      <c r="AC1568" s="2">
        <v>2570</v>
      </c>
      <c r="AD1568" s="2">
        <v>10</v>
      </c>
      <c r="AE1568" s="2" t="s">
        <v>59</v>
      </c>
      <c r="AF1568" s="2" t="s">
        <v>86</v>
      </c>
      <c r="AG1568" s="2" t="s">
        <v>61</v>
      </c>
      <c r="AH1568" s="2" t="s">
        <v>62</v>
      </c>
      <c r="AI1568" s="2" t="s">
        <v>87</v>
      </c>
      <c r="AJ1568" s="2">
        <v>0.68994272973572601</v>
      </c>
      <c r="AK1568" s="2">
        <v>2.64799718364694</v>
      </c>
      <c r="AL1568" s="2">
        <v>1.6177169466732499</v>
      </c>
      <c r="AM1568" s="2">
        <v>0.13068951829507999</v>
      </c>
      <c r="AN1568" s="2">
        <v>4.4574090191066196</v>
      </c>
      <c r="AO1568" s="2">
        <v>0.220777827249721</v>
      </c>
      <c r="AP1568" s="2">
        <v>0.220777827249721</v>
      </c>
      <c r="AQ1568" s="2">
        <v>0</v>
      </c>
      <c r="AR1568" s="2">
        <v>2</v>
      </c>
      <c r="AS1568" s="2">
        <v>0</v>
      </c>
      <c r="AT1568" s="2">
        <v>0</v>
      </c>
      <c r="AU1568" s="2">
        <v>0</v>
      </c>
      <c r="AV1568" s="2">
        <v>138</v>
      </c>
      <c r="AW1568" s="2">
        <v>0</v>
      </c>
      <c r="AX1568" s="2">
        <v>0</v>
      </c>
      <c r="AY1568" s="2">
        <v>15.5</v>
      </c>
      <c r="AZ1568" s="2">
        <v>2.4</v>
      </c>
      <c r="BA1568" s="2">
        <v>10.9</v>
      </c>
      <c r="BB1568" s="2">
        <v>564</v>
      </c>
      <c r="BC1568" s="2">
        <v>68</v>
      </c>
      <c r="BD1568" s="2">
        <v>1.5</v>
      </c>
      <c r="BE1568" s="2">
        <v>135</v>
      </c>
      <c r="BF1568" s="2">
        <v>0</v>
      </c>
      <c r="BG1568" s="2">
        <v>162</v>
      </c>
      <c r="BH1568" s="2">
        <v>9.1</v>
      </c>
      <c r="BI1568" s="2">
        <v>9.1999999999999993</v>
      </c>
      <c r="BJ1568" s="2">
        <v>18.3</v>
      </c>
      <c r="BK1568" s="2">
        <v>0.34</v>
      </c>
      <c r="BL1568" s="2">
        <v>7.3</v>
      </c>
      <c r="BM1568" s="2">
        <v>0.9</v>
      </c>
      <c r="BN1568" s="2">
        <v>7.5</v>
      </c>
      <c r="BO1568" s="2">
        <v>2.9</v>
      </c>
      <c r="BP1568" s="2">
        <f t="shared" si="48"/>
        <v>2.1661773129659525</v>
      </c>
      <c r="BQ1568" s="2">
        <f t="shared" si="49"/>
        <v>10.371519356468994</v>
      </c>
    </row>
    <row r="1569" spans="1:69" x14ac:dyDescent="0.2">
      <c r="A1569" s="2" t="s">
        <v>716</v>
      </c>
      <c r="B1569" s="2" t="s">
        <v>47</v>
      </c>
      <c r="C1569" s="2" t="s">
        <v>48</v>
      </c>
      <c r="D1569" s="2" t="s">
        <v>49</v>
      </c>
      <c r="E1569" s="2" t="s">
        <v>111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89</v>
      </c>
      <c r="L1569" s="6" t="s">
        <v>103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717</v>
      </c>
      <c r="R1569" s="2">
        <v>14060577.66</v>
      </c>
      <c r="S1569" s="2">
        <v>0</v>
      </c>
      <c r="T1569" s="2" t="s">
        <v>83</v>
      </c>
      <c r="U1569" s="2" t="s">
        <v>84</v>
      </c>
      <c r="V1569" s="2" t="s">
        <v>56</v>
      </c>
      <c r="W1569" s="2" t="s">
        <v>83</v>
      </c>
      <c r="X1569" s="2" t="s">
        <v>85</v>
      </c>
      <c r="Y1569" s="2">
        <v>4.1594087373240001</v>
      </c>
      <c r="Z1569" s="2">
        <v>4159.408737324</v>
      </c>
      <c r="AA1569" s="2">
        <v>4.71035</v>
      </c>
      <c r="AB1569" s="2">
        <v>-74.030416666666696</v>
      </c>
      <c r="AC1569" s="2">
        <v>2570</v>
      </c>
      <c r="AD1569" s="2">
        <v>10</v>
      </c>
      <c r="AE1569" s="2" t="s">
        <v>59</v>
      </c>
      <c r="AF1569" s="2" t="s">
        <v>86</v>
      </c>
      <c r="AG1569" s="2" t="s">
        <v>61</v>
      </c>
      <c r="AH1569" s="2" t="s">
        <v>62</v>
      </c>
      <c r="AI1569" s="2" t="s">
        <v>109</v>
      </c>
      <c r="AJ1569" s="2">
        <v>0.69586390547397303</v>
      </c>
      <c r="AK1569" s="2">
        <v>1.6105491491861501</v>
      </c>
      <c r="AL1569" s="2">
        <v>0.60891720467093902</v>
      </c>
      <c r="AM1569" s="2">
        <v>5.3429907226483497E-2</v>
      </c>
      <c r="AN1569" s="2">
        <v>3.3182357617411</v>
      </c>
      <c r="AO1569" s="2">
        <v>0.683230469633332</v>
      </c>
      <c r="AP1569" s="2">
        <v>0.683230469633332</v>
      </c>
      <c r="AQ1569" s="2">
        <v>0</v>
      </c>
      <c r="AR1569" s="2">
        <v>2</v>
      </c>
      <c r="AS1569" s="2">
        <v>0</v>
      </c>
      <c r="AT1569" s="2">
        <v>0</v>
      </c>
      <c r="AU1569" s="2">
        <v>4</v>
      </c>
      <c r="AV1569" s="2">
        <v>220</v>
      </c>
      <c r="AW1569" s="2">
        <v>0</v>
      </c>
      <c r="AX1569" s="2">
        <v>0</v>
      </c>
      <c r="AY1569" s="2">
        <v>15.5</v>
      </c>
      <c r="AZ1569" s="2">
        <v>2.4</v>
      </c>
      <c r="BA1569" s="2">
        <v>10.9</v>
      </c>
      <c r="BB1569" s="2">
        <v>564</v>
      </c>
      <c r="BC1569" s="2">
        <v>68</v>
      </c>
      <c r="BD1569" s="2">
        <v>1.5</v>
      </c>
      <c r="BE1569" s="2">
        <v>135</v>
      </c>
      <c r="BF1569" s="2">
        <v>0</v>
      </c>
      <c r="BG1569" s="2">
        <v>162</v>
      </c>
      <c r="BH1569" s="2">
        <v>9.1</v>
      </c>
      <c r="BI1569" s="2">
        <v>9.1999999999999993</v>
      </c>
      <c r="BJ1569" s="2">
        <v>18.3</v>
      </c>
      <c r="BK1569" s="2">
        <v>0.34</v>
      </c>
      <c r="BL1569" s="2">
        <v>7.3</v>
      </c>
      <c r="BM1569" s="2">
        <v>0.9</v>
      </c>
      <c r="BN1569" s="2">
        <v>7.5</v>
      </c>
      <c r="BO1569" s="2">
        <v>2.9</v>
      </c>
      <c r="BP1569" s="2">
        <f t="shared" si="48"/>
        <v>1.9534128159578357</v>
      </c>
      <c r="BQ1569" s="2">
        <f t="shared" si="49"/>
        <v>9.8644459977952028</v>
      </c>
    </row>
    <row r="1570" spans="1:69" x14ac:dyDescent="0.2">
      <c r="A1570" s="2" t="s">
        <v>1045</v>
      </c>
      <c r="B1570" s="2" t="s">
        <v>47</v>
      </c>
      <c r="C1570" s="2" t="s">
        <v>48</v>
      </c>
      <c r="D1570" s="2" t="s">
        <v>49</v>
      </c>
      <c r="E1570" s="2" t="s">
        <v>1046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89</v>
      </c>
      <c r="L1570" s="6" t="s">
        <v>103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1047</v>
      </c>
      <c r="R1570" s="2">
        <v>5882352.9409999996</v>
      </c>
      <c r="S1570" s="2">
        <v>0</v>
      </c>
      <c r="T1570" s="2" t="s">
        <v>83</v>
      </c>
      <c r="U1570" s="2" t="s">
        <v>84</v>
      </c>
      <c r="V1570" s="2" t="s">
        <v>56</v>
      </c>
      <c r="W1570" s="2" t="s">
        <v>83</v>
      </c>
      <c r="X1570" s="2" t="s">
        <v>85</v>
      </c>
      <c r="Y1570" s="2">
        <v>4.0900392252552003</v>
      </c>
      <c r="Z1570" s="2">
        <v>4090.0392252552001</v>
      </c>
      <c r="AA1570" s="2">
        <v>4.71035</v>
      </c>
      <c r="AB1570" s="2">
        <v>-74.030416666666696</v>
      </c>
      <c r="AC1570" s="2">
        <v>2570</v>
      </c>
      <c r="AD1570" s="2">
        <v>10</v>
      </c>
      <c r="AE1570" s="2" t="s">
        <v>59</v>
      </c>
      <c r="AF1570" s="2" t="s">
        <v>86</v>
      </c>
      <c r="AG1570" s="2" t="s">
        <v>61</v>
      </c>
      <c r="AH1570" s="2" t="s">
        <v>62</v>
      </c>
      <c r="AI1570" s="2" t="s">
        <v>109</v>
      </c>
      <c r="AJ1570" s="2">
        <v>0.39166781107722998</v>
      </c>
      <c r="AK1570" s="2">
        <v>1.90989007277797</v>
      </c>
      <c r="AL1570" s="2">
        <v>0.403534228546096</v>
      </c>
      <c r="AM1570" s="2">
        <v>0.151105037929465</v>
      </c>
      <c r="AN1570" s="2">
        <v>3.1847261429845002</v>
      </c>
      <c r="AO1570" s="2">
        <v>0.43101363266512599</v>
      </c>
      <c r="AP1570" s="2">
        <v>0.43101363266512599</v>
      </c>
      <c r="AQ1570" s="2">
        <v>1</v>
      </c>
      <c r="AR1570" s="2">
        <v>3</v>
      </c>
      <c r="AS1570" s="2">
        <v>0</v>
      </c>
      <c r="AT1570" s="2">
        <v>0</v>
      </c>
      <c r="AU1570" s="2">
        <v>5</v>
      </c>
      <c r="AV1570" s="2">
        <v>256</v>
      </c>
      <c r="AW1570" s="2">
        <v>0</v>
      </c>
      <c r="AX1570" s="2">
        <v>0</v>
      </c>
      <c r="AY1570" s="2">
        <v>15.5</v>
      </c>
      <c r="AZ1570" s="2">
        <v>2.4</v>
      </c>
      <c r="BA1570" s="2">
        <v>10.9</v>
      </c>
      <c r="BB1570" s="2">
        <v>564</v>
      </c>
      <c r="BC1570" s="2">
        <v>68</v>
      </c>
      <c r="BD1570" s="2">
        <v>1.5</v>
      </c>
      <c r="BE1570" s="2">
        <v>135</v>
      </c>
      <c r="BF1570" s="2">
        <v>0</v>
      </c>
      <c r="BG1570" s="2">
        <v>162</v>
      </c>
      <c r="BH1570" s="2">
        <v>9.1</v>
      </c>
      <c r="BI1570" s="2">
        <v>9.1999999999999993</v>
      </c>
      <c r="BJ1570" s="2">
        <v>18.3</v>
      </c>
      <c r="BK1570" s="2">
        <v>0.34</v>
      </c>
      <c r="BL1570" s="2">
        <v>7.3</v>
      </c>
      <c r="BM1570" s="2">
        <v>0.9</v>
      </c>
      <c r="BN1570" s="2">
        <v>7.5</v>
      </c>
      <c r="BO1570" s="2">
        <v>2.9</v>
      </c>
      <c r="BP1570" s="2">
        <f t="shared" si="48"/>
        <v>1.9601319564659969</v>
      </c>
      <c r="BQ1570" s="2">
        <f t="shared" si="49"/>
        <v>9.8808826797906484</v>
      </c>
    </row>
    <row r="1571" spans="1:69" x14ac:dyDescent="0.2">
      <c r="A1571" s="2" t="s">
        <v>820</v>
      </c>
      <c r="B1571" s="2" t="s">
        <v>47</v>
      </c>
      <c r="C1571" s="2" t="s">
        <v>48</v>
      </c>
      <c r="D1571" s="2" t="s">
        <v>49</v>
      </c>
      <c r="E1571" s="2" t="s">
        <v>447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89</v>
      </c>
      <c r="L1571" s="6" t="s">
        <v>103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821</v>
      </c>
      <c r="R1571" s="2">
        <v>7352941.176</v>
      </c>
      <c r="S1571" s="2">
        <v>0</v>
      </c>
      <c r="T1571" s="2" t="s">
        <v>83</v>
      </c>
      <c r="U1571" s="2" t="s">
        <v>84</v>
      </c>
      <c r="V1571" s="2" t="s">
        <v>56</v>
      </c>
      <c r="W1571" s="2" t="s">
        <v>83</v>
      </c>
      <c r="X1571" s="2" t="s">
        <v>85</v>
      </c>
      <c r="Y1571" s="2">
        <v>3.2388139726705498</v>
      </c>
      <c r="Z1571" s="2">
        <v>3238.8139726705499</v>
      </c>
      <c r="AA1571" s="2">
        <v>4.71035</v>
      </c>
      <c r="AB1571" s="2">
        <v>-74.030416666666696</v>
      </c>
      <c r="AC1571" s="2">
        <v>2570</v>
      </c>
      <c r="AD1571" s="2">
        <v>10</v>
      </c>
      <c r="AE1571" s="2" t="s">
        <v>59</v>
      </c>
      <c r="AF1571" s="2" t="s">
        <v>86</v>
      </c>
      <c r="AG1571" s="2" t="s">
        <v>61</v>
      </c>
      <c r="AH1571" s="2" t="s">
        <v>62</v>
      </c>
      <c r="AI1571" s="2" t="s">
        <v>87</v>
      </c>
      <c r="AJ1571" s="2">
        <v>0.51035354941356503</v>
      </c>
      <c r="AK1571" s="2">
        <v>2.2173199411842801</v>
      </c>
      <c r="AL1571" s="2">
        <v>0.33632727024973502</v>
      </c>
      <c r="AM1571" s="2">
        <v>0.16718384613351001</v>
      </c>
      <c r="AN1571" s="2">
        <v>3.80069211278968</v>
      </c>
      <c r="AO1571" s="2">
        <v>0.23192520077991299</v>
      </c>
      <c r="AP1571" s="2">
        <v>0.23192520077991299</v>
      </c>
      <c r="AQ1571" s="2">
        <v>0</v>
      </c>
      <c r="AR1571" s="2">
        <v>3</v>
      </c>
      <c r="AS1571" s="2">
        <v>0</v>
      </c>
      <c r="AT1571" s="2">
        <v>0</v>
      </c>
      <c r="AU1571" s="2">
        <v>5</v>
      </c>
      <c r="AV1571" s="2">
        <v>183</v>
      </c>
      <c r="AW1571" s="2">
        <v>0</v>
      </c>
      <c r="AX1571" s="2">
        <v>0</v>
      </c>
      <c r="AY1571" s="2">
        <v>15.5</v>
      </c>
      <c r="AZ1571" s="2">
        <v>2.4</v>
      </c>
      <c r="BA1571" s="2">
        <v>10.9</v>
      </c>
      <c r="BB1571" s="2">
        <v>564</v>
      </c>
      <c r="BC1571" s="2">
        <v>68</v>
      </c>
      <c r="BD1571" s="2">
        <v>1.5</v>
      </c>
      <c r="BE1571" s="2">
        <v>135</v>
      </c>
      <c r="BF1571" s="2">
        <v>0</v>
      </c>
      <c r="BG1571" s="2">
        <v>162</v>
      </c>
      <c r="BH1571" s="2">
        <v>9.1</v>
      </c>
      <c r="BI1571" s="2">
        <v>9.1999999999999993</v>
      </c>
      <c r="BJ1571" s="2">
        <v>18.3</v>
      </c>
      <c r="BK1571" s="2">
        <v>0.34</v>
      </c>
      <c r="BL1571" s="2">
        <v>7.3</v>
      </c>
      <c r="BM1571" s="2">
        <v>0.9</v>
      </c>
      <c r="BN1571" s="2">
        <v>7.5</v>
      </c>
      <c r="BO1571" s="2">
        <v>2.9</v>
      </c>
      <c r="BP1571" s="2">
        <f t="shared" si="48"/>
        <v>2.044488111030208</v>
      </c>
      <c r="BQ1571" s="2">
        <f t="shared" si="49"/>
        <v>10.084819303478328</v>
      </c>
    </row>
    <row r="1572" spans="1:69" x14ac:dyDescent="0.2">
      <c r="A1572" s="2" t="s">
        <v>2294</v>
      </c>
      <c r="B1572" s="2" t="s">
        <v>47</v>
      </c>
      <c r="C1572" s="2" t="s">
        <v>1935</v>
      </c>
      <c r="D1572" s="2" t="s">
        <v>49</v>
      </c>
      <c r="E1572" s="2" t="s">
        <v>192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89</v>
      </c>
      <c r="L1572" s="6" t="s">
        <v>141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2295</v>
      </c>
      <c r="R1572" s="2">
        <v>8235294.1179999998</v>
      </c>
      <c r="S1572" s="2">
        <v>0</v>
      </c>
      <c r="T1572" s="2" t="s">
        <v>83</v>
      </c>
      <c r="U1572" s="2" t="s">
        <v>84</v>
      </c>
      <c r="V1572" s="2" t="s">
        <v>56</v>
      </c>
      <c r="W1572" s="2" t="s">
        <v>83</v>
      </c>
      <c r="X1572" s="2" t="s">
        <v>85</v>
      </c>
      <c r="Y1572" s="2">
        <v>1.5550201841344</v>
      </c>
      <c r="Z1572" s="2">
        <v>1555.0201841344001</v>
      </c>
      <c r="AA1572" s="2">
        <v>4.71035</v>
      </c>
      <c r="AB1572" s="2">
        <v>-74.030416666666696</v>
      </c>
      <c r="AC1572" s="2">
        <v>2570</v>
      </c>
      <c r="AD1572" s="2">
        <v>10</v>
      </c>
      <c r="AE1572" s="2" t="s">
        <v>59</v>
      </c>
      <c r="AF1572" s="2" t="s">
        <v>86</v>
      </c>
      <c r="AG1572" s="2" t="s">
        <v>61</v>
      </c>
      <c r="AH1572" s="2" t="s">
        <v>62</v>
      </c>
      <c r="AI1572" s="2" t="s">
        <v>87</v>
      </c>
      <c r="AJ1572" s="2">
        <v>2.0569861864782202</v>
      </c>
      <c r="AK1572" s="2">
        <v>1.20725410757068</v>
      </c>
      <c r="AL1572" s="2">
        <v>0.60933952486295895</v>
      </c>
      <c r="AM1572" s="2">
        <v>0.154203483775531</v>
      </c>
      <c r="AN1572" s="2">
        <v>4.9496809385762699</v>
      </c>
      <c r="AO1572" s="2">
        <v>4.0494302008605702E-2</v>
      </c>
      <c r="AP1572" s="2">
        <v>4.0494302008605702E-2</v>
      </c>
      <c r="AQ1572" s="2">
        <v>0</v>
      </c>
      <c r="AR1572" s="2">
        <v>0</v>
      </c>
      <c r="AS1572" s="2">
        <v>0</v>
      </c>
      <c r="AT1572" s="2">
        <v>0</v>
      </c>
      <c r="AU1572" s="2">
        <v>2</v>
      </c>
      <c r="AV1572" s="2">
        <v>168</v>
      </c>
      <c r="AW1572" s="2">
        <v>0</v>
      </c>
      <c r="AX1572" s="2">
        <v>0</v>
      </c>
      <c r="AY1572" s="2">
        <v>15.5</v>
      </c>
      <c r="AZ1572" s="2">
        <v>2.4</v>
      </c>
      <c r="BA1572" s="2">
        <v>10.9</v>
      </c>
      <c r="BB1572" s="2">
        <v>564</v>
      </c>
      <c r="BC1572" s="2">
        <v>68</v>
      </c>
      <c r="BD1572" s="2">
        <v>1.5</v>
      </c>
      <c r="BE1572" s="2">
        <v>135</v>
      </c>
      <c r="BF1572" s="2">
        <v>0</v>
      </c>
      <c r="BG1572" s="2">
        <v>162</v>
      </c>
      <c r="BH1572" s="2">
        <v>9.1</v>
      </c>
      <c r="BI1572" s="2">
        <v>9.1999999999999993</v>
      </c>
      <c r="BJ1572" s="2">
        <v>18.3</v>
      </c>
      <c r="BK1572" s="2">
        <v>0.34</v>
      </c>
      <c r="BL1572" s="2">
        <v>7.3</v>
      </c>
      <c r="BM1572" s="2">
        <v>0.9</v>
      </c>
      <c r="BN1572" s="2">
        <v>7.5</v>
      </c>
      <c r="BO1572" s="2">
        <v>2.9</v>
      </c>
      <c r="BP1572" s="2">
        <f t="shared" si="48"/>
        <v>2.2221945379979462</v>
      </c>
      <c r="BQ1572" s="2">
        <f t="shared" si="49"/>
        <v>10.500704023951458</v>
      </c>
    </row>
    <row r="1573" spans="1:69" x14ac:dyDescent="0.2">
      <c r="A1573" s="2" t="s">
        <v>2712</v>
      </c>
      <c r="B1573" s="2" t="s">
        <v>47</v>
      </c>
      <c r="C1573" s="2" t="s">
        <v>1935</v>
      </c>
      <c r="D1573" s="2" t="s">
        <v>49</v>
      </c>
      <c r="E1573" s="2" t="s">
        <v>184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89</v>
      </c>
      <c r="L1573" s="6" t="s">
        <v>141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2713</v>
      </c>
      <c r="R1573" s="2">
        <v>4700000</v>
      </c>
      <c r="S1573" s="2">
        <v>0</v>
      </c>
      <c r="T1573" s="2" t="s">
        <v>83</v>
      </c>
      <c r="U1573" s="2" t="s">
        <v>84</v>
      </c>
      <c r="V1573" s="2" t="s">
        <v>56</v>
      </c>
      <c r="W1573" s="2" t="s">
        <v>83</v>
      </c>
      <c r="X1573" s="2" t="s">
        <v>85</v>
      </c>
      <c r="Y1573" s="2">
        <v>0.986144799098854</v>
      </c>
      <c r="Z1573" s="2">
        <v>986.14479909885404</v>
      </c>
      <c r="AA1573" s="2">
        <v>4.71035</v>
      </c>
      <c r="AB1573" s="2">
        <v>-74.030416666666696</v>
      </c>
      <c r="AC1573" s="2">
        <v>2570</v>
      </c>
      <c r="AD1573" s="2">
        <v>10</v>
      </c>
      <c r="AE1573" s="2" t="s">
        <v>59</v>
      </c>
      <c r="AF1573" s="2" t="s">
        <v>86</v>
      </c>
      <c r="AG1573" s="2" t="s">
        <v>61</v>
      </c>
      <c r="AH1573" s="2" t="s">
        <v>62</v>
      </c>
      <c r="AI1573" s="2" t="s">
        <v>87</v>
      </c>
      <c r="AJ1573" s="2">
        <v>1.8544268010560501</v>
      </c>
      <c r="AK1573" s="2">
        <v>1.2858758062631901</v>
      </c>
      <c r="AL1573" s="2">
        <v>0.83125476314911695</v>
      </c>
      <c r="AM1573" s="2">
        <v>0.13091518624489101</v>
      </c>
      <c r="AN1573" s="2">
        <v>2.7691691553436302</v>
      </c>
      <c r="AO1573" s="2">
        <v>8.7358906596944702E-2</v>
      </c>
      <c r="AP1573" s="2">
        <v>8.7358906596944702E-2</v>
      </c>
      <c r="AQ1573" s="2">
        <v>0</v>
      </c>
      <c r="AR1573" s="2">
        <v>0</v>
      </c>
      <c r="AS1573" s="2">
        <v>0</v>
      </c>
      <c r="AT1573" s="2">
        <v>0</v>
      </c>
      <c r="AU1573" s="2">
        <v>1</v>
      </c>
      <c r="AV1573" s="2">
        <v>75</v>
      </c>
      <c r="AW1573" s="2">
        <v>0</v>
      </c>
      <c r="AX1573" s="2">
        <v>0</v>
      </c>
      <c r="AY1573" s="2">
        <v>15.5</v>
      </c>
      <c r="AZ1573" s="2">
        <v>2.4</v>
      </c>
      <c r="BA1573" s="2">
        <v>10.9</v>
      </c>
      <c r="BB1573" s="2">
        <v>564</v>
      </c>
      <c r="BC1573" s="2">
        <v>68</v>
      </c>
      <c r="BD1573" s="2">
        <v>1.5</v>
      </c>
      <c r="BE1573" s="2">
        <v>135</v>
      </c>
      <c r="BF1573" s="2">
        <v>0</v>
      </c>
      <c r="BG1573" s="2">
        <v>162</v>
      </c>
      <c r="BH1573" s="2">
        <v>9.1</v>
      </c>
      <c r="BI1573" s="2">
        <v>9.1999999999999993</v>
      </c>
      <c r="BJ1573" s="2">
        <v>18.3</v>
      </c>
      <c r="BK1573" s="2">
        <v>0.34</v>
      </c>
      <c r="BL1573" s="2">
        <v>7.3</v>
      </c>
      <c r="BM1573" s="2">
        <v>0.9</v>
      </c>
      <c r="BN1573" s="2">
        <v>7.5</v>
      </c>
      <c r="BO1573" s="2">
        <v>2.9</v>
      </c>
      <c r="BP1573" s="2">
        <f t="shared" si="48"/>
        <v>2.2856594214905548</v>
      </c>
      <c r="BQ1573" s="2">
        <f t="shared" si="49"/>
        <v>10.645053392380506</v>
      </c>
    </row>
    <row r="1574" spans="1:69" x14ac:dyDescent="0.2">
      <c r="A1574" s="2" t="s">
        <v>2364</v>
      </c>
      <c r="B1574" s="2" t="s">
        <v>47</v>
      </c>
      <c r="C1574" s="2" t="s">
        <v>1935</v>
      </c>
      <c r="D1574" s="2" t="s">
        <v>49</v>
      </c>
      <c r="E1574" s="2" t="s">
        <v>184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89</v>
      </c>
      <c r="L1574" s="6" t="s">
        <v>141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2365</v>
      </c>
      <c r="R1574" s="2">
        <v>4311872.4160000002</v>
      </c>
      <c r="S1574" s="2">
        <v>0</v>
      </c>
      <c r="T1574" s="2" t="s">
        <v>83</v>
      </c>
      <c r="U1574" s="2" t="s">
        <v>84</v>
      </c>
      <c r="V1574" s="2" t="s">
        <v>56</v>
      </c>
      <c r="W1574" s="2" t="s">
        <v>83</v>
      </c>
      <c r="X1574" s="2" t="s">
        <v>85</v>
      </c>
      <c r="Y1574" s="2">
        <v>2.0111091912033898</v>
      </c>
      <c r="Z1574" s="2">
        <v>2011.1091912033901</v>
      </c>
      <c r="AA1574" s="2">
        <v>4.71035</v>
      </c>
      <c r="AB1574" s="2">
        <v>-74.030416666666696</v>
      </c>
      <c r="AC1574" s="2">
        <v>2570</v>
      </c>
      <c r="AD1574" s="2">
        <v>10</v>
      </c>
      <c r="AE1574" s="2" t="s">
        <v>59</v>
      </c>
      <c r="AF1574" s="2" t="s">
        <v>86</v>
      </c>
      <c r="AG1574" s="2" t="s">
        <v>61</v>
      </c>
      <c r="AH1574" s="2" t="s">
        <v>62</v>
      </c>
      <c r="AI1574" s="2" t="s">
        <v>87</v>
      </c>
      <c r="AJ1574" s="2">
        <v>1.8753249216236001</v>
      </c>
      <c r="AK1574" s="2">
        <v>1.2962749542168599</v>
      </c>
      <c r="AL1574" s="2">
        <v>0.91939806495941201</v>
      </c>
      <c r="AM1574" s="2">
        <v>0.19400475681059401</v>
      </c>
      <c r="AN1574" s="2">
        <v>1.6331322945962301</v>
      </c>
      <c r="AO1574" s="2">
        <v>4.6996446224937503E-2</v>
      </c>
      <c r="AP1574" s="2">
        <v>4.6996446224937503E-2</v>
      </c>
      <c r="AQ1574" s="2">
        <v>0</v>
      </c>
      <c r="AR1574" s="2">
        <v>0</v>
      </c>
      <c r="AS1574" s="2">
        <v>0</v>
      </c>
      <c r="AT1574" s="2">
        <v>0</v>
      </c>
      <c r="AU1574" s="2">
        <v>1</v>
      </c>
      <c r="AV1574" s="2">
        <v>7</v>
      </c>
      <c r="AW1574" s="2">
        <v>0</v>
      </c>
      <c r="AX1574" s="2">
        <v>0</v>
      </c>
      <c r="AY1574" s="2">
        <v>15.5</v>
      </c>
      <c r="AZ1574" s="2">
        <v>2.4</v>
      </c>
      <c r="BA1574" s="2">
        <v>10.9</v>
      </c>
      <c r="BB1574" s="2">
        <v>564</v>
      </c>
      <c r="BC1574" s="2">
        <v>68</v>
      </c>
      <c r="BD1574" s="2">
        <v>1.5</v>
      </c>
      <c r="BE1574" s="2">
        <v>135</v>
      </c>
      <c r="BF1574" s="2">
        <v>0</v>
      </c>
      <c r="BG1574" s="2">
        <v>162</v>
      </c>
      <c r="BH1574" s="2">
        <v>9.1</v>
      </c>
      <c r="BI1574" s="2">
        <v>9.1999999999999993</v>
      </c>
      <c r="BJ1574" s="2">
        <v>18.3</v>
      </c>
      <c r="BK1574" s="2">
        <v>0.34</v>
      </c>
      <c r="BL1574" s="2">
        <v>7.3</v>
      </c>
      <c r="BM1574" s="2">
        <v>0.9</v>
      </c>
      <c r="BN1574" s="2">
        <v>7.5</v>
      </c>
      <c r="BO1574" s="2">
        <v>2.9</v>
      </c>
      <c r="BP1574" s="2">
        <f t="shared" si="48"/>
        <v>2.1725874540790371</v>
      </c>
      <c r="BQ1574" s="2">
        <f t="shared" si="49"/>
        <v>10.386388684878268</v>
      </c>
    </row>
    <row r="1575" spans="1:69" x14ac:dyDescent="0.2">
      <c r="A1575" s="2" t="s">
        <v>1748</v>
      </c>
      <c r="B1575" s="2" t="s">
        <v>47</v>
      </c>
      <c r="C1575" s="2" t="s">
        <v>48</v>
      </c>
      <c r="D1575" s="2" t="s">
        <v>49</v>
      </c>
      <c r="E1575" s="2" t="s">
        <v>447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89</v>
      </c>
      <c r="L1575" s="6" t="s">
        <v>141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1749</v>
      </c>
      <c r="R1575" s="2">
        <v>5621301.7750000004</v>
      </c>
      <c r="S1575" s="2">
        <v>0</v>
      </c>
      <c r="T1575" s="2" t="s">
        <v>83</v>
      </c>
      <c r="U1575" s="2" t="s">
        <v>84</v>
      </c>
      <c r="V1575" s="2" t="s">
        <v>56</v>
      </c>
      <c r="W1575" s="2" t="s">
        <v>83</v>
      </c>
      <c r="X1575" s="2" t="s">
        <v>85</v>
      </c>
      <c r="Y1575" s="2">
        <v>3.6926772767266001</v>
      </c>
      <c r="Z1575" s="2">
        <v>3692.6772767266002</v>
      </c>
      <c r="AA1575" s="2">
        <v>4.71035</v>
      </c>
      <c r="AB1575" s="2">
        <v>-74.030416666666696</v>
      </c>
      <c r="AC1575" s="2">
        <v>2570</v>
      </c>
      <c r="AD1575" s="2">
        <v>10</v>
      </c>
      <c r="AE1575" s="2" t="s">
        <v>59</v>
      </c>
      <c r="AF1575" s="2" t="s">
        <v>86</v>
      </c>
      <c r="AG1575" s="2" t="s">
        <v>61</v>
      </c>
      <c r="AH1575" s="2" t="s">
        <v>62</v>
      </c>
      <c r="AI1575" s="2" t="s">
        <v>87</v>
      </c>
      <c r="AJ1575" s="2">
        <v>0.53727458193688804</v>
      </c>
      <c r="AK1575" s="2">
        <v>2.3040406064585399</v>
      </c>
      <c r="AL1575" s="2">
        <v>0.34228696439304901</v>
      </c>
      <c r="AM1575" s="2">
        <v>0.114017699059835</v>
      </c>
      <c r="AN1575" s="2">
        <v>3.36625947015354</v>
      </c>
      <c r="AO1575" s="2">
        <v>0.59866600222340804</v>
      </c>
      <c r="AP1575" s="2">
        <v>0.59866600222340804</v>
      </c>
      <c r="AQ1575" s="2">
        <v>0</v>
      </c>
      <c r="AR1575" s="2">
        <v>3</v>
      </c>
      <c r="AS1575" s="2">
        <v>0</v>
      </c>
      <c r="AT1575" s="2">
        <v>0</v>
      </c>
      <c r="AU1575" s="2">
        <v>5</v>
      </c>
      <c r="AV1575" s="2">
        <v>226</v>
      </c>
      <c r="AW1575" s="2">
        <v>0</v>
      </c>
      <c r="AX1575" s="2">
        <v>0</v>
      </c>
      <c r="AY1575" s="2">
        <v>15.5</v>
      </c>
      <c r="AZ1575" s="2">
        <v>2.4</v>
      </c>
      <c r="BA1575" s="2">
        <v>10.9</v>
      </c>
      <c r="BB1575" s="2">
        <v>564</v>
      </c>
      <c r="BC1575" s="2">
        <v>68</v>
      </c>
      <c r="BD1575" s="2">
        <v>1.5</v>
      </c>
      <c r="BE1575" s="2">
        <v>135</v>
      </c>
      <c r="BF1575" s="2">
        <v>0</v>
      </c>
      <c r="BG1575" s="2">
        <v>162</v>
      </c>
      <c r="BH1575" s="2">
        <v>9.1</v>
      </c>
      <c r="BI1575" s="2">
        <v>9.1999999999999993</v>
      </c>
      <c r="BJ1575" s="2">
        <v>18.3</v>
      </c>
      <c r="BK1575" s="2">
        <v>0.34</v>
      </c>
      <c r="BL1575" s="2">
        <v>7.3</v>
      </c>
      <c r="BM1575" s="2">
        <v>0.9</v>
      </c>
      <c r="BN1575" s="2">
        <v>7.5</v>
      </c>
      <c r="BO1575" s="2">
        <v>2.9</v>
      </c>
      <c r="BP1575" s="2">
        <f t="shared" si="48"/>
        <v>1.9990682802848085</v>
      </c>
      <c r="BQ1575" s="2">
        <f t="shared" si="49"/>
        <v>9.9755643198440307</v>
      </c>
    </row>
    <row r="1576" spans="1:69" x14ac:dyDescent="0.2">
      <c r="A1576" s="2" t="s">
        <v>2412</v>
      </c>
      <c r="B1576" s="2" t="s">
        <v>47</v>
      </c>
      <c r="C1576" s="2" t="s">
        <v>1935</v>
      </c>
      <c r="D1576" s="2" t="s">
        <v>49</v>
      </c>
      <c r="E1576" s="2" t="s">
        <v>184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89</v>
      </c>
      <c r="L1576" s="6" t="s">
        <v>141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2413</v>
      </c>
      <c r="R1576" s="2">
        <v>3994082.84</v>
      </c>
      <c r="S1576" s="2">
        <v>0</v>
      </c>
      <c r="T1576" s="2" t="s">
        <v>83</v>
      </c>
      <c r="U1576" s="2" t="s">
        <v>84</v>
      </c>
      <c r="V1576" s="2" t="s">
        <v>56</v>
      </c>
      <c r="W1576" s="2" t="s">
        <v>83</v>
      </c>
      <c r="X1576" s="2" t="s">
        <v>85</v>
      </c>
      <c r="Y1576" s="2">
        <v>1.5170073779915401</v>
      </c>
      <c r="Z1576" s="2">
        <v>1517.0073779915399</v>
      </c>
      <c r="AA1576" s="2">
        <v>4.71035</v>
      </c>
      <c r="AB1576" s="2">
        <v>-74.030416666666696</v>
      </c>
      <c r="AC1576" s="2">
        <v>2570</v>
      </c>
      <c r="AD1576" s="2">
        <v>10</v>
      </c>
      <c r="AE1576" s="2" t="s">
        <v>59</v>
      </c>
      <c r="AF1576" s="2" t="s">
        <v>86</v>
      </c>
      <c r="AG1576" s="2" t="s">
        <v>61</v>
      </c>
      <c r="AH1576" s="2" t="s">
        <v>62</v>
      </c>
      <c r="AI1576" s="2" t="s">
        <v>87</v>
      </c>
      <c r="AJ1576" s="2">
        <v>2.1982740411178598</v>
      </c>
      <c r="AK1576" s="2">
        <v>0.93578655914594899</v>
      </c>
      <c r="AL1576" s="2">
        <v>1.4091109518984299</v>
      </c>
      <c r="AM1576" s="2">
        <v>0.15506161226226001</v>
      </c>
      <c r="AN1576" s="2">
        <v>1.9953099662331</v>
      </c>
      <c r="AO1576" s="2">
        <v>0.21353444803955901</v>
      </c>
      <c r="AP1576" s="2">
        <v>0.21353444803955901</v>
      </c>
      <c r="AQ1576" s="2">
        <v>0</v>
      </c>
      <c r="AR1576" s="2">
        <v>0</v>
      </c>
      <c r="AS1576" s="2">
        <v>0</v>
      </c>
      <c r="AT1576" s="2">
        <v>5</v>
      </c>
      <c r="AU1576" s="2">
        <v>0</v>
      </c>
      <c r="AV1576" s="2">
        <v>17</v>
      </c>
      <c r="AW1576" s="2">
        <v>0</v>
      </c>
      <c r="AX1576" s="2">
        <v>0</v>
      </c>
      <c r="AY1576" s="2">
        <v>15.5</v>
      </c>
      <c r="AZ1576" s="2">
        <v>2.4</v>
      </c>
      <c r="BA1576" s="2">
        <v>10.9</v>
      </c>
      <c r="BB1576" s="2">
        <v>564</v>
      </c>
      <c r="BC1576" s="2">
        <v>68</v>
      </c>
      <c r="BD1576" s="2">
        <v>1.5</v>
      </c>
      <c r="BE1576" s="2">
        <v>135</v>
      </c>
      <c r="BF1576" s="2">
        <v>0</v>
      </c>
      <c r="BG1576" s="2">
        <v>162</v>
      </c>
      <c r="BH1576" s="2">
        <v>9.1</v>
      </c>
      <c r="BI1576" s="2">
        <v>9.1999999999999993</v>
      </c>
      <c r="BJ1576" s="2">
        <v>18.3</v>
      </c>
      <c r="BK1576" s="2">
        <v>0.34</v>
      </c>
      <c r="BL1576" s="2">
        <v>7.3</v>
      </c>
      <c r="BM1576" s="2">
        <v>0.9</v>
      </c>
      <c r="BN1576" s="2">
        <v>7.5</v>
      </c>
      <c r="BO1576" s="2">
        <v>2.9</v>
      </c>
      <c r="BP1576" s="2">
        <f t="shared" si="48"/>
        <v>2.2263798309417848</v>
      </c>
      <c r="BQ1576" s="2">
        <f t="shared" si="49"/>
        <v>10.510288264607517</v>
      </c>
    </row>
    <row r="1577" spans="1:69" x14ac:dyDescent="0.2">
      <c r="A1577" s="2" t="s">
        <v>1191</v>
      </c>
      <c r="B1577" s="2" t="s">
        <v>47</v>
      </c>
      <c r="C1577" s="2" t="s">
        <v>48</v>
      </c>
      <c r="D1577" s="2" t="s">
        <v>49</v>
      </c>
      <c r="E1577" s="2" t="s">
        <v>1146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89</v>
      </c>
      <c r="L1577" s="6" t="s">
        <v>112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1192</v>
      </c>
      <c r="R1577" s="2">
        <v>8476083.2200000007</v>
      </c>
      <c r="S1577" s="2">
        <v>0</v>
      </c>
      <c r="T1577" s="2" t="s">
        <v>83</v>
      </c>
      <c r="U1577" s="2" t="s">
        <v>84</v>
      </c>
      <c r="V1577" s="2" t="s">
        <v>56</v>
      </c>
      <c r="W1577" s="2" t="s">
        <v>83</v>
      </c>
      <c r="X1577" s="2" t="s">
        <v>85</v>
      </c>
      <c r="Y1577" s="2">
        <v>0.66950404996637902</v>
      </c>
      <c r="Z1577" s="2">
        <v>669.50404996637894</v>
      </c>
      <c r="AA1577" s="2">
        <v>4.71035</v>
      </c>
      <c r="AB1577" s="2">
        <v>-74.030416666666696</v>
      </c>
      <c r="AC1577" s="2">
        <v>2570</v>
      </c>
      <c r="AD1577" s="2">
        <v>10</v>
      </c>
      <c r="AE1577" s="2" t="s">
        <v>59</v>
      </c>
      <c r="AF1577" s="2" t="s">
        <v>86</v>
      </c>
      <c r="AG1577" s="2" t="s">
        <v>61</v>
      </c>
      <c r="AH1577" s="2" t="s">
        <v>62</v>
      </c>
      <c r="AI1577" s="2" t="s">
        <v>87</v>
      </c>
      <c r="AJ1577" s="2">
        <v>2.9401445382530502</v>
      </c>
      <c r="AK1577" s="2">
        <v>0.33840107815814102</v>
      </c>
      <c r="AL1577" s="2">
        <v>0.66315981351752595</v>
      </c>
      <c r="AM1577" s="2">
        <v>0.24245311227857699</v>
      </c>
      <c r="AN1577" s="2">
        <v>4.0420400300959001</v>
      </c>
      <c r="AO1577" s="2">
        <v>5.4263039758925102E-2</v>
      </c>
      <c r="AP1577" s="2">
        <v>5.4263039758925102E-2</v>
      </c>
      <c r="AQ1577" s="2">
        <v>0</v>
      </c>
      <c r="AR1577" s="2">
        <v>0</v>
      </c>
      <c r="AS1577" s="2">
        <v>9</v>
      </c>
      <c r="AT1577" s="2">
        <v>35</v>
      </c>
      <c r="AU1577" s="2">
        <v>2</v>
      </c>
      <c r="AV1577" s="2">
        <v>85</v>
      </c>
      <c r="AW1577" s="2">
        <v>0</v>
      </c>
      <c r="AX1577" s="2">
        <v>0</v>
      </c>
      <c r="AY1577" s="2">
        <v>15.5</v>
      </c>
      <c r="AZ1577" s="2">
        <v>2.4</v>
      </c>
      <c r="BA1577" s="2">
        <v>10.9</v>
      </c>
      <c r="BB1577" s="2">
        <v>564</v>
      </c>
      <c r="BC1577" s="2">
        <v>68</v>
      </c>
      <c r="BD1577" s="2">
        <v>1.5</v>
      </c>
      <c r="BE1577" s="2">
        <v>135</v>
      </c>
      <c r="BF1577" s="2">
        <v>0</v>
      </c>
      <c r="BG1577" s="2">
        <v>162</v>
      </c>
      <c r="BH1577" s="2">
        <v>9.1</v>
      </c>
      <c r="BI1577" s="2">
        <v>9.1999999999999993</v>
      </c>
      <c r="BJ1577" s="2">
        <v>18.3</v>
      </c>
      <c r="BK1577" s="2">
        <v>0.34</v>
      </c>
      <c r="BL1577" s="2">
        <v>7.3</v>
      </c>
      <c r="BM1577" s="2">
        <v>0.9</v>
      </c>
      <c r="BN1577" s="2">
        <v>7.5</v>
      </c>
      <c r="BO1577" s="2">
        <v>2.9</v>
      </c>
      <c r="BP1577" s="2">
        <f t="shared" si="48"/>
        <v>2.3217664269189968</v>
      </c>
      <c r="BQ1577" s="2">
        <f t="shared" si="49"/>
        <v>10.726257335649608</v>
      </c>
    </row>
    <row r="1578" spans="1:69" x14ac:dyDescent="0.2">
      <c r="A1578" s="2" t="s">
        <v>1407</v>
      </c>
      <c r="B1578" s="2" t="s">
        <v>47</v>
      </c>
      <c r="C1578" s="2" t="s">
        <v>48</v>
      </c>
      <c r="D1578" s="2" t="s">
        <v>49</v>
      </c>
      <c r="E1578" s="2" t="s">
        <v>1408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89</v>
      </c>
      <c r="L1578" s="6" t="s">
        <v>103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1409</v>
      </c>
      <c r="R1578" s="2">
        <v>7738095.2379999999</v>
      </c>
      <c r="S1578" s="2">
        <v>0</v>
      </c>
      <c r="T1578" s="2" t="s">
        <v>83</v>
      </c>
      <c r="U1578" s="2" t="s">
        <v>84</v>
      </c>
      <c r="V1578" s="2" t="s">
        <v>56</v>
      </c>
      <c r="W1578" s="2" t="s">
        <v>83</v>
      </c>
      <c r="X1578" s="2" t="s">
        <v>85</v>
      </c>
      <c r="Y1578" s="2">
        <v>2.6490750912704599</v>
      </c>
      <c r="Z1578" s="2">
        <v>2649.0750912704598</v>
      </c>
      <c r="AA1578" s="2">
        <v>4.71035</v>
      </c>
      <c r="AB1578" s="2">
        <v>-74.030416666666696</v>
      </c>
      <c r="AC1578" s="2">
        <v>2570</v>
      </c>
      <c r="AD1578" s="2">
        <v>10</v>
      </c>
      <c r="AE1578" s="2" t="s">
        <v>59</v>
      </c>
      <c r="AF1578" s="2" t="s">
        <v>86</v>
      </c>
      <c r="AG1578" s="2" t="s">
        <v>61</v>
      </c>
      <c r="AH1578" s="2" t="s">
        <v>62</v>
      </c>
      <c r="AI1578" s="2" t="s">
        <v>87</v>
      </c>
      <c r="AJ1578" s="2">
        <v>0.485950192016955</v>
      </c>
      <c r="AK1578" s="2">
        <v>2.70338374317098</v>
      </c>
      <c r="AL1578" s="2">
        <v>0.55136558605222397</v>
      </c>
      <c r="AM1578" s="2">
        <v>7.4202768215661699E-2</v>
      </c>
      <c r="AN1578" s="2">
        <v>4.3598991485024001</v>
      </c>
      <c r="AO1578" s="2">
        <v>0.344431958592337</v>
      </c>
      <c r="AP1578" s="2">
        <v>0.344431958592337</v>
      </c>
      <c r="AQ1578" s="2">
        <v>1</v>
      </c>
      <c r="AR1578" s="2">
        <v>3</v>
      </c>
      <c r="AS1578" s="2">
        <v>0</v>
      </c>
      <c r="AT1578" s="2">
        <v>0</v>
      </c>
      <c r="AU1578" s="2">
        <v>1</v>
      </c>
      <c r="AV1578" s="2">
        <v>194</v>
      </c>
      <c r="AW1578" s="2">
        <v>0</v>
      </c>
      <c r="AX1578" s="2">
        <v>0</v>
      </c>
      <c r="AY1578" s="2">
        <v>15.5</v>
      </c>
      <c r="AZ1578" s="2">
        <v>2.4</v>
      </c>
      <c r="BA1578" s="2">
        <v>10.9</v>
      </c>
      <c r="BB1578" s="2">
        <v>564</v>
      </c>
      <c r="BC1578" s="2">
        <v>68</v>
      </c>
      <c r="BD1578" s="2">
        <v>1.5</v>
      </c>
      <c r="BE1578" s="2">
        <v>135</v>
      </c>
      <c r="BF1578" s="2">
        <v>0</v>
      </c>
      <c r="BG1578" s="2">
        <v>162</v>
      </c>
      <c r="BH1578" s="2">
        <v>9.1</v>
      </c>
      <c r="BI1578" s="2">
        <v>9.1999999999999993</v>
      </c>
      <c r="BJ1578" s="2">
        <v>18.3</v>
      </c>
      <c r="BK1578" s="2">
        <v>0.34</v>
      </c>
      <c r="BL1578" s="2">
        <v>7.3</v>
      </c>
      <c r="BM1578" s="2">
        <v>0.9</v>
      </c>
      <c r="BN1578" s="2">
        <v>7.5</v>
      </c>
      <c r="BO1578" s="2">
        <v>2.9</v>
      </c>
      <c r="BP1578" s="2">
        <f t="shared" si="48"/>
        <v>2.1050506325984455</v>
      </c>
      <c r="BQ1578" s="2">
        <f t="shared" si="49"/>
        <v>10.228572064106555</v>
      </c>
    </row>
    <row r="1579" spans="1:69" x14ac:dyDescent="0.2">
      <c r="A1579" s="2" t="s">
        <v>1351</v>
      </c>
      <c r="B1579" s="2" t="s">
        <v>47</v>
      </c>
      <c r="C1579" s="2" t="s">
        <v>48</v>
      </c>
      <c r="D1579" s="2" t="s">
        <v>49</v>
      </c>
      <c r="E1579" s="2" t="s">
        <v>565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89</v>
      </c>
      <c r="L1579" s="6" t="s">
        <v>103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1352</v>
      </c>
      <c r="R1579" s="2">
        <v>10476190.48</v>
      </c>
      <c r="S1579" s="2">
        <v>0</v>
      </c>
      <c r="T1579" s="2" t="s">
        <v>83</v>
      </c>
      <c r="U1579" s="2" t="s">
        <v>84</v>
      </c>
      <c r="V1579" s="2" t="s">
        <v>56</v>
      </c>
      <c r="W1579" s="2" t="s">
        <v>83</v>
      </c>
      <c r="X1579" s="2" t="s">
        <v>85</v>
      </c>
      <c r="Y1579" s="2">
        <v>2.0622709538810602</v>
      </c>
      <c r="Z1579" s="2">
        <v>2062.27095388106</v>
      </c>
      <c r="AA1579" s="2">
        <v>4.71035</v>
      </c>
      <c r="AB1579" s="2">
        <v>-74.030416666666696</v>
      </c>
      <c r="AC1579" s="2">
        <v>2570</v>
      </c>
      <c r="AD1579" s="2">
        <v>10</v>
      </c>
      <c r="AE1579" s="2" t="s">
        <v>59</v>
      </c>
      <c r="AF1579" s="2" t="s">
        <v>86</v>
      </c>
      <c r="AG1579" s="2" t="s">
        <v>61</v>
      </c>
      <c r="AH1579" s="2" t="s">
        <v>62</v>
      </c>
      <c r="AI1579" s="2" t="s">
        <v>87</v>
      </c>
      <c r="AJ1579" s="2">
        <v>0.54733447544535596</v>
      </c>
      <c r="AK1579" s="2">
        <v>2.6600067683248101</v>
      </c>
      <c r="AL1579" s="2">
        <v>1.79781167158122</v>
      </c>
      <c r="AM1579" s="2">
        <v>0.31006017607719299</v>
      </c>
      <c r="AN1579" s="2">
        <v>4.16838379656987</v>
      </c>
      <c r="AO1579" s="2">
        <v>0.17659563010361901</v>
      </c>
      <c r="AP1579" s="2">
        <v>0.17659563010361901</v>
      </c>
      <c r="AQ1579" s="2">
        <v>0</v>
      </c>
      <c r="AR1579" s="2">
        <v>2</v>
      </c>
      <c r="AS1579" s="2">
        <v>0</v>
      </c>
      <c r="AT1579" s="2">
        <v>0</v>
      </c>
      <c r="AU1579" s="2">
        <v>0</v>
      </c>
      <c r="AV1579" s="2">
        <v>101</v>
      </c>
      <c r="AW1579" s="2">
        <v>0</v>
      </c>
      <c r="AX1579" s="2">
        <v>0</v>
      </c>
      <c r="AY1579" s="2">
        <v>15.5</v>
      </c>
      <c r="AZ1579" s="2">
        <v>2.4</v>
      </c>
      <c r="BA1579" s="2">
        <v>10.9</v>
      </c>
      <c r="BB1579" s="2">
        <v>564</v>
      </c>
      <c r="BC1579" s="2">
        <v>68</v>
      </c>
      <c r="BD1579" s="2">
        <v>1.5</v>
      </c>
      <c r="BE1579" s="2">
        <v>135</v>
      </c>
      <c r="BF1579" s="2">
        <v>0</v>
      </c>
      <c r="BG1579" s="2">
        <v>162</v>
      </c>
      <c r="BH1579" s="2">
        <v>9.1</v>
      </c>
      <c r="BI1579" s="2">
        <v>9.1999999999999993</v>
      </c>
      <c r="BJ1579" s="2">
        <v>18.3</v>
      </c>
      <c r="BK1579" s="2">
        <v>0.34</v>
      </c>
      <c r="BL1579" s="2">
        <v>7.3</v>
      </c>
      <c r="BM1579" s="2">
        <v>0.9</v>
      </c>
      <c r="BN1579" s="2">
        <v>7.5</v>
      </c>
      <c r="BO1579" s="2">
        <v>2.9</v>
      </c>
      <c r="BP1579" s="2">
        <f t="shared" si="48"/>
        <v>2.1670923217629783</v>
      </c>
      <c r="BQ1579" s="2">
        <f t="shared" si="49"/>
        <v>10.37364324855611</v>
      </c>
    </row>
    <row r="1580" spans="1:69" x14ac:dyDescent="0.2">
      <c r="A1580" s="2" t="s">
        <v>466</v>
      </c>
      <c r="B1580" s="2" t="s">
        <v>47</v>
      </c>
      <c r="C1580" s="2" t="s">
        <v>48</v>
      </c>
      <c r="D1580" s="2" t="s">
        <v>49</v>
      </c>
      <c r="E1580" s="2" t="s">
        <v>447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89</v>
      </c>
      <c r="L1580" s="6" t="s">
        <v>141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467</v>
      </c>
      <c r="R1580" s="2">
        <v>5269461.0779999997</v>
      </c>
      <c r="S1580" s="2">
        <v>0</v>
      </c>
      <c r="T1580" s="2" t="s">
        <v>83</v>
      </c>
      <c r="U1580" s="2" t="s">
        <v>84</v>
      </c>
      <c r="V1580" s="2" t="s">
        <v>56</v>
      </c>
      <c r="W1580" s="2" t="s">
        <v>83</v>
      </c>
      <c r="X1580" s="2" t="s">
        <v>85</v>
      </c>
      <c r="Y1580" s="2">
        <v>3.69281074870857</v>
      </c>
      <c r="Z1580" s="2">
        <v>3692.8107487085699</v>
      </c>
      <c r="AA1580" s="2">
        <v>4.71035</v>
      </c>
      <c r="AB1580" s="2">
        <v>-74.030416666666696</v>
      </c>
      <c r="AC1580" s="2">
        <v>2570</v>
      </c>
      <c r="AD1580" s="2">
        <v>10</v>
      </c>
      <c r="AE1580" s="2" t="s">
        <v>59</v>
      </c>
      <c r="AF1580" s="2" t="s">
        <v>86</v>
      </c>
      <c r="AG1580" s="2" t="s">
        <v>61</v>
      </c>
      <c r="AH1580" s="2" t="s">
        <v>62</v>
      </c>
      <c r="AI1580" s="2" t="s">
        <v>87</v>
      </c>
      <c r="AJ1580" s="2">
        <v>0.52635650746811502</v>
      </c>
      <c r="AK1580" s="2">
        <v>2.2325653579127702</v>
      </c>
      <c r="AL1580" s="2">
        <v>0.27047910090509297</v>
      </c>
      <c r="AM1580" s="2">
        <v>7.8194798553494593E-2</v>
      </c>
      <c r="AN1580" s="2">
        <v>3.38605729377075</v>
      </c>
      <c r="AO1580" s="2">
        <v>0.59026169343788404</v>
      </c>
      <c r="AP1580" s="2">
        <v>0.59026169343788404</v>
      </c>
      <c r="AQ1580" s="2">
        <v>0</v>
      </c>
      <c r="AR1580" s="2">
        <v>2</v>
      </c>
      <c r="AS1580" s="2">
        <v>0</v>
      </c>
      <c r="AT1580" s="2">
        <v>0</v>
      </c>
      <c r="AU1580" s="2">
        <v>5</v>
      </c>
      <c r="AV1580" s="2">
        <v>232</v>
      </c>
      <c r="AW1580" s="2">
        <v>0</v>
      </c>
      <c r="AX1580" s="2">
        <v>0</v>
      </c>
      <c r="AY1580" s="2">
        <v>15.5</v>
      </c>
      <c r="AZ1580" s="2">
        <v>2.4</v>
      </c>
      <c r="BA1580" s="2">
        <v>10.9</v>
      </c>
      <c r="BB1580" s="2">
        <v>564</v>
      </c>
      <c r="BC1580" s="2">
        <v>68</v>
      </c>
      <c r="BD1580" s="2">
        <v>1.5</v>
      </c>
      <c r="BE1580" s="2">
        <v>135</v>
      </c>
      <c r="BF1580" s="2">
        <v>0</v>
      </c>
      <c r="BG1580" s="2">
        <v>162</v>
      </c>
      <c r="BH1580" s="2">
        <v>9.1</v>
      </c>
      <c r="BI1580" s="2">
        <v>9.1999999999999993</v>
      </c>
      <c r="BJ1580" s="2">
        <v>18.3</v>
      </c>
      <c r="BK1580" s="2">
        <v>0.34</v>
      </c>
      <c r="BL1580" s="2">
        <v>7.3</v>
      </c>
      <c r="BM1580" s="2">
        <v>0.9</v>
      </c>
      <c r="BN1580" s="2">
        <v>7.5</v>
      </c>
      <c r="BO1580" s="2">
        <v>2.9</v>
      </c>
      <c r="BP1580" s="2">
        <f t="shared" si="48"/>
        <v>1.9990550727579683</v>
      </c>
      <c r="BQ1580" s="2">
        <f t="shared" si="49"/>
        <v>9.9755323648950274</v>
      </c>
    </row>
    <row r="1581" spans="1:69" x14ac:dyDescent="0.2">
      <c r="A1581" s="2" t="s">
        <v>1671</v>
      </c>
      <c r="B1581" s="2" t="s">
        <v>47</v>
      </c>
      <c r="C1581" s="2" t="s">
        <v>48</v>
      </c>
      <c r="D1581" s="2" t="s">
        <v>49</v>
      </c>
      <c r="E1581" s="2" t="s">
        <v>214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89</v>
      </c>
      <c r="L1581" s="6" t="s">
        <v>103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1672</v>
      </c>
      <c r="R1581" s="2">
        <v>8083832.335</v>
      </c>
      <c r="S1581" s="2">
        <v>0</v>
      </c>
      <c r="T1581" s="2" t="s">
        <v>83</v>
      </c>
      <c r="U1581" s="2" t="s">
        <v>84</v>
      </c>
      <c r="V1581" s="2" t="s">
        <v>56</v>
      </c>
      <c r="W1581" s="2" t="s">
        <v>83</v>
      </c>
      <c r="X1581" s="2" t="s">
        <v>85</v>
      </c>
      <c r="Y1581" s="2">
        <v>1.6704671233866</v>
      </c>
      <c r="Z1581" s="2">
        <v>1670.4671233866</v>
      </c>
      <c r="AA1581" s="2">
        <v>4.71035</v>
      </c>
      <c r="AB1581" s="2">
        <v>-74.030416666666696</v>
      </c>
      <c r="AC1581" s="2">
        <v>2570</v>
      </c>
      <c r="AD1581" s="2">
        <v>10</v>
      </c>
      <c r="AE1581" s="2" t="s">
        <v>59</v>
      </c>
      <c r="AF1581" s="2" t="s">
        <v>86</v>
      </c>
      <c r="AG1581" s="2" t="s">
        <v>61</v>
      </c>
      <c r="AH1581" s="2" t="s">
        <v>62</v>
      </c>
      <c r="AI1581" s="2" t="s">
        <v>87</v>
      </c>
      <c r="AJ1581" s="2">
        <v>1.0725190863846299</v>
      </c>
      <c r="AK1581" s="2">
        <v>2.1320884538753999</v>
      </c>
      <c r="AL1581" s="2">
        <v>1.40962425513856</v>
      </c>
      <c r="AM1581" s="2">
        <v>0.151773865502349</v>
      </c>
      <c r="AN1581" s="2">
        <v>4.4733303838415699</v>
      </c>
      <c r="AO1581" s="2">
        <v>0.42843138808178399</v>
      </c>
      <c r="AP1581" s="2">
        <v>0.42843138808178399</v>
      </c>
      <c r="AQ1581" s="2">
        <v>0</v>
      </c>
      <c r="AR1581" s="2">
        <v>0</v>
      </c>
      <c r="AS1581" s="2">
        <v>0</v>
      </c>
      <c r="AT1581" s="2">
        <v>0</v>
      </c>
      <c r="AU1581" s="2">
        <v>0</v>
      </c>
      <c r="AV1581" s="2">
        <v>147</v>
      </c>
      <c r="AW1581" s="2">
        <v>0</v>
      </c>
      <c r="AX1581" s="2">
        <v>0</v>
      </c>
      <c r="AY1581" s="2">
        <v>15.5</v>
      </c>
      <c r="AZ1581" s="2">
        <v>2.4</v>
      </c>
      <c r="BA1581" s="2">
        <v>10.9</v>
      </c>
      <c r="BB1581" s="2">
        <v>564</v>
      </c>
      <c r="BC1581" s="2">
        <v>68</v>
      </c>
      <c r="BD1581" s="2">
        <v>1.5</v>
      </c>
      <c r="BE1581" s="2">
        <v>135</v>
      </c>
      <c r="BF1581" s="2">
        <v>0</v>
      </c>
      <c r="BG1581" s="2">
        <v>162</v>
      </c>
      <c r="BH1581" s="2">
        <v>9.1</v>
      </c>
      <c r="BI1581" s="2">
        <v>9.1999999999999993</v>
      </c>
      <c r="BJ1581" s="2">
        <v>18.3</v>
      </c>
      <c r="BK1581" s="2">
        <v>0.34</v>
      </c>
      <c r="BL1581" s="2">
        <v>7.3</v>
      </c>
      <c r="BM1581" s="2">
        <v>0.9</v>
      </c>
      <c r="BN1581" s="2">
        <v>7.5</v>
      </c>
      <c r="BO1581" s="2">
        <v>2.9</v>
      </c>
      <c r="BP1581" s="2">
        <f t="shared" si="48"/>
        <v>2.2095317488818313</v>
      </c>
      <c r="BQ1581" s="2">
        <f t="shared" si="49"/>
        <v>10.47164971396329</v>
      </c>
    </row>
    <row r="1582" spans="1:69" x14ac:dyDescent="0.2">
      <c r="A1582" s="2" t="s">
        <v>1577</v>
      </c>
      <c r="B1582" s="2" t="s">
        <v>47</v>
      </c>
      <c r="C1582" s="2" t="s">
        <v>48</v>
      </c>
      <c r="D1582" s="2" t="s">
        <v>49</v>
      </c>
      <c r="E1582" s="2" t="s">
        <v>316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89</v>
      </c>
      <c r="L1582" s="6" t="s">
        <v>103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1578</v>
      </c>
      <c r="R1582" s="2">
        <v>9552599.7579999994</v>
      </c>
      <c r="S1582" s="2">
        <v>0</v>
      </c>
      <c r="T1582" s="2" t="s">
        <v>83</v>
      </c>
      <c r="U1582" s="2" t="s">
        <v>84</v>
      </c>
      <c r="V1582" s="2" t="s">
        <v>56</v>
      </c>
      <c r="W1582" s="2" t="s">
        <v>83</v>
      </c>
      <c r="X1582" s="2" t="s">
        <v>85</v>
      </c>
      <c r="Y1582" s="2">
        <v>1.95421742554672</v>
      </c>
      <c r="Z1582" s="2">
        <v>1954.2174255467201</v>
      </c>
      <c r="AA1582" s="2">
        <v>4.71035</v>
      </c>
      <c r="AB1582" s="2">
        <v>-74.030416666666696</v>
      </c>
      <c r="AC1582" s="2">
        <v>2570</v>
      </c>
      <c r="AD1582" s="2">
        <v>10</v>
      </c>
      <c r="AE1582" s="2" t="s">
        <v>59</v>
      </c>
      <c r="AF1582" s="2" t="s">
        <v>86</v>
      </c>
      <c r="AG1582" s="2" t="s">
        <v>61</v>
      </c>
      <c r="AH1582" s="2" t="s">
        <v>62</v>
      </c>
      <c r="AI1582" s="2" t="s">
        <v>87</v>
      </c>
      <c r="AJ1582" s="2">
        <v>0.94612520408614498</v>
      </c>
      <c r="AK1582" s="2">
        <v>2.2606120531348899</v>
      </c>
      <c r="AL1582" s="2">
        <v>1.0748034964586</v>
      </c>
      <c r="AM1582" s="2">
        <v>8.42126418341477E-2</v>
      </c>
      <c r="AN1582" s="2">
        <v>4.8421329089681304</v>
      </c>
      <c r="AO1582" s="2">
        <v>0.106998331846606</v>
      </c>
      <c r="AP1582" s="2">
        <v>0.106998331846606</v>
      </c>
      <c r="AQ1582" s="2">
        <v>0</v>
      </c>
      <c r="AR1582" s="2">
        <v>1</v>
      </c>
      <c r="AS1582" s="2">
        <v>0</v>
      </c>
      <c r="AT1582" s="2">
        <v>0</v>
      </c>
      <c r="AU1582" s="2">
        <v>0</v>
      </c>
      <c r="AV1582" s="2">
        <v>176</v>
      </c>
      <c r="AW1582" s="2">
        <v>0</v>
      </c>
      <c r="AX1582" s="2">
        <v>0</v>
      </c>
      <c r="AY1582" s="2">
        <v>15.5</v>
      </c>
      <c r="AZ1582" s="2">
        <v>2.4</v>
      </c>
      <c r="BA1582" s="2">
        <v>10.9</v>
      </c>
      <c r="BB1582" s="2">
        <v>564</v>
      </c>
      <c r="BC1582" s="2">
        <v>68</v>
      </c>
      <c r="BD1582" s="2">
        <v>1.5</v>
      </c>
      <c r="BE1582" s="2">
        <v>135</v>
      </c>
      <c r="BF1582" s="2">
        <v>0</v>
      </c>
      <c r="BG1582" s="2">
        <v>162</v>
      </c>
      <c r="BH1582" s="2">
        <v>9.1</v>
      </c>
      <c r="BI1582" s="2">
        <v>9.1999999999999993</v>
      </c>
      <c r="BJ1582" s="2">
        <v>18.3</v>
      </c>
      <c r="BK1582" s="2">
        <v>0.34</v>
      </c>
      <c r="BL1582" s="2">
        <v>7.3</v>
      </c>
      <c r="BM1582" s="2">
        <v>0.9</v>
      </c>
      <c r="BN1582" s="2">
        <v>7.5</v>
      </c>
      <c r="BO1582" s="2">
        <v>2.9</v>
      </c>
      <c r="BP1582" s="2">
        <f t="shared" si="48"/>
        <v>2.1787143928429855</v>
      </c>
      <c r="BQ1582" s="2">
        <f t="shared" si="49"/>
        <v>10.400579970867209</v>
      </c>
    </row>
    <row r="1583" spans="1:69" x14ac:dyDescent="0.2">
      <c r="A1583" s="2" t="s">
        <v>353</v>
      </c>
      <c r="B1583" s="2" t="s">
        <v>47</v>
      </c>
      <c r="C1583" s="2" t="s">
        <v>48</v>
      </c>
      <c r="D1583" s="2" t="s">
        <v>49</v>
      </c>
      <c r="E1583" s="2" t="s">
        <v>354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89</v>
      </c>
      <c r="L1583" s="6" t="s">
        <v>141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355</v>
      </c>
      <c r="R1583" s="2">
        <v>7040536.4220000003</v>
      </c>
      <c r="S1583" s="2">
        <v>0</v>
      </c>
      <c r="T1583" s="2" t="s">
        <v>83</v>
      </c>
      <c r="U1583" s="2" t="s">
        <v>84</v>
      </c>
      <c r="V1583" s="2" t="s">
        <v>56</v>
      </c>
      <c r="W1583" s="2" t="s">
        <v>83</v>
      </c>
      <c r="X1583" s="2" t="s">
        <v>85</v>
      </c>
      <c r="Y1583" s="2">
        <v>2.7435595781936</v>
      </c>
      <c r="Z1583" s="2">
        <v>2743.5595781935999</v>
      </c>
      <c r="AA1583" s="2">
        <v>4.71035</v>
      </c>
      <c r="AB1583" s="2">
        <v>-74.030416666666696</v>
      </c>
      <c r="AC1583" s="2">
        <v>2570</v>
      </c>
      <c r="AD1583" s="2">
        <v>10</v>
      </c>
      <c r="AE1583" s="2" t="s">
        <v>59</v>
      </c>
      <c r="AF1583" s="2" t="s">
        <v>86</v>
      </c>
      <c r="AG1583" s="2" t="s">
        <v>61</v>
      </c>
      <c r="AH1583" s="2" t="s">
        <v>62</v>
      </c>
      <c r="AI1583" s="2" t="s">
        <v>87</v>
      </c>
      <c r="AJ1583" s="2">
        <v>1.5215556755117099</v>
      </c>
      <c r="AK1583" s="2">
        <v>1.37996449921632</v>
      </c>
      <c r="AL1583" s="2">
        <v>0.85269684518358102</v>
      </c>
      <c r="AM1583" s="2">
        <v>0.15482689729106999</v>
      </c>
      <c r="AN1583" s="2">
        <v>4.6292950736595904</v>
      </c>
      <c r="AO1583" s="2">
        <v>6.3984885124611004E-3</v>
      </c>
      <c r="AP1583" s="2">
        <v>6.3984885124611004E-3</v>
      </c>
      <c r="AQ1583" s="2">
        <v>0</v>
      </c>
      <c r="AR1583" s="2">
        <v>0</v>
      </c>
      <c r="AS1583" s="2">
        <v>0</v>
      </c>
      <c r="AT1583" s="2">
        <v>0</v>
      </c>
      <c r="AU1583" s="2">
        <v>5</v>
      </c>
      <c r="AV1583" s="2">
        <v>102</v>
      </c>
      <c r="AW1583" s="2">
        <v>0</v>
      </c>
      <c r="AX1583" s="2">
        <v>0</v>
      </c>
      <c r="AY1583" s="2">
        <v>15.5</v>
      </c>
      <c r="AZ1583" s="2">
        <v>2.4</v>
      </c>
      <c r="BA1583" s="2">
        <v>10.9</v>
      </c>
      <c r="BB1583" s="2">
        <v>564</v>
      </c>
      <c r="BC1583" s="2">
        <v>68</v>
      </c>
      <c r="BD1583" s="2">
        <v>1.5</v>
      </c>
      <c r="BE1583" s="2">
        <v>135</v>
      </c>
      <c r="BF1583" s="2">
        <v>0</v>
      </c>
      <c r="BG1583" s="2">
        <v>162</v>
      </c>
      <c r="BH1583" s="2">
        <v>9.1</v>
      </c>
      <c r="BI1583" s="2">
        <v>9.1999999999999993</v>
      </c>
      <c r="BJ1583" s="2">
        <v>18.3</v>
      </c>
      <c r="BK1583" s="2">
        <v>0.34</v>
      </c>
      <c r="BL1583" s="2">
        <v>7.3</v>
      </c>
      <c r="BM1583" s="2">
        <v>0.9</v>
      </c>
      <c r="BN1583" s="2">
        <v>7.5</v>
      </c>
      <c r="BO1583" s="2">
        <v>2.9</v>
      </c>
      <c r="BP1583" s="2">
        <f t="shared" si="48"/>
        <v>2.0952283357223989</v>
      </c>
      <c r="BQ1583" s="2">
        <f t="shared" si="49"/>
        <v>10.205403749387983</v>
      </c>
    </row>
    <row r="1584" spans="1:69" x14ac:dyDescent="0.2">
      <c r="A1584" s="2" t="s">
        <v>227</v>
      </c>
      <c r="B1584" s="2" t="s">
        <v>47</v>
      </c>
      <c r="C1584" s="2" t="s">
        <v>48</v>
      </c>
      <c r="D1584" s="2" t="s">
        <v>49</v>
      </c>
      <c r="E1584" s="2" t="s">
        <v>175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89</v>
      </c>
      <c r="L1584" s="6" t="s">
        <v>112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228</v>
      </c>
      <c r="R1584" s="2">
        <v>12804878.050000001</v>
      </c>
      <c r="S1584" s="2">
        <v>0</v>
      </c>
      <c r="T1584" s="2" t="s">
        <v>83</v>
      </c>
      <c r="U1584" s="2" t="s">
        <v>84</v>
      </c>
      <c r="V1584" s="2" t="s">
        <v>56</v>
      </c>
      <c r="W1584" s="2" t="s">
        <v>83</v>
      </c>
      <c r="X1584" s="2" t="s">
        <v>85</v>
      </c>
      <c r="Y1584" s="2">
        <v>3.7281121927329499</v>
      </c>
      <c r="Z1584" s="2">
        <v>3728.11219273295</v>
      </c>
      <c r="AA1584" s="2">
        <v>4.71035</v>
      </c>
      <c r="AB1584" s="2">
        <v>-74.030416666666696</v>
      </c>
      <c r="AC1584" s="2">
        <v>2570</v>
      </c>
      <c r="AD1584" s="2">
        <v>10</v>
      </c>
      <c r="AE1584" s="2" t="s">
        <v>59</v>
      </c>
      <c r="AF1584" s="2" t="s">
        <v>86</v>
      </c>
      <c r="AG1584" s="2" t="s">
        <v>61</v>
      </c>
      <c r="AH1584" s="2" t="s">
        <v>62</v>
      </c>
      <c r="AI1584" s="2" t="s">
        <v>109</v>
      </c>
      <c r="AJ1584" s="2">
        <v>1.77305697017486</v>
      </c>
      <c r="AK1584" s="2">
        <v>0.625637225004127</v>
      </c>
      <c r="AL1584" s="2">
        <v>0.51263436416497599</v>
      </c>
      <c r="AM1584" s="2">
        <v>0.157404651282081</v>
      </c>
      <c r="AN1584" s="2">
        <v>4.4062817542903696</v>
      </c>
      <c r="AO1584" s="2">
        <v>0.93393194809634394</v>
      </c>
      <c r="AP1584" s="2">
        <v>0.93393194809634394</v>
      </c>
      <c r="AQ1584" s="2">
        <v>0</v>
      </c>
      <c r="AR1584" s="2">
        <v>0</v>
      </c>
      <c r="AS1584" s="2">
        <v>0</v>
      </c>
      <c r="AT1584" s="2">
        <v>6</v>
      </c>
      <c r="AU1584" s="2">
        <v>3</v>
      </c>
      <c r="AV1584" s="2">
        <v>78</v>
      </c>
      <c r="AW1584" s="2">
        <v>0</v>
      </c>
      <c r="AX1584" s="2">
        <v>0</v>
      </c>
      <c r="AY1584" s="2">
        <v>15.5</v>
      </c>
      <c r="AZ1584" s="2">
        <v>2.4</v>
      </c>
      <c r="BA1584" s="2">
        <v>10.9</v>
      </c>
      <c r="BB1584" s="2">
        <v>564</v>
      </c>
      <c r="BC1584" s="2">
        <v>68</v>
      </c>
      <c r="BD1584" s="2">
        <v>1.5</v>
      </c>
      <c r="BE1584" s="2">
        <v>135</v>
      </c>
      <c r="BF1584" s="2">
        <v>0</v>
      </c>
      <c r="BG1584" s="2">
        <v>162</v>
      </c>
      <c r="BH1584" s="2">
        <v>9.1</v>
      </c>
      <c r="BI1584" s="2">
        <v>9.1999999999999993</v>
      </c>
      <c r="BJ1584" s="2">
        <v>18.3</v>
      </c>
      <c r="BK1584" s="2">
        <v>0.34</v>
      </c>
      <c r="BL1584" s="2">
        <v>7.3</v>
      </c>
      <c r="BM1584" s="2">
        <v>0.9</v>
      </c>
      <c r="BN1584" s="2">
        <v>7.5</v>
      </c>
      <c r="BO1584" s="2">
        <v>2.9</v>
      </c>
      <c r="BP1584" s="2">
        <f t="shared" si="48"/>
        <v>1.995564931247924</v>
      </c>
      <c r="BQ1584" s="2">
        <f t="shared" si="49"/>
        <v>9.9670843273980143</v>
      </c>
    </row>
    <row r="1585" spans="1:69" x14ac:dyDescent="0.2">
      <c r="A1585" s="2" t="s">
        <v>1356</v>
      </c>
      <c r="B1585" s="2" t="s">
        <v>47</v>
      </c>
      <c r="C1585" s="2" t="s">
        <v>48</v>
      </c>
      <c r="D1585" s="2" t="s">
        <v>49</v>
      </c>
      <c r="E1585" s="2" t="s">
        <v>447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89</v>
      </c>
      <c r="L1585" s="6" t="s">
        <v>141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1357</v>
      </c>
      <c r="R1585" s="2">
        <v>6067073.1710000001</v>
      </c>
      <c r="S1585" s="2">
        <v>0</v>
      </c>
      <c r="T1585" s="2" t="s">
        <v>83</v>
      </c>
      <c r="U1585" s="2" t="s">
        <v>84</v>
      </c>
      <c r="V1585" s="2" t="s">
        <v>56</v>
      </c>
      <c r="W1585" s="2" t="s">
        <v>83</v>
      </c>
      <c r="X1585" s="2" t="s">
        <v>85</v>
      </c>
      <c r="Y1585" s="2">
        <v>3.3993002995377202</v>
      </c>
      <c r="Z1585" s="2">
        <v>3399.3002995377201</v>
      </c>
      <c r="AA1585" s="2">
        <v>4.71035</v>
      </c>
      <c r="AB1585" s="2">
        <v>-74.030416666666696</v>
      </c>
      <c r="AC1585" s="2">
        <v>2570</v>
      </c>
      <c r="AD1585" s="2">
        <v>10</v>
      </c>
      <c r="AE1585" s="2" t="s">
        <v>59</v>
      </c>
      <c r="AF1585" s="2" t="s">
        <v>86</v>
      </c>
      <c r="AG1585" s="2" t="s">
        <v>61</v>
      </c>
      <c r="AH1585" s="2" t="s">
        <v>62</v>
      </c>
      <c r="AI1585" s="2" t="s">
        <v>87</v>
      </c>
      <c r="AJ1585" s="2">
        <v>0.32142779162507201</v>
      </c>
      <c r="AK1585" s="2">
        <v>2.40026520413261</v>
      </c>
      <c r="AL1585" s="2">
        <v>0.48392689249353799</v>
      </c>
      <c r="AM1585" s="2">
        <v>6.2769506525338206E-2</v>
      </c>
      <c r="AN1585" s="2">
        <v>3.61594624219078</v>
      </c>
      <c r="AO1585" s="2">
        <v>0.25873299376519798</v>
      </c>
      <c r="AP1585" s="2">
        <v>0.25873299376519798</v>
      </c>
      <c r="AQ1585" s="2">
        <v>1</v>
      </c>
      <c r="AR1585" s="2">
        <v>3</v>
      </c>
      <c r="AS1585" s="2">
        <v>0</v>
      </c>
      <c r="AT1585" s="2">
        <v>0</v>
      </c>
      <c r="AU1585" s="2">
        <v>5</v>
      </c>
      <c r="AV1585" s="2">
        <v>189</v>
      </c>
      <c r="AW1585" s="2">
        <v>0</v>
      </c>
      <c r="AX1585" s="2">
        <v>0</v>
      </c>
      <c r="AY1585" s="2">
        <v>15.5</v>
      </c>
      <c r="AZ1585" s="2">
        <v>2.4</v>
      </c>
      <c r="BA1585" s="2">
        <v>10.9</v>
      </c>
      <c r="BB1585" s="2">
        <v>564</v>
      </c>
      <c r="BC1585" s="2">
        <v>68</v>
      </c>
      <c r="BD1585" s="2">
        <v>1.5</v>
      </c>
      <c r="BE1585" s="2">
        <v>135</v>
      </c>
      <c r="BF1585" s="2">
        <v>0</v>
      </c>
      <c r="BG1585" s="2">
        <v>162</v>
      </c>
      <c r="BH1585" s="2">
        <v>9.1</v>
      </c>
      <c r="BI1585" s="2">
        <v>9.1999999999999993</v>
      </c>
      <c r="BJ1585" s="2">
        <v>18.3</v>
      </c>
      <c r="BK1585" s="2">
        <v>0.34</v>
      </c>
      <c r="BL1585" s="2">
        <v>7.3</v>
      </c>
      <c r="BM1585" s="2">
        <v>0.9</v>
      </c>
      <c r="BN1585" s="2">
        <v>7.5</v>
      </c>
      <c r="BO1585" s="2">
        <v>2.9</v>
      </c>
      <c r="BP1585" s="2">
        <f t="shared" si="48"/>
        <v>2.0283108894530471</v>
      </c>
      <c r="BQ1585" s="2">
        <f t="shared" si="49"/>
        <v>10.046050598999868</v>
      </c>
    </row>
    <row r="1586" spans="1:69" x14ac:dyDescent="0.2">
      <c r="A1586" s="2" t="s">
        <v>1469</v>
      </c>
      <c r="B1586" s="2" t="s">
        <v>47</v>
      </c>
      <c r="C1586" s="2" t="s">
        <v>48</v>
      </c>
      <c r="D1586" s="2" t="s">
        <v>49</v>
      </c>
      <c r="E1586" s="2" t="s">
        <v>169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89</v>
      </c>
      <c r="L1586" s="6" t="s">
        <v>141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1470</v>
      </c>
      <c r="R1586" s="2">
        <v>5914634.1459999997</v>
      </c>
      <c r="S1586" s="2">
        <v>0</v>
      </c>
      <c r="T1586" s="2" t="s">
        <v>83</v>
      </c>
      <c r="U1586" s="2" t="s">
        <v>84</v>
      </c>
      <c r="V1586" s="2" t="s">
        <v>56</v>
      </c>
      <c r="W1586" s="2" t="s">
        <v>83</v>
      </c>
      <c r="X1586" s="2" t="s">
        <v>85</v>
      </c>
      <c r="Y1586" s="2">
        <v>3.06867762550629</v>
      </c>
      <c r="Z1586" s="2">
        <v>3068.67762550629</v>
      </c>
      <c r="AA1586" s="2">
        <v>4.71035</v>
      </c>
      <c r="AB1586" s="2">
        <v>-74.030416666666696</v>
      </c>
      <c r="AC1586" s="2">
        <v>2570</v>
      </c>
      <c r="AD1586" s="2">
        <v>10</v>
      </c>
      <c r="AE1586" s="2" t="s">
        <v>59</v>
      </c>
      <c r="AF1586" s="2" t="s">
        <v>86</v>
      </c>
      <c r="AG1586" s="2" t="s">
        <v>61</v>
      </c>
      <c r="AH1586" s="2" t="s">
        <v>62</v>
      </c>
      <c r="AI1586" s="2" t="s">
        <v>87</v>
      </c>
      <c r="AJ1586" s="2">
        <v>1.5935536689513199</v>
      </c>
      <c r="AK1586" s="2">
        <v>1.15229402362426</v>
      </c>
      <c r="AL1586" s="2">
        <v>0.62065574316313399</v>
      </c>
      <c r="AM1586" s="2">
        <v>0.111593395607677</v>
      </c>
      <c r="AN1586" s="2">
        <v>4.4642734081536801</v>
      </c>
      <c r="AO1586" s="2">
        <v>0.30025589754862397</v>
      </c>
      <c r="AP1586" s="2">
        <v>0.30025589754862397</v>
      </c>
      <c r="AQ1586" s="2">
        <v>0</v>
      </c>
      <c r="AR1586" s="2">
        <v>0</v>
      </c>
      <c r="AS1586" s="2">
        <v>0</v>
      </c>
      <c r="AT1586" s="2">
        <v>0</v>
      </c>
      <c r="AU1586" s="2">
        <v>6</v>
      </c>
      <c r="AV1586" s="2">
        <v>108</v>
      </c>
      <c r="AW1586" s="2">
        <v>0</v>
      </c>
      <c r="AX1586" s="2">
        <v>0</v>
      </c>
      <c r="AY1586" s="2">
        <v>15.5</v>
      </c>
      <c r="AZ1586" s="2">
        <v>2.4</v>
      </c>
      <c r="BA1586" s="2">
        <v>10.9</v>
      </c>
      <c r="BB1586" s="2">
        <v>564</v>
      </c>
      <c r="BC1586" s="2">
        <v>68</v>
      </c>
      <c r="BD1586" s="2">
        <v>1.5</v>
      </c>
      <c r="BE1586" s="2">
        <v>135</v>
      </c>
      <c r="BF1586" s="2">
        <v>0</v>
      </c>
      <c r="BG1586" s="2">
        <v>162</v>
      </c>
      <c r="BH1586" s="2">
        <v>9.1</v>
      </c>
      <c r="BI1586" s="2">
        <v>9.1999999999999993</v>
      </c>
      <c r="BJ1586" s="2">
        <v>18.3</v>
      </c>
      <c r="BK1586" s="2">
        <v>0.34</v>
      </c>
      <c r="BL1586" s="2">
        <v>7.3</v>
      </c>
      <c r="BM1586" s="2">
        <v>0.9</v>
      </c>
      <c r="BN1586" s="2">
        <v>7.5</v>
      </c>
      <c r="BO1586" s="2">
        <v>2.9</v>
      </c>
      <c r="BP1586" s="2">
        <f t="shared" si="48"/>
        <v>2.0617789846151369</v>
      </c>
      <c r="BQ1586" s="2">
        <f t="shared" si="49"/>
        <v>10.126082554325894</v>
      </c>
    </row>
    <row r="1587" spans="1:69" x14ac:dyDescent="0.2">
      <c r="A1587" s="2" t="s">
        <v>881</v>
      </c>
      <c r="B1587" s="2" t="s">
        <v>47</v>
      </c>
      <c r="C1587" s="2" t="s">
        <v>48</v>
      </c>
      <c r="D1587" s="2" t="s">
        <v>49</v>
      </c>
      <c r="E1587" s="2" t="s">
        <v>175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89</v>
      </c>
      <c r="L1587" s="6" t="s">
        <v>141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882</v>
      </c>
      <c r="R1587" s="2">
        <v>5797189.9819999998</v>
      </c>
      <c r="S1587" s="2">
        <v>0</v>
      </c>
      <c r="T1587" s="2" t="s">
        <v>83</v>
      </c>
      <c r="U1587" s="2" t="s">
        <v>84</v>
      </c>
      <c r="V1587" s="2" t="s">
        <v>56</v>
      </c>
      <c r="W1587" s="2" t="s">
        <v>83</v>
      </c>
      <c r="X1587" s="2" t="s">
        <v>85</v>
      </c>
      <c r="Y1587" s="2">
        <v>3.87110584947902</v>
      </c>
      <c r="Z1587" s="2">
        <v>3871.10584947902</v>
      </c>
      <c r="AA1587" s="2">
        <v>4.71035</v>
      </c>
      <c r="AB1587" s="2">
        <v>-74.030416666666696</v>
      </c>
      <c r="AC1587" s="2">
        <v>2570</v>
      </c>
      <c r="AD1587" s="2">
        <v>10</v>
      </c>
      <c r="AE1587" s="2" t="s">
        <v>59</v>
      </c>
      <c r="AF1587" s="2" t="s">
        <v>86</v>
      </c>
      <c r="AG1587" s="2" t="s">
        <v>61</v>
      </c>
      <c r="AH1587" s="2" t="s">
        <v>62</v>
      </c>
      <c r="AI1587" s="2" t="s">
        <v>109</v>
      </c>
      <c r="AJ1587" s="2">
        <v>1.5108823832071001</v>
      </c>
      <c r="AK1587" s="2">
        <v>0.81305170012705996</v>
      </c>
      <c r="AL1587" s="2">
        <v>0.761166553135323</v>
      </c>
      <c r="AM1587" s="2">
        <v>4.1034676523858699E-2</v>
      </c>
      <c r="AN1587" s="2">
        <v>4.1144379160216697</v>
      </c>
      <c r="AO1587" s="2">
        <v>1.09464715677672</v>
      </c>
      <c r="AP1587" s="2">
        <v>1.09464715677672</v>
      </c>
      <c r="AQ1587" s="2">
        <v>0</v>
      </c>
      <c r="AR1587" s="2">
        <v>0</v>
      </c>
      <c r="AS1587" s="2">
        <v>0</v>
      </c>
      <c r="AT1587" s="2">
        <v>3</v>
      </c>
      <c r="AU1587" s="2">
        <v>3</v>
      </c>
      <c r="AV1587" s="2">
        <v>97</v>
      </c>
      <c r="AW1587" s="2">
        <v>0</v>
      </c>
      <c r="AX1587" s="2">
        <v>0</v>
      </c>
      <c r="AY1587" s="2">
        <v>15.5</v>
      </c>
      <c r="AZ1587" s="2">
        <v>2.4</v>
      </c>
      <c r="BA1587" s="2">
        <v>10.9</v>
      </c>
      <c r="BB1587" s="2">
        <v>564</v>
      </c>
      <c r="BC1587" s="2">
        <v>68</v>
      </c>
      <c r="BD1587" s="2">
        <v>1.5</v>
      </c>
      <c r="BE1587" s="2">
        <v>135</v>
      </c>
      <c r="BF1587" s="2">
        <v>0</v>
      </c>
      <c r="BG1587" s="2">
        <v>162</v>
      </c>
      <c r="BH1587" s="2">
        <v>9.1</v>
      </c>
      <c r="BI1587" s="2">
        <v>9.1999999999999993</v>
      </c>
      <c r="BJ1587" s="2">
        <v>18.3</v>
      </c>
      <c r="BK1587" s="2">
        <v>0.34</v>
      </c>
      <c r="BL1587" s="2">
        <v>7.3</v>
      </c>
      <c r="BM1587" s="2">
        <v>0.9</v>
      </c>
      <c r="BN1587" s="2">
        <v>7.5</v>
      </c>
      <c r="BO1587" s="2">
        <v>2.9</v>
      </c>
      <c r="BP1587" s="2">
        <f t="shared" si="48"/>
        <v>1.981489823351912</v>
      </c>
      <c r="BQ1587" s="2">
        <f t="shared" si="49"/>
        <v>9.9329374383326812</v>
      </c>
    </row>
    <row r="1588" spans="1:69" x14ac:dyDescent="0.2">
      <c r="A1588" s="2" t="s">
        <v>1878</v>
      </c>
      <c r="B1588" s="2" t="s">
        <v>47</v>
      </c>
      <c r="C1588" s="2" t="s">
        <v>48</v>
      </c>
      <c r="D1588" s="2" t="s">
        <v>49</v>
      </c>
      <c r="E1588" s="2" t="s">
        <v>870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89</v>
      </c>
      <c r="L1588" s="6" t="s">
        <v>94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1879</v>
      </c>
      <c r="R1588" s="2">
        <v>8109602.5070000002</v>
      </c>
      <c r="S1588" s="2">
        <v>0</v>
      </c>
      <c r="T1588" s="2" t="s">
        <v>83</v>
      </c>
      <c r="U1588" s="2" t="s">
        <v>84</v>
      </c>
      <c r="V1588" s="2" t="s">
        <v>56</v>
      </c>
      <c r="W1588" s="2" t="s">
        <v>83</v>
      </c>
      <c r="X1588" s="2" t="s">
        <v>85</v>
      </c>
      <c r="Y1588" s="2">
        <v>3.8019980646344398</v>
      </c>
      <c r="Z1588" s="2">
        <v>3801.9980646344402</v>
      </c>
      <c r="AA1588" s="2">
        <v>4.71035</v>
      </c>
      <c r="AB1588" s="2">
        <v>-74.030416666666696</v>
      </c>
      <c r="AC1588" s="2">
        <v>2570</v>
      </c>
      <c r="AD1588" s="2">
        <v>10</v>
      </c>
      <c r="AE1588" s="2" t="s">
        <v>59</v>
      </c>
      <c r="AF1588" s="2" t="s">
        <v>86</v>
      </c>
      <c r="AG1588" s="2" t="s">
        <v>61</v>
      </c>
      <c r="AH1588" s="2" t="s">
        <v>62</v>
      </c>
      <c r="AI1588" s="2" t="s">
        <v>109</v>
      </c>
      <c r="AJ1588" s="2">
        <v>0.88503830826218099</v>
      </c>
      <c r="AK1588" s="2">
        <v>1.46979389046702</v>
      </c>
      <c r="AL1588" s="2">
        <v>0.43589740319661002</v>
      </c>
      <c r="AM1588" s="2">
        <v>2.5984067135450799E-2</v>
      </c>
      <c r="AN1588" s="2">
        <v>3.6638100563566698</v>
      </c>
      <c r="AO1588" s="2">
        <v>0.93244340520944702</v>
      </c>
      <c r="AP1588" s="2">
        <v>0.93244340520944702</v>
      </c>
      <c r="AQ1588" s="2">
        <v>0</v>
      </c>
      <c r="AR1588" s="2">
        <v>1</v>
      </c>
      <c r="AS1588" s="2">
        <v>0</v>
      </c>
      <c r="AT1588" s="2">
        <v>0</v>
      </c>
      <c r="AU1588" s="2">
        <v>4</v>
      </c>
      <c r="AV1588" s="2">
        <v>176</v>
      </c>
      <c r="AW1588" s="2">
        <v>0</v>
      </c>
      <c r="AX1588" s="2">
        <v>0</v>
      </c>
      <c r="AY1588" s="2">
        <v>15.5</v>
      </c>
      <c r="AZ1588" s="2">
        <v>2.4</v>
      </c>
      <c r="BA1588" s="2">
        <v>10.9</v>
      </c>
      <c r="BB1588" s="2">
        <v>564</v>
      </c>
      <c r="BC1588" s="2">
        <v>68</v>
      </c>
      <c r="BD1588" s="2">
        <v>1.5</v>
      </c>
      <c r="BE1588" s="2">
        <v>135</v>
      </c>
      <c r="BF1588" s="2">
        <v>0</v>
      </c>
      <c r="BG1588" s="2">
        <v>162</v>
      </c>
      <c r="BH1588" s="2">
        <v>9.1</v>
      </c>
      <c r="BI1588" s="2">
        <v>9.1999999999999993</v>
      </c>
      <c r="BJ1588" s="2">
        <v>18.3</v>
      </c>
      <c r="BK1588" s="2">
        <v>0.34</v>
      </c>
      <c r="BL1588" s="2">
        <v>7.3</v>
      </c>
      <c r="BM1588" s="2">
        <v>0.9</v>
      </c>
      <c r="BN1588" s="2">
        <v>7.5</v>
      </c>
      <c r="BO1588" s="2">
        <v>2.9</v>
      </c>
      <c r="BP1588" s="2">
        <f t="shared" si="48"/>
        <v>1.9882797808267898</v>
      </c>
      <c r="BQ1588" s="2">
        <f t="shared" si="49"/>
        <v>9.9494257474798236</v>
      </c>
    </row>
    <row r="1589" spans="1:69" x14ac:dyDescent="0.2">
      <c r="A1589" s="2" t="s">
        <v>675</v>
      </c>
      <c r="B1589" s="2" t="s">
        <v>47</v>
      </c>
      <c r="C1589" s="2" t="s">
        <v>48</v>
      </c>
      <c r="D1589" s="2" t="s">
        <v>49</v>
      </c>
      <c r="E1589" s="2" t="s">
        <v>316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89</v>
      </c>
      <c r="L1589" s="6" t="s">
        <v>103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676</v>
      </c>
      <c r="R1589" s="2">
        <v>9197530.8640000001</v>
      </c>
      <c r="S1589" s="2">
        <v>0</v>
      </c>
      <c r="T1589" s="2" t="s">
        <v>83</v>
      </c>
      <c r="U1589" s="2" t="s">
        <v>84</v>
      </c>
      <c r="V1589" s="2" t="s">
        <v>56</v>
      </c>
      <c r="W1589" s="2" t="s">
        <v>83</v>
      </c>
      <c r="X1589" s="2" t="s">
        <v>85</v>
      </c>
      <c r="Y1589" s="2">
        <v>2.1691739640049499</v>
      </c>
      <c r="Z1589" s="2">
        <v>2169.17396400495</v>
      </c>
      <c r="AA1589" s="2">
        <v>4.71035</v>
      </c>
      <c r="AB1589" s="2">
        <v>-74.030416666666696</v>
      </c>
      <c r="AC1589" s="2">
        <v>2570</v>
      </c>
      <c r="AD1589" s="2">
        <v>10</v>
      </c>
      <c r="AE1589" s="2" t="s">
        <v>59</v>
      </c>
      <c r="AF1589" s="2" t="s">
        <v>86</v>
      </c>
      <c r="AG1589" s="2" t="s">
        <v>61</v>
      </c>
      <c r="AH1589" s="2" t="s">
        <v>62</v>
      </c>
      <c r="AI1589" s="2" t="s">
        <v>87</v>
      </c>
      <c r="AJ1589" s="2">
        <v>0.68311009301529801</v>
      </c>
      <c r="AK1589" s="2">
        <v>2.52524529288105</v>
      </c>
      <c r="AL1589" s="2">
        <v>1.04878825287018</v>
      </c>
      <c r="AM1589" s="2">
        <v>0.126878314026171</v>
      </c>
      <c r="AN1589" s="2">
        <v>4.8936573080201997</v>
      </c>
      <c r="AO1589" s="2">
        <v>0.111069097199565</v>
      </c>
      <c r="AP1589" s="2">
        <v>0.111069097199565</v>
      </c>
      <c r="AQ1589" s="2">
        <v>0</v>
      </c>
      <c r="AR1589" s="2">
        <v>2</v>
      </c>
      <c r="AS1589" s="2">
        <v>0</v>
      </c>
      <c r="AT1589" s="2">
        <v>0</v>
      </c>
      <c r="AU1589" s="2">
        <v>0</v>
      </c>
      <c r="AV1589" s="2">
        <v>172</v>
      </c>
      <c r="AW1589" s="2">
        <v>0</v>
      </c>
      <c r="AX1589" s="2">
        <v>0</v>
      </c>
      <c r="AY1589" s="2">
        <v>15.5</v>
      </c>
      <c r="AZ1589" s="2">
        <v>2.4</v>
      </c>
      <c r="BA1589" s="2">
        <v>10.9</v>
      </c>
      <c r="BB1589" s="2">
        <v>564</v>
      </c>
      <c r="BC1589" s="2">
        <v>68</v>
      </c>
      <c r="BD1589" s="2">
        <v>1.5</v>
      </c>
      <c r="BE1589" s="2">
        <v>135</v>
      </c>
      <c r="BF1589" s="2">
        <v>0</v>
      </c>
      <c r="BG1589" s="2">
        <v>162</v>
      </c>
      <c r="BH1589" s="2">
        <v>9.1</v>
      </c>
      <c r="BI1589" s="2">
        <v>9.1999999999999993</v>
      </c>
      <c r="BJ1589" s="2">
        <v>18.3</v>
      </c>
      <c r="BK1589" s="2">
        <v>0.34</v>
      </c>
      <c r="BL1589" s="2">
        <v>7.3</v>
      </c>
      <c r="BM1589" s="2">
        <v>0.9</v>
      </c>
      <c r="BN1589" s="2">
        <v>7.5</v>
      </c>
      <c r="BO1589" s="2">
        <v>2.9</v>
      </c>
      <c r="BP1589" s="2">
        <f t="shared" si="48"/>
        <v>2.1556550095842888</v>
      </c>
      <c r="BQ1589" s="2">
        <f t="shared" si="49"/>
        <v>10.347061993989604</v>
      </c>
    </row>
    <row r="1590" spans="1:69" x14ac:dyDescent="0.2">
      <c r="A1590" s="2" t="s">
        <v>799</v>
      </c>
      <c r="B1590" s="2" t="s">
        <v>47</v>
      </c>
      <c r="C1590" s="2" t="s">
        <v>48</v>
      </c>
      <c r="D1590" s="2" t="s">
        <v>49</v>
      </c>
      <c r="E1590" s="2" t="s">
        <v>208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89</v>
      </c>
      <c r="L1590" s="6" t="s">
        <v>141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800</v>
      </c>
      <c r="R1590" s="2">
        <v>8743750</v>
      </c>
      <c r="S1590" s="2">
        <v>0</v>
      </c>
      <c r="T1590" s="2" t="s">
        <v>83</v>
      </c>
      <c r="U1590" s="2" t="s">
        <v>84</v>
      </c>
      <c r="V1590" s="2" t="s">
        <v>56</v>
      </c>
      <c r="W1590" s="2" t="s">
        <v>83</v>
      </c>
      <c r="X1590" s="2" t="s">
        <v>85</v>
      </c>
      <c r="Y1590" s="2">
        <v>4.0295570983899802</v>
      </c>
      <c r="Z1590" s="2">
        <v>4029.5570983899802</v>
      </c>
      <c r="AA1590" s="2">
        <v>4.71035</v>
      </c>
      <c r="AB1590" s="2">
        <v>-74.030416666666696</v>
      </c>
      <c r="AC1590" s="2">
        <v>2570</v>
      </c>
      <c r="AD1590" s="2">
        <v>10</v>
      </c>
      <c r="AE1590" s="2" t="s">
        <v>59</v>
      </c>
      <c r="AF1590" s="2" t="s">
        <v>86</v>
      </c>
      <c r="AG1590" s="2" t="s">
        <v>61</v>
      </c>
      <c r="AH1590" s="2" t="s">
        <v>62</v>
      </c>
      <c r="AI1590" s="2" t="s">
        <v>109</v>
      </c>
      <c r="AJ1590" s="2">
        <v>1.78889496371135</v>
      </c>
      <c r="AK1590" s="2">
        <v>0.45791764425746401</v>
      </c>
      <c r="AL1590" s="2">
        <v>0.78183964663374705</v>
      </c>
      <c r="AM1590" s="2">
        <v>0.19191404622767799</v>
      </c>
      <c r="AN1590" s="2">
        <v>4.2064256918543004</v>
      </c>
      <c r="AO1590" s="2">
        <v>1.2252318511139499</v>
      </c>
      <c r="AP1590" s="2">
        <v>1.2252318511139499</v>
      </c>
      <c r="AQ1590" s="2">
        <v>0</v>
      </c>
      <c r="AR1590" s="2">
        <v>0</v>
      </c>
      <c r="AS1590" s="2">
        <v>1</v>
      </c>
      <c r="AT1590" s="2">
        <v>19</v>
      </c>
      <c r="AU1590" s="2">
        <v>3</v>
      </c>
      <c r="AV1590" s="2">
        <v>61</v>
      </c>
      <c r="AW1590" s="2">
        <v>0</v>
      </c>
      <c r="AX1590" s="2">
        <v>0</v>
      </c>
      <c r="AY1590" s="2">
        <v>15.5</v>
      </c>
      <c r="AZ1590" s="2">
        <v>2.4</v>
      </c>
      <c r="BA1590" s="2">
        <v>10.9</v>
      </c>
      <c r="BB1590" s="2">
        <v>564</v>
      </c>
      <c r="BC1590" s="2">
        <v>68</v>
      </c>
      <c r="BD1590" s="2">
        <v>1.5</v>
      </c>
      <c r="BE1590" s="2">
        <v>135</v>
      </c>
      <c r="BF1590" s="2">
        <v>0</v>
      </c>
      <c r="BG1590" s="2">
        <v>162</v>
      </c>
      <c r="BH1590" s="2">
        <v>9.1</v>
      </c>
      <c r="BI1590" s="2">
        <v>9.1999999999999993</v>
      </c>
      <c r="BJ1590" s="2">
        <v>18.3</v>
      </c>
      <c r="BK1590" s="2">
        <v>0.34</v>
      </c>
      <c r="BL1590" s="2">
        <v>7.3</v>
      </c>
      <c r="BM1590" s="2">
        <v>0.9</v>
      </c>
      <c r="BN1590" s="2">
        <v>7.5</v>
      </c>
      <c r="BO1590" s="2">
        <v>2.9</v>
      </c>
      <c r="BP1590" s="2">
        <f t="shared" si="48"/>
        <v>1.9660091208036059</v>
      </c>
      <c r="BQ1590" s="2">
        <f t="shared" si="49"/>
        <v>9.8952358978229462</v>
      </c>
    </row>
    <row r="1591" spans="1:69" x14ac:dyDescent="0.2">
      <c r="A1591" s="2" t="s">
        <v>2441</v>
      </c>
      <c r="B1591" s="2" t="s">
        <v>47</v>
      </c>
      <c r="C1591" s="2" t="s">
        <v>1935</v>
      </c>
      <c r="D1591" s="2" t="s">
        <v>49</v>
      </c>
      <c r="E1591" s="2" t="s">
        <v>184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89</v>
      </c>
      <c r="L1591" s="6" t="s">
        <v>141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2442</v>
      </c>
      <c r="R1591" s="2">
        <v>5500000</v>
      </c>
      <c r="S1591" s="2">
        <v>0</v>
      </c>
      <c r="T1591" s="2" t="s">
        <v>83</v>
      </c>
      <c r="U1591" s="2" t="s">
        <v>84</v>
      </c>
      <c r="V1591" s="2" t="s">
        <v>56</v>
      </c>
      <c r="W1591" s="2" t="s">
        <v>83</v>
      </c>
      <c r="X1591" s="2" t="s">
        <v>85</v>
      </c>
      <c r="Y1591" s="2">
        <v>2.5705021679841602</v>
      </c>
      <c r="Z1591" s="2">
        <v>2570.5021679841602</v>
      </c>
      <c r="AA1591" s="2">
        <v>4.71035</v>
      </c>
      <c r="AB1591" s="2">
        <v>-74.030416666666696</v>
      </c>
      <c r="AC1591" s="2">
        <v>2570</v>
      </c>
      <c r="AD1591" s="2">
        <v>10</v>
      </c>
      <c r="AE1591" s="2" t="s">
        <v>59</v>
      </c>
      <c r="AF1591" s="2" t="s">
        <v>86</v>
      </c>
      <c r="AG1591" s="2" t="s">
        <v>61</v>
      </c>
      <c r="AH1591" s="2" t="s">
        <v>62</v>
      </c>
      <c r="AI1591" s="2" t="s">
        <v>87</v>
      </c>
      <c r="AJ1591" s="2">
        <v>1.3380810345385501</v>
      </c>
      <c r="AK1591" s="2">
        <v>1.70374396279438</v>
      </c>
      <c r="AL1591" s="2">
        <v>0.294950222195272</v>
      </c>
      <c r="AM1591" s="2">
        <v>0.498191786947973</v>
      </c>
      <c r="AN1591" s="2">
        <v>1.5532542751862899</v>
      </c>
      <c r="AO1591" s="2">
        <v>0.16696746298732801</v>
      </c>
      <c r="AP1591" s="2">
        <v>0.16696746298732801</v>
      </c>
      <c r="AQ1591" s="2">
        <v>0</v>
      </c>
      <c r="AR1591" s="2">
        <v>0</v>
      </c>
      <c r="AS1591" s="2">
        <v>0</v>
      </c>
      <c r="AT1591" s="2">
        <v>0</v>
      </c>
      <c r="AU1591" s="2">
        <v>1</v>
      </c>
      <c r="AV1591" s="2">
        <v>14</v>
      </c>
      <c r="AW1591" s="2">
        <v>0</v>
      </c>
      <c r="AX1591" s="2">
        <v>0</v>
      </c>
      <c r="AY1591" s="2">
        <v>15.5</v>
      </c>
      <c r="AZ1591" s="2">
        <v>2.4</v>
      </c>
      <c r="BA1591" s="2">
        <v>10.9</v>
      </c>
      <c r="BB1591" s="2">
        <v>564</v>
      </c>
      <c r="BC1591" s="2">
        <v>68</v>
      </c>
      <c r="BD1591" s="2">
        <v>1.5</v>
      </c>
      <c r="BE1591" s="2">
        <v>135</v>
      </c>
      <c r="BF1591" s="2">
        <v>0</v>
      </c>
      <c r="BG1591" s="2">
        <v>162</v>
      </c>
      <c r="BH1591" s="2">
        <v>9.1</v>
      </c>
      <c r="BI1591" s="2">
        <v>9.1999999999999993</v>
      </c>
      <c r="BJ1591" s="2">
        <v>18.3</v>
      </c>
      <c r="BK1591" s="2">
        <v>0.34</v>
      </c>
      <c r="BL1591" s="2">
        <v>7.3</v>
      </c>
      <c r="BM1591" s="2">
        <v>0.9</v>
      </c>
      <c r="BN1591" s="2">
        <v>7.5</v>
      </c>
      <c r="BO1591" s="2">
        <v>2.9</v>
      </c>
      <c r="BP1591" s="2">
        <f t="shared" si="48"/>
        <v>2.1132538740383535</v>
      </c>
      <c r="BQ1591" s="2">
        <f t="shared" si="49"/>
        <v>10.247878793614273</v>
      </c>
    </row>
    <row r="1592" spans="1:69" x14ac:dyDescent="0.2">
      <c r="A1592" s="2" t="s">
        <v>2683</v>
      </c>
      <c r="B1592" s="2" t="s">
        <v>47</v>
      </c>
      <c r="C1592" s="2" t="s">
        <v>1935</v>
      </c>
      <c r="D1592" s="2" t="s">
        <v>49</v>
      </c>
      <c r="E1592" s="2" t="s">
        <v>565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89</v>
      </c>
      <c r="L1592" s="6" t="s">
        <v>141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2684</v>
      </c>
      <c r="R1592" s="2">
        <v>9375000</v>
      </c>
      <c r="S1592" s="2">
        <v>0</v>
      </c>
      <c r="T1592" s="2" t="s">
        <v>83</v>
      </c>
      <c r="U1592" s="2" t="s">
        <v>84</v>
      </c>
      <c r="V1592" s="2" t="s">
        <v>56</v>
      </c>
      <c r="W1592" s="2" t="s">
        <v>83</v>
      </c>
      <c r="X1592" s="2" t="s">
        <v>85</v>
      </c>
      <c r="Y1592" s="2">
        <v>2.1954010568834099</v>
      </c>
      <c r="Z1592" s="2">
        <v>2195.4010568834101</v>
      </c>
      <c r="AA1592" s="2">
        <v>4.71035</v>
      </c>
      <c r="AB1592" s="2">
        <v>-74.030416666666696</v>
      </c>
      <c r="AC1592" s="2">
        <v>2570</v>
      </c>
      <c r="AD1592" s="2">
        <v>10</v>
      </c>
      <c r="AE1592" s="2" t="s">
        <v>59</v>
      </c>
      <c r="AF1592" s="2" t="s">
        <v>86</v>
      </c>
      <c r="AG1592" s="2" t="s">
        <v>61</v>
      </c>
      <c r="AH1592" s="2" t="s">
        <v>62</v>
      </c>
      <c r="AI1592" s="2" t="s">
        <v>87</v>
      </c>
      <c r="AJ1592" s="2">
        <v>0.360589168870944</v>
      </c>
      <c r="AK1592" s="2">
        <v>2.7967944607119999</v>
      </c>
      <c r="AL1592" s="2">
        <v>1.92900181968534</v>
      </c>
      <c r="AM1592" s="2">
        <v>0.42302562230102497</v>
      </c>
      <c r="AN1592" s="2">
        <v>4.1301719992709804</v>
      </c>
      <c r="AO1592" s="2">
        <v>0.34750866669997998</v>
      </c>
      <c r="AP1592" s="2">
        <v>0.34750866669997998</v>
      </c>
      <c r="AQ1592" s="2">
        <v>1</v>
      </c>
      <c r="AR1592" s="2">
        <v>3</v>
      </c>
      <c r="AS1592" s="2">
        <v>0</v>
      </c>
      <c r="AT1592" s="2">
        <v>0</v>
      </c>
      <c r="AU1592" s="2">
        <v>0</v>
      </c>
      <c r="AV1592" s="2">
        <v>98</v>
      </c>
      <c r="AW1592" s="2">
        <v>0</v>
      </c>
      <c r="AX1592" s="2">
        <v>0</v>
      </c>
      <c r="AY1592" s="2">
        <v>15.5</v>
      </c>
      <c r="AZ1592" s="2">
        <v>2.4</v>
      </c>
      <c r="BA1592" s="2">
        <v>10.9</v>
      </c>
      <c r="BB1592" s="2">
        <v>564</v>
      </c>
      <c r="BC1592" s="2">
        <v>68</v>
      </c>
      <c r="BD1592" s="2">
        <v>1.5</v>
      </c>
      <c r="BE1592" s="2">
        <v>135</v>
      </c>
      <c r="BF1592" s="2">
        <v>0</v>
      </c>
      <c r="BG1592" s="2">
        <v>162</v>
      </c>
      <c r="BH1592" s="2">
        <v>9.1</v>
      </c>
      <c r="BI1592" s="2">
        <v>9.1999999999999993</v>
      </c>
      <c r="BJ1592" s="2">
        <v>18.3</v>
      </c>
      <c r="BK1592" s="2">
        <v>0.34</v>
      </c>
      <c r="BL1592" s="2">
        <v>7.3</v>
      </c>
      <c r="BM1592" s="2">
        <v>0.9</v>
      </c>
      <c r="BN1592" s="2">
        <v>7.5</v>
      </c>
      <c r="BO1592" s="2">
        <v>2.9</v>
      </c>
      <c r="BP1592" s="2">
        <f t="shared" si="48"/>
        <v>2.15285826547573</v>
      </c>
      <c r="BQ1592" s="2">
        <f t="shared" si="49"/>
        <v>10.340551082809391</v>
      </c>
    </row>
    <row r="1593" spans="1:69" x14ac:dyDescent="0.2">
      <c r="A1593" s="2" t="s">
        <v>1145</v>
      </c>
      <c r="B1593" s="2" t="s">
        <v>47</v>
      </c>
      <c r="C1593" s="2" t="s">
        <v>48</v>
      </c>
      <c r="D1593" s="2" t="s">
        <v>49</v>
      </c>
      <c r="E1593" s="2" t="s">
        <v>1146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89</v>
      </c>
      <c r="L1593" s="6" t="s">
        <v>103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1147</v>
      </c>
      <c r="R1593" s="2">
        <v>8750000</v>
      </c>
      <c r="S1593" s="2">
        <v>0</v>
      </c>
      <c r="T1593" s="2" t="s">
        <v>83</v>
      </c>
      <c r="U1593" s="2" t="s">
        <v>84</v>
      </c>
      <c r="V1593" s="2" t="s">
        <v>56</v>
      </c>
      <c r="W1593" s="2" t="s">
        <v>83</v>
      </c>
      <c r="X1593" s="2" t="s">
        <v>85</v>
      </c>
      <c r="Y1593" s="2">
        <v>0.96836197693777004</v>
      </c>
      <c r="Z1593" s="2">
        <v>968.36197693777001</v>
      </c>
      <c r="AA1593" s="2">
        <v>4.71035</v>
      </c>
      <c r="AB1593" s="2">
        <v>-74.030416666666696</v>
      </c>
      <c r="AC1593" s="2">
        <v>2570</v>
      </c>
      <c r="AD1593" s="2">
        <v>10</v>
      </c>
      <c r="AE1593" s="2" t="s">
        <v>59</v>
      </c>
      <c r="AF1593" s="2" t="s">
        <v>86</v>
      </c>
      <c r="AG1593" s="2" t="s">
        <v>61</v>
      </c>
      <c r="AH1593" s="2" t="s">
        <v>62</v>
      </c>
      <c r="AI1593" s="2" t="s">
        <v>87</v>
      </c>
      <c r="AJ1593" s="2">
        <v>3.036688773466</v>
      </c>
      <c r="AK1593" s="2">
        <v>0.151435285889676</v>
      </c>
      <c r="AL1593" s="2">
        <v>0.624282018383152</v>
      </c>
      <c r="AM1593" s="2">
        <v>0.24588387018528299</v>
      </c>
      <c r="AN1593" s="2">
        <v>4.3279190367874802</v>
      </c>
      <c r="AO1593" s="2">
        <v>8.4348937929146703E-2</v>
      </c>
      <c r="AP1593" s="2">
        <v>8.4348937929146703E-2</v>
      </c>
      <c r="AQ1593" s="2">
        <v>0</v>
      </c>
      <c r="AR1593" s="2">
        <v>0</v>
      </c>
      <c r="AS1593" s="2">
        <v>12</v>
      </c>
      <c r="AT1593" s="2">
        <v>33</v>
      </c>
      <c r="AU1593" s="2">
        <v>2</v>
      </c>
      <c r="AV1593" s="2">
        <v>78</v>
      </c>
      <c r="AW1593" s="2">
        <v>0</v>
      </c>
      <c r="AX1593" s="2">
        <v>0</v>
      </c>
      <c r="AY1593" s="2">
        <v>15.5</v>
      </c>
      <c r="AZ1593" s="2">
        <v>2.4</v>
      </c>
      <c r="BA1593" s="2">
        <v>10.9</v>
      </c>
      <c r="BB1593" s="2">
        <v>564</v>
      </c>
      <c r="BC1593" s="2">
        <v>68</v>
      </c>
      <c r="BD1593" s="2">
        <v>1.5</v>
      </c>
      <c r="BE1593" s="2">
        <v>135</v>
      </c>
      <c r="BF1593" s="2">
        <v>0</v>
      </c>
      <c r="BG1593" s="2">
        <v>162</v>
      </c>
      <c r="BH1593" s="2">
        <v>9.1</v>
      </c>
      <c r="BI1593" s="2">
        <v>9.1999999999999993</v>
      </c>
      <c r="BJ1593" s="2">
        <v>18.3</v>
      </c>
      <c r="BK1593" s="2">
        <v>0.34</v>
      </c>
      <c r="BL1593" s="2">
        <v>7.3</v>
      </c>
      <c r="BM1593" s="2">
        <v>0.9</v>
      </c>
      <c r="BN1593" s="2">
        <v>7.5</v>
      </c>
      <c r="BO1593" s="2">
        <v>2.9</v>
      </c>
      <c r="BP1593" s="2">
        <f t="shared" si="48"/>
        <v>2.2876722582732221</v>
      </c>
      <c r="BQ1593" s="2">
        <f t="shared" si="49"/>
        <v>10.649597540197727</v>
      </c>
    </row>
    <row r="1594" spans="1:69" x14ac:dyDescent="0.2">
      <c r="A1594" s="2" t="s">
        <v>364</v>
      </c>
      <c r="B1594" s="2" t="s">
        <v>47</v>
      </c>
      <c r="C1594" s="2" t="s">
        <v>48</v>
      </c>
      <c r="D1594" s="2" t="s">
        <v>49</v>
      </c>
      <c r="E1594" s="2" t="s">
        <v>172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89</v>
      </c>
      <c r="L1594" s="6" t="s">
        <v>112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365</v>
      </c>
      <c r="R1594" s="2">
        <v>13750000</v>
      </c>
      <c r="S1594" s="2">
        <v>0</v>
      </c>
      <c r="T1594" s="2" t="s">
        <v>83</v>
      </c>
      <c r="U1594" s="2" t="s">
        <v>84</v>
      </c>
      <c r="V1594" s="2" t="s">
        <v>56</v>
      </c>
      <c r="W1594" s="2" t="s">
        <v>83</v>
      </c>
      <c r="X1594" s="2" t="s">
        <v>85</v>
      </c>
      <c r="Y1594" s="2">
        <v>0.92736888314837695</v>
      </c>
      <c r="Z1594" s="2">
        <v>927.36888314837699</v>
      </c>
      <c r="AA1594" s="2">
        <v>4.71035</v>
      </c>
      <c r="AB1594" s="2">
        <v>-74.030416666666696</v>
      </c>
      <c r="AC1594" s="2">
        <v>2570</v>
      </c>
      <c r="AD1594" s="2">
        <v>10</v>
      </c>
      <c r="AE1594" s="2" t="s">
        <v>59</v>
      </c>
      <c r="AF1594" s="2" t="s">
        <v>86</v>
      </c>
      <c r="AG1594" s="2" t="s">
        <v>61</v>
      </c>
      <c r="AH1594" s="2" t="s">
        <v>62</v>
      </c>
      <c r="AI1594" s="2" t="s">
        <v>87</v>
      </c>
      <c r="AJ1594" s="2">
        <v>2.5292316846776401</v>
      </c>
      <c r="AK1594" s="2">
        <v>0.66400563320664996</v>
      </c>
      <c r="AL1594" s="2">
        <v>0.13143679995624699</v>
      </c>
      <c r="AM1594" s="2">
        <v>0.10401013084091</v>
      </c>
      <c r="AN1594" s="2">
        <v>4.3912893873007999</v>
      </c>
      <c r="AO1594" s="2">
        <v>0.394966241450109</v>
      </c>
      <c r="AP1594" s="2">
        <v>0.394966241450109</v>
      </c>
      <c r="AQ1594" s="2">
        <v>0</v>
      </c>
      <c r="AR1594" s="2">
        <v>0</v>
      </c>
      <c r="AS1594" s="2">
        <v>0</v>
      </c>
      <c r="AT1594" s="2">
        <v>18</v>
      </c>
      <c r="AU1594" s="2">
        <v>3</v>
      </c>
      <c r="AV1594" s="2">
        <v>117</v>
      </c>
      <c r="AW1594" s="2">
        <v>0</v>
      </c>
      <c r="AX1594" s="2">
        <v>0</v>
      </c>
      <c r="AY1594" s="2">
        <v>15.5</v>
      </c>
      <c r="AZ1594" s="2">
        <v>2.4</v>
      </c>
      <c r="BA1594" s="2">
        <v>10.9</v>
      </c>
      <c r="BB1594" s="2">
        <v>564</v>
      </c>
      <c r="BC1594" s="2">
        <v>68</v>
      </c>
      <c r="BD1594" s="2">
        <v>1.5</v>
      </c>
      <c r="BE1594" s="2">
        <v>135</v>
      </c>
      <c r="BF1594" s="2">
        <v>0</v>
      </c>
      <c r="BG1594" s="2">
        <v>162</v>
      </c>
      <c r="BH1594" s="2">
        <v>9.1</v>
      </c>
      <c r="BI1594" s="2">
        <v>9.1999999999999993</v>
      </c>
      <c r="BJ1594" s="2">
        <v>18.3</v>
      </c>
      <c r="BK1594" s="2">
        <v>0.34</v>
      </c>
      <c r="BL1594" s="2">
        <v>7.3</v>
      </c>
      <c r="BM1594" s="2">
        <v>0.9</v>
      </c>
      <c r="BN1594" s="2">
        <v>7.5</v>
      </c>
      <c r="BO1594" s="2">
        <v>2.9</v>
      </c>
      <c r="BP1594" s="2">
        <f t="shared" si="48"/>
        <v>2.2923190199764001</v>
      </c>
      <c r="BQ1594" s="2">
        <f t="shared" si="49"/>
        <v>10.660080134738797</v>
      </c>
    </row>
    <row r="1595" spans="1:69" x14ac:dyDescent="0.2">
      <c r="A1595" s="2" t="s">
        <v>417</v>
      </c>
      <c r="B1595" s="2" t="s">
        <v>47</v>
      </c>
      <c r="C1595" s="2" t="s">
        <v>48</v>
      </c>
      <c r="D1595" s="2" t="s">
        <v>49</v>
      </c>
      <c r="E1595" s="2" t="s">
        <v>418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89</v>
      </c>
      <c r="L1595" s="6" t="s">
        <v>103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419</v>
      </c>
      <c r="R1595" s="2">
        <v>8750000</v>
      </c>
      <c r="S1595" s="2">
        <v>0</v>
      </c>
      <c r="T1595" s="2" t="s">
        <v>83</v>
      </c>
      <c r="U1595" s="2" t="s">
        <v>84</v>
      </c>
      <c r="V1595" s="2" t="s">
        <v>56</v>
      </c>
      <c r="W1595" s="2" t="s">
        <v>83</v>
      </c>
      <c r="X1595" s="2" t="s">
        <v>85</v>
      </c>
      <c r="Y1595" s="2">
        <v>0.89611574593760301</v>
      </c>
      <c r="Z1595" s="2">
        <v>896.11574593760304</v>
      </c>
      <c r="AA1595" s="2">
        <v>4.71035</v>
      </c>
      <c r="AB1595" s="2">
        <v>-74.030416666666696</v>
      </c>
      <c r="AC1595" s="2">
        <v>2570</v>
      </c>
      <c r="AD1595" s="2">
        <v>10</v>
      </c>
      <c r="AE1595" s="2" t="s">
        <v>59</v>
      </c>
      <c r="AF1595" s="2" t="s">
        <v>86</v>
      </c>
      <c r="AG1595" s="2" t="s">
        <v>61</v>
      </c>
      <c r="AH1595" s="2" t="s">
        <v>62</v>
      </c>
      <c r="AI1595" s="2" t="s">
        <v>87</v>
      </c>
      <c r="AJ1595" s="2">
        <v>3.1067311013610701</v>
      </c>
      <c r="AK1595" s="2">
        <v>0.116235779528559</v>
      </c>
      <c r="AL1595" s="2">
        <v>0.73030796159544598</v>
      </c>
      <c r="AM1595" s="2">
        <v>0.30760982028975198</v>
      </c>
      <c r="AN1595" s="2">
        <v>4.2076822687916504</v>
      </c>
      <c r="AO1595" s="2">
        <v>3.8542121629751E-2</v>
      </c>
      <c r="AP1595" s="2">
        <v>3.8542121629751E-2</v>
      </c>
      <c r="AQ1595" s="2">
        <v>0</v>
      </c>
      <c r="AR1595" s="2">
        <v>0</v>
      </c>
      <c r="AS1595" s="2">
        <v>15</v>
      </c>
      <c r="AT1595" s="2">
        <v>34</v>
      </c>
      <c r="AU1595" s="2">
        <v>1</v>
      </c>
      <c r="AV1595" s="2">
        <v>71</v>
      </c>
      <c r="AW1595" s="2">
        <v>0</v>
      </c>
      <c r="AX1595" s="2">
        <v>0</v>
      </c>
      <c r="AY1595" s="2">
        <v>15.5</v>
      </c>
      <c r="AZ1595" s="2">
        <v>2.4</v>
      </c>
      <c r="BA1595" s="2">
        <v>10.9</v>
      </c>
      <c r="BB1595" s="2">
        <v>564</v>
      </c>
      <c r="BC1595" s="2">
        <v>68</v>
      </c>
      <c r="BD1595" s="2">
        <v>1.5</v>
      </c>
      <c r="BE1595" s="2">
        <v>135</v>
      </c>
      <c r="BF1595" s="2">
        <v>0</v>
      </c>
      <c r="BG1595" s="2">
        <v>162</v>
      </c>
      <c r="BH1595" s="2">
        <v>9.1</v>
      </c>
      <c r="BI1595" s="2">
        <v>9.1999999999999993</v>
      </c>
      <c r="BJ1595" s="2">
        <v>18.3</v>
      </c>
      <c r="BK1595" s="2">
        <v>0.34</v>
      </c>
      <c r="BL1595" s="2">
        <v>7.3</v>
      </c>
      <c r="BM1595" s="2">
        <v>0.9</v>
      </c>
      <c r="BN1595" s="2">
        <v>7.5</v>
      </c>
      <c r="BO1595" s="2">
        <v>2.9</v>
      </c>
      <c r="BP1595" s="2">
        <f t="shared" si="48"/>
        <v>2.2958680514608596</v>
      </c>
      <c r="BQ1595" s="2">
        <f t="shared" si="49"/>
        <v>10.668078996969333</v>
      </c>
    </row>
    <row r="1596" spans="1:69" x14ac:dyDescent="0.2">
      <c r="A1596" s="2" t="s">
        <v>1835</v>
      </c>
      <c r="B1596" s="2" t="s">
        <v>47</v>
      </c>
      <c r="C1596" s="2" t="s">
        <v>48</v>
      </c>
      <c r="D1596" s="2" t="s">
        <v>49</v>
      </c>
      <c r="E1596" s="2" t="s">
        <v>1146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89</v>
      </c>
      <c r="L1596" s="6" t="s">
        <v>141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1836</v>
      </c>
      <c r="R1596" s="2">
        <v>7786163.5219999999</v>
      </c>
      <c r="S1596" s="2">
        <v>0</v>
      </c>
      <c r="T1596" s="2" t="s">
        <v>83</v>
      </c>
      <c r="U1596" s="2" t="s">
        <v>84</v>
      </c>
      <c r="V1596" s="2" t="s">
        <v>56</v>
      </c>
      <c r="W1596" s="2" t="s">
        <v>83</v>
      </c>
      <c r="X1596" s="2" t="s">
        <v>85</v>
      </c>
      <c r="Y1596" s="2">
        <v>0.71254953044635705</v>
      </c>
      <c r="Z1596" s="2">
        <v>712.54953044635704</v>
      </c>
      <c r="AA1596" s="2">
        <v>4.71035</v>
      </c>
      <c r="AB1596" s="2">
        <v>-74.030416666666696</v>
      </c>
      <c r="AC1596" s="2">
        <v>2570</v>
      </c>
      <c r="AD1596" s="2">
        <v>10</v>
      </c>
      <c r="AE1596" s="2" t="s">
        <v>59</v>
      </c>
      <c r="AF1596" s="2" t="s">
        <v>86</v>
      </c>
      <c r="AG1596" s="2" t="s">
        <v>61</v>
      </c>
      <c r="AH1596" s="2" t="s">
        <v>62</v>
      </c>
      <c r="AI1596" s="2" t="s">
        <v>87</v>
      </c>
      <c r="AJ1596" s="2">
        <v>3.0315346890872301</v>
      </c>
      <c r="AK1596" s="2">
        <v>0.27106418578089198</v>
      </c>
      <c r="AL1596" s="2">
        <v>0.739576811036457</v>
      </c>
      <c r="AM1596" s="2">
        <v>0.30712715733678703</v>
      </c>
      <c r="AN1596" s="2">
        <v>4.0374882204933904</v>
      </c>
      <c r="AO1596" s="2">
        <v>4.2832279568462701E-2</v>
      </c>
      <c r="AP1596" s="2">
        <v>4.2832279568462701E-2</v>
      </c>
      <c r="AQ1596" s="2">
        <v>0</v>
      </c>
      <c r="AR1596" s="2">
        <v>0</v>
      </c>
      <c r="AS1596" s="2">
        <v>12</v>
      </c>
      <c r="AT1596" s="2">
        <v>37</v>
      </c>
      <c r="AU1596" s="2">
        <v>2</v>
      </c>
      <c r="AV1596" s="2">
        <v>82</v>
      </c>
      <c r="AW1596" s="2">
        <v>0</v>
      </c>
      <c r="AX1596" s="2">
        <v>0</v>
      </c>
      <c r="AY1596" s="2">
        <v>15.5</v>
      </c>
      <c r="AZ1596" s="2">
        <v>2.4</v>
      </c>
      <c r="BA1596" s="2">
        <v>10.9</v>
      </c>
      <c r="BB1596" s="2">
        <v>564</v>
      </c>
      <c r="BC1596" s="2">
        <v>68</v>
      </c>
      <c r="BD1596" s="2">
        <v>1.5</v>
      </c>
      <c r="BE1596" s="2">
        <v>135</v>
      </c>
      <c r="BF1596" s="2">
        <v>0</v>
      </c>
      <c r="BG1596" s="2">
        <v>162</v>
      </c>
      <c r="BH1596" s="2">
        <v>9.1</v>
      </c>
      <c r="BI1596" s="2">
        <v>9.1999999999999993</v>
      </c>
      <c r="BJ1596" s="2">
        <v>18.3</v>
      </c>
      <c r="BK1596" s="2">
        <v>0.34</v>
      </c>
      <c r="BL1596" s="2">
        <v>7.3</v>
      </c>
      <c r="BM1596" s="2">
        <v>0.9</v>
      </c>
      <c r="BN1596" s="2">
        <v>7.5</v>
      </c>
      <c r="BO1596" s="2">
        <v>2.9</v>
      </c>
      <c r="BP1596" s="2">
        <f t="shared" si="48"/>
        <v>2.3168245869099269</v>
      </c>
      <c r="BQ1596" s="2">
        <f t="shared" si="49"/>
        <v>10.715181852010479</v>
      </c>
    </row>
    <row r="1597" spans="1:69" x14ac:dyDescent="0.2">
      <c r="A1597" s="2" t="s">
        <v>1712</v>
      </c>
      <c r="B1597" s="2" t="s">
        <v>47</v>
      </c>
      <c r="C1597" s="2" t="s">
        <v>48</v>
      </c>
      <c r="D1597" s="2" t="s">
        <v>49</v>
      </c>
      <c r="E1597" s="2" t="s">
        <v>189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89</v>
      </c>
      <c r="L1597" s="6" t="s">
        <v>141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1713</v>
      </c>
      <c r="R1597" s="2">
        <v>7911392.4050000003</v>
      </c>
      <c r="S1597" s="2">
        <v>0</v>
      </c>
      <c r="T1597" s="2" t="s">
        <v>83</v>
      </c>
      <c r="U1597" s="2" t="s">
        <v>84</v>
      </c>
      <c r="V1597" s="2" t="s">
        <v>56</v>
      </c>
      <c r="W1597" s="2" t="s">
        <v>83</v>
      </c>
      <c r="X1597" s="2" t="s">
        <v>85</v>
      </c>
      <c r="Y1597" s="2">
        <v>2.9221746702442402</v>
      </c>
      <c r="Z1597" s="2">
        <v>2922.1746702442401</v>
      </c>
      <c r="AA1597" s="2">
        <v>4.71035</v>
      </c>
      <c r="AB1597" s="2">
        <v>-74.030416666666696</v>
      </c>
      <c r="AC1597" s="2">
        <v>2570</v>
      </c>
      <c r="AD1597" s="2">
        <v>10</v>
      </c>
      <c r="AE1597" s="2" t="s">
        <v>59</v>
      </c>
      <c r="AF1597" s="2" t="s">
        <v>86</v>
      </c>
      <c r="AG1597" s="2" t="s">
        <v>61</v>
      </c>
      <c r="AH1597" s="2" t="s">
        <v>62</v>
      </c>
      <c r="AI1597" s="2" t="s">
        <v>87</v>
      </c>
      <c r="AJ1597" s="2">
        <v>0.242047304808338</v>
      </c>
      <c r="AK1597" s="2">
        <v>2.80083376338527</v>
      </c>
      <c r="AL1597" s="2">
        <v>0.58513212073048204</v>
      </c>
      <c r="AM1597" s="2">
        <v>0.16812153951713299</v>
      </c>
      <c r="AN1597" s="2">
        <v>4.0976913931981898</v>
      </c>
      <c r="AO1597" s="2">
        <v>0.385324619867215</v>
      </c>
      <c r="AP1597" s="2">
        <v>0.385324619867215</v>
      </c>
      <c r="AQ1597" s="2">
        <v>1</v>
      </c>
      <c r="AR1597" s="2">
        <v>3</v>
      </c>
      <c r="AS1597" s="2">
        <v>0</v>
      </c>
      <c r="AT1597" s="2">
        <v>0</v>
      </c>
      <c r="AU1597" s="2">
        <v>1</v>
      </c>
      <c r="AV1597" s="2">
        <v>151</v>
      </c>
      <c r="AW1597" s="2">
        <v>0</v>
      </c>
      <c r="AX1597" s="2">
        <v>0</v>
      </c>
      <c r="AY1597" s="2">
        <v>15.5</v>
      </c>
      <c r="AZ1597" s="2">
        <v>2.4</v>
      </c>
      <c r="BA1597" s="2">
        <v>10.9</v>
      </c>
      <c r="BB1597" s="2">
        <v>564</v>
      </c>
      <c r="BC1597" s="2">
        <v>68</v>
      </c>
      <c r="BD1597" s="2">
        <v>1.5</v>
      </c>
      <c r="BE1597" s="2">
        <v>135</v>
      </c>
      <c r="BF1597" s="2">
        <v>0</v>
      </c>
      <c r="BG1597" s="2">
        <v>162</v>
      </c>
      <c r="BH1597" s="2">
        <v>9.1</v>
      </c>
      <c r="BI1597" s="2">
        <v>9.1999999999999993</v>
      </c>
      <c r="BJ1597" s="2">
        <v>18.3</v>
      </c>
      <c r="BK1597" s="2">
        <v>0.34</v>
      </c>
      <c r="BL1597" s="2">
        <v>7.3</v>
      </c>
      <c r="BM1597" s="2">
        <v>0.9</v>
      </c>
      <c r="BN1597" s="2">
        <v>7.5</v>
      </c>
      <c r="BO1597" s="2">
        <v>2.9</v>
      </c>
      <c r="BP1597" s="2">
        <f t="shared" si="48"/>
        <v>2.0767851377437889</v>
      </c>
      <c r="BQ1597" s="2">
        <f t="shared" si="49"/>
        <v>10.161749245355175</v>
      </c>
    </row>
    <row r="1598" spans="1:69" x14ac:dyDescent="0.2">
      <c r="A1598" s="2" t="s">
        <v>2253</v>
      </c>
      <c r="B1598" s="2" t="s">
        <v>47</v>
      </c>
      <c r="C1598" s="2" t="s">
        <v>1935</v>
      </c>
      <c r="D1598" s="2" t="s">
        <v>49</v>
      </c>
      <c r="E1598" s="2" t="s">
        <v>184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89</v>
      </c>
      <c r="L1598" s="6" t="s">
        <v>141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2254</v>
      </c>
      <c r="R1598" s="2">
        <v>6242038.2170000002</v>
      </c>
      <c r="S1598" s="2">
        <v>0</v>
      </c>
      <c r="T1598" s="2" t="s">
        <v>83</v>
      </c>
      <c r="U1598" s="2" t="s">
        <v>84</v>
      </c>
      <c r="V1598" s="2" t="s">
        <v>56</v>
      </c>
      <c r="W1598" s="2" t="s">
        <v>83</v>
      </c>
      <c r="X1598" s="2" t="s">
        <v>85</v>
      </c>
      <c r="Y1598" s="2">
        <v>3.2207765405321398</v>
      </c>
      <c r="Z1598" s="2">
        <v>3220.7765405321402</v>
      </c>
      <c r="AA1598" s="2">
        <v>4.71035</v>
      </c>
      <c r="AB1598" s="2">
        <v>-74.030416666666696</v>
      </c>
      <c r="AC1598" s="2">
        <v>2570</v>
      </c>
      <c r="AD1598" s="2">
        <v>10</v>
      </c>
      <c r="AE1598" s="2" t="s">
        <v>59</v>
      </c>
      <c r="AF1598" s="2" t="s">
        <v>86</v>
      </c>
      <c r="AG1598" s="2" t="s">
        <v>61</v>
      </c>
      <c r="AH1598" s="2" t="s">
        <v>62</v>
      </c>
      <c r="AI1598" s="2" t="s">
        <v>87</v>
      </c>
      <c r="AJ1598" s="2">
        <v>1.0486880315653699</v>
      </c>
      <c r="AK1598" s="2">
        <v>2.0182892275339599</v>
      </c>
      <c r="AL1598" s="2">
        <v>0.55115425503709004</v>
      </c>
      <c r="AM1598" s="2">
        <v>0.19710900650440499</v>
      </c>
      <c r="AN1598" s="2">
        <v>1.4685932951381999</v>
      </c>
      <c r="AO1598" s="2">
        <v>0.265172058573453</v>
      </c>
      <c r="AP1598" s="2">
        <v>0.265172058573453</v>
      </c>
      <c r="AQ1598" s="2">
        <v>0</v>
      </c>
      <c r="AR1598" s="2">
        <v>0</v>
      </c>
      <c r="AS1598" s="2">
        <v>0</v>
      </c>
      <c r="AT1598" s="2">
        <v>0</v>
      </c>
      <c r="AU1598" s="2">
        <v>1</v>
      </c>
      <c r="AV1598" s="2">
        <v>29</v>
      </c>
      <c r="AW1598" s="2">
        <v>0</v>
      </c>
      <c r="AX1598" s="2">
        <v>0</v>
      </c>
      <c r="AY1598" s="2">
        <v>15.5</v>
      </c>
      <c r="AZ1598" s="2">
        <v>2.4</v>
      </c>
      <c r="BA1598" s="2">
        <v>10.9</v>
      </c>
      <c r="BB1598" s="2">
        <v>564</v>
      </c>
      <c r="BC1598" s="2">
        <v>68</v>
      </c>
      <c r="BD1598" s="2">
        <v>1.5</v>
      </c>
      <c r="BE1598" s="2">
        <v>135</v>
      </c>
      <c r="BF1598" s="2">
        <v>0</v>
      </c>
      <c r="BG1598" s="2">
        <v>162</v>
      </c>
      <c r="BH1598" s="2">
        <v>9.1</v>
      </c>
      <c r="BI1598" s="2">
        <v>9.1999999999999993</v>
      </c>
      <c r="BJ1598" s="2">
        <v>18.3</v>
      </c>
      <c r="BK1598" s="2">
        <v>0.34</v>
      </c>
      <c r="BL1598" s="2">
        <v>7.3</v>
      </c>
      <c r="BM1598" s="2">
        <v>0.9</v>
      </c>
      <c r="BN1598" s="2">
        <v>7.5</v>
      </c>
      <c r="BO1598" s="2">
        <v>2.9</v>
      </c>
      <c r="BP1598" s="2">
        <f t="shared" si="48"/>
        <v>2.0463143533119816</v>
      </c>
      <c r="BQ1598" s="2">
        <f t="shared" si="49"/>
        <v>10.089185950418862</v>
      </c>
    </row>
    <row r="1599" spans="1:69" x14ac:dyDescent="0.2">
      <c r="A1599" s="2" t="s">
        <v>2366</v>
      </c>
      <c r="B1599" s="2" t="s">
        <v>47</v>
      </c>
      <c r="C1599" s="2" t="s">
        <v>1935</v>
      </c>
      <c r="D1599" s="2" t="s">
        <v>49</v>
      </c>
      <c r="E1599" s="2" t="s">
        <v>184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89</v>
      </c>
      <c r="L1599" s="6" t="s">
        <v>141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2367</v>
      </c>
      <c r="R1599" s="2">
        <v>5414012.7390000001</v>
      </c>
      <c r="S1599" s="2">
        <v>0</v>
      </c>
      <c r="T1599" s="2" t="s">
        <v>83</v>
      </c>
      <c r="U1599" s="2" t="s">
        <v>84</v>
      </c>
      <c r="V1599" s="2" t="s">
        <v>56</v>
      </c>
      <c r="W1599" s="2" t="s">
        <v>83</v>
      </c>
      <c r="X1599" s="2" t="s">
        <v>85</v>
      </c>
      <c r="Y1599" s="2">
        <v>2.6997236496964598</v>
      </c>
      <c r="Z1599" s="2">
        <v>2699.7236496964601</v>
      </c>
      <c r="AA1599" s="2">
        <v>4.71035</v>
      </c>
      <c r="AB1599" s="2">
        <v>-74.030416666666696</v>
      </c>
      <c r="AC1599" s="2">
        <v>2570</v>
      </c>
      <c r="AD1599" s="2">
        <v>10</v>
      </c>
      <c r="AE1599" s="2" t="s">
        <v>59</v>
      </c>
      <c r="AF1599" s="2" t="s">
        <v>86</v>
      </c>
      <c r="AG1599" s="2" t="s">
        <v>61</v>
      </c>
      <c r="AH1599" s="2" t="s">
        <v>62</v>
      </c>
      <c r="AI1599" s="2" t="s">
        <v>87</v>
      </c>
      <c r="AJ1599" s="2">
        <v>0.73855232203062804</v>
      </c>
      <c r="AK1599" s="2">
        <v>2.35267750533469</v>
      </c>
      <c r="AL1599" s="2">
        <v>0.40843017848827501</v>
      </c>
      <c r="AM1599" s="2">
        <v>0.113161168606706</v>
      </c>
      <c r="AN1599" s="2">
        <v>2.1600363097440001</v>
      </c>
      <c r="AO1599" s="2">
        <v>0.16985050022866399</v>
      </c>
      <c r="AP1599" s="2">
        <v>0.16985050022866399</v>
      </c>
      <c r="AQ1599" s="2">
        <v>0</v>
      </c>
      <c r="AR1599" s="2">
        <v>3</v>
      </c>
      <c r="AS1599" s="2">
        <v>0</v>
      </c>
      <c r="AT1599" s="2">
        <v>0</v>
      </c>
      <c r="AU1599" s="2">
        <v>1</v>
      </c>
      <c r="AV1599" s="2">
        <v>23</v>
      </c>
      <c r="AW1599" s="2">
        <v>0</v>
      </c>
      <c r="AX1599" s="2">
        <v>0</v>
      </c>
      <c r="AY1599" s="2">
        <v>15.5</v>
      </c>
      <c r="AZ1599" s="2">
        <v>2.4</v>
      </c>
      <c r="BA1599" s="2">
        <v>10.9</v>
      </c>
      <c r="BB1599" s="2">
        <v>564</v>
      </c>
      <c r="BC1599" s="2">
        <v>68</v>
      </c>
      <c r="BD1599" s="2">
        <v>1.5</v>
      </c>
      <c r="BE1599" s="2">
        <v>135</v>
      </c>
      <c r="BF1599" s="2">
        <v>0</v>
      </c>
      <c r="BG1599" s="2">
        <v>162</v>
      </c>
      <c r="BH1599" s="2">
        <v>9.1</v>
      </c>
      <c r="BI1599" s="2">
        <v>9.1999999999999993</v>
      </c>
      <c r="BJ1599" s="2">
        <v>18.3</v>
      </c>
      <c r="BK1599" s="2">
        <v>0.34</v>
      </c>
      <c r="BL1599" s="2">
        <v>7.3</v>
      </c>
      <c r="BM1599" s="2">
        <v>0.9</v>
      </c>
      <c r="BN1599" s="2">
        <v>7.5</v>
      </c>
      <c r="BO1599" s="2">
        <v>2.9</v>
      </c>
      <c r="BP1599" s="2">
        <f t="shared" si="48"/>
        <v>2.0997796626855334</v>
      </c>
      <c r="BQ1599" s="2">
        <f t="shared" si="49"/>
        <v>10.216146119595436</v>
      </c>
    </row>
    <row r="1600" spans="1:69" x14ac:dyDescent="0.2">
      <c r="A1600" s="2" t="s">
        <v>1329</v>
      </c>
      <c r="B1600" s="2" t="s">
        <v>47</v>
      </c>
      <c r="C1600" s="2" t="s">
        <v>48</v>
      </c>
      <c r="D1600" s="2" t="s">
        <v>49</v>
      </c>
      <c r="E1600" s="2" t="s">
        <v>81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89</v>
      </c>
      <c r="L1600" s="6" t="s">
        <v>141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1330</v>
      </c>
      <c r="R1600" s="2">
        <v>6089743.5899999999</v>
      </c>
      <c r="S1600" s="2">
        <v>0</v>
      </c>
      <c r="T1600" s="2" t="s">
        <v>83</v>
      </c>
      <c r="U1600" s="2" t="s">
        <v>84</v>
      </c>
      <c r="V1600" s="2" t="s">
        <v>56</v>
      </c>
      <c r="W1600" s="2" t="s">
        <v>83</v>
      </c>
      <c r="X1600" s="2" t="s">
        <v>85</v>
      </c>
      <c r="Y1600" s="2">
        <v>1.6214630578817</v>
      </c>
      <c r="Z1600" s="2">
        <v>1621.4630578817</v>
      </c>
      <c r="AA1600" s="2">
        <v>4.71035</v>
      </c>
      <c r="AB1600" s="2">
        <v>-74.030416666666696</v>
      </c>
      <c r="AC1600" s="2">
        <v>2570</v>
      </c>
      <c r="AD1600" s="2">
        <v>10</v>
      </c>
      <c r="AE1600" s="2" t="s">
        <v>59</v>
      </c>
      <c r="AF1600" s="2" t="s">
        <v>86</v>
      </c>
      <c r="AG1600" s="2" t="s">
        <v>61</v>
      </c>
      <c r="AH1600" s="2" t="s">
        <v>62</v>
      </c>
      <c r="AI1600" s="2" t="s">
        <v>87</v>
      </c>
      <c r="AJ1600" s="2">
        <v>2.21758874366102</v>
      </c>
      <c r="AK1600" s="2">
        <v>1.0574252430166899</v>
      </c>
      <c r="AL1600" s="2">
        <v>0.60985758685188796</v>
      </c>
      <c r="AM1600" s="2">
        <v>5.7622933187699198E-2</v>
      </c>
      <c r="AN1600" s="2">
        <v>5.0526958576011003</v>
      </c>
      <c r="AO1600" s="2">
        <v>0.10067219364496501</v>
      </c>
      <c r="AP1600" s="2">
        <v>0.10067219364496501</v>
      </c>
      <c r="AQ1600" s="2">
        <v>0</v>
      </c>
      <c r="AR1600" s="2">
        <v>0</v>
      </c>
      <c r="AS1600" s="2">
        <v>0</v>
      </c>
      <c r="AT1600" s="2">
        <v>0</v>
      </c>
      <c r="AU1600" s="2">
        <v>2</v>
      </c>
      <c r="AV1600" s="2">
        <v>136</v>
      </c>
      <c r="AW1600" s="2">
        <v>0</v>
      </c>
      <c r="AX1600" s="2">
        <v>0</v>
      </c>
      <c r="AY1600" s="2">
        <v>15.5</v>
      </c>
      <c r="AZ1600" s="2">
        <v>2.4</v>
      </c>
      <c r="BA1600" s="2">
        <v>10.9</v>
      </c>
      <c r="BB1600" s="2">
        <v>564</v>
      </c>
      <c r="BC1600" s="2">
        <v>68</v>
      </c>
      <c r="BD1600" s="2">
        <v>1.5</v>
      </c>
      <c r="BE1600" s="2">
        <v>135</v>
      </c>
      <c r="BF1600" s="2">
        <v>0</v>
      </c>
      <c r="BG1600" s="2">
        <v>162</v>
      </c>
      <c r="BH1600" s="2">
        <v>9.1</v>
      </c>
      <c r="BI1600" s="2">
        <v>9.1999999999999993</v>
      </c>
      <c r="BJ1600" s="2">
        <v>18.3</v>
      </c>
      <c r="BK1600" s="2">
        <v>0.34</v>
      </c>
      <c r="BL1600" s="2">
        <v>7.3</v>
      </c>
      <c r="BM1600" s="2">
        <v>0.9</v>
      </c>
      <c r="BN1600" s="2">
        <v>7.5</v>
      </c>
      <c r="BO1600" s="2">
        <v>2.9</v>
      </c>
      <c r="BP1600" s="2">
        <f t="shared" si="48"/>
        <v>2.2148979185213786</v>
      </c>
      <c r="BQ1600" s="2">
        <f t="shared" si="49"/>
        <v>10.483972640829704</v>
      </c>
    </row>
    <row r="1601" spans="1:69" x14ac:dyDescent="0.2">
      <c r="A1601" s="2" t="s">
        <v>1679</v>
      </c>
      <c r="B1601" s="2" t="s">
        <v>47</v>
      </c>
      <c r="C1601" s="2" t="s">
        <v>48</v>
      </c>
      <c r="D1601" s="2" t="s">
        <v>49</v>
      </c>
      <c r="E1601" s="2" t="s">
        <v>961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89</v>
      </c>
      <c r="L1601" s="6" t="s">
        <v>90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1680</v>
      </c>
      <c r="R1601" s="2">
        <v>10193548.390000001</v>
      </c>
      <c r="S1601" s="2">
        <v>0</v>
      </c>
      <c r="T1601" s="2" t="s">
        <v>83</v>
      </c>
      <c r="U1601" s="2" t="s">
        <v>84</v>
      </c>
      <c r="V1601" s="2" t="s">
        <v>56</v>
      </c>
      <c r="W1601" s="2" t="s">
        <v>83</v>
      </c>
      <c r="X1601" s="2" t="s">
        <v>85</v>
      </c>
      <c r="Y1601" s="2">
        <v>2.21628813858166</v>
      </c>
      <c r="Z1601" s="2">
        <v>2216.28813858166</v>
      </c>
      <c r="AA1601" s="2">
        <v>4.71035</v>
      </c>
      <c r="AB1601" s="2">
        <v>-74.030416666666696</v>
      </c>
      <c r="AC1601" s="2">
        <v>2570</v>
      </c>
      <c r="AD1601" s="2">
        <v>10</v>
      </c>
      <c r="AE1601" s="2" t="s">
        <v>59</v>
      </c>
      <c r="AF1601" s="2" t="s">
        <v>86</v>
      </c>
      <c r="AG1601" s="2" t="s">
        <v>61</v>
      </c>
      <c r="AH1601" s="2" t="s">
        <v>62</v>
      </c>
      <c r="AI1601" s="2" t="s">
        <v>87</v>
      </c>
      <c r="AJ1601" s="2">
        <v>0.45067465650984501</v>
      </c>
      <c r="AK1601" s="2">
        <v>2.8135138685577799</v>
      </c>
      <c r="AL1601" s="2">
        <v>1.95186399151884</v>
      </c>
      <c r="AM1601" s="2">
        <v>0.27879612378712898</v>
      </c>
      <c r="AN1601" s="2">
        <v>4.2633167724011303</v>
      </c>
      <c r="AO1601" s="2">
        <v>0.28586389698833697</v>
      </c>
      <c r="AP1601" s="2">
        <v>0.28586389698833697</v>
      </c>
      <c r="AQ1601" s="2">
        <v>1</v>
      </c>
      <c r="AR1601" s="2">
        <v>2</v>
      </c>
      <c r="AS1601" s="2">
        <v>0</v>
      </c>
      <c r="AT1601" s="2">
        <v>0</v>
      </c>
      <c r="AU1601" s="2">
        <v>0</v>
      </c>
      <c r="AV1601" s="2">
        <v>98</v>
      </c>
      <c r="AW1601" s="2">
        <v>0</v>
      </c>
      <c r="AX1601" s="2">
        <v>0</v>
      </c>
      <c r="AY1601" s="2">
        <v>15.5</v>
      </c>
      <c r="AZ1601" s="2">
        <v>2.4</v>
      </c>
      <c r="BA1601" s="2">
        <v>10.9</v>
      </c>
      <c r="BB1601" s="2">
        <v>564</v>
      </c>
      <c r="BC1601" s="2">
        <v>68</v>
      </c>
      <c r="BD1601" s="2">
        <v>1.5</v>
      </c>
      <c r="BE1601" s="2">
        <v>135</v>
      </c>
      <c r="BF1601" s="2">
        <v>0</v>
      </c>
      <c r="BG1601" s="2">
        <v>162</v>
      </c>
      <c r="BH1601" s="2">
        <v>9.1</v>
      </c>
      <c r="BI1601" s="2">
        <v>9.1999999999999993</v>
      </c>
      <c r="BJ1601" s="2">
        <v>18.3</v>
      </c>
      <c r="BK1601" s="2">
        <v>0.34</v>
      </c>
      <c r="BL1601" s="2">
        <v>7.3</v>
      </c>
      <c r="BM1601" s="2">
        <v>0.9</v>
      </c>
      <c r="BN1601" s="2">
        <v>7.5</v>
      </c>
      <c r="BO1601" s="2">
        <v>2.9</v>
      </c>
      <c r="BP1601" s="2">
        <f t="shared" si="48"/>
        <v>2.1506335528902598</v>
      </c>
      <c r="BQ1601" s="2">
        <f t="shared" si="49"/>
        <v>10.335368767392742</v>
      </c>
    </row>
    <row r="1602" spans="1:69" x14ac:dyDescent="0.2">
      <c r="A1602" s="2" t="s">
        <v>2668</v>
      </c>
      <c r="B1602" s="2" t="s">
        <v>47</v>
      </c>
      <c r="C1602" s="2" t="s">
        <v>1935</v>
      </c>
      <c r="D1602" s="2" t="s">
        <v>49</v>
      </c>
      <c r="E1602" s="2" t="s">
        <v>311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89</v>
      </c>
      <c r="L1602" s="6" t="s">
        <v>141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2669</v>
      </c>
      <c r="R1602" s="2">
        <v>4709677.4189999998</v>
      </c>
      <c r="S1602" s="2">
        <v>0</v>
      </c>
      <c r="T1602" s="2" t="s">
        <v>83</v>
      </c>
      <c r="U1602" s="2" t="s">
        <v>84</v>
      </c>
      <c r="V1602" s="2" t="s">
        <v>56</v>
      </c>
      <c r="W1602" s="2" t="s">
        <v>83</v>
      </c>
      <c r="X1602" s="2" t="s">
        <v>85</v>
      </c>
      <c r="Y1602" s="2">
        <v>1.9036797828979199</v>
      </c>
      <c r="Z1602" s="2">
        <v>1903.6797828979199</v>
      </c>
      <c r="AA1602" s="2">
        <v>4.71035</v>
      </c>
      <c r="AB1602" s="2">
        <v>-74.030416666666696</v>
      </c>
      <c r="AC1602" s="2">
        <v>2570</v>
      </c>
      <c r="AD1602" s="2">
        <v>10</v>
      </c>
      <c r="AE1602" s="2" t="s">
        <v>59</v>
      </c>
      <c r="AF1602" s="2" t="s">
        <v>86</v>
      </c>
      <c r="AG1602" s="2" t="s">
        <v>61</v>
      </c>
      <c r="AH1602" s="2" t="s">
        <v>62</v>
      </c>
      <c r="AI1602" s="2" t="s">
        <v>87</v>
      </c>
      <c r="AJ1602" s="2">
        <v>2.5626582534989302</v>
      </c>
      <c r="AK1602" s="2">
        <v>0.637470584855369</v>
      </c>
      <c r="AL1602" s="2">
        <v>1.57276272666803</v>
      </c>
      <c r="AM1602" s="2">
        <v>0.28092653628713599</v>
      </c>
      <c r="AN1602" s="2">
        <v>1.59467235934336</v>
      </c>
      <c r="AO1602" s="2">
        <v>0.34033695184888402</v>
      </c>
      <c r="AP1602" s="2">
        <v>0.34033695184888402</v>
      </c>
      <c r="AQ1602" s="2">
        <v>0</v>
      </c>
      <c r="AR1602" s="2">
        <v>0</v>
      </c>
      <c r="AS1602" s="2">
        <v>0</v>
      </c>
      <c r="AT1602" s="2">
        <v>27</v>
      </c>
      <c r="AU1602" s="2">
        <v>0</v>
      </c>
      <c r="AV1602" s="2">
        <v>8</v>
      </c>
      <c r="AW1602" s="2">
        <v>0</v>
      </c>
      <c r="AX1602" s="2">
        <v>0</v>
      </c>
      <c r="AY1602" s="2">
        <v>15.5</v>
      </c>
      <c r="AZ1602" s="2">
        <v>2.4</v>
      </c>
      <c r="BA1602" s="2">
        <v>10.9</v>
      </c>
      <c r="BB1602" s="2">
        <v>564</v>
      </c>
      <c r="BC1602" s="2">
        <v>68</v>
      </c>
      <c r="BD1602" s="2">
        <v>1.5</v>
      </c>
      <c r="BE1602" s="2">
        <v>135</v>
      </c>
      <c r="BF1602" s="2">
        <v>0</v>
      </c>
      <c r="BG1602" s="2">
        <v>162</v>
      </c>
      <c r="BH1602" s="2">
        <v>9.1</v>
      </c>
      <c r="BI1602" s="2">
        <v>9.1999999999999993</v>
      </c>
      <c r="BJ1602" s="2">
        <v>18.3</v>
      </c>
      <c r="BK1602" s="2">
        <v>0.34</v>
      </c>
      <c r="BL1602" s="2">
        <v>7.3</v>
      </c>
      <c r="BM1602" s="2">
        <v>0.9</v>
      </c>
      <c r="BN1602" s="2">
        <v>7.5</v>
      </c>
      <c r="BO1602" s="2">
        <v>2.9</v>
      </c>
      <c r="BP1602" s="2">
        <f t="shared" ref="BP1602:BP1665" si="50">+AZ1602*EXP(-0.0495*Y1602)</f>
        <v>2.1841715167301974</v>
      </c>
      <c r="BQ1602" s="2">
        <f t="shared" ref="BQ1602:BQ1665" si="51">+BA1602*EXP(-0.024*Y1602)</f>
        <v>10.413202523342099</v>
      </c>
    </row>
    <row r="1603" spans="1:69" x14ac:dyDescent="0.2">
      <c r="A1603" s="2" t="s">
        <v>1646</v>
      </c>
      <c r="B1603" s="2" t="s">
        <v>47</v>
      </c>
      <c r="C1603" s="2" t="s">
        <v>48</v>
      </c>
      <c r="D1603" s="2" t="s">
        <v>49</v>
      </c>
      <c r="E1603" s="2" t="s">
        <v>81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89</v>
      </c>
      <c r="L1603" s="6" t="s">
        <v>141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1647</v>
      </c>
      <c r="R1603" s="2">
        <v>5921052.6320000002</v>
      </c>
      <c r="S1603" s="2">
        <v>0</v>
      </c>
      <c r="T1603" s="2" t="s">
        <v>83</v>
      </c>
      <c r="U1603" s="2" t="s">
        <v>84</v>
      </c>
      <c r="V1603" s="2" t="s">
        <v>56</v>
      </c>
      <c r="W1603" s="2" t="s">
        <v>83</v>
      </c>
      <c r="X1603" s="2" t="s">
        <v>85</v>
      </c>
      <c r="Y1603" s="2">
        <v>1.9224682708315299</v>
      </c>
      <c r="Z1603" s="2">
        <v>1922.4682708315299</v>
      </c>
      <c r="AA1603" s="2">
        <v>4.71035</v>
      </c>
      <c r="AB1603" s="2">
        <v>-74.030416666666696</v>
      </c>
      <c r="AC1603" s="2">
        <v>2570</v>
      </c>
      <c r="AD1603" s="2">
        <v>10</v>
      </c>
      <c r="AE1603" s="2" t="s">
        <v>59</v>
      </c>
      <c r="AF1603" s="2" t="s">
        <v>86</v>
      </c>
      <c r="AG1603" s="2" t="s">
        <v>61</v>
      </c>
      <c r="AH1603" s="2" t="s">
        <v>62</v>
      </c>
      <c r="AI1603" s="2" t="s">
        <v>87</v>
      </c>
      <c r="AJ1603" s="2">
        <v>1.53430039856926</v>
      </c>
      <c r="AK1603" s="2">
        <v>1.73498713412734</v>
      </c>
      <c r="AL1603" s="2">
        <v>1.01518832768144</v>
      </c>
      <c r="AM1603" s="2">
        <v>0.155561067805359</v>
      </c>
      <c r="AN1603" s="2">
        <v>5.1606500001509703</v>
      </c>
      <c r="AO1603" s="2">
        <v>0.174996950329707</v>
      </c>
      <c r="AP1603" s="2">
        <v>0.174996950329707</v>
      </c>
      <c r="AQ1603" s="2">
        <v>0</v>
      </c>
      <c r="AR1603" s="2">
        <v>0</v>
      </c>
      <c r="AS1603" s="2">
        <v>0</v>
      </c>
      <c r="AT1603" s="2">
        <v>0</v>
      </c>
      <c r="AU1603" s="2">
        <v>0</v>
      </c>
      <c r="AV1603" s="2">
        <v>127</v>
      </c>
      <c r="AW1603" s="2">
        <v>0</v>
      </c>
      <c r="AX1603" s="2">
        <v>0</v>
      </c>
      <c r="AY1603" s="2">
        <v>15.5</v>
      </c>
      <c r="AZ1603" s="2">
        <v>2.4</v>
      </c>
      <c r="BA1603" s="2">
        <v>10.9</v>
      </c>
      <c r="BB1603" s="2">
        <v>564</v>
      </c>
      <c r="BC1603" s="2">
        <v>68</v>
      </c>
      <c r="BD1603" s="2">
        <v>1.5</v>
      </c>
      <c r="BE1603" s="2">
        <v>135</v>
      </c>
      <c r="BF1603" s="2">
        <v>0</v>
      </c>
      <c r="BG1603" s="2">
        <v>162</v>
      </c>
      <c r="BH1603" s="2">
        <v>9.1</v>
      </c>
      <c r="BI1603" s="2">
        <v>9.1999999999999993</v>
      </c>
      <c r="BJ1603" s="2">
        <v>18.3</v>
      </c>
      <c r="BK1603" s="2">
        <v>0.34</v>
      </c>
      <c r="BL1603" s="2">
        <v>7.3</v>
      </c>
      <c r="BM1603" s="2">
        <v>0.9</v>
      </c>
      <c r="BN1603" s="2">
        <v>7.5</v>
      </c>
      <c r="BO1603" s="2">
        <v>2.9</v>
      </c>
      <c r="BP1603" s="2">
        <f t="shared" si="50"/>
        <v>2.1821411156743928</v>
      </c>
      <c r="BQ1603" s="2">
        <f t="shared" si="51"/>
        <v>10.408508021933601</v>
      </c>
    </row>
    <row r="1604" spans="1:69" x14ac:dyDescent="0.2">
      <c r="A1604" s="2" t="s">
        <v>977</v>
      </c>
      <c r="B1604" s="2" t="s">
        <v>47</v>
      </c>
      <c r="C1604" s="2" t="s">
        <v>48</v>
      </c>
      <c r="D1604" s="2" t="s">
        <v>49</v>
      </c>
      <c r="E1604" s="2" t="s">
        <v>172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89</v>
      </c>
      <c r="L1604" s="6" t="s">
        <v>141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978</v>
      </c>
      <c r="R1604" s="2">
        <v>6833333.3329999996</v>
      </c>
      <c r="S1604" s="2">
        <v>0</v>
      </c>
      <c r="T1604" s="2" t="s">
        <v>83</v>
      </c>
      <c r="U1604" s="2" t="s">
        <v>84</v>
      </c>
      <c r="V1604" s="2" t="s">
        <v>56</v>
      </c>
      <c r="W1604" s="2" t="s">
        <v>83</v>
      </c>
      <c r="X1604" s="2" t="s">
        <v>85</v>
      </c>
      <c r="Y1604" s="2">
        <v>2.0998496533811402</v>
      </c>
      <c r="Z1604" s="2">
        <v>2099.8496533811399</v>
      </c>
      <c r="AA1604" s="2">
        <v>4.71035</v>
      </c>
      <c r="AB1604" s="2">
        <v>-74.030416666666696</v>
      </c>
      <c r="AC1604" s="2">
        <v>2570</v>
      </c>
      <c r="AD1604" s="2">
        <v>10</v>
      </c>
      <c r="AE1604" s="2" t="s">
        <v>59</v>
      </c>
      <c r="AF1604" s="2" t="s">
        <v>86</v>
      </c>
      <c r="AG1604" s="2" t="s">
        <v>61</v>
      </c>
      <c r="AH1604" s="2" t="s">
        <v>62</v>
      </c>
      <c r="AI1604" s="2" t="s">
        <v>87</v>
      </c>
      <c r="AJ1604" s="2">
        <v>2.0621917962034901</v>
      </c>
      <c r="AK1604" s="2">
        <v>1.20291564132104</v>
      </c>
      <c r="AL1604" s="2">
        <v>0.878820671833351</v>
      </c>
      <c r="AM1604" s="2">
        <v>0.14103318514624599</v>
      </c>
      <c r="AN1604" s="2">
        <v>5.3527446859148098</v>
      </c>
      <c r="AO1604" s="2">
        <v>0.429116959210532</v>
      </c>
      <c r="AP1604" s="2">
        <v>0.429116959210532</v>
      </c>
      <c r="AQ1604" s="2">
        <v>0</v>
      </c>
      <c r="AR1604" s="2">
        <v>0</v>
      </c>
      <c r="AS1604" s="2">
        <v>0</v>
      </c>
      <c r="AT1604" s="2">
        <v>0</v>
      </c>
      <c r="AU1604" s="2">
        <v>1</v>
      </c>
      <c r="AV1604" s="2">
        <v>117</v>
      </c>
      <c r="AW1604" s="2">
        <v>0</v>
      </c>
      <c r="AX1604" s="2">
        <v>0</v>
      </c>
      <c r="AY1604" s="2">
        <v>15.5</v>
      </c>
      <c r="AZ1604" s="2">
        <v>2.4</v>
      </c>
      <c r="BA1604" s="2">
        <v>10.9</v>
      </c>
      <c r="BB1604" s="2">
        <v>564</v>
      </c>
      <c r="BC1604" s="2">
        <v>68</v>
      </c>
      <c r="BD1604" s="2">
        <v>1.5</v>
      </c>
      <c r="BE1604" s="2">
        <v>135</v>
      </c>
      <c r="BF1604" s="2">
        <v>0</v>
      </c>
      <c r="BG1604" s="2">
        <v>162</v>
      </c>
      <c r="BH1604" s="2">
        <v>9.1</v>
      </c>
      <c r="BI1604" s="2">
        <v>9.1999999999999993</v>
      </c>
      <c r="BJ1604" s="2">
        <v>18.3</v>
      </c>
      <c r="BK1604" s="2">
        <v>0.34</v>
      </c>
      <c r="BL1604" s="2">
        <v>7.3</v>
      </c>
      <c r="BM1604" s="2">
        <v>0.9</v>
      </c>
      <c r="BN1604" s="2">
        <v>7.5</v>
      </c>
      <c r="BO1604" s="2">
        <v>2.9</v>
      </c>
      <c r="BP1604" s="2">
        <f t="shared" si="50"/>
        <v>2.1630649613608157</v>
      </c>
      <c r="BQ1604" s="2">
        <f t="shared" si="51"/>
        <v>10.364291593729714</v>
      </c>
    </row>
    <row r="1605" spans="1:69" x14ac:dyDescent="0.2">
      <c r="A1605" s="2" t="s">
        <v>2606</v>
      </c>
      <c r="B1605" s="2" t="s">
        <v>47</v>
      </c>
      <c r="C1605" s="2" t="s">
        <v>1935</v>
      </c>
      <c r="D1605" s="2" t="s">
        <v>49</v>
      </c>
      <c r="E1605" s="2" t="s">
        <v>751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89</v>
      </c>
      <c r="L1605" s="6" t="s">
        <v>141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2607</v>
      </c>
      <c r="R1605" s="2">
        <v>5966666.6670000004</v>
      </c>
      <c r="S1605" s="2">
        <v>0</v>
      </c>
      <c r="T1605" s="2" t="s">
        <v>83</v>
      </c>
      <c r="U1605" s="2" t="s">
        <v>84</v>
      </c>
      <c r="V1605" s="2" t="s">
        <v>56</v>
      </c>
      <c r="W1605" s="2" t="s">
        <v>83</v>
      </c>
      <c r="X1605" s="2" t="s">
        <v>85</v>
      </c>
      <c r="Y1605" s="2">
        <v>1.97278546427581</v>
      </c>
      <c r="Z1605" s="2">
        <v>1972.78546427581</v>
      </c>
      <c r="AA1605" s="2">
        <v>4.71035</v>
      </c>
      <c r="AB1605" s="2">
        <v>-74.030416666666696</v>
      </c>
      <c r="AC1605" s="2">
        <v>2570</v>
      </c>
      <c r="AD1605" s="2">
        <v>10</v>
      </c>
      <c r="AE1605" s="2" t="s">
        <v>59</v>
      </c>
      <c r="AF1605" s="2" t="s">
        <v>86</v>
      </c>
      <c r="AG1605" s="2" t="s">
        <v>61</v>
      </c>
      <c r="AH1605" s="2" t="s">
        <v>62</v>
      </c>
      <c r="AI1605" s="2" t="s">
        <v>87</v>
      </c>
      <c r="AJ1605" s="2">
        <v>1.12521633438381</v>
      </c>
      <c r="AK1605" s="2">
        <v>1.96852379686618</v>
      </c>
      <c r="AL1605" s="2">
        <v>0.882282821931897</v>
      </c>
      <c r="AM1605" s="2">
        <v>0.338954254976711</v>
      </c>
      <c r="AN1605" s="2">
        <v>2.39067409753202</v>
      </c>
      <c r="AO1605" s="2">
        <v>0.12048948171481901</v>
      </c>
      <c r="AP1605" s="2">
        <v>0.12048948171481901</v>
      </c>
      <c r="AQ1605" s="2">
        <v>0</v>
      </c>
      <c r="AR1605" s="2">
        <v>0</v>
      </c>
      <c r="AS1605" s="2">
        <v>0</v>
      </c>
      <c r="AT1605" s="2">
        <v>0</v>
      </c>
      <c r="AU1605" s="2">
        <v>1</v>
      </c>
      <c r="AV1605" s="2">
        <v>38</v>
      </c>
      <c r="AW1605" s="2">
        <v>0</v>
      </c>
      <c r="AX1605" s="2">
        <v>0</v>
      </c>
      <c r="AY1605" s="2">
        <v>15.5</v>
      </c>
      <c r="AZ1605" s="2">
        <v>2.4</v>
      </c>
      <c r="BA1605" s="2">
        <v>10.9</v>
      </c>
      <c r="BB1605" s="2">
        <v>564</v>
      </c>
      <c r="BC1605" s="2">
        <v>68</v>
      </c>
      <c r="BD1605" s="2">
        <v>1.5</v>
      </c>
      <c r="BE1605" s="2">
        <v>135</v>
      </c>
      <c r="BF1605" s="2">
        <v>0</v>
      </c>
      <c r="BG1605" s="2">
        <v>162</v>
      </c>
      <c r="BH1605" s="2">
        <v>9.1</v>
      </c>
      <c r="BI1605" s="2">
        <v>9.1999999999999993</v>
      </c>
      <c r="BJ1605" s="2">
        <v>18.3</v>
      </c>
      <c r="BK1605" s="2">
        <v>0.34</v>
      </c>
      <c r="BL1605" s="2">
        <v>7.3</v>
      </c>
      <c r="BM1605" s="2">
        <v>0.9</v>
      </c>
      <c r="BN1605" s="2">
        <v>7.5</v>
      </c>
      <c r="BO1605" s="2">
        <v>2.9</v>
      </c>
      <c r="BP1605" s="2">
        <f t="shared" si="50"/>
        <v>2.176712817391139</v>
      </c>
      <c r="BQ1605" s="2">
        <f t="shared" si="51"/>
        <v>10.395946162511793</v>
      </c>
    </row>
    <row r="1606" spans="1:69" x14ac:dyDescent="0.2">
      <c r="A1606" s="2" t="s">
        <v>1683</v>
      </c>
      <c r="B1606" s="2" t="s">
        <v>47</v>
      </c>
      <c r="C1606" s="2" t="s">
        <v>48</v>
      </c>
      <c r="D1606" s="2" t="s">
        <v>49</v>
      </c>
      <c r="E1606" s="2" t="s">
        <v>192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89</v>
      </c>
      <c r="L1606" s="6" t="s">
        <v>141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1684</v>
      </c>
      <c r="R1606" s="2">
        <v>7500000</v>
      </c>
      <c r="S1606" s="2">
        <v>0</v>
      </c>
      <c r="T1606" s="2" t="s">
        <v>83</v>
      </c>
      <c r="U1606" s="2" t="s">
        <v>84</v>
      </c>
      <c r="V1606" s="2" t="s">
        <v>56</v>
      </c>
      <c r="W1606" s="2" t="s">
        <v>83</v>
      </c>
      <c r="X1606" s="2" t="s">
        <v>85</v>
      </c>
      <c r="Y1606" s="2">
        <v>1.1546256663888801</v>
      </c>
      <c r="Z1606" s="2">
        <v>1154.6256663888801</v>
      </c>
      <c r="AA1606" s="2">
        <v>4.71035</v>
      </c>
      <c r="AB1606" s="2">
        <v>-74.030416666666696</v>
      </c>
      <c r="AC1606" s="2">
        <v>2570</v>
      </c>
      <c r="AD1606" s="2">
        <v>10</v>
      </c>
      <c r="AE1606" s="2" t="s">
        <v>59</v>
      </c>
      <c r="AF1606" s="2" t="s">
        <v>86</v>
      </c>
      <c r="AG1606" s="2" t="s">
        <v>61</v>
      </c>
      <c r="AH1606" s="2" t="s">
        <v>62</v>
      </c>
      <c r="AI1606" s="2" t="s">
        <v>87</v>
      </c>
      <c r="AJ1606" s="2">
        <v>2.1298193140451498</v>
      </c>
      <c r="AK1606" s="2">
        <v>1.0691137148094201</v>
      </c>
      <c r="AL1606" s="2">
        <v>0.31741942049969601</v>
      </c>
      <c r="AM1606" s="2">
        <v>0.29559357246463203</v>
      </c>
      <c r="AN1606" s="2">
        <v>4.5580238729108604</v>
      </c>
      <c r="AO1606" s="2">
        <v>0.357471424218059</v>
      </c>
      <c r="AP1606" s="2">
        <v>0.357471424218059</v>
      </c>
      <c r="AQ1606" s="2">
        <v>0</v>
      </c>
      <c r="AR1606" s="2">
        <v>0</v>
      </c>
      <c r="AS1606" s="2">
        <v>0</v>
      </c>
      <c r="AT1606" s="2">
        <v>0</v>
      </c>
      <c r="AU1606" s="2">
        <v>2</v>
      </c>
      <c r="AV1606" s="2">
        <v>162</v>
      </c>
      <c r="AW1606" s="2">
        <v>0</v>
      </c>
      <c r="AX1606" s="2">
        <v>0</v>
      </c>
      <c r="AY1606" s="2">
        <v>15.5</v>
      </c>
      <c r="AZ1606" s="2">
        <v>2.4</v>
      </c>
      <c r="BA1606" s="2">
        <v>10.9</v>
      </c>
      <c r="BB1606" s="2">
        <v>564</v>
      </c>
      <c r="BC1606" s="2">
        <v>68</v>
      </c>
      <c r="BD1606" s="2">
        <v>1.5</v>
      </c>
      <c r="BE1606" s="2">
        <v>135</v>
      </c>
      <c r="BF1606" s="2">
        <v>0</v>
      </c>
      <c r="BG1606" s="2">
        <v>162</v>
      </c>
      <c r="BH1606" s="2">
        <v>9.1</v>
      </c>
      <c r="BI1606" s="2">
        <v>9.1999999999999993</v>
      </c>
      <c r="BJ1606" s="2">
        <v>18.3</v>
      </c>
      <c r="BK1606" s="2">
        <v>0.34</v>
      </c>
      <c r="BL1606" s="2">
        <v>7.3</v>
      </c>
      <c r="BM1606" s="2">
        <v>0.9</v>
      </c>
      <c r="BN1606" s="2">
        <v>7.5</v>
      </c>
      <c r="BO1606" s="2">
        <v>2.9</v>
      </c>
      <c r="BP1606" s="2">
        <f t="shared" si="50"/>
        <v>2.26667673829076</v>
      </c>
      <c r="BQ1606" s="2">
        <f t="shared" si="51"/>
        <v>10.602096591828557</v>
      </c>
    </row>
    <row r="1607" spans="1:69" x14ac:dyDescent="0.2">
      <c r="A1607" s="2" t="s">
        <v>690</v>
      </c>
      <c r="B1607" s="2" t="s">
        <v>47</v>
      </c>
      <c r="C1607" s="2" t="s">
        <v>48</v>
      </c>
      <c r="D1607" s="2" t="s">
        <v>49</v>
      </c>
      <c r="E1607" s="2" t="s">
        <v>214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89</v>
      </c>
      <c r="L1607" s="6" t="s">
        <v>141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691</v>
      </c>
      <c r="R1607" s="2">
        <v>7500000</v>
      </c>
      <c r="S1607" s="2">
        <v>0</v>
      </c>
      <c r="T1607" s="2" t="s">
        <v>83</v>
      </c>
      <c r="U1607" s="2" t="s">
        <v>84</v>
      </c>
      <c r="V1607" s="2" t="s">
        <v>56</v>
      </c>
      <c r="W1607" s="2" t="s">
        <v>83</v>
      </c>
      <c r="X1607" s="2" t="s">
        <v>85</v>
      </c>
      <c r="Y1607" s="2">
        <v>1.1544523610977899</v>
      </c>
      <c r="Z1607" s="2">
        <v>1154.4523610977899</v>
      </c>
      <c r="AA1607" s="2">
        <v>4.71035</v>
      </c>
      <c r="AB1607" s="2">
        <v>-74.030416666666696</v>
      </c>
      <c r="AC1607" s="2">
        <v>2570</v>
      </c>
      <c r="AD1607" s="2">
        <v>10</v>
      </c>
      <c r="AE1607" s="2" t="s">
        <v>59</v>
      </c>
      <c r="AF1607" s="2" t="s">
        <v>86</v>
      </c>
      <c r="AG1607" s="2" t="s">
        <v>61</v>
      </c>
      <c r="AH1607" s="2" t="s">
        <v>62</v>
      </c>
      <c r="AI1607" s="2" t="s">
        <v>87</v>
      </c>
      <c r="AJ1607" s="2">
        <v>2.1301911608478701</v>
      </c>
      <c r="AK1607" s="2">
        <v>1.0687414095376699</v>
      </c>
      <c r="AL1607" s="2">
        <v>0.31704305839472202</v>
      </c>
      <c r="AM1607" s="2">
        <v>0.29575974536560301</v>
      </c>
      <c r="AN1607" s="2">
        <v>4.5579500695860604</v>
      </c>
      <c r="AO1607" s="2">
        <v>0.35759417626896101</v>
      </c>
      <c r="AP1607" s="2">
        <v>0.35759417626896101</v>
      </c>
      <c r="AQ1607" s="2">
        <v>0</v>
      </c>
      <c r="AR1607" s="2">
        <v>0</v>
      </c>
      <c r="AS1607" s="2">
        <v>0</v>
      </c>
      <c r="AT1607" s="2">
        <v>0</v>
      </c>
      <c r="AU1607" s="2">
        <v>2</v>
      </c>
      <c r="AV1607" s="2">
        <v>162</v>
      </c>
      <c r="AW1607" s="2">
        <v>0</v>
      </c>
      <c r="AX1607" s="2">
        <v>0</v>
      </c>
      <c r="AY1607" s="2">
        <v>15.5</v>
      </c>
      <c r="AZ1607" s="2">
        <v>2.4</v>
      </c>
      <c r="BA1607" s="2">
        <v>10.9</v>
      </c>
      <c r="BB1607" s="2">
        <v>564</v>
      </c>
      <c r="BC1607" s="2">
        <v>68</v>
      </c>
      <c r="BD1607" s="2">
        <v>1.5</v>
      </c>
      <c r="BE1607" s="2">
        <v>135</v>
      </c>
      <c r="BF1607" s="2">
        <v>0</v>
      </c>
      <c r="BG1607" s="2">
        <v>162</v>
      </c>
      <c r="BH1607" s="2">
        <v>9.1</v>
      </c>
      <c r="BI1607" s="2">
        <v>9.1999999999999993</v>
      </c>
      <c r="BJ1607" s="2">
        <v>18.3</v>
      </c>
      <c r="BK1607" s="2">
        <v>0.34</v>
      </c>
      <c r="BL1607" s="2">
        <v>7.3</v>
      </c>
      <c r="BM1607" s="2">
        <v>0.9</v>
      </c>
      <c r="BN1607" s="2">
        <v>7.5</v>
      </c>
      <c r="BO1607" s="2">
        <v>2.9</v>
      </c>
      <c r="BP1607" s="2">
        <f t="shared" si="50"/>
        <v>2.266696183314227</v>
      </c>
      <c r="BQ1607" s="2">
        <f t="shared" si="51"/>
        <v>10.602140689506729</v>
      </c>
    </row>
    <row r="1608" spans="1:69" x14ac:dyDescent="0.2">
      <c r="A1608" s="2" t="s">
        <v>768</v>
      </c>
      <c r="B1608" s="2" t="s">
        <v>47</v>
      </c>
      <c r="C1608" s="2" t="s">
        <v>48</v>
      </c>
      <c r="D1608" s="2" t="s">
        <v>49</v>
      </c>
      <c r="E1608" s="2" t="s">
        <v>189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51</v>
      </c>
      <c r="L1608" s="6" t="s">
        <v>52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769</v>
      </c>
      <c r="R1608" s="2">
        <v>16445000</v>
      </c>
      <c r="S1608" s="2">
        <v>0</v>
      </c>
      <c r="T1608" s="2" t="s">
        <v>83</v>
      </c>
      <c r="U1608" s="2" t="s">
        <v>84</v>
      </c>
      <c r="V1608" s="2" t="s">
        <v>56</v>
      </c>
      <c r="W1608" s="2" t="s">
        <v>83</v>
      </c>
      <c r="X1608" s="2" t="s">
        <v>85</v>
      </c>
      <c r="Y1608" s="2">
        <v>2.8164312341552802</v>
      </c>
      <c r="Z1608" s="2">
        <v>2816.43123415528</v>
      </c>
      <c r="AA1608" s="2">
        <v>4.71035</v>
      </c>
      <c r="AB1608" s="2">
        <v>-74.030416666666696</v>
      </c>
      <c r="AC1608" s="2">
        <v>2570</v>
      </c>
      <c r="AD1608" s="2">
        <v>10</v>
      </c>
      <c r="AE1608" s="2" t="s">
        <v>59</v>
      </c>
      <c r="AF1608" s="2" t="s">
        <v>86</v>
      </c>
      <c r="AG1608" s="2" t="s">
        <v>61</v>
      </c>
      <c r="AH1608" s="2" t="s">
        <v>62</v>
      </c>
      <c r="AI1608" s="2" t="s">
        <v>87</v>
      </c>
      <c r="AJ1608" s="2">
        <v>0.3704520231708</v>
      </c>
      <c r="AK1608" s="2">
        <v>2.7029258595346799</v>
      </c>
      <c r="AL1608" s="2">
        <v>0.497922585731226</v>
      </c>
      <c r="AM1608" s="2">
        <v>0.183439943781117</v>
      </c>
      <c r="AN1608" s="2">
        <v>4.1912385891044197</v>
      </c>
      <c r="AO1608" s="2">
        <v>0.29890318697298801</v>
      </c>
      <c r="AP1608" s="2">
        <v>0.29890318697298801</v>
      </c>
      <c r="AQ1608" s="2">
        <v>1</v>
      </c>
      <c r="AR1608" s="2">
        <v>3</v>
      </c>
      <c r="AS1608" s="2">
        <v>0</v>
      </c>
      <c r="AT1608" s="2">
        <v>0</v>
      </c>
      <c r="AU1608" s="2">
        <v>1</v>
      </c>
      <c r="AV1608" s="2">
        <v>157</v>
      </c>
      <c r="AW1608" s="2">
        <v>0</v>
      </c>
      <c r="AX1608" s="2">
        <v>0</v>
      </c>
      <c r="AY1608" s="2">
        <v>15.5</v>
      </c>
      <c r="AZ1608" s="2">
        <v>2.4</v>
      </c>
      <c r="BA1608" s="2">
        <v>10.9</v>
      </c>
      <c r="BB1608" s="2">
        <v>564</v>
      </c>
      <c r="BC1608" s="2">
        <v>68</v>
      </c>
      <c r="BD1608" s="2">
        <v>1.5</v>
      </c>
      <c r="BE1608" s="2">
        <v>135</v>
      </c>
      <c r="BF1608" s="2">
        <v>0</v>
      </c>
      <c r="BG1608" s="2">
        <v>162</v>
      </c>
      <c r="BH1608" s="2">
        <v>9.1</v>
      </c>
      <c r="BI1608" s="2">
        <v>9.1999999999999993</v>
      </c>
      <c r="BJ1608" s="2">
        <v>18.3</v>
      </c>
      <c r="BK1608" s="2">
        <v>0.34</v>
      </c>
      <c r="BL1608" s="2">
        <v>7.3</v>
      </c>
      <c r="BM1608" s="2">
        <v>0.9</v>
      </c>
      <c r="BN1608" s="2">
        <v>7.5</v>
      </c>
      <c r="BO1608" s="2">
        <v>2.9</v>
      </c>
      <c r="BP1608" s="2">
        <f t="shared" si="50"/>
        <v>2.0876841538460198</v>
      </c>
      <c r="BQ1608" s="2">
        <f t="shared" si="51"/>
        <v>10.187570915927299</v>
      </c>
    </row>
    <row r="1609" spans="1:69" x14ac:dyDescent="0.2">
      <c r="A1609" s="2" t="s">
        <v>960</v>
      </c>
      <c r="B1609" s="2" t="s">
        <v>47</v>
      </c>
      <c r="C1609" s="2" t="s">
        <v>48</v>
      </c>
      <c r="D1609" s="2" t="s">
        <v>49</v>
      </c>
      <c r="E1609" s="2" t="s">
        <v>961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89</v>
      </c>
      <c r="L1609" s="6" t="s">
        <v>141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962</v>
      </c>
      <c r="R1609" s="2">
        <v>7323792.2460000003</v>
      </c>
      <c r="S1609" s="2">
        <v>0</v>
      </c>
      <c r="T1609" s="2" t="s">
        <v>83</v>
      </c>
      <c r="U1609" s="2" t="s">
        <v>84</v>
      </c>
      <c r="V1609" s="2" t="s">
        <v>56</v>
      </c>
      <c r="W1609" s="2" t="s">
        <v>83</v>
      </c>
      <c r="X1609" s="2" t="s">
        <v>85</v>
      </c>
      <c r="Y1609" s="2">
        <v>2.4534892531788701</v>
      </c>
      <c r="Z1609" s="2">
        <v>2453.4892531788701</v>
      </c>
      <c r="AA1609" s="2">
        <v>4.71035</v>
      </c>
      <c r="AB1609" s="2">
        <v>-74.030416666666696</v>
      </c>
      <c r="AC1609" s="2">
        <v>2570</v>
      </c>
      <c r="AD1609" s="2">
        <v>10</v>
      </c>
      <c r="AE1609" s="2" t="s">
        <v>59</v>
      </c>
      <c r="AF1609" s="2" t="s">
        <v>86</v>
      </c>
      <c r="AG1609" s="2" t="s">
        <v>61</v>
      </c>
      <c r="AH1609" s="2" t="s">
        <v>62</v>
      </c>
      <c r="AI1609" s="2" t="s">
        <v>87</v>
      </c>
      <c r="AJ1609" s="2">
        <v>0.49271932939232799</v>
      </c>
      <c r="AK1609" s="2">
        <v>3.0458061565085601</v>
      </c>
      <c r="AL1609" s="2">
        <v>1.88094119544386</v>
      </c>
      <c r="AM1609" s="2">
        <v>0.20291019389276899</v>
      </c>
      <c r="AN1609" s="2">
        <v>4.5001467510701003</v>
      </c>
      <c r="AO1609" s="2">
        <v>0.13278104955210901</v>
      </c>
      <c r="AP1609" s="2">
        <v>0.13278104955210901</v>
      </c>
      <c r="AQ1609" s="2">
        <v>1</v>
      </c>
      <c r="AR1609" s="2">
        <v>2</v>
      </c>
      <c r="AS1609" s="2">
        <v>0</v>
      </c>
      <c r="AT1609" s="2">
        <v>0</v>
      </c>
      <c r="AU1609" s="2">
        <v>0</v>
      </c>
      <c r="AV1609" s="2">
        <v>102</v>
      </c>
      <c r="AW1609" s="2">
        <v>0</v>
      </c>
      <c r="AX1609" s="2">
        <v>0</v>
      </c>
      <c r="AY1609" s="2">
        <v>15.5</v>
      </c>
      <c r="AZ1609" s="2">
        <v>2.4</v>
      </c>
      <c r="BA1609" s="2">
        <v>10.9</v>
      </c>
      <c r="BB1609" s="2">
        <v>564</v>
      </c>
      <c r="BC1609" s="2">
        <v>68</v>
      </c>
      <c r="BD1609" s="2">
        <v>1.5</v>
      </c>
      <c r="BE1609" s="2">
        <v>135</v>
      </c>
      <c r="BF1609" s="2">
        <v>0</v>
      </c>
      <c r="BG1609" s="2">
        <v>162</v>
      </c>
      <c r="BH1609" s="2">
        <v>9.1</v>
      </c>
      <c r="BI1609" s="2">
        <v>9.1999999999999993</v>
      </c>
      <c r="BJ1609" s="2">
        <v>18.3</v>
      </c>
      <c r="BK1609" s="2">
        <v>0.34</v>
      </c>
      <c r="BL1609" s="2">
        <v>7.3</v>
      </c>
      <c r="BM1609" s="2">
        <v>0.9</v>
      </c>
      <c r="BN1609" s="2">
        <v>7.5</v>
      </c>
      <c r="BO1609" s="2">
        <v>2.9</v>
      </c>
      <c r="BP1609" s="2">
        <f t="shared" si="50"/>
        <v>2.1255296520048632</v>
      </c>
      <c r="BQ1609" s="2">
        <f t="shared" si="51"/>
        <v>10.276698461991394</v>
      </c>
    </row>
    <row r="1610" spans="1:69" x14ac:dyDescent="0.2">
      <c r="A1610" s="2" t="s">
        <v>1298</v>
      </c>
      <c r="B1610" s="2" t="s">
        <v>47</v>
      </c>
      <c r="C1610" s="2" t="s">
        <v>48</v>
      </c>
      <c r="D1610" s="2" t="s">
        <v>49</v>
      </c>
      <c r="E1610" s="2" t="s">
        <v>192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89</v>
      </c>
      <c r="L1610" s="6" t="s">
        <v>141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1299</v>
      </c>
      <c r="R1610" s="2">
        <v>6013513.5140000004</v>
      </c>
      <c r="S1610" s="2">
        <v>0</v>
      </c>
      <c r="T1610" s="2" t="s">
        <v>83</v>
      </c>
      <c r="U1610" s="2" t="s">
        <v>84</v>
      </c>
      <c r="V1610" s="2" t="s">
        <v>56</v>
      </c>
      <c r="W1610" s="2" t="s">
        <v>83</v>
      </c>
      <c r="X1610" s="2" t="s">
        <v>85</v>
      </c>
      <c r="Y1610" s="2">
        <v>1.89488895366578</v>
      </c>
      <c r="Z1610" s="2">
        <v>1894.88895366578</v>
      </c>
      <c r="AA1610" s="2">
        <v>4.71035</v>
      </c>
      <c r="AB1610" s="2">
        <v>-74.030416666666696</v>
      </c>
      <c r="AC1610" s="2">
        <v>2570</v>
      </c>
      <c r="AD1610" s="2">
        <v>10</v>
      </c>
      <c r="AE1610" s="2" t="s">
        <v>59</v>
      </c>
      <c r="AF1610" s="2" t="s">
        <v>86</v>
      </c>
      <c r="AG1610" s="2" t="s">
        <v>61</v>
      </c>
      <c r="AH1610" s="2" t="s">
        <v>62</v>
      </c>
      <c r="AI1610" s="2" t="s">
        <v>87</v>
      </c>
      <c r="AJ1610" s="2">
        <v>1.81225996657118</v>
      </c>
      <c r="AK1610" s="2">
        <v>1.45745251723044</v>
      </c>
      <c r="AL1610" s="2">
        <v>0.96616709000748302</v>
      </c>
      <c r="AM1610" s="2">
        <v>0.142666274262298</v>
      </c>
      <c r="AN1610" s="2">
        <v>5.2473154721131898</v>
      </c>
      <c r="AO1610" s="2">
        <v>9.5406069375160704E-2</v>
      </c>
      <c r="AP1610" s="2">
        <v>9.5406069375160704E-2</v>
      </c>
      <c r="AQ1610" s="2">
        <v>0</v>
      </c>
      <c r="AR1610" s="2">
        <v>0</v>
      </c>
      <c r="AS1610" s="2">
        <v>0</v>
      </c>
      <c r="AT1610" s="2">
        <v>0</v>
      </c>
      <c r="AU1610" s="2">
        <v>1</v>
      </c>
      <c r="AV1610" s="2">
        <v>158</v>
      </c>
      <c r="AW1610" s="2">
        <v>0</v>
      </c>
      <c r="AX1610" s="2">
        <v>0</v>
      </c>
      <c r="AY1610" s="2">
        <v>15.5</v>
      </c>
      <c r="AZ1610" s="2">
        <v>2.4</v>
      </c>
      <c r="BA1610" s="2">
        <v>10.9</v>
      </c>
      <c r="BB1610" s="2">
        <v>564</v>
      </c>
      <c r="BC1610" s="2">
        <v>68</v>
      </c>
      <c r="BD1610" s="2">
        <v>1.5</v>
      </c>
      <c r="BE1610" s="2">
        <v>135</v>
      </c>
      <c r="BF1610" s="2">
        <v>0</v>
      </c>
      <c r="BG1610" s="2">
        <v>162</v>
      </c>
      <c r="BH1610" s="2">
        <v>9.1</v>
      </c>
      <c r="BI1610" s="2">
        <v>9.1999999999999993</v>
      </c>
      <c r="BJ1610" s="2">
        <v>18.3</v>
      </c>
      <c r="BK1610" s="2">
        <v>0.34</v>
      </c>
      <c r="BL1610" s="2">
        <v>7.3</v>
      </c>
      <c r="BM1610" s="2">
        <v>0.9</v>
      </c>
      <c r="BN1610" s="2">
        <v>7.5</v>
      </c>
      <c r="BO1610" s="2">
        <v>2.9</v>
      </c>
      <c r="BP1610" s="2">
        <f t="shared" si="50"/>
        <v>2.1851221571503632</v>
      </c>
      <c r="BQ1610" s="2">
        <f t="shared" si="51"/>
        <v>10.415399731560752</v>
      </c>
    </row>
    <row r="1611" spans="1:69" x14ac:dyDescent="0.2">
      <c r="A1611" s="2" t="s">
        <v>188</v>
      </c>
      <c r="B1611" s="2" t="s">
        <v>47</v>
      </c>
      <c r="C1611" s="2" t="s">
        <v>48</v>
      </c>
      <c r="D1611" s="2" t="s">
        <v>49</v>
      </c>
      <c r="E1611" s="2" t="s">
        <v>189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89</v>
      </c>
      <c r="L1611" s="6" t="s">
        <v>103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190</v>
      </c>
      <c r="R1611" s="2">
        <v>9251700.6799999997</v>
      </c>
      <c r="S1611" s="2">
        <v>0</v>
      </c>
      <c r="T1611" s="2" t="s">
        <v>83</v>
      </c>
      <c r="U1611" s="2" t="s">
        <v>84</v>
      </c>
      <c r="V1611" s="2" t="s">
        <v>56</v>
      </c>
      <c r="W1611" s="2" t="s">
        <v>83</v>
      </c>
      <c r="X1611" s="2" t="s">
        <v>85</v>
      </c>
      <c r="Y1611" s="2">
        <v>3.0088244674237998</v>
      </c>
      <c r="Z1611" s="2">
        <v>3008.8244674237999</v>
      </c>
      <c r="AA1611" s="2">
        <v>4.71035</v>
      </c>
      <c r="AB1611" s="2">
        <v>-74.030416666666696</v>
      </c>
      <c r="AC1611" s="2">
        <v>2570</v>
      </c>
      <c r="AD1611" s="2">
        <v>10</v>
      </c>
      <c r="AE1611" s="2" t="s">
        <v>59</v>
      </c>
      <c r="AF1611" s="2" t="s">
        <v>86</v>
      </c>
      <c r="AG1611" s="2" t="s">
        <v>61</v>
      </c>
      <c r="AH1611" s="2" t="s">
        <v>62</v>
      </c>
      <c r="AI1611" s="2" t="s">
        <v>87</v>
      </c>
      <c r="AJ1611" s="2">
        <v>0.26447112127469402</v>
      </c>
      <c r="AK1611" s="2">
        <v>2.75695324445666</v>
      </c>
      <c r="AL1611" s="2">
        <v>0.54395175384252603</v>
      </c>
      <c r="AM1611" s="2">
        <v>0.162208344406054</v>
      </c>
      <c r="AN1611" s="2">
        <v>4.0025783513648401</v>
      </c>
      <c r="AO1611" s="2">
        <v>0.30386091331731802</v>
      </c>
      <c r="AP1611" s="2">
        <v>0.30386091331731802</v>
      </c>
      <c r="AQ1611" s="2">
        <v>2</v>
      </c>
      <c r="AR1611" s="2">
        <v>3</v>
      </c>
      <c r="AS1611" s="2">
        <v>0</v>
      </c>
      <c r="AT1611" s="2">
        <v>0</v>
      </c>
      <c r="AU1611" s="2">
        <v>3</v>
      </c>
      <c r="AV1611" s="2">
        <v>159</v>
      </c>
      <c r="AW1611" s="2">
        <v>0</v>
      </c>
      <c r="AX1611" s="2">
        <v>0</v>
      </c>
      <c r="AY1611" s="2">
        <v>15.5</v>
      </c>
      <c r="AZ1611" s="2">
        <v>2.4</v>
      </c>
      <c r="BA1611" s="2">
        <v>10.9</v>
      </c>
      <c r="BB1611" s="2">
        <v>564</v>
      </c>
      <c r="BC1611" s="2">
        <v>68</v>
      </c>
      <c r="BD1611" s="2">
        <v>1.5</v>
      </c>
      <c r="BE1611" s="2">
        <v>135</v>
      </c>
      <c r="BF1611" s="2">
        <v>0</v>
      </c>
      <c r="BG1611" s="2">
        <v>162</v>
      </c>
      <c r="BH1611" s="2">
        <v>9.1</v>
      </c>
      <c r="BI1611" s="2">
        <v>9.1999999999999993</v>
      </c>
      <c r="BJ1611" s="2">
        <v>18.3</v>
      </c>
      <c r="BK1611" s="2">
        <v>0.34</v>
      </c>
      <c r="BL1611" s="2">
        <v>7.3</v>
      </c>
      <c r="BM1611" s="2">
        <v>0.9</v>
      </c>
      <c r="BN1611" s="2">
        <v>7.5</v>
      </c>
      <c r="BO1611" s="2">
        <v>2.9</v>
      </c>
      <c r="BP1611" s="2">
        <f t="shared" si="50"/>
        <v>2.0678965396593587</v>
      </c>
      <c r="BQ1611" s="2">
        <f t="shared" si="51"/>
        <v>10.140638879204156</v>
      </c>
    </row>
    <row r="1612" spans="1:69" x14ac:dyDescent="0.2">
      <c r="A1612" s="2" t="s">
        <v>2843</v>
      </c>
      <c r="B1612" s="2" t="s">
        <v>47</v>
      </c>
      <c r="C1612" s="2" t="s">
        <v>1935</v>
      </c>
      <c r="D1612" s="2" t="s">
        <v>49</v>
      </c>
      <c r="E1612" s="2" t="s">
        <v>373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89</v>
      </c>
      <c r="L1612" s="6" t="s">
        <v>141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2844</v>
      </c>
      <c r="R1612" s="2">
        <v>5306122.449</v>
      </c>
      <c r="S1612" s="2">
        <v>0</v>
      </c>
      <c r="T1612" s="2" t="s">
        <v>83</v>
      </c>
      <c r="U1612" s="2" t="s">
        <v>84</v>
      </c>
      <c r="V1612" s="2" t="s">
        <v>56</v>
      </c>
      <c r="W1612" s="2" t="s">
        <v>83</v>
      </c>
      <c r="X1612" s="2" t="s">
        <v>85</v>
      </c>
      <c r="Y1612" s="2">
        <v>1.67018022968599</v>
      </c>
      <c r="Z1612" s="2">
        <v>1670.1802296859901</v>
      </c>
      <c r="AA1612" s="2">
        <v>4.71035</v>
      </c>
      <c r="AB1612" s="2">
        <v>-74.030416666666696</v>
      </c>
      <c r="AC1612" s="2">
        <v>2570</v>
      </c>
      <c r="AD1612" s="2">
        <v>10</v>
      </c>
      <c r="AE1612" s="2" t="s">
        <v>59</v>
      </c>
      <c r="AF1612" s="2" t="s">
        <v>86</v>
      </c>
      <c r="AG1612" s="2" t="s">
        <v>61</v>
      </c>
      <c r="AH1612" s="2" t="s">
        <v>62</v>
      </c>
      <c r="AI1612" s="2" t="s">
        <v>87</v>
      </c>
      <c r="AJ1612" s="2">
        <v>1.79546491404762</v>
      </c>
      <c r="AK1612" s="2">
        <v>1.3294446099058399</v>
      </c>
      <c r="AL1612" s="2">
        <v>1.08306120948206</v>
      </c>
      <c r="AM1612" s="2">
        <v>0.292802654705967</v>
      </c>
      <c r="AN1612" s="2">
        <v>2.0366094329052</v>
      </c>
      <c r="AO1612" s="2">
        <v>0.11002026272146601</v>
      </c>
      <c r="AP1612" s="2">
        <v>0.11002026272146601</v>
      </c>
      <c r="AQ1612" s="2">
        <v>0</v>
      </c>
      <c r="AR1612" s="2">
        <v>0</v>
      </c>
      <c r="AS1612" s="2">
        <v>0</v>
      </c>
      <c r="AT1612" s="2">
        <v>0</v>
      </c>
      <c r="AU1612" s="2">
        <v>0</v>
      </c>
      <c r="AV1612" s="2">
        <v>12</v>
      </c>
      <c r="AW1612" s="2">
        <v>0</v>
      </c>
      <c r="AX1612" s="2">
        <v>0</v>
      </c>
      <c r="AY1612" s="2">
        <v>15.5</v>
      </c>
      <c r="AZ1612" s="2">
        <v>2.4</v>
      </c>
      <c r="BA1612" s="2">
        <v>10.9</v>
      </c>
      <c r="BB1612" s="2">
        <v>564</v>
      </c>
      <c r="BC1612" s="2">
        <v>68</v>
      </c>
      <c r="BD1612" s="2">
        <v>1.5</v>
      </c>
      <c r="BE1612" s="2">
        <v>135</v>
      </c>
      <c r="BF1612" s="2">
        <v>0</v>
      </c>
      <c r="BG1612" s="2">
        <v>162</v>
      </c>
      <c r="BH1612" s="2">
        <v>9.1</v>
      </c>
      <c r="BI1612" s="2">
        <v>9.1999999999999993</v>
      </c>
      <c r="BJ1612" s="2">
        <v>18.3</v>
      </c>
      <c r="BK1612" s="2">
        <v>0.34</v>
      </c>
      <c r="BL1612" s="2">
        <v>7.3</v>
      </c>
      <c r="BM1612" s="2">
        <v>0.9</v>
      </c>
      <c r="BN1612" s="2">
        <v>7.5</v>
      </c>
      <c r="BO1612" s="2">
        <v>2.9</v>
      </c>
      <c r="BP1612" s="2">
        <f t="shared" si="50"/>
        <v>2.2095631271912688</v>
      </c>
      <c r="BQ1612" s="2">
        <f t="shared" si="51"/>
        <v>10.471721816219627</v>
      </c>
    </row>
    <row r="1613" spans="1:69" x14ac:dyDescent="0.2">
      <c r="A1613" s="2" t="s">
        <v>1347</v>
      </c>
      <c r="B1613" s="2" t="s">
        <v>47</v>
      </c>
      <c r="C1613" s="2" t="s">
        <v>48</v>
      </c>
      <c r="D1613" s="2" t="s">
        <v>49</v>
      </c>
      <c r="E1613" s="2" t="s">
        <v>447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89</v>
      </c>
      <c r="L1613" s="6" t="s">
        <v>141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1348</v>
      </c>
      <c r="R1613" s="2">
        <v>8561643.8359999992</v>
      </c>
      <c r="S1613" s="2">
        <v>0</v>
      </c>
      <c r="T1613" s="2" t="s">
        <v>83</v>
      </c>
      <c r="U1613" s="2" t="s">
        <v>84</v>
      </c>
      <c r="V1613" s="2" t="s">
        <v>56</v>
      </c>
      <c r="W1613" s="2" t="s">
        <v>83</v>
      </c>
      <c r="X1613" s="2" t="s">
        <v>85</v>
      </c>
      <c r="Y1613" s="2">
        <v>3.42921292275734</v>
      </c>
      <c r="Z1613" s="2">
        <v>3429.21292275734</v>
      </c>
      <c r="AA1613" s="2">
        <v>4.71035</v>
      </c>
      <c r="AB1613" s="2">
        <v>-74.030416666666696</v>
      </c>
      <c r="AC1613" s="2">
        <v>2570</v>
      </c>
      <c r="AD1613" s="2">
        <v>10</v>
      </c>
      <c r="AE1613" s="2" t="s">
        <v>59</v>
      </c>
      <c r="AF1613" s="2" t="s">
        <v>86</v>
      </c>
      <c r="AG1613" s="2" t="s">
        <v>61</v>
      </c>
      <c r="AH1613" s="2" t="s">
        <v>62</v>
      </c>
      <c r="AI1613" s="2" t="s">
        <v>87</v>
      </c>
      <c r="AJ1613" s="2">
        <v>0.31715975139848701</v>
      </c>
      <c r="AK1613" s="2">
        <v>2.4100533058167102</v>
      </c>
      <c r="AL1613" s="2">
        <v>0.49210859530388001</v>
      </c>
      <c r="AM1613" s="2">
        <v>9.0771814761444899E-2</v>
      </c>
      <c r="AN1613" s="2">
        <v>3.5861099500499898</v>
      </c>
      <c r="AO1613" s="2">
        <v>0.279799838335204</v>
      </c>
      <c r="AP1613" s="2">
        <v>0.279799838335204</v>
      </c>
      <c r="AQ1613" s="2">
        <v>1</v>
      </c>
      <c r="AR1613" s="2">
        <v>3</v>
      </c>
      <c r="AS1613" s="2">
        <v>0</v>
      </c>
      <c r="AT1613" s="2">
        <v>0</v>
      </c>
      <c r="AU1613" s="2">
        <v>5</v>
      </c>
      <c r="AV1613" s="2">
        <v>193</v>
      </c>
      <c r="AW1613" s="2">
        <v>0</v>
      </c>
      <c r="AX1613" s="2">
        <v>0</v>
      </c>
      <c r="AY1613" s="2">
        <v>15.5</v>
      </c>
      <c r="AZ1613" s="2">
        <v>2.4</v>
      </c>
      <c r="BA1613" s="2">
        <v>10.9</v>
      </c>
      <c r="BB1613" s="2">
        <v>564</v>
      </c>
      <c r="BC1613" s="2">
        <v>68</v>
      </c>
      <c r="BD1613" s="2">
        <v>1.5</v>
      </c>
      <c r="BE1613" s="2">
        <v>135</v>
      </c>
      <c r="BF1613" s="2">
        <v>0</v>
      </c>
      <c r="BG1613" s="2">
        <v>162</v>
      </c>
      <c r="BH1613" s="2">
        <v>9.1</v>
      </c>
      <c r="BI1613" s="2">
        <v>9.1999999999999993</v>
      </c>
      <c r="BJ1613" s="2">
        <v>18.3</v>
      </c>
      <c r="BK1613" s="2">
        <v>0.34</v>
      </c>
      <c r="BL1613" s="2">
        <v>7.3</v>
      </c>
      <c r="BM1613" s="2">
        <v>0.9</v>
      </c>
      <c r="BN1613" s="2">
        <v>7.5</v>
      </c>
      <c r="BO1613" s="2">
        <v>2.9</v>
      </c>
      <c r="BP1613" s="2">
        <f t="shared" si="50"/>
        <v>2.0253098428677196</v>
      </c>
      <c r="BQ1613" s="2">
        <f t="shared" si="51"/>
        <v>10.03884109773673</v>
      </c>
    </row>
    <row r="1614" spans="1:69" x14ac:dyDescent="0.2">
      <c r="A1614" s="2" t="s">
        <v>1673</v>
      </c>
      <c r="B1614" s="2" t="s">
        <v>47</v>
      </c>
      <c r="C1614" s="2" t="s">
        <v>48</v>
      </c>
      <c r="D1614" s="2" t="s">
        <v>49</v>
      </c>
      <c r="E1614" s="2" t="s">
        <v>1674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89</v>
      </c>
      <c r="L1614" s="6" t="s">
        <v>103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1675</v>
      </c>
      <c r="R1614" s="2">
        <v>6849315.068</v>
      </c>
      <c r="S1614" s="2">
        <v>0</v>
      </c>
      <c r="T1614" s="2" t="s">
        <v>83</v>
      </c>
      <c r="U1614" s="2" t="s">
        <v>84</v>
      </c>
      <c r="V1614" s="2" t="s">
        <v>56</v>
      </c>
      <c r="W1614" s="2" t="s">
        <v>83</v>
      </c>
      <c r="X1614" s="2" t="s">
        <v>85</v>
      </c>
      <c r="Y1614" s="2">
        <v>2.2527622032452399</v>
      </c>
      <c r="Z1614" s="2">
        <v>2252.76220324524</v>
      </c>
      <c r="AA1614" s="2">
        <v>4.71035</v>
      </c>
      <c r="AB1614" s="2">
        <v>-74.030416666666696</v>
      </c>
      <c r="AC1614" s="2">
        <v>2570</v>
      </c>
      <c r="AD1614" s="2">
        <v>10</v>
      </c>
      <c r="AE1614" s="2" t="s">
        <v>59</v>
      </c>
      <c r="AF1614" s="2" t="s">
        <v>86</v>
      </c>
      <c r="AG1614" s="2" t="s">
        <v>61</v>
      </c>
      <c r="AH1614" s="2" t="s">
        <v>62</v>
      </c>
      <c r="AI1614" s="2" t="s">
        <v>87</v>
      </c>
      <c r="AJ1614" s="2">
        <v>0.31162158306340498</v>
      </c>
      <c r="AK1614" s="2">
        <v>2.8273626660745399</v>
      </c>
      <c r="AL1614" s="2">
        <v>1.98650593162055</v>
      </c>
      <c r="AM1614" s="2">
        <v>0.431826178094187</v>
      </c>
      <c r="AN1614" s="2">
        <v>3.8464927724702198</v>
      </c>
      <c r="AO1614" s="2">
        <v>0.31584046051578202</v>
      </c>
      <c r="AP1614" s="2">
        <v>0.31584046051578202</v>
      </c>
      <c r="AQ1614" s="2">
        <v>1</v>
      </c>
      <c r="AR1614" s="2">
        <v>2</v>
      </c>
      <c r="AS1614" s="2">
        <v>0</v>
      </c>
      <c r="AT1614" s="2">
        <v>0</v>
      </c>
      <c r="AU1614" s="2">
        <v>0</v>
      </c>
      <c r="AV1614" s="2">
        <v>55</v>
      </c>
      <c r="AW1614" s="2">
        <v>0</v>
      </c>
      <c r="AX1614" s="2">
        <v>0</v>
      </c>
      <c r="AY1614" s="2">
        <v>15.5</v>
      </c>
      <c r="AZ1614" s="2">
        <v>2.4</v>
      </c>
      <c r="BA1614" s="2">
        <v>10.9</v>
      </c>
      <c r="BB1614" s="2">
        <v>564</v>
      </c>
      <c r="BC1614" s="2">
        <v>68</v>
      </c>
      <c r="BD1614" s="2">
        <v>1.5</v>
      </c>
      <c r="BE1614" s="2">
        <v>135</v>
      </c>
      <c r="BF1614" s="2">
        <v>0</v>
      </c>
      <c r="BG1614" s="2">
        <v>162</v>
      </c>
      <c r="BH1614" s="2">
        <v>9.1</v>
      </c>
      <c r="BI1614" s="2">
        <v>9.1999999999999993</v>
      </c>
      <c r="BJ1614" s="2">
        <v>18.3</v>
      </c>
      <c r="BK1614" s="2">
        <v>0.34</v>
      </c>
      <c r="BL1614" s="2">
        <v>7.3</v>
      </c>
      <c r="BM1614" s="2">
        <v>0.9</v>
      </c>
      <c r="BN1614" s="2">
        <v>7.5</v>
      </c>
      <c r="BO1614" s="2">
        <v>2.9</v>
      </c>
      <c r="BP1614" s="2">
        <f t="shared" si="50"/>
        <v>2.1467541598104587</v>
      </c>
      <c r="BQ1614" s="2">
        <f t="shared" si="51"/>
        <v>10.32632537635113</v>
      </c>
    </row>
    <row r="1615" spans="1:69" x14ac:dyDescent="0.2">
      <c r="A1615" s="2" t="s">
        <v>2904</v>
      </c>
      <c r="B1615" s="2" t="s">
        <v>47</v>
      </c>
      <c r="C1615" s="2" t="s">
        <v>1935</v>
      </c>
      <c r="D1615" s="2" t="s">
        <v>49</v>
      </c>
      <c r="E1615" s="2" t="s">
        <v>184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89</v>
      </c>
      <c r="L1615" s="6" t="s">
        <v>141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2905</v>
      </c>
      <c r="R1615" s="2">
        <v>4383561.6440000003</v>
      </c>
      <c r="S1615" s="2">
        <v>0</v>
      </c>
      <c r="T1615" s="2" t="s">
        <v>83</v>
      </c>
      <c r="U1615" s="2" t="s">
        <v>84</v>
      </c>
      <c r="V1615" s="2" t="s">
        <v>56</v>
      </c>
      <c r="W1615" s="2" t="s">
        <v>83</v>
      </c>
      <c r="X1615" s="2" t="s">
        <v>85</v>
      </c>
      <c r="Y1615" s="2">
        <v>1.37132380489226</v>
      </c>
      <c r="Z1615" s="2">
        <v>1371.3238048922599</v>
      </c>
      <c r="AA1615" s="2">
        <v>4.71035</v>
      </c>
      <c r="AB1615" s="2">
        <v>-74.030416666666696</v>
      </c>
      <c r="AC1615" s="2">
        <v>2570</v>
      </c>
      <c r="AD1615" s="2">
        <v>10</v>
      </c>
      <c r="AE1615" s="2" t="s">
        <v>59</v>
      </c>
      <c r="AF1615" s="2" t="s">
        <v>86</v>
      </c>
      <c r="AG1615" s="2" t="s">
        <v>61</v>
      </c>
      <c r="AH1615" s="2" t="s">
        <v>62</v>
      </c>
      <c r="AI1615" s="2" t="s">
        <v>87</v>
      </c>
      <c r="AJ1615" s="2">
        <v>1.59424189441172</v>
      </c>
      <c r="AK1615" s="2">
        <v>1.5045061379451701</v>
      </c>
      <c r="AL1615" s="2">
        <v>1.2018637919072599</v>
      </c>
      <c r="AM1615" s="2">
        <v>0.15251134001340499</v>
      </c>
      <c r="AN1615" s="2">
        <v>2.5709898627970098</v>
      </c>
      <c r="AO1615" s="2">
        <v>1.2105326406484899E-2</v>
      </c>
      <c r="AP1615" s="2">
        <v>1.2105326406484899E-2</v>
      </c>
      <c r="AQ1615" s="2">
        <v>0</v>
      </c>
      <c r="AR1615" s="2">
        <v>0</v>
      </c>
      <c r="AS1615" s="2">
        <v>0</v>
      </c>
      <c r="AT1615" s="2">
        <v>0</v>
      </c>
      <c r="AU1615" s="2">
        <v>0</v>
      </c>
      <c r="AV1615" s="2">
        <v>40</v>
      </c>
      <c r="AW1615" s="2">
        <v>0</v>
      </c>
      <c r="AX1615" s="2">
        <v>0</v>
      </c>
      <c r="AY1615" s="2">
        <v>15.5</v>
      </c>
      <c r="AZ1615" s="2">
        <v>2.4</v>
      </c>
      <c r="BA1615" s="2">
        <v>10.9</v>
      </c>
      <c r="BB1615" s="2">
        <v>564</v>
      </c>
      <c r="BC1615" s="2">
        <v>68</v>
      </c>
      <c r="BD1615" s="2">
        <v>1.5</v>
      </c>
      <c r="BE1615" s="2">
        <v>135</v>
      </c>
      <c r="BF1615" s="2">
        <v>0</v>
      </c>
      <c r="BG1615" s="2">
        <v>162</v>
      </c>
      <c r="BH1615" s="2">
        <v>9.1</v>
      </c>
      <c r="BI1615" s="2">
        <v>9.1999999999999993</v>
      </c>
      <c r="BJ1615" s="2">
        <v>18.3</v>
      </c>
      <c r="BK1615" s="2">
        <v>0.34</v>
      </c>
      <c r="BL1615" s="2">
        <v>7.3</v>
      </c>
      <c r="BM1615" s="2">
        <v>0.9</v>
      </c>
      <c r="BN1615" s="2">
        <v>7.5</v>
      </c>
      <c r="BO1615" s="2">
        <v>2.9</v>
      </c>
      <c r="BP1615" s="2">
        <f t="shared" si="50"/>
        <v>2.2424930349424272</v>
      </c>
      <c r="BQ1615" s="2">
        <f t="shared" si="51"/>
        <v>10.547100815280787</v>
      </c>
    </row>
    <row r="1616" spans="1:69" x14ac:dyDescent="0.2">
      <c r="A1616" s="2" t="s">
        <v>1760</v>
      </c>
      <c r="B1616" s="2" t="s">
        <v>47</v>
      </c>
      <c r="C1616" s="2" t="s">
        <v>48</v>
      </c>
      <c r="D1616" s="2" t="s">
        <v>49</v>
      </c>
      <c r="E1616" s="2" t="s">
        <v>1053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89</v>
      </c>
      <c r="L1616" s="6" t="s">
        <v>141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1761</v>
      </c>
      <c r="R1616" s="2">
        <v>5379310.3449999997</v>
      </c>
      <c r="S1616" s="2">
        <v>0</v>
      </c>
      <c r="T1616" s="2" t="s">
        <v>83</v>
      </c>
      <c r="U1616" s="2" t="s">
        <v>84</v>
      </c>
      <c r="V1616" s="2" t="s">
        <v>56</v>
      </c>
      <c r="W1616" s="2" t="s">
        <v>83</v>
      </c>
      <c r="X1616" s="2" t="s">
        <v>85</v>
      </c>
      <c r="Y1616" s="2">
        <v>3.7206122785846301</v>
      </c>
      <c r="Z1616" s="2">
        <v>3720.6122785846301</v>
      </c>
      <c r="AA1616" s="2">
        <v>4.71035</v>
      </c>
      <c r="AB1616" s="2">
        <v>-74.030416666666696</v>
      </c>
      <c r="AC1616" s="2">
        <v>2570</v>
      </c>
      <c r="AD1616" s="2">
        <v>10</v>
      </c>
      <c r="AE1616" s="2" t="s">
        <v>59</v>
      </c>
      <c r="AF1616" s="2" t="s">
        <v>86</v>
      </c>
      <c r="AG1616" s="2" t="s">
        <v>61</v>
      </c>
      <c r="AH1616" s="2" t="s">
        <v>62</v>
      </c>
      <c r="AI1616" s="2" t="s">
        <v>109</v>
      </c>
      <c r="AJ1616" s="2">
        <v>0.59498923833050599</v>
      </c>
      <c r="AK1616" s="2">
        <v>1.8951852702930301</v>
      </c>
      <c r="AL1616" s="2">
        <v>7.2277808935243895E-2</v>
      </c>
      <c r="AM1616" s="2">
        <v>3.6276334469928499E-2</v>
      </c>
      <c r="AN1616" s="2">
        <v>3.4909994952133099</v>
      </c>
      <c r="AO1616" s="2">
        <v>0.65727092623807104</v>
      </c>
      <c r="AP1616" s="2">
        <v>0.65727092623807104</v>
      </c>
      <c r="AQ1616" s="2">
        <v>0</v>
      </c>
      <c r="AR1616" s="2">
        <v>2</v>
      </c>
      <c r="AS1616" s="2">
        <v>0</v>
      </c>
      <c r="AT1616" s="2">
        <v>0</v>
      </c>
      <c r="AU1616" s="2">
        <v>5</v>
      </c>
      <c r="AV1616" s="2">
        <v>244</v>
      </c>
      <c r="AW1616" s="2">
        <v>0</v>
      </c>
      <c r="AX1616" s="2">
        <v>0</v>
      </c>
      <c r="AY1616" s="2">
        <v>15.5</v>
      </c>
      <c r="AZ1616" s="2">
        <v>2.4</v>
      </c>
      <c r="BA1616" s="2">
        <v>10.9</v>
      </c>
      <c r="BB1616" s="2">
        <v>564</v>
      </c>
      <c r="BC1616" s="2">
        <v>68</v>
      </c>
      <c r="BD1616" s="2">
        <v>1.5</v>
      </c>
      <c r="BE1616" s="2">
        <v>135</v>
      </c>
      <c r="BF1616" s="2">
        <v>0</v>
      </c>
      <c r="BG1616" s="2">
        <v>162</v>
      </c>
      <c r="BH1616" s="2">
        <v>9.1</v>
      </c>
      <c r="BI1616" s="2">
        <v>9.1999999999999993</v>
      </c>
      <c r="BJ1616" s="2">
        <v>18.3</v>
      </c>
      <c r="BK1616" s="2">
        <v>0.34</v>
      </c>
      <c r="BL1616" s="2">
        <v>7.3</v>
      </c>
      <c r="BM1616" s="2">
        <v>0.9</v>
      </c>
      <c r="BN1616" s="2">
        <v>7.5</v>
      </c>
      <c r="BO1616" s="2">
        <v>2.9</v>
      </c>
      <c r="BP1616" s="2">
        <f t="shared" si="50"/>
        <v>1.9963059137829793</v>
      </c>
      <c r="BQ1616" s="2">
        <f t="shared" si="51"/>
        <v>9.9688785435131209</v>
      </c>
    </row>
    <row r="1617" spans="1:69" x14ac:dyDescent="0.2">
      <c r="A1617" s="2" t="s">
        <v>1710</v>
      </c>
      <c r="B1617" s="2" t="s">
        <v>47</v>
      </c>
      <c r="C1617" s="2" t="s">
        <v>48</v>
      </c>
      <c r="D1617" s="2" t="s">
        <v>49</v>
      </c>
      <c r="E1617" s="2" t="s">
        <v>189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89</v>
      </c>
      <c r="L1617" s="6" t="s">
        <v>141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1711</v>
      </c>
      <c r="R1617" s="2">
        <v>5379310.3449999997</v>
      </c>
      <c r="S1617" s="2">
        <v>0</v>
      </c>
      <c r="T1617" s="2" t="s">
        <v>83</v>
      </c>
      <c r="U1617" s="2" t="s">
        <v>84</v>
      </c>
      <c r="V1617" s="2" t="s">
        <v>56</v>
      </c>
      <c r="W1617" s="2" t="s">
        <v>83</v>
      </c>
      <c r="X1617" s="2" t="s">
        <v>85</v>
      </c>
      <c r="Y1617" s="2">
        <v>2.6469809839376901</v>
      </c>
      <c r="Z1617" s="2">
        <v>2646.9809839376899</v>
      </c>
      <c r="AA1617" s="2">
        <v>4.71035</v>
      </c>
      <c r="AB1617" s="2">
        <v>-74.030416666666696</v>
      </c>
      <c r="AC1617" s="2">
        <v>2570</v>
      </c>
      <c r="AD1617" s="2">
        <v>10</v>
      </c>
      <c r="AE1617" s="2" t="s">
        <v>59</v>
      </c>
      <c r="AF1617" s="2" t="s">
        <v>86</v>
      </c>
      <c r="AG1617" s="2" t="s">
        <v>61</v>
      </c>
      <c r="AH1617" s="2" t="s">
        <v>62</v>
      </c>
      <c r="AI1617" s="2" t="s">
        <v>87</v>
      </c>
      <c r="AJ1617" s="2">
        <v>1.0710814209477799</v>
      </c>
      <c r="AK1617" s="2">
        <v>1.9368117598924499</v>
      </c>
      <c r="AL1617" s="2">
        <v>0.37271373409379199</v>
      </c>
      <c r="AM1617" s="2">
        <v>4.01056489946299E-2</v>
      </c>
      <c r="AN1617" s="2">
        <v>4.4452406495240702</v>
      </c>
      <c r="AO1617" s="2">
        <v>5.6188932044123598E-2</v>
      </c>
      <c r="AP1617" s="2">
        <v>5.6188932044123598E-2</v>
      </c>
      <c r="AQ1617" s="2">
        <v>0</v>
      </c>
      <c r="AR1617" s="2">
        <v>0</v>
      </c>
      <c r="AS1617" s="2">
        <v>0</v>
      </c>
      <c r="AT1617" s="2">
        <v>0</v>
      </c>
      <c r="AU1617" s="2">
        <v>4</v>
      </c>
      <c r="AV1617" s="2">
        <v>117</v>
      </c>
      <c r="AW1617" s="2">
        <v>0</v>
      </c>
      <c r="AX1617" s="2">
        <v>0</v>
      </c>
      <c r="AY1617" s="2">
        <v>15.5</v>
      </c>
      <c r="AZ1617" s="2">
        <v>2.4</v>
      </c>
      <c r="BA1617" s="2">
        <v>10.9</v>
      </c>
      <c r="BB1617" s="2">
        <v>564</v>
      </c>
      <c r="BC1617" s="2">
        <v>68</v>
      </c>
      <c r="BD1617" s="2">
        <v>1.5</v>
      </c>
      <c r="BE1617" s="2">
        <v>135</v>
      </c>
      <c r="BF1617" s="2">
        <v>0</v>
      </c>
      <c r="BG1617" s="2">
        <v>162</v>
      </c>
      <c r="BH1617" s="2">
        <v>9.1</v>
      </c>
      <c r="BI1617" s="2">
        <v>9.1999999999999993</v>
      </c>
      <c r="BJ1617" s="2">
        <v>18.3</v>
      </c>
      <c r="BK1617" s="2">
        <v>0.34</v>
      </c>
      <c r="BL1617" s="2">
        <v>7.3</v>
      </c>
      <c r="BM1617" s="2">
        <v>0.9</v>
      </c>
      <c r="BN1617" s="2">
        <v>7.5</v>
      </c>
      <c r="BO1617" s="2">
        <v>2.9</v>
      </c>
      <c r="BP1617" s="2">
        <f t="shared" si="50"/>
        <v>2.1052688499055647</v>
      </c>
      <c r="BQ1617" s="2">
        <f t="shared" si="51"/>
        <v>10.229086150491387</v>
      </c>
    </row>
    <row r="1618" spans="1:69" x14ac:dyDescent="0.2">
      <c r="A1618" s="2" t="s">
        <v>1179</v>
      </c>
      <c r="B1618" s="2" t="s">
        <v>47</v>
      </c>
      <c r="C1618" s="2" t="s">
        <v>48</v>
      </c>
      <c r="D1618" s="2" t="s">
        <v>49</v>
      </c>
      <c r="E1618" s="2" t="s">
        <v>189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89</v>
      </c>
      <c r="L1618" s="6" t="s">
        <v>141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1180</v>
      </c>
      <c r="R1618" s="2">
        <v>5416666.6670000004</v>
      </c>
      <c r="S1618" s="2">
        <v>0</v>
      </c>
      <c r="T1618" s="2" t="s">
        <v>83</v>
      </c>
      <c r="U1618" s="2" t="s">
        <v>84</v>
      </c>
      <c r="V1618" s="2" t="s">
        <v>56</v>
      </c>
      <c r="W1618" s="2" t="s">
        <v>83</v>
      </c>
      <c r="X1618" s="2" t="s">
        <v>85</v>
      </c>
      <c r="Y1618" s="2">
        <v>2.8382196281594201</v>
      </c>
      <c r="Z1618" s="2">
        <v>2838.2196281594202</v>
      </c>
      <c r="AA1618" s="2">
        <v>4.71035</v>
      </c>
      <c r="AB1618" s="2">
        <v>-74.030416666666696</v>
      </c>
      <c r="AC1618" s="2">
        <v>2570</v>
      </c>
      <c r="AD1618" s="2">
        <v>10</v>
      </c>
      <c r="AE1618" s="2" t="s">
        <v>59</v>
      </c>
      <c r="AF1618" s="2" t="s">
        <v>86</v>
      </c>
      <c r="AG1618" s="2" t="s">
        <v>61</v>
      </c>
      <c r="AH1618" s="2" t="s">
        <v>62</v>
      </c>
      <c r="AI1618" s="2" t="s">
        <v>87</v>
      </c>
      <c r="AJ1618" s="2">
        <v>0.67828104524654698</v>
      </c>
      <c r="AK1618" s="2">
        <v>2.31104982134431</v>
      </c>
      <c r="AL1618" s="2">
        <v>0.102341981122957</v>
      </c>
      <c r="AM1618" s="2">
        <v>0.12302208049338501</v>
      </c>
      <c r="AN1618" s="2">
        <v>4.17106408098096</v>
      </c>
      <c r="AO1618" s="2">
        <v>8.4862911882784997E-2</v>
      </c>
      <c r="AP1618" s="2">
        <v>8.4862911882784997E-2</v>
      </c>
      <c r="AQ1618" s="2">
        <v>0</v>
      </c>
      <c r="AR1618" s="2">
        <v>2</v>
      </c>
      <c r="AS1618" s="2">
        <v>0</v>
      </c>
      <c r="AT1618" s="2">
        <v>0</v>
      </c>
      <c r="AU1618" s="2">
        <v>5</v>
      </c>
      <c r="AV1618" s="2">
        <v>161</v>
      </c>
      <c r="AW1618" s="2">
        <v>0</v>
      </c>
      <c r="AX1618" s="2">
        <v>0</v>
      </c>
      <c r="AY1618" s="2">
        <v>15.5</v>
      </c>
      <c r="AZ1618" s="2">
        <v>2.4</v>
      </c>
      <c r="BA1618" s="2">
        <v>10.9</v>
      </c>
      <c r="BB1618" s="2">
        <v>564</v>
      </c>
      <c r="BC1618" s="2">
        <v>68</v>
      </c>
      <c r="BD1618" s="2">
        <v>1.5</v>
      </c>
      <c r="BE1618" s="2">
        <v>135</v>
      </c>
      <c r="BF1618" s="2">
        <v>0</v>
      </c>
      <c r="BG1618" s="2">
        <v>162</v>
      </c>
      <c r="BH1618" s="2">
        <v>9.1</v>
      </c>
      <c r="BI1618" s="2">
        <v>9.1999999999999993</v>
      </c>
      <c r="BJ1618" s="2">
        <v>18.3</v>
      </c>
      <c r="BK1618" s="2">
        <v>0.34</v>
      </c>
      <c r="BL1618" s="2">
        <v>7.3</v>
      </c>
      <c r="BM1618" s="2">
        <v>0.9</v>
      </c>
      <c r="BN1618" s="2">
        <v>7.5</v>
      </c>
      <c r="BO1618" s="2">
        <v>2.9</v>
      </c>
      <c r="BP1618" s="2">
        <f t="shared" si="50"/>
        <v>2.0854337470221789</v>
      </c>
      <c r="BQ1618" s="2">
        <f t="shared" si="51"/>
        <v>10.182245009146655</v>
      </c>
    </row>
    <row r="1619" spans="1:69" x14ac:dyDescent="0.2">
      <c r="A1619" s="2" t="s">
        <v>1031</v>
      </c>
      <c r="B1619" s="2" t="s">
        <v>47</v>
      </c>
      <c r="C1619" s="2" t="s">
        <v>48</v>
      </c>
      <c r="D1619" s="2" t="s">
        <v>49</v>
      </c>
      <c r="E1619" s="2" t="s">
        <v>189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89</v>
      </c>
      <c r="L1619" s="6" t="s">
        <v>141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1032</v>
      </c>
      <c r="R1619" s="2">
        <v>5416666.6670000004</v>
      </c>
      <c r="S1619" s="2">
        <v>0</v>
      </c>
      <c r="T1619" s="2" t="s">
        <v>83</v>
      </c>
      <c r="U1619" s="2" t="s">
        <v>84</v>
      </c>
      <c r="V1619" s="2" t="s">
        <v>56</v>
      </c>
      <c r="W1619" s="2" t="s">
        <v>83</v>
      </c>
      <c r="X1619" s="2" t="s">
        <v>85</v>
      </c>
      <c r="Y1619" s="2">
        <v>2.8379192993067499</v>
      </c>
      <c r="Z1619" s="2">
        <v>2837.91929930675</v>
      </c>
      <c r="AA1619" s="2">
        <v>4.71035</v>
      </c>
      <c r="AB1619" s="2">
        <v>-74.030416666666696</v>
      </c>
      <c r="AC1619" s="2">
        <v>2570</v>
      </c>
      <c r="AD1619" s="2">
        <v>10</v>
      </c>
      <c r="AE1619" s="2" t="s">
        <v>59</v>
      </c>
      <c r="AF1619" s="2" t="s">
        <v>86</v>
      </c>
      <c r="AG1619" s="2" t="s">
        <v>61</v>
      </c>
      <c r="AH1619" s="2" t="s">
        <v>62</v>
      </c>
      <c r="AI1619" s="2" t="s">
        <v>87</v>
      </c>
      <c r="AJ1619" s="2">
        <v>0.678664537175793</v>
      </c>
      <c r="AK1619" s="2">
        <v>2.3107821630590402</v>
      </c>
      <c r="AL1619" s="2">
        <v>0.102200373978847</v>
      </c>
      <c r="AM1619" s="2">
        <v>0.12315641655453</v>
      </c>
      <c r="AN1619" s="2">
        <v>4.1713918992704198</v>
      </c>
      <c r="AO1619" s="2">
        <v>8.4706212959803406E-2</v>
      </c>
      <c r="AP1619" s="2">
        <v>8.4706212959803406E-2</v>
      </c>
      <c r="AQ1619" s="2">
        <v>0</v>
      </c>
      <c r="AR1619" s="2">
        <v>2</v>
      </c>
      <c r="AS1619" s="2">
        <v>0</v>
      </c>
      <c r="AT1619" s="2">
        <v>0</v>
      </c>
      <c r="AU1619" s="2">
        <v>5</v>
      </c>
      <c r="AV1619" s="2">
        <v>161</v>
      </c>
      <c r="AW1619" s="2">
        <v>0</v>
      </c>
      <c r="AX1619" s="2">
        <v>0</v>
      </c>
      <c r="AY1619" s="2">
        <v>15.5</v>
      </c>
      <c r="AZ1619" s="2">
        <v>2.4</v>
      </c>
      <c r="BA1619" s="2">
        <v>10.9</v>
      </c>
      <c r="BB1619" s="2">
        <v>564</v>
      </c>
      <c r="BC1619" s="2">
        <v>68</v>
      </c>
      <c r="BD1619" s="2">
        <v>1.5</v>
      </c>
      <c r="BE1619" s="2">
        <v>135</v>
      </c>
      <c r="BF1619" s="2">
        <v>0</v>
      </c>
      <c r="BG1619" s="2">
        <v>162</v>
      </c>
      <c r="BH1619" s="2">
        <v>9.1</v>
      </c>
      <c r="BI1619" s="2">
        <v>9.1999999999999993</v>
      </c>
      <c r="BJ1619" s="2">
        <v>18.3</v>
      </c>
      <c r="BK1619" s="2">
        <v>0.34</v>
      </c>
      <c r="BL1619" s="2">
        <v>7.3</v>
      </c>
      <c r="BM1619" s="2">
        <v>0.9</v>
      </c>
      <c r="BN1619" s="2">
        <v>7.5</v>
      </c>
      <c r="BO1619" s="2">
        <v>2.9</v>
      </c>
      <c r="BP1619" s="2">
        <f t="shared" si="50"/>
        <v>2.0854647498908929</v>
      </c>
      <c r="BQ1619" s="2">
        <f t="shared" si="51"/>
        <v>10.182318401938227</v>
      </c>
    </row>
    <row r="1620" spans="1:69" x14ac:dyDescent="0.2">
      <c r="A1620" s="2" t="s">
        <v>1783</v>
      </c>
      <c r="B1620" s="2" t="s">
        <v>47</v>
      </c>
      <c r="C1620" s="2" t="s">
        <v>48</v>
      </c>
      <c r="D1620" s="2" t="s">
        <v>49</v>
      </c>
      <c r="E1620" s="2" t="s">
        <v>189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89</v>
      </c>
      <c r="L1620" s="6" t="s">
        <v>141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1784</v>
      </c>
      <c r="R1620" s="2">
        <v>6666666.6670000004</v>
      </c>
      <c r="S1620" s="2">
        <v>0</v>
      </c>
      <c r="T1620" s="2" t="s">
        <v>83</v>
      </c>
      <c r="U1620" s="2" t="s">
        <v>84</v>
      </c>
      <c r="V1620" s="2" t="s">
        <v>56</v>
      </c>
      <c r="W1620" s="2" t="s">
        <v>83</v>
      </c>
      <c r="X1620" s="2" t="s">
        <v>85</v>
      </c>
      <c r="Y1620" s="2">
        <v>2.8311275417467598</v>
      </c>
      <c r="Z1620" s="2">
        <v>2831.12754174676</v>
      </c>
      <c r="AA1620" s="2">
        <v>4.71035</v>
      </c>
      <c r="AB1620" s="2">
        <v>-74.030416666666696</v>
      </c>
      <c r="AC1620" s="2">
        <v>2570</v>
      </c>
      <c r="AD1620" s="2">
        <v>10</v>
      </c>
      <c r="AE1620" s="2" t="s">
        <v>59</v>
      </c>
      <c r="AF1620" s="2" t="s">
        <v>86</v>
      </c>
      <c r="AG1620" s="2" t="s">
        <v>61</v>
      </c>
      <c r="AH1620" s="2" t="s">
        <v>62</v>
      </c>
      <c r="AI1620" s="2" t="s">
        <v>87</v>
      </c>
      <c r="AJ1620" s="2">
        <v>0.68422343469013502</v>
      </c>
      <c r="AK1620" s="2">
        <v>2.3112655315933801</v>
      </c>
      <c r="AL1620" s="2">
        <v>0.105369875896117</v>
      </c>
      <c r="AM1620" s="2">
        <v>0.121300553561155</v>
      </c>
      <c r="AN1620" s="2">
        <v>4.1780099388419503</v>
      </c>
      <c r="AO1620" s="2">
        <v>7.82684845619461E-2</v>
      </c>
      <c r="AP1620" s="2">
        <v>7.82684845619461E-2</v>
      </c>
      <c r="AQ1620" s="2">
        <v>0</v>
      </c>
      <c r="AR1620" s="2">
        <v>2</v>
      </c>
      <c r="AS1620" s="2">
        <v>0</v>
      </c>
      <c r="AT1620" s="2">
        <v>0</v>
      </c>
      <c r="AU1620" s="2">
        <v>5</v>
      </c>
      <c r="AV1620" s="2">
        <v>160</v>
      </c>
      <c r="AW1620" s="2">
        <v>0</v>
      </c>
      <c r="AX1620" s="2">
        <v>0</v>
      </c>
      <c r="AY1620" s="2">
        <v>15.5</v>
      </c>
      <c r="AZ1620" s="2">
        <v>2.4</v>
      </c>
      <c r="BA1620" s="2">
        <v>10.9</v>
      </c>
      <c r="BB1620" s="2">
        <v>564</v>
      </c>
      <c r="BC1620" s="2">
        <v>68</v>
      </c>
      <c r="BD1620" s="2">
        <v>1.5</v>
      </c>
      <c r="BE1620" s="2">
        <v>135</v>
      </c>
      <c r="BF1620" s="2">
        <v>0</v>
      </c>
      <c r="BG1620" s="2">
        <v>162</v>
      </c>
      <c r="BH1620" s="2">
        <v>9.1</v>
      </c>
      <c r="BI1620" s="2">
        <v>9.1999999999999993</v>
      </c>
      <c r="BJ1620" s="2">
        <v>18.3</v>
      </c>
      <c r="BK1620" s="2">
        <v>0.34</v>
      </c>
      <c r="BL1620" s="2">
        <v>7.3</v>
      </c>
      <c r="BM1620" s="2">
        <v>0.9</v>
      </c>
      <c r="BN1620" s="2">
        <v>7.5</v>
      </c>
      <c r="BO1620" s="2">
        <v>2.9</v>
      </c>
      <c r="BP1620" s="2">
        <f t="shared" si="50"/>
        <v>2.0861659843225584</v>
      </c>
      <c r="BQ1620" s="2">
        <f t="shared" si="51"/>
        <v>10.183978277327837</v>
      </c>
    </row>
    <row r="1621" spans="1:69" x14ac:dyDescent="0.2">
      <c r="A1621" s="2" t="s">
        <v>1644</v>
      </c>
      <c r="B1621" s="2" t="s">
        <v>47</v>
      </c>
      <c r="C1621" s="2" t="s">
        <v>48</v>
      </c>
      <c r="D1621" s="2" t="s">
        <v>49</v>
      </c>
      <c r="E1621" s="2" t="s">
        <v>1465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89</v>
      </c>
      <c r="L1621" s="6" t="s">
        <v>103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1645</v>
      </c>
      <c r="R1621" s="2">
        <v>8865248.227</v>
      </c>
      <c r="S1621" s="2">
        <v>0</v>
      </c>
      <c r="T1621" s="2" t="s">
        <v>83</v>
      </c>
      <c r="U1621" s="2" t="s">
        <v>84</v>
      </c>
      <c r="V1621" s="2" t="s">
        <v>56</v>
      </c>
      <c r="W1621" s="2" t="s">
        <v>83</v>
      </c>
      <c r="X1621" s="2" t="s">
        <v>85</v>
      </c>
      <c r="Y1621" s="2">
        <v>3.9383313555765</v>
      </c>
      <c r="Z1621" s="2">
        <v>3938.3313555764998</v>
      </c>
      <c r="AA1621" s="2">
        <v>4.71035</v>
      </c>
      <c r="AB1621" s="2">
        <v>-74.030416666666696</v>
      </c>
      <c r="AC1621" s="2">
        <v>2570</v>
      </c>
      <c r="AD1621" s="2">
        <v>10</v>
      </c>
      <c r="AE1621" s="2" t="s">
        <v>59</v>
      </c>
      <c r="AF1621" s="2" t="s">
        <v>86</v>
      </c>
      <c r="AG1621" s="2" t="s">
        <v>61</v>
      </c>
      <c r="AH1621" s="2" t="s">
        <v>62</v>
      </c>
      <c r="AI1621" s="2" t="s">
        <v>109</v>
      </c>
      <c r="AJ1621" s="2">
        <v>0.744168798120867</v>
      </c>
      <c r="AK1621" s="2">
        <v>1.5720353524302799</v>
      </c>
      <c r="AL1621" s="2">
        <v>0.467914748351762</v>
      </c>
      <c r="AM1621" s="2">
        <v>0.105887279485194</v>
      </c>
      <c r="AN1621" s="2">
        <v>3.4951840727684198</v>
      </c>
      <c r="AO1621" s="2">
        <v>0.78642387253388202</v>
      </c>
      <c r="AP1621" s="2">
        <v>0.78642387253388202</v>
      </c>
      <c r="AQ1621" s="2">
        <v>0</v>
      </c>
      <c r="AR1621" s="2">
        <v>1</v>
      </c>
      <c r="AS1621" s="2">
        <v>0</v>
      </c>
      <c r="AT1621" s="2">
        <v>0</v>
      </c>
      <c r="AU1621" s="2">
        <v>4</v>
      </c>
      <c r="AV1621" s="2">
        <v>215</v>
      </c>
      <c r="AW1621" s="2">
        <v>0</v>
      </c>
      <c r="AX1621" s="2">
        <v>0</v>
      </c>
      <c r="AY1621" s="2">
        <v>15.5</v>
      </c>
      <c r="AZ1621" s="2">
        <v>2.4</v>
      </c>
      <c r="BA1621" s="2">
        <v>10.9</v>
      </c>
      <c r="BB1621" s="2">
        <v>564</v>
      </c>
      <c r="BC1621" s="2">
        <v>68</v>
      </c>
      <c r="BD1621" s="2">
        <v>1.5</v>
      </c>
      <c r="BE1621" s="2">
        <v>135</v>
      </c>
      <c r="BF1621" s="2">
        <v>0</v>
      </c>
      <c r="BG1621" s="2">
        <v>162</v>
      </c>
      <c r="BH1621" s="2">
        <v>9.1</v>
      </c>
      <c r="BI1621" s="2">
        <v>9.1999999999999993</v>
      </c>
      <c r="BJ1621" s="2">
        <v>18.3</v>
      </c>
      <c r="BK1621" s="2">
        <v>0.34</v>
      </c>
      <c r="BL1621" s="2">
        <v>7.3</v>
      </c>
      <c r="BM1621" s="2">
        <v>0.9</v>
      </c>
      <c r="BN1621" s="2">
        <v>7.5</v>
      </c>
      <c r="BO1621" s="2">
        <v>2.9</v>
      </c>
      <c r="BP1621" s="2">
        <f t="shared" si="50"/>
        <v>1.9749070525642758</v>
      </c>
      <c r="BQ1621" s="2">
        <f t="shared" si="51"/>
        <v>9.9169244376793397</v>
      </c>
    </row>
    <row r="1622" spans="1:69" x14ac:dyDescent="0.2">
      <c r="A1622" s="2" t="s">
        <v>334</v>
      </c>
      <c r="B1622" s="2" t="s">
        <v>47</v>
      </c>
      <c r="C1622" s="2" t="s">
        <v>48</v>
      </c>
      <c r="D1622" s="2" t="s">
        <v>49</v>
      </c>
      <c r="E1622" s="2" t="s">
        <v>192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89</v>
      </c>
      <c r="L1622" s="6" t="s">
        <v>103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335</v>
      </c>
      <c r="R1622" s="2">
        <v>8510638.2980000004</v>
      </c>
      <c r="S1622" s="2">
        <v>0</v>
      </c>
      <c r="T1622" s="2" t="s">
        <v>83</v>
      </c>
      <c r="U1622" s="2" t="s">
        <v>84</v>
      </c>
      <c r="V1622" s="2" t="s">
        <v>56</v>
      </c>
      <c r="W1622" s="2" t="s">
        <v>83</v>
      </c>
      <c r="X1622" s="2" t="s">
        <v>85</v>
      </c>
      <c r="Y1622" s="2">
        <v>1.7509194722489101</v>
      </c>
      <c r="Z1622" s="2">
        <v>1750.9194722489101</v>
      </c>
      <c r="AA1622" s="2">
        <v>4.71035</v>
      </c>
      <c r="AB1622" s="2">
        <v>-74.030416666666696</v>
      </c>
      <c r="AC1622" s="2">
        <v>2570</v>
      </c>
      <c r="AD1622" s="2">
        <v>10</v>
      </c>
      <c r="AE1622" s="2" t="s">
        <v>59</v>
      </c>
      <c r="AF1622" s="2" t="s">
        <v>86</v>
      </c>
      <c r="AG1622" s="2" t="s">
        <v>61</v>
      </c>
      <c r="AH1622" s="2" t="s">
        <v>62</v>
      </c>
      <c r="AI1622" s="2" t="s">
        <v>87</v>
      </c>
      <c r="AJ1622" s="2">
        <v>2.2309924613335301</v>
      </c>
      <c r="AK1622" s="2">
        <v>1.0564955298830701</v>
      </c>
      <c r="AL1622" s="2">
        <v>0.63657024720035205</v>
      </c>
      <c r="AM1622" s="2">
        <v>6.2654947460834304E-2</v>
      </c>
      <c r="AN1622" s="2">
        <v>5.1861271305388996</v>
      </c>
      <c r="AO1622" s="2">
        <v>0.22331699047148401</v>
      </c>
      <c r="AP1622" s="2">
        <v>0.22331699047148401</v>
      </c>
      <c r="AQ1622" s="2">
        <v>0</v>
      </c>
      <c r="AR1622" s="2">
        <v>0</v>
      </c>
      <c r="AS1622" s="2">
        <v>0</v>
      </c>
      <c r="AT1622" s="2">
        <v>0</v>
      </c>
      <c r="AU1622" s="2">
        <v>2</v>
      </c>
      <c r="AV1622" s="2">
        <v>133</v>
      </c>
      <c r="AW1622" s="2">
        <v>0</v>
      </c>
      <c r="AX1622" s="2">
        <v>0</v>
      </c>
      <c r="AY1622" s="2">
        <v>15.5</v>
      </c>
      <c r="AZ1622" s="2">
        <v>2.4</v>
      </c>
      <c r="BA1622" s="2">
        <v>10.9</v>
      </c>
      <c r="BB1622" s="2">
        <v>564</v>
      </c>
      <c r="BC1622" s="2">
        <v>68</v>
      </c>
      <c r="BD1622" s="2">
        <v>1.5</v>
      </c>
      <c r="BE1622" s="2">
        <v>135</v>
      </c>
      <c r="BF1622" s="2">
        <v>0</v>
      </c>
      <c r="BG1622" s="2">
        <v>162</v>
      </c>
      <c r="BH1622" s="2">
        <v>9.1</v>
      </c>
      <c r="BI1622" s="2">
        <v>9.1999999999999993</v>
      </c>
      <c r="BJ1622" s="2">
        <v>18.3</v>
      </c>
      <c r="BK1622" s="2">
        <v>0.34</v>
      </c>
      <c r="BL1622" s="2">
        <v>7.3</v>
      </c>
      <c r="BM1622" s="2">
        <v>0.9</v>
      </c>
      <c r="BN1622" s="2">
        <v>7.5</v>
      </c>
      <c r="BO1622" s="2">
        <v>2.9</v>
      </c>
      <c r="BP1622" s="2">
        <f t="shared" si="50"/>
        <v>2.2007500266702298</v>
      </c>
      <c r="BQ1622" s="2">
        <f t="shared" si="51"/>
        <v>10.451449970058306</v>
      </c>
    </row>
    <row r="1623" spans="1:69" x14ac:dyDescent="0.2">
      <c r="A1623" s="2" t="s">
        <v>1039</v>
      </c>
      <c r="B1623" s="2" t="s">
        <v>47</v>
      </c>
      <c r="C1623" s="2" t="s">
        <v>48</v>
      </c>
      <c r="D1623" s="2" t="s">
        <v>49</v>
      </c>
      <c r="E1623" s="2" t="s">
        <v>447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89</v>
      </c>
      <c r="L1623" s="6" t="s">
        <v>141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1040</v>
      </c>
      <c r="R1623" s="2">
        <v>8571428.5710000005</v>
      </c>
      <c r="S1623" s="2">
        <v>0</v>
      </c>
      <c r="T1623" s="2" t="s">
        <v>83</v>
      </c>
      <c r="U1623" s="2" t="s">
        <v>84</v>
      </c>
      <c r="V1623" s="2" t="s">
        <v>56</v>
      </c>
      <c r="W1623" s="2" t="s">
        <v>83</v>
      </c>
      <c r="X1623" s="2" t="s">
        <v>85</v>
      </c>
      <c r="Y1623" s="2">
        <v>3.5898153303816702</v>
      </c>
      <c r="Z1623" s="2">
        <v>3589.8153303816698</v>
      </c>
      <c r="AA1623" s="2">
        <v>4.71035</v>
      </c>
      <c r="AB1623" s="2">
        <v>-74.030416666666696</v>
      </c>
      <c r="AC1623" s="2">
        <v>2570</v>
      </c>
      <c r="AD1623" s="2">
        <v>10</v>
      </c>
      <c r="AE1623" s="2" t="s">
        <v>59</v>
      </c>
      <c r="AF1623" s="2" t="s">
        <v>86</v>
      </c>
      <c r="AG1623" s="2" t="s">
        <v>61</v>
      </c>
      <c r="AH1623" s="2" t="s">
        <v>62</v>
      </c>
      <c r="AI1623" s="2" t="s">
        <v>87</v>
      </c>
      <c r="AJ1623" s="2">
        <v>0.41407594630799499</v>
      </c>
      <c r="AK1623" s="2">
        <v>2.39229679933853</v>
      </c>
      <c r="AL1623" s="2">
        <v>0.473551683723337</v>
      </c>
      <c r="AM1623" s="2">
        <v>0.15882068677661601</v>
      </c>
      <c r="AN1623" s="2">
        <v>3.43881693260162</v>
      </c>
      <c r="AO1623" s="2">
        <v>0.444726695937949</v>
      </c>
      <c r="AP1623" s="2">
        <v>0.444726695937949</v>
      </c>
      <c r="AQ1623" s="2">
        <v>1</v>
      </c>
      <c r="AR1623" s="2">
        <v>3</v>
      </c>
      <c r="AS1623" s="2">
        <v>0</v>
      </c>
      <c r="AT1623" s="2">
        <v>0</v>
      </c>
      <c r="AU1623" s="2">
        <v>5</v>
      </c>
      <c r="AV1623" s="2">
        <v>211</v>
      </c>
      <c r="AW1623" s="2">
        <v>0</v>
      </c>
      <c r="AX1623" s="2">
        <v>0</v>
      </c>
      <c r="AY1623" s="2">
        <v>15.5</v>
      </c>
      <c r="AZ1623" s="2">
        <v>2.4</v>
      </c>
      <c r="BA1623" s="2">
        <v>10.9</v>
      </c>
      <c r="BB1623" s="2">
        <v>564</v>
      </c>
      <c r="BC1623" s="2">
        <v>68</v>
      </c>
      <c r="BD1623" s="2">
        <v>1.5</v>
      </c>
      <c r="BE1623" s="2">
        <v>135</v>
      </c>
      <c r="BF1623" s="2">
        <v>0</v>
      </c>
      <c r="BG1623" s="2">
        <v>162</v>
      </c>
      <c r="BH1623" s="2">
        <v>9.1</v>
      </c>
      <c r="BI1623" s="2">
        <v>9.1999999999999993</v>
      </c>
      <c r="BJ1623" s="2">
        <v>18.3</v>
      </c>
      <c r="BK1623" s="2">
        <v>0.34</v>
      </c>
      <c r="BL1623" s="2">
        <v>7.3</v>
      </c>
      <c r="BM1623" s="2">
        <v>0.9</v>
      </c>
      <c r="BN1623" s="2">
        <v>7.5</v>
      </c>
      <c r="BO1623" s="2">
        <v>2.9</v>
      </c>
      <c r="BP1623" s="2">
        <f t="shared" si="50"/>
        <v>2.0092728259918897</v>
      </c>
      <c r="BQ1623" s="2">
        <f t="shared" si="51"/>
        <v>10.000221285567253</v>
      </c>
    </row>
    <row r="1624" spans="1:69" x14ac:dyDescent="0.2">
      <c r="A1624" s="2" t="s">
        <v>1596</v>
      </c>
      <c r="B1624" s="2" t="s">
        <v>47</v>
      </c>
      <c r="C1624" s="2" t="s">
        <v>48</v>
      </c>
      <c r="D1624" s="2" t="s">
        <v>49</v>
      </c>
      <c r="E1624" s="2" t="s">
        <v>447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89</v>
      </c>
      <c r="L1624" s="6" t="s">
        <v>141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1597</v>
      </c>
      <c r="R1624" s="2">
        <v>6214285.7139999997</v>
      </c>
      <c r="S1624" s="2">
        <v>0</v>
      </c>
      <c r="T1624" s="2" t="s">
        <v>83</v>
      </c>
      <c r="U1624" s="2" t="s">
        <v>84</v>
      </c>
      <c r="V1624" s="2" t="s">
        <v>56</v>
      </c>
      <c r="W1624" s="2" t="s">
        <v>83</v>
      </c>
      <c r="X1624" s="2" t="s">
        <v>85</v>
      </c>
      <c r="Y1624" s="2">
        <v>3.2295814602275201</v>
      </c>
      <c r="Z1624" s="2">
        <v>3229.58146022752</v>
      </c>
      <c r="AA1624" s="2">
        <v>4.71035</v>
      </c>
      <c r="AB1624" s="2">
        <v>-74.030416666666696</v>
      </c>
      <c r="AC1624" s="2">
        <v>2570</v>
      </c>
      <c r="AD1624" s="2">
        <v>10</v>
      </c>
      <c r="AE1624" s="2" t="s">
        <v>59</v>
      </c>
      <c r="AF1624" s="2" t="s">
        <v>86</v>
      </c>
      <c r="AG1624" s="2" t="s">
        <v>61</v>
      </c>
      <c r="AH1624" s="2" t="s">
        <v>62</v>
      </c>
      <c r="AI1624" s="2" t="s">
        <v>87</v>
      </c>
      <c r="AJ1624" s="2">
        <v>0.72209499821363998</v>
      </c>
      <c r="AK1624" s="2">
        <v>2.00028118801696</v>
      </c>
      <c r="AL1624" s="2">
        <v>0.15377518754480499</v>
      </c>
      <c r="AM1624" s="2">
        <v>5.44391647541769E-2</v>
      </c>
      <c r="AN1624" s="2">
        <v>3.8695226849005202</v>
      </c>
      <c r="AO1624" s="2">
        <v>0.31863731238121201</v>
      </c>
      <c r="AP1624" s="2">
        <v>0.31863731238121201</v>
      </c>
      <c r="AQ1624" s="2">
        <v>0</v>
      </c>
      <c r="AR1624" s="2">
        <v>2</v>
      </c>
      <c r="AS1624" s="2">
        <v>0</v>
      </c>
      <c r="AT1624" s="2">
        <v>0</v>
      </c>
      <c r="AU1624" s="2">
        <v>5</v>
      </c>
      <c r="AV1624" s="2">
        <v>187</v>
      </c>
      <c r="AW1624" s="2">
        <v>0</v>
      </c>
      <c r="AX1624" s="2">
        <v>0</v>
      </c>
      <c r="AY1624" s="2">
        <v>15.5</v>
      </c>
      <c r="AZ1624" s="2">
        <v>2.4</v>
      </c>
      <c r="BA1624" s="2">
        <v>10.9</v>
      </c>
      <c r="BB1624" s="2">
        <v>564</v>
      </c>
      <c r="BC1624" s="2">
        <v>68</v>
      </c>
      <c r="BD1624" s="2">
        <v>1.5</v>
      </c>
      <c r="BE1624" s="2">
        <v>135</v>
      </c>
      <c r="BF1624" s="2">
        <v>0</v>
      </c>
      <c r="BG1624" s="2">
        <v>162</v>
      </c>
      <c r="BH1624" s="2">
        <v>9.1</v>
      </c>
      <c r="BI1624" s="2">
        <v>9.1999999999999993</v>
      </c>
      <c r="BJ1624" s="2">
        <v>18.3</v>
      </c>
      <c r="BK1624" s="2">
        <v>0.34</v>
      </c>
      <c r="BL1624" s="2">
        <v>7.3</v>
      </c>
      <c r="BM1624" s="2">
        <v>0.9</v>
      </c>
      <c r="BN1624" s="2">
        <v>7.5</v>
      </c>
      <c r="BO1624" s="2">
        <v>2.9</v>
      </c>
      <c r="BP1624" s="2">
        <f t="shared" si="50"/>
        <v>2.0454226747814093</v>
      </c>
      <c r="BQ1624" s="2">
        <f t="shared" si="51"/>
        <v>10.087054148340902</v>
      </c>
    </row>
    <row r="1625" spans="1:69" x14ac:dyDescent="0.2">
      <c r="A1625" s="2" t="s">
        <v>3172</v>
      </c>
      <c r="B1625" s="2" t="s">
        <v>47</v>
      </c>
      <c r="C1625" s="2" t="s">
        <v>1935</v>
      </c>
      <c r="D1625" s="2" t="s">
        <v>49</v>
      </c>
      <c r="E1625" s="2" t="s">
        <v>262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89</v>
      </c>
      <c r="L1625" s="6" t="s">
        <v>141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3173</v>
      </c>
      <c r="R1625" s="2">
        <v>4000000</v>
      </c>
      <c r="S1625" s="2">
        <v>0</v>
      </c>
      <c r="T1625" s="2" t="s">
        <v>83</v>
      </c>
      <c r="U1625" s="2" t="s">
        <v>84</v>
      </c>
      <c r="V1625" s="2" t="s">
        <v>56</v>
      </c>
      <c r="W1625" s="2" t="s">
        <v>83</v>
      </c>
      <c r="X1625" s="2" t="s">
        <v>85</v>
      </c>
      <c r="Y1625" s="2">
        <v>1.82313856891879</v>
      </c>
      <c r="Z1625" s="2">
        <v>1823.13856891879</v>
      </c>
      <c r="AA1625" s="2">
        <v>4.71035</v>
      </c>
      <c r="AB1625" s="2">
        <v>-74.030416666666696</v>
      </c>
      <c r="AC1625" s="2">
        <v>2570</v>
      </c>
      <c r="AD1625" s="2">
        <v>10</v>
      </c>
      <c r="AE1625" s="2" t="s">
        <v>59</v>
      </c>
      <c r="AF1625" s="2" t="s">
        <v>86</v>
      </c>
      <c r="AG1625" s="2" t="s">
        <v>61</v>
      </c>
      <c r="AH1625" s="2" t="s">
        <v>62</v>
      </c>
      <c r="AI1625" s="2" t="s">
        <v>87</v>
      </c>
      <c r="AJ1625" s="2">
        <v>1.96884623695246</v>
      </c>
      <c r="AK1625" s="2">
        <v>1.2280973973103499</v>
      </c>
      <c r="AL1625" s="2">
        <v>1.0753347990000699</v>
      </c>
      <c r="AM1625" s="2">
        <v>0.25169084232993</v>
      </c>
      <c r="AN1625" s="2">
        <v>1.7750565099698501</v>
      </c>
      <c r="AO1625" s="2">
        <v>0.19754914325422501</v>
      </c>
      <c r="AP1625" s="2">
        <v>0.19754914325422501</v>
      </c>
      <c r="AQ1625" s="2">
        <v>0</v>
      </c>
      <c r="AR1625" s="2">
        <v>0</v>
      </c>
      <c r="AS1625" s="2">
        <v>0</v>
      </c>
      <c r="AT1625" s="2">
        <v>0</v>
      </c>
      <c r="AU1625" s="2">
        <v>0</v>
      </c>
      <c r="AV1625" s="2">
        <v>10</v>
      </c>
      <c r="AW1625" s="2">
        <v>0</v>
      </c>
      <c r="AX1625" s="2">
        <v>0</v>
      </c>
      <c r="AY1625" s="2">
        <v>15.5</v>
      </c>
      <c r="AZ1625" s="2">
        <v>2.4</v>
      </c>
      <c r="BA1625" s="2">
        <v>10.9</v>
      </c>
      <c r="BB1625" s="2">
        <v>564</v>
      </c>
      <c r="BC1625" s="2">
        <v>68</v>
      </c>
      <c r="BD1625" s="2">
        <v>1.5</v>
      </c>
      <c r="BE1625" s="2">
        <v>135</v>
      </c>
      <c r="BF1625" s="2">
        <v>0</v>
      </c>
      <c r="BG1625" s="2">
        <v>162</v>
      </c>
      <c r="BH1625" s="2">
        <v>9.1</v>
      </c>
      <c r="BI1625" s="2">
        <v>9.1999999999999993</v>
      </c>
      <c r="BJ1625" s="2">
        <v>18.3</v>
      </c>
      <c r="BK1625" s="2">
        <v>0.34</v>
      </c>
      <c r="BL1625" s="2">
        <v>7.3</v>
      </c>
      <c r="BM1625" s="2">
        <v>0.9</v>
      </c>
      <c r="BN1625" s="2">
        <v>7.5</v>
      </c>
      <c r="BO1625" s="2">
        <v>2.9</v>
      </c>
      <c r="BP1625" s="2">
        <f t="shared" si="50"/>
        <v>2.1928967313349186</v>
      </c>
      <c r="BQ1625" s="2">
        <f t="shared" si="51"/>
        <v>10.433350597416098</v>
      </c>
    </row>
    <row r="1626" spans="1:69" x14ac:dyDescent="0.2">
      <c r="A1626" s="2" t="s">
        <v>1700</v>
      </c>
      <c r="B1626" s="2" t="s">
        <v>47</v>
      </c>
      <c r="C1626" s="2" t="s">
        <v>48</v>
      </c>
      <c r="D1626" s="2" t="s">
        <v>49</v>
      </c>
      <c r="E1626" s="2" t="s">
        <v>539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89</v>
      </c>
      <c r="L1626" s="6" t="s">
        <v>141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1701</v>
      </c>
      <c r="R1626" s="2">
        <v>7500000</v>
      </c>
      <c r="S1626" s="2">
        <v>0</v>
      </c>
      <c r="T1626" s="2" t="s">
        <v>83</v>
      </c>
      <c r="U1626" s="2" t="s">
        <v>84</v>
      </c>
      <c r="V1626" s="2" t="s">
        <v>56</v>
      </c>
      <c r="W1626" s="2" t="s">
        <v>83</v>
      </c>
      <c r="X1626" s="2" t="s">
        <v>85</v>
      </c>
      <c r="Y1626" s="2">
        <v>0.45294169481296498</v>
      </c>
      <c r="Z1626" s="2">
        <v>452.94169481296501</v>
      </c>
      <c r="AA1626" s="2">
        <v>4.71035</v>
      </c>
      <c r="AB1626" s="2">
        <v>-74.030416666666696</v>
      </c>
      <c r="AC1626" s="2">
        <v>2570</v>
      </c>
      <c r="AD1626" s="2">
        <v>10</v>
      </c>
      <c r="AE1626" s="2" t="s">
        <v>59</v>
      </c>
      <c r="AF1626" s="2" t="s">
        <v>86</v>
      </c>
      <c r="AG1626" s="2" t="s">
        <v>61</v>
      </c>
      <c r="AH1626" s="2" t="s">
        <v>62</v>
      </c>
      <c r="AI1626" s="2" t="s">
        <v>87</v>
      </c>
      <c r="AJ1626" s="2">
        <v>2.3333383383814099</v>
      </c>
      <c r="AK1626" s="2">
        <v>0.77924847457153401</v>
      </c>
      <c r="AL1626" s="2">
        <v>0.41416731902519499</v>
      </c>
      <c r="AM1626" s="2">
        <v>9.9576679776115395E-2</v>
      </c>
      <c r="AN1626" s="2">
        <v>3.0598057045520202</v>
      </c>
      <c r="AO1626" s="2">
        <v>0.30855767822153402</v>
      </c>
      <c r="AP1626" s="2">
        <v>0.30855767822153402</v>
      </c>
      <c r="AQ1626" s="2">
        <v>0</v>
      </c>
      <c r="AR1626" s="2">
        <v>0</v>
      </c>
      <c r="AS1626" s="2">
        <v>0</v>
      </c>
      <c r="AT1626" s="2">
        <v>17</v>
      </c>
      <c r="AU1626" s="2">
        <v>1</v>
      </c>
      <c r="AV1626" s="2">
        <v>77</v>
      </c>
      <c r="AW1626" s="2">
        <v>0</v>
      </c>
      <c r="AX1626" s="2">
        <v>0</v>
      </c>
      <c r="AY1626" s="2">
        <v>15.5</v>
      </c>
      <c r="AZ1626" s="2">
        <v>2.4</v>
      </c>
      <c r="BA1626" s="2">
        <v>10.9</v>
      </c>
      <c r="BB1626" s="2">
        <v>564</v>
      </c>
      <c r="BC1626" s="2">
        <v>68</v>
      </c>
      <c r="BD1626" s="2">
        <v>1.5</v>
      </c>
      <c r="BE1626" s="2">
        <v>135</v>
      </c>
      <c r="BF1626" s="2">
        <v>0</v>
      </c>
      <c r="BG1626" s="2">
        <v>162</v>
      </c>
      <c r="BH1626" s="2">
        <v>9.1</v>
      </c>
      <c r="BI1626" s="2">
        <v>9.1999999999999993</v>
      </c>
      <c r="BJ1626" s="2">
        <v>18.3</v>
      </c>
      <c r="BK1626" s="2">
        <v>0.34</v>
      </c>
      <c r="BL1626" s="2">
        <v>7.3</v>
      </c>
      <c r="BM1626" s="2">
        <v>0.9</v>
      </c>
      <c r="BN1626" s="2">
        <v>7.5</v>
      </c>
      <c r="BO1626" s="2">
        <v>2.9</v>
      </c>
      <c r="BP1626" s="2">
        <f t="shared" si="50"/>
        <v>2.3467892643323665</v>
      </c>
      <c r="BQ1626" s="2">
        <f t="shared" si="51"/>
        <v>10.782152151591188</v>
      </c>
    </row>
    <row r="1627" spans="1:69" x14ac:dyDescent="0.2">
      <c r="A1627" s="2" t="s">
        <v>1817</v>
      </c>
      <c r="B1627" s="2" t="s">
        <v>47</v>
      </c>
      <c r="C1627" s="2" t="s">
        <v>48</v>
      </c>
      <c r="D1627" s="2" t="s">
        <v>49</v>
      </c>
      <c r="E1627" s="2" t="s">
        <v>111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89</v>
      </c>
      <c r="L1627" s="6" t="s">
        <v>141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1818</v>
      </c>
      <c r="R1627" s="2">
        <v>4927536.2319999998</v>
      </c>
      <c r="S1627" s="2">
        <v>0</v>
      </c>
      <c r="T1627" s="2" t="s">
        <v>83</v>
      </c>
      <c r="U1627" s="2" t="s">
        <v>84</v>
      </c>
      <c r="V1627" s="2" t="s">
        <v>56</v>
      </c>
      <c r="W1627" s="2" t="s">
        <v>83</v>
      </c>
      <c r="X1627" s="2" t="s">
        <v>85</v>
      </c>
      <c r="Y1627" s="2">
        <v>3.7544635358159102</v>
      </c>
      <c r="Z1627" s="2">
        <v>3754.4635358159098</v>
      </c>
      <c r="AA1627" s="2">
        <v>4.71035</v>
      </c>
      <c r="AB1627" s="2">
        <v>-74.030416666666696</v>
      </c>
      <c r="AC1627" s="2">
        <v>2570</v>
      </c>
      <c r="AD1627" s="2">
        <v>10</v>
      </c>
      <c r="AE1627" s="2" t="s">
        <v>59</v>
      </c>
      <c r="AF1627" s="2" t="s">
        <v>86</v>
      </c>
      <c r="AG1627" s="2" t="s">
        <v>61</v>
      </c>
      <c r="AH1627" s="2" t="s">
        <v>62</v>
      </c>
      <c r="AI1627" s="2" t="s">
        <v>109</v>
      </c>
      <c r="AJ1627" s="2">
        <v>1.4779102495158301</v>
      </c>
      <c r="AK1627" s="2">
        <v>0.88719936749211603</v>
      </c>
      <c r="AL1627" s="2">
        <v>0.69558740300983302</v>
      </c>
      <c r="AM1627" s="2">
        <v>7.5997658989435293E-2</v>
      </c>
      <c r="AN1627" s="2">
        <v>4.1422050366553602</v>
      </c>
      <c r="AO1627" s="2">
        <v>0.98426524113024105</v>
      </c>
      <c r="AP1627" s="2">
        <v>0.98426524113024105</v>
      </c>
      <c r="AQ1627" s="2">
        <v>0</v>
      </c>
      <c r="AR1627" s="2">
        <v>0</v>
      </c>
      <c r="AS1627" s="2">
        <v>0</v>
      </c>
      <c r="AT1627" s="2">
        <v>1</v>
      </c>
      <c r="AU1627" s="2">
        <v>4</v>
      </c>
      <c r="AV1627" s="2">
        <v>97</v>
      </c>
      <c r="AW1627" s="2">
        <v>0</v>
      </c>
      <c r="AX1627" s="2">
        <v>0</v>
      </c>
      <c r="AY1627" s="2">
        <v>15.5</v>
      </c>
      <c r="AZ1627" s="2">
        <v>2.4</v>
      </c>
      <c r="BA1627" s="2">
        <v>10.9</v>
      </c>
      <c r="BB1627" s="2">
        <v>564</v>
      </c>
      <c r="BC1627" s="2">
        <v>68</v>
      </c>
      <c r="BD1627" s="2">
        <v>1.5</v>
      </c>
      <c r="BE1627" s="2">
        <v>135</v>
      </c>
      <c r="BF1627" s="2">
        <v>0</v>
      </c>
      <c r="BG1627" s="2">
        <v>162</v>
      </c>
      <c r="BH1627" s="2">
        <v>9.1</v>
      </c>
      <c r="BI1627" s="2">
        <v>9.1999999999999993</v>
      </c>
      <c r="BJ1627" s="2">
        <v>18.3</v>
      </c>
      <c r="BK1627" s="2">
        <v>0.34</v>
      </c>
      <c r="BL1627" s="2">
        <v>7.3</v>
      </c>
      <c r="BM1627" s="2">
        <v>0.9</v>
      </c>
      <c r="BN1627" s="2">
        <v>7.5</v>
      </c>
      <c r="BO1627" s="2">
        <v>2.9</v>
      </c>
      <c r="BP1627" s="2">
        <f t="shared" si="50"/>
        <v>1.9929636302748615</v>
      </c>
      <c r="BQ1627" s="2">
        <f t="shared" si="51"/>
        <v>9.9607828148403268</v>
      </c>
    </row>
    <row r="1628" spans="1:69" x14ac:dyDescent="0.2">
      <c r="A1628" s="2" t="s">
        <v>1227</v>
      </c>
      <c r="B1628" s="2" t="s">
        <v>47</v>
      </c>
      <c r="C1628" s="2" t="s">
        <v>48</v>
      </c>
      <c r="D1628" s="2" t="s">
        <v>49</v>
      </c>
      <c r="E1628" s="2" t="s">
        <v>169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51</v>
      </c>
      <c r="L1628" s="6" t="s">
        <v>52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1228</v>
      </c>
      <c r="R1628" s="2">
        <v>10528260.869999999</v>
      </c>
      <c r="S1628" s="2">
        <v>0</v>
      </c>
      <c r="T1628" s="2" t="s">
        <v>83</v>
      </c>
      <c r="U1628" s="2" t="s">
        <v>84</v>
      </c>
      <c r="V1628" s="2" t="s">
        <v>56</v>
      </c>
      <c r="W1628" s="2" t="s">
        <v>83</v>
      </c>
      <c r="X1628" s="2" t="s">
        <v>85</v>
      </c>
      <c r="Y1628" s="2">
        <v>3.2807569802126602</v>
      </c>
      <c r="Z1628" s="2">
        <v>3280.75698021266</v>
      </c>
      <c r="AA1628" s="2">
        <v>4.71035</v>
      </c>
      <c r="AB1628" s="2">
        <v>-74.030416666666696</v>
      </c>
      <c r="AC1628" s="2">
        <v>2570</v>
      </c>
      <c r="AD1628" s="2">
        <v>10</v>
      </c>
      <c r="AE1628" s="2" t="s">
        <v>59</v>
      </c>
      <c r="AF1628" s="2" t="s">
        <v>86</v>
      </c>
      <c r="AG1628" s="2" t="s">
        <v>61</v>
      </c>
      <c r="AH1628" s="2" t="s">
        <v>62</v>
      </c>
      <c r="AI1628" s="2" t="s">
        <v>87</v>
      </c>
      <c r="AJ1628" s="2">
        <v>1.37380277563854</v>
      </c>
      <c r="AK1628" s="2">
        <v>1.2243109840482</v>
      </c>
      <c r="AL1628" s="2">
        <v>0.64771334240354606</v>
      </c>
      <c r="AM1628" s="2">
        <v>0.13319029730864199</v>
      </c>
      <c r="AN1628" s="2">
        <v>4.2293790482367699</v>
      </c>
      <c r="AO1628" s="2">
        <v>0.50879496026064197</v>
      </c>
      <c r="AP1628" s="2">
        <v>0.50879496026064197</v>
      </c>
      <c r="AQ1628" s="2">
        <v>0</v>
      </c>
      <c r="AR1628" s="2">
        <v>0</v>
      </c>
      <c r="AS1628" s="2">
        <v>0</v>
      </c>
      <c r="AT1628" s="2">
        <v>0</v>
      </c>
      <c r="AU1628" s="2">
        <v>7</v>
      </c>
      <c r="AV1628" s="2">
        <v>122</v>
      </c>
      <c r="AW1628" s="2">
        <v>0</v>
      </c>
      <c r="AX1628" s="2">
        <v>0</v>
      </c>
      <c r="AY1628" s="2">
        <v>15.5</v>
      </c>
      <c r="AZ1628" s="2">
        <v>2.4</v>
      </c>
      <c r="BA1628" s="2">
        <v>10.9</v>
      </c>
      <c r="BB1628" s="2">
        <v>564</v>
      </c>
      <c r="BC1628" s="2">
        <v>68</v>
      </c>
      <c r="BD1628" s="2">
        <v>1.5</v>
      </c>
      <c r="BE1628" s="2">
        <v>135</v>
      </c>
      <c r="BF1628" s="2">
        <v>0</v>
      </c>
      <c r="BG1628" s="2">
        <v>162</v>
      </c>
      <c r="BH1628" s="2">
        <v>9.1</v>
      </c>
      <c r="BI1628" s="2">
        <v>9.1999999999999993</v>
      </c>
      <c r="BJ1628" s="2">
        <v>18.3</v>
      </c>
      <c r="BK1628" s="2">
        <v>0.34</v>
      </c>
      <c r="BL1628" s="2">
        <v>7.3</v>
      </c>
      <c r="BM1628" s="2">
        <v>0.9</v>
      </c>
      <c r="BN1628" s="2">
        <v>7.5</v>
      </c>
      <c r="BO1628" s="2">
        <v>2.9</v>
      </c>
      <c r="BP1628" s="2">
        <f t="shared" si="50"/>
        <v>2.0402477913615242</v>
      </c>
      <c r="BQ1628" s="2">
        <f t="shared" si="51"/>
        <v>10.074672707629528</v>
      </c>
    </row>
    <row r="1629" spans="1:69" x14ac:dyDescent="0.2">
      <c r="A1629" s="2" t="s">
        <v>1563</v>
      </c>
      <c r="B1629" s="2" t="s">
        <v>47</v>
      </c>
      <c r="C1629" s="2" t="s">
        <v>48</v>
      </c>
      <c r="D1629" s="2" t="s">
        <v>49</v>
      </c>
      <c r="E1629" s="2" t="s">
        <v>1564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89</v>
      </c>
      <c r="L1629" s="6" t="s">
        <v>103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1565</v>
      </c>
      <c r="R1629" s="2">
        <v>9347826.0869999994</v>
      </c>
      <c r="S1629" s="2">
        <v>0</v>
      </c>
      <c r="T1629" s="2" t="s">
        <v>83</v>
      </c>
      <c r="U1629" s="2" t="s">
        <v>84</v>
      </c>
      <c r="V1629" s="2" t="s">
        <v>56</v>
      </c>
      <c r="W1629" s="2" t="s">
        <v>83</v>
      </c>
      <c r="X1629" s="2" t="s">
        <v>85</v>
      </c>
      <c r="Y1629" s="2">
        <v>2.7932185885629899</v>
      </c>
      <c r="Z1629" s="2">
        <v>2793.2185885629901</v>
      </c>
      <c r="AA1629" s="2">
        <v>4.71035</v>
      </c>
      <c r="AB1629" s="2">
        <v>-74.030416666666696</v>
      </c>
      <c r="AC1629" s="2">
        <v>2570</v>
      </c>
      <c r="AD1629" s="2">
        <v>10</v>
      </c>
      <c r="AE1629" s="2" t="s">
        <v>59</v>
      </c>
      <c r="AF1629" s="2" t="s">
        <v>86</v>
      </c>
      <c r="AG1629" s="2" t="s">
        <v>61</v>
      </c>
      <c r="AH1629" s="2" t="s">
        <v>62</v>
      </c>
      <c r="AI1629" s="2" t="s">
        <v>87</v>
      </c>
      <c r="AJ1629" s="2">
        <v>1.53121598861292</v>
      </c>
      <c r="AK1629" s="2">
        <v>1.3397104128669901</v>
      </c>
      <c r="AL1629" s="2">
        <v>0.80989815477737204</v>
      </c>
      <c r="AM1629" s="2">
        <v>0.16283658659039901</v>
      </c>
      <c r="AN1629" s="2">
        <v>4.6040187808067197</v>
      </c>
      <c r="AO1629" s="2">
        <v>2.4886546705693301E-2</v>
      </c>
      <c r="AP1629" s="2">
        <v>2.4886546705693301E-2</v>
      </c>
      <c r="AQ1629" s="2">
        <v>0</v>
      </c>
      <c r="AR1629" s="2">
        <v>0</v>
      </c>
      <c r="AS1629" s="2">
        <v>0</v>
      </c>
      <c r="AT1629" s="2">
        <v>0</v>
      </c>
      <c r="AU1629" s="2">
        <v>7</v>
      </c>
      <c r="AV1629" s="2">
        <v>103</v>
      </c>
      <c r="AW1629" s="2">
        <v>0</v>
      </c>
      <c r="AX1629" s="2">
        <v>0</v>
      </c>
      <c r="AY1629" s="2">
        <v>15.5</v>
      </c>
      <c r="AZ1629" s="2">
        <v>2.4</v>
      </c>
      <c r="BA1629" s="2">
        <v>10.9</v>
      </c>
      <c r="BB1629" s="2">
        <v>564</v>
      </c>
      <c r="BC1629" s="2">
        <v>68</v>
      </c>
      <c r="BD1629" s="2">
        <v>1.5</v>
      </c>
      <c r="BE1629" s="2">
        <v>135</v>
      </c>
      <c r="BF1629" s="2">
        <v>0</v>
      </c>
      <c r="BG1629" s="2">
        <v>162</v>
      </c>
      <c r="BH1629" s="2">
        <v>9.1</v>
      </c>
      <c r="BI1629" s="2">
        <v>9.1999999999999993</v>
      </c>
      <c r="BJ1629" s="2">
        <v>18.3</v>
      </c>
      <c r="BK1629" s="2">
        <v>0.34</v>
      </c>
      <c r="BL1629" s="2">
        <v>7.3</v>
      </c>
      <c r="BM1629" s="2">
        <v>0.9</v>
      </c>
      <c r="BN1629" s="2">
        <v>7.5</v>
      </c>
      <c r="BO1629" s="2">
        <v>2.9</v>
      </c>
      <c r="BP1629" s="2">
        <f t="shared" si="50"/>
        <v>2.0900843358000385</v>
      </c>
      <c r="BQ1629" s="2">
        <f t="shared" si="51"/>
        <v>10.193248028504922</v>
      </c>
    </row>
    <row r="1630" spans="1:69" x14ac:dyDescent="0.2">
      <c r="A1630" s="2" t="s">
        <v>935</v>
      </c>
      <c r="B1630" s="2" t="s">
        <v>47</v>
      </c>
      <c r="C1630" s="2" t="s">
        <v>48</v>
      </c>
      <c r="D1630" s="2" t="s">
        <v>49</v>
      </c>
      <c r="E1630" s="2" t="s">
        <v>323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89</v>
      </c>
      <c r="L1630" s="6" t="s">
        <v>141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936</v>
      </c>
      <c r="R1630" s="2">
        <v>5328467.1529999999</v>
      </c>
      <c r="S1630" s="2">
        <v>0</v>
      </c>
      <c r="T1630" s="2" t="s">
        <v>83</v>
      </c>
      <c r="U1630" s="2" t="s">
        <v>84</v>
      </c>
      <c r="V1630" s="2" t="s">
        <v>56</v>
      </c>
      <c r="W1630" s="2" t="s">
        <v>83</v>
      </c>
      <c r="X1630" s="2" t="s">
        <v>85</v>
      </c>
      <c r="Y1630" s="2">
        <v>3.4498377518642802</v>
      </c>
      <c r="Z1630" s="2">
        <v>3449.8377518642801</v>
      </c>
      <c r="AA1630" s="2">
        <v>4.71035</v>
      </c>
      <c r="AB1630" s="2">
        <v>-74.030416666666696</v>
      </c>
      <c r="AC1630" s="2">
        <v>2570</v>
      </c>
      <c r="AD1630" s="2">
        <v>10</v>
      </c>
      <c r="AE1630" s="2" t="s">
        <v>59</v>
      </c>
      <c r="AF1630" s="2" t="s">
        <v>86</v>
      </c>
      <c r="AG1630" s="2" t="s">
        <v>61</v>
      </c>
      <c r="AH1630" s="2" t="s">
        <v>62</v>
      </c>
      <c r="AI1630" s="2" t="s">
        <v>100</v>
      </c>
      <c r="AJ1630" s="2">
        <v>0.375776867082669</v>
      </c>
      <c r="AK1630" s="2">
        <v>3.2154105901632</v>
      </c>
      <c r="AL1630" s="2">
        <v>1.05712943832839</v>
      </c>
      <c r="AM1630" s="2">
        <v>0.15269039551232499</v>
      </c>
      <c r="AN1630" s="2">
        <v>3.65261582613905</v>
      </c>
      <c r="AO1630" s="2">
        <v>0.125040659780674</v>
      </c>
      <c r="AP1630" s="2">
        <v>0.125040659780674</v>
      </c>
      <c r="AQ1630" s="2">
        <v>1</v>
      </c>
      <c r="AR1630" s="2">
        <v>3</v>
      </c>
      <c r="AS1630" s="2">
        <v>0</v>
      </c>
      <c r="AT1630" s="2">
        <v>0</v>
      </c>
      <c r="AU1630" s="2">
        <v>0</v>
      </c>
      <c r="AV1630" s="2">
        <v>110</v>
      </c>
      <c r="AW1630" s="2">
        <v>0</v>
      </c>
      <c r="AX1630" s="2">
        <v>0</v>
      </c>
      <c r="AY1630" s="2">
        <v>15.5</v>
      </c>
      <c r="AZ1630" s="2">
        <v>2.4</v>
      </c>
      <c r="BA1630" s="2">
        <v>10.9</v>
      </c>
      <c r="BB1630" s="2">
        <v>564</v>
      </c>
      <c r="BC1630" s="2">
        <v>68</v>
      </c>
      <c r="BD1630" s="2">
        <v>1.5</v>
      </c>
      <c r="BE1630" s="2">
        <v>135</v>
      </c>
      <c r="BF1630" s="2">
        <v>0</v>
      </c>
      <c r="BG1630" s="2">
        <v>162</v>
      </c>
      <c r="BH1630" s="2">
        <v>9.1</v>
      </c>
      <c r="BI1630" s="2">
        <v>9.1999999999999993</v>
      </c>
      <c r="BJ1630" s="2">
        <v>18.3</v>
      </c>
      <c r="BK1630" s="2">
        <v>0.34</v>
      </c>
      <c r="BL1630" s="2">
        <v>7.3</v>
      </c>
      <c r="BM1630" s="2">
        <v>0.9</v>
      </c>
      <c r="BN1630" s="2">
        <v>7.5</v>
      </c>
      <c r="BO1630" s="2">
        <v>2.9</v>
      </c>
      <c r="BP1630" s="2">
        <f t="shared" si="50"/>
        <v>2.0232432003597118</v>
      </c>
      <c r="BQ1630" s="2">
        <f t="shared" si="51"/>
        <v>10.033873142227229</v>
      </c>
    </row>
    <row r="1631" spans="1:69" x14ac:dyDescent="0.2">
      <c r="A1631" s="2" t="s">
        <v>694</v>
      </c>
      <c r="B1631" s="2" t="s">
        <v>47</v>
      </c>
      <c r="C1631" s="2" t="s">
        <v>48</v>
      </c>
      <c r="D1631" s="2" t="s">
        <v>49</v>
      </c>
      <c r="E1631" s="2" t="s">
        <v>251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89</v>
      </c>
      <c r="L1631" s="6" t="s">
        <v>94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695</v>
      </c>
      <c r="R1631" s="2">
        <v>8029197.0800000001</v>
      </c>
      <c r="S1631" s="2">
        <v>0</v>
      </c>
      <c r="T1631" s="2" t="s">
        <v>83</v>
      </c>
      <c r="U1631" s="2" t="s">
        <v>84</v>
      </c>
      <c r="V1631" s="2" t="s">
        <v>56</v>
      </c>
      <c r="W1631" s="2" t="s">
        <v>83</v>
      </c>
      <c r="X1631" s="2" t="s">
        <v>85</v>
      </c>
      <c r="Y1631" s="2">
        <v>2.5930909920830101</v>
      </c>
      <c r="Z1631" s="2">
        <v>2593.09099208301</v>
      </c>
      <c r="AA1631" s="2">
        <v>4.71035</v>
      </c>
      <c r="AB1631" s="2">
        <v>-74.030416666666696</v>
      </c>
      <c r="AC1631" s="2">
        <v>2570</v>
      </c>
      <c r="AD1631" s="2">
        <v>10</v>
      </c>
      <c r="AE1631" s="2" t="s">
        <v>59</v>
      </c>
      <c r="AF1631" s="2" t="s">
        <v>86</v>
      </c>
      <c r="AG1631" s="2" t="s">
        <v>61</v>
      </c>
      <c r="AH1631" s="2" t="s">
        <v>62</v>
      </c>
      <c r="AI1631" s="2" t="s">
        <v>87</v>
      </c>
      <c r="AJ1631" s="2">
        <v>2.52947572011225</v>
      </c>
      <c r="AK1631" s="2">
        <v>0.84181630374608096</v>
      </c>
      <c r="AL1631" s="2">
        <v>0.74897284329605396</v>
      </c>
      <c r="AM1631" s="2">
        <v>0.37834781901112402</v>
      </c>
      <c r="AN1631" s="2">
        <v>5.5058148223807004</v>
      </c>
      <c r="AO1631" s="2">
        <v>0.30793526458869303</v>
      </c>
      <c r="AP1631" s="2">
        <v>0.30793526458869303</v>
      </c>
      <c r="AQ1631" s="2">
        <v>0</v>
      </c>
      <c r="AR1631" s="2">
        <v>0</v>
      </c>
      <c r="AS1631" s="2">
        <v>0</v>
      </c>
      <c r="AT1631" s="2">
        <v>18</v>
      </c>
      <c r="AU1631" s="2">
        <v>4</v>
      </c>
      <c r="AV1631" s="2">
        <v>57</v>
      </c>
      <c r="AW1631" s="2">
        <v>0</v>
      </c>
      <c r="AX1631" s="2">
        <v>0</v>
      </c>
      <c r="AY1631" s="2">
        <v>15.5</v>
      </c>
      <c r="AZ1631" s="2">
        <v>2.4</v>
      </c>
      <c r="BA1631" s="2">
        <v>10.9</v>
      </c>
      <c r="BB1631" s="2">
        <v>564</v>
      </c>
      <c r="BC1631" s="2">
        <v>68</v>
      </c>
      <c r="BD1631" s="2">
        <v>1.5</v>
      </c>
      <c r="BE1631" s="2">
        <v>135</v>
      </c>
      <c r="BF1631" s="2">
        <v>0</v>
      </c>
      <c r="BG1631" s="2">
        <v>162</v>
      </c>
      <c r="BH1631" s="2">
        <v>9.1</v>
      </c>
      <c r="BI1631" s="2">
        <v>9.1999999999999993</v>
      </c>
      <c r="BJ1631" s="2">
        <v>18.3</v>
      </c>
      <c r="BK1631" s="2">
        <v>0.34</v>
      </c>
      <c r="BL1631" s="2">
        <v>7.3</v>
      </c>
      <c r="BM1631" s="2">
        <v>0.9</v>
      </c>
      <c r="BN1631" s="2">
        <v>7.5</v>
      </c>
      <c r="BO1631" s="2">
        <v>2.9</v>
      </c>
      <c r="BP1631" s="2">
        <f t="shared" si="50"/>
        <v>2.110892266554496</v>
      </c>
      <c r="BQ1631" s="2">
        <f t="shared" si="51"/>
        <v>10.242324598548205</v>
      </c>
    </row>
    <row r="1632" spans="1:69" x14ac:dyDescent="0.2">
      <c r="A1632" s="2" t="s">
        <v>1481</v>
      </c>
      <c r="B1632" s="2" t="s">
        <v>47</v>
      </c>
      <c r="C1632" s="2" t="s">
        <v>48</v>
      </c>
      <c r="D1632" s="2" t="s">
        <v>49</v>
      </c>
      <c r="E1632" s="2" t="s">
        <v>111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89</v>
      </c>
      <c r="L1632" s="6" t="s">
        <v>141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1482</v>
      </c>
      <c r="R1632" s="2">
        <v>5882352.9409999996</v>
      </c>
      <c r="S1632" s="2">
        <v>0</v>
      </c>
      <c r="T1632" s="2" t="s">
        <v>83</v>
      </c>
      <c r="U1632" s="2" t="s">
        <v>84</v>
      </c>
      <c r="V1632" s="2" t="s">
        <v>56</v>
      </c>
      <c r="W1632" s="2" t="s">
        <v>83</v>
      </c>
      <c r="X1632" s="2" t="s">
        <v>85</v>
      </c>
      <c r="Y1632" s="2">
        <v>3.8149974689925399</v>
      </c>
      <c r="Z1632" s="2">
        <v>3814.9974689925398</v>
      </c>
      <c r="AA1632" s="2">
        <v>4.71035</v>
      </c>
      <c r="AB1632" s="2">
        <v>-74.030416666666696</v>
      </c>
      <c r="AC1632" s="2">
        <v>2570</v>
      </c>
      <c r="AD1632" s="2">
        <v>10</v>
      </c>
      <c r="AE1632" s="2" t="s">
        <v>59</v>
      </c>
      <c r="AF1632" s="2" t="s">
        <v>86</v>
      </c>
      <c r="AG1632" s="2" t="s">
        <v>61</v>
      </c>
      <c r="AH1632" s="2" t="s">
        <v>62</v>
      </c>
      <c r="AI1632" s="2" t="s">
        <v>109</v>
      </c>
      <c r="AJ1632" s="2">
        <v>0.85423862942645201</v>
      </c>
      <c r="AK1632" s="2">
        <v>1.4972600735138999</v>
      </c>
      <c r="AL1632" s="2">
        <v>0.42256259290641601</v>
      </c>
      <c r="AM1632" s="2">
        <v>5.3079487153273902E-2</v>
      </c>
      <c r="AN1632" s="2">
        <v>3.6358176254071299</v>
      </c>
      <c r="AO1632" s="2">
        <v>0.90162002937326302</v>
      </c>
      <c r="AP1632" s="2">
        <v>0.90162002937326302</v>
      </c>
      <c r="AQ1632" s="2">
        <v>0</v>
      </c>
      <c r="AR1632" s="2">
        <v>1</v>
      </c>
      <c r="AS1632" s="2">
        <v>0</v>
      </c>
      <c r="AT1632" s="2">
        <v>0</v>
      </c>
      <c r="AU1632" s="2">
        <v>4</v>
      </c>
      <c r="AV1632" s="2">
        <v>192</v>
      </c>
      <c r="AW1632" s="2">
        <v>0</v>
      </c>
      <c r="AX1632" s="2">
        <v>0</v>
      </c>
      <c r="AY1632" s="2">
        <v>15.5</v>
      </c>
      <c r="AZ1632" s="2">
        <v>2.4</v>
      </c>
      <c r="BA1632" s="2">
        <v>10.9</v>
      </c>
      <c r="BB1632" s="2">
        <v>564</v>
      </c>
      <c r="BC1632" s="2">
        <v>68</v>
      </c>
      <c r="BD1632" s="2">
        <v>1.5</v>
      </c>
      <c r="BE1632" s="2">
        <v>135</v>
      </c>
      <c r="BF1632" s="2">
        <v>0</v>
      </c>
      <c r="BG1632" s="2">
        <v>162</v>
      </c>
      <c r="BH1632" s="2">
        <v>9.1</v>
      </c>
      <c r="BI1632" s="2">
        <v>9.1999999999999993</v>
      </c>
      <c r="BJ1632" s="2">
        <v>18.3</v>
      </c>
      <c r="BK1632" s="2">
        <v>0.34</v>
      </c>
      <c r="BL1632" s="2">
        <v>7.3</v>
      </c>
      <c r="BM1632" s="2">
        <v>0.9</v>
      </c>
      <c r="BN1632" s="2">
        <v>7.5</v>
      </c>
      <c r="BO1632" s="2">
        <v>2.9</v>
      </c>
      <c r="BP1632" s="2">
        <f t="shared" si="50"/>
        <v>1.9870007929504387</v>
      </c>
      <c r="BQ1632" s="2">
        <f t="shared" si="51"/>
        <v>9.9463221530414092</v>
      </c>
    </row>
    <row r="1633" spans="1:69" x14ac:dyDescent="0.2">
      <c r="A1633" s="2" t="s">
        <v>1072</v>
      </c>
      <c r="B1633" s="2" t="s">
        <v>47</v>
      </c>
      <c r="C1633" s="2" t="s">
        <v>48</v>
      </c>
      <c r="D1633" s="2" t="s">
        <v>49</v>
      </c>
      <c r="E1633" s="2" t="s">
        <v>189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51</v>
      </c>
      <c r="L1633" s="6" t="s">
        <v>52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1073</v>
      </c>
      <c r="R1633" s="2">
        <v>19972165.59</v>
      </c>
      <c r="S1633" s="2">
        <v>0</v>
      </c>
      <c r="T1633" s="2" t="s">
        <v>83</v>
      </c>
      <c r="U1633" s="2" t="s">
        <v>84</v>
      </c>
      <c r="V1633" s="2" t="s">
        <v>56</v>
      </c>
      <c r="W1633" s="2" t="s">
        <v>83</v>
      </c>
      <c r="X1633" s="2" t="s">
        <v>85</v>
      </c>
      <c r="Y1633" s="2">
        <v>2.8164312341552802</v>
      </c>
      <c r="Z1633" s="2">
        <v>2816.43123415528</v>
      </c>
      <c r="AA1633" s="2">
        <v>4.71035</v>
      </c>
      <c r="AB1633" s="2">
        <v>-74.030416666666696</v>
      </c>
      <c r="AC1633" s="2">
        <v>2570</v>
      </c>
      <c r="AD1633" s="2">
        <v>10</v>
      </c>
      <c r="AE1633" s="2" t="s">
        <v>59</v>
      </c>
      <c r="AF1633" s="2" t="s">
        <v>86</v>
      </c>
      <c r="AG1633" s="2" t="s">
        <v>61</v>
      </c>
      <c r="AH1633" s="2" t="s">
        <v>62</v>
      </c>
      <c r="AI1633" s="2" t="s">
        <v>87</v>
      </c>
      <c r="AJ1633" s="2">
        <v>0.3704520231708</v>
      </c>
      <c r="AK1633" s="2">
        <v>2.7029258595346799</v>
      </c>
      <c r="AL1633" s="2">
        <v>0.497922585731226</v>
      </c>
      <c r="AM1633" s="2">
        <v>0.183439943781117</v>
      </c>
      <c r="AN1633" s="2">
        <v>4.1912385891044197</v>
      </c>
      <c r="AO1633" s="2">
        <v>0.29890318697298801</v>
      </c>
      <c r="AP1633" s="2">
        <v>0.29890318697298801</v>
      </c>
      <c r="AQ1633" s="2">
        <v>1</v>
      </c>
      <c r="AR1633" s="2">
        <v>3</v>
      </c>
      <c r="AS1633" s="2">
        <v>0</v>
      </c>
      <c r="AT1633" s="2">
        <v>0</v>
      </c>
      <c r="AU1633" s="2">
        <v>1</v>
      </c>
      <c r="AV1633" s="2">
        <v>157</v>
      </c>
      <c r="AW1633" s="2">
        <v>0</v>
      </c>
      <c r="AX1633" s="2">
        <v>0</v>
      </c>
      <c r="AY1633" s="2">
        <v>15.5</v>
      </c>
      <c r="AZ1633" s="2">
        <v>2.4</v>
      </c>
      <c r="BA1633" s="2">
        <v>10.9</v>
      </c>
      <c r="BB1633" s="2">
        <v>564</v>
      </c>
      <c r="BC1633" s="2">
        <v>68</v>
      </c>
      <c r="BD1633" s="2">
        <v>1.5</v>
      </c>
      <c r="BE1633" s="2">
        <v>135</v>
      </c>
      <c r="BF1633" s="2">
        <v>0</v>
      </c>
      <c r="BG1633" s="2">
        <v>162</v>
      </c>
      <c r="BH1633" s="2">
        <v>9.1</v>
      </c>
      <c r="BI1633" s="2">
        <v>9.1999999999999993</v>
      </c>
      <c r="BJ1633" s="2">
        <v>18.3</v>
      </c>
      <c r="BK1633" s="2">
        <v>0.34</v>
      </c>
      <c r="BL1633" s="2">
        <v>7.3</v>
      </c>
      <c r="BM1633" s="2">
        <v>0.9</v>
      </c>
      <c r="BN1633" s="2">
        <v>7.5</v>
      </c>
      <c r="BO1633" s="2">
        <v>2.9</v>
      </c>
      <c r="BP1633" s="2">
        <f t="shared" si="50"/>
        <v>2.0876841538460198</v>
      </c>
      <c r="BQ1633" s="2">
        <f t="shared" si="51"/>
        <v>10.187570915927299</v>
      </c>
    </row>
    <row r="1634" spans="1:69" x14ac:dyDescent="0.2">
      <c r="A1634" s="2" t="s">
        <v>3693</v>
      </c>
      <c r="B1634" s="2" t="s">
        <v>47</v>
      </c>
      <c r="C1634" s="2" t="s">
        <v>3273</v>
      </c>
      <c r="D1634" s="2" t="s">
        <v>49</v>
      </c>
      <c r="E1634" s="2" t="s">
        <v>727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89</v>
      </c>
      <c r="L1634" s="6" t="s">
        <v>141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3694</v>
      </c>
      <c r="R1634" s="2">
        <v>5851851.852</v>
      </c>
      <c r="S1634" s="2">
        <v>0</v>
      </c>
      <c r="T1634" s="2" t="s">
        <v>83</v>
      </c>
      <c r="U1634" s="2" t="s">
        <v>84</v>
      </c>
      <c r="V1634" s="2" t="s">
        <v>56</v>
      </c>
      <c r="W1634" s="2" t="s">
        <v>83</v>
      </c>
      <c r="X1634" s="2" t="s">
        <v>85</v>
      </c>
      <c r="Y1634" s="2">
        <v>2.6465907827733299</v>
      </c>
      <c r="Z1634" s="2">
        <v>2646.5907827733299</v>
      </c>
      <c r="AA1634" s="2">
        <v>4.71035</v>
      </c>
      <c r="AB1634" s="2">
        <v>-74.030416666666696</v>
      </c>
      <c r="AC1634" s="2">
        <v>2570</v>
      </c>
      <c r="AD1634" s="2">
        <v>10</v>
      </c>
      <c r="AE1634" s="2" t="s">
        <v>59</v>
      </c>
      <c r="AF1634" s="2" t="s">
        <v>86</v>
      </c>
      <c r="AG1634" s="2" t="s">
        <v>61</v>
      </c>
      <c r="AH1634" s="2" t="s">
        <v>62</v>
      </c>
      <c r="AI1634" s="2" t="s">
        <v>87</v>
      </c>
      <c r="AJ1634" s="2">
        <v>1.69151365966886</v>
      </c>
      <c r="AK1634" s="2">
        <v>1.29867756340948</v>
      </c>
      <c r="AL1634" s="2">
        <v>0.79165771806403895</v>
      </c>
      <c r="AM1634" s="2">
        <v>0.281046144864602</v>
      </c>
      <c r="AN1634" s="2">
        <v>4.8005239128712196</v>
      </c>
      <c r="AO1634" s="2">
        <v>0.108098228229514</v>
      </c>
      <c r="AP1634" s="2">
        <v>0.108098228229514</v>
      </c>
      <c r="AQ1634" s="2">
        <v>0</v>
      </c>
      <c r="AR1634" s="2">
        <v>0</v>
      </c>
      <c r="AS1634" s="2">
        <v>0</v>
      </c>
      <c r="AT1634" s="2">
        <v>0</v>
      </c>
      <c r="AU1634" s="2">
        <v>3</v>
      </c>
      <c r="AV1634" s="2">
        <v>96</v>
      </c>
      <c r="AW1634" s="2">
        <v>0</v>
      </c>
      <c r="AX1634" s="2">
        <v>0</v>
      </c>
      <c r="AY1634" s="2">
        <v>15.5</v>
      </c>
      <c r="AZ1634" s="2">
        <v>2.4</v>
      </c>
      <c r="BA1634" s="2">
        <v>10.9</v>
      </c>
      <c r="BB1634" s="2">
        <v>564</v>
      </c>
      <c r="BC1634" s="2">
        <v>68</v>
      </c>
      <c r="BD1634" s="2">
        <v>1.5</v>
      </c>
      <c r="BE1634" s="2">
        <v>135</v>
      </c>
      <c r="BF1634" s="2">
        <v>0</v>
      </c>
      <c r="BG1634" s="2">
        <v>162</v>
      </c>
      <c r="BH1634" s="2">
        <v>9.1</v>
      </c>
      <c r="BI1634" s="2">
        <v>9.1999999999999993</v>
      </c>
      <c r="BJ1634" s="2">
        <v>18.3</v>
      </c>
      <c r="BK1634" s="2">
        <v>0.34</v>
      </c>
      <c r="BL1634" s="2">
        <v>7.3</v>
      </c>
      <c r="BM1634" s="2">
        <v>0.9</v>
      </c>
      <c r="BN1634" s="2">
        <v>7.5</v>
      </c>
      <c r="BO1634" s="2">
        <v>2.9</v>
      </c>
      <c r="BP1634" s="2">
        <f t="shared" si="50"/>
        <v>2.1053095134769193</v>
      </c>
      <c r="BQ1634" s="2">
        <f t="shared" si="51"/>
        <v>10.229181944571765</v>
      </c>
    </row>
    <row r="1635" spans="1:69" x14ac:dyDescent="0.2">
      <c r="A1635" s="2" t="s">
        <v>478</v>
      </c>
      <c r="B1635" s="2" t="s">
        <v>47</v>
      </c>
      <c r="C1635" s="2" t="s">
        <v>48</v>
      </c>
      <c r="D1635" s="2" t="s">
        <v>49</v>
      </c>
      <c r="E1635" s="2" t="s">
        <v>156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89</v>
      </c>
      <c r="L1635" s="6" t="s">
        <v>94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479</v>
      </c>
      <c r="R1635" s="2">
        <v>6814814.8150000004</v>
      </c>
      <c r="S1635" s="2">
        <v>0</v>
      </c>
      <c r="T1635" s="2" t="s">
        <v>83</v>
      </c>
      <c r="U1635" s="2" t="s">
        <v>84</v>
      </c>
      <c r="V1635" s="2" t="s">
        <v>56</v>
      </c>
      <c r="W1635" s="2" t="s">
        <v>83</v>
      </c>
      <c r="X1635" s="2" t="s">
        <v>85</v>
      </c>
      <c r="Y1635" s="2">
        <v>1.9291601538070999</v>
      </c>
      <c r="Z1635" s="2">
        <v>1929.1601538071</v>
      </c>
      <c r="AA1635" s="2">
        <v>4.71035</v>
      </c>
      <c r="AB1635" s="2">
        <v>-74.030416666666696</v>
      </c>
      <c r="AC1635" s="2">
        <v>2570</v>
      </c>
      <c r="AD1635" s="2">
        <v>10</v>
      </c>
      <c r="AE1635" s="2" t="s">
        <v>59</v>
      </c>
      <c r="AF1635" s="2" t="s">
        <v>86</v>
      </c>
      <c r="AG1635" s="2" t="s">
        <v>61</v>
      </c>
      <c r="AH1635" s="2" t="s">
        <v>62</v>
      </c>
      <c r="AI1635" s="2" t="s">
        <v>87</v>
      </c>
      <c r="AJ1635" s="2">
        <v>0.64468547188088998</v>
      </c>
      <c r="AK1635" s="2">
        <v>2.5276750222767399</v>
      </c>
      <c r="AL1635" s="2">
        <v>1.6645006023376001</v>
      </c>
      <c r="AM1635" s="2">
        <v>0.394021734897187</v>
      </c>
      <c r="AN1635" s="2">
        <v>4.0822906149973397</v>
      </c>
      <c r="AO1635" s="2">
        <v>0.16740626042284701</v>
      </c>
      <c r="AP1635" s="2">
        <v>0.16740626042284701</v>
      </c>
      <c r="AQ1635" s="2">
        <v>0</v>
      </c>
      <c r="AR1635" s="2">
        <v>1</v>
      </c>
      <c r="AS1635" s="2">
        <v>0</v>
      </c>
      <c r="AT1635" s="2">
        <v>0</v>
      </c>
      <c r="AU1635" s="2">
        <v>0</v>
      </c>
      <c r="AV1635" s="2">
        <v>100</v>
      </c>
      <c r="AW1635" s="2">
        <v>0</v>
      </c>
      <c r="AX1635" s="2">
        <v>0</v>
      </c>
      <c r="AY1635" s="2">
        <v>15.5</v>
      </c>
      <c r="AZ1635" s="2">
        <v>2.4</v>
      </c>
      <c r="BA1635" s="2">
        <v>10.9</v>
      </c>
      <c r="BB1635" s="2">
        <v>564</v>
      </c>
      <c r="BC1635" s="2">
        <v>68</v>
      </c>
      <c r="BD1635" s="2">
        <v>1.5</v>
      </c>
      <c r="BE1635" s="2">
        <v>135</v>
      </c>
      <c r="BF1635" s="2">
        <v>0</v>
      </c>
      <c r="BG1635" s="2">
        <v>162</v>
      </c>
      <c r="BH1635" s="2">
        <v>9.1</v>
      </c>
      <c r="BI1635" s="2">
        <v>9.1999999999999993</v>
      </c>
      <c r="BJ1635" s="2">
        <v>18.3</v>
      </c>
      <c r="BK1635" s="2">
        <v>0.34</v>
      </c>
      <c r="BL1635" s="2">
        <v>7.3</v>
      </c>
      <c r="BM1635" s="2">
        <v>0.9</v>
      </c>
      <c r="BN1635" s="2">
        <v>7.5</v>
      </c>
      <c r="BO1635" s="2">
        <v>2.9</v>
      </c>
      <c r="BP1635" s="2">
        <f t="shared" si="50"/>
        <v>2.1814184050466783</v>
      </c>
      <c r="BQ1635" s="2">
        <f t="shared" si="51"/>
        <v>10.406836495741892</v>
      </c>
    </row>
    <row r="1636" spans="1:69" x14ac:dyDescent="0.2">
      <c r="A1636" s="2" t="s">
        <v>183</v>
      </c>
      <c r="B1636" s="2" t="s">
        <v>47</v>
      </c>
      <c r="C1636" s="2" t="s">
        <v>48</v>
      </c>
      <c r="D1636" s="2" t="s">
        <v>49</v>
      </c>
      <c r="E1636" s="2" t="s">
        <v>184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89</v>
      </c>
      <c r="L1636" s="6" t="s">
        <v>103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185</v>
      </c>
      <c r="R1636" s="2">
        <v>7259259.2589999996</v>
      </c>
      <c r="S1636" s="2">
        <v>0</v>
      </c>
      <c r="T1636" s="2" t="s">
        <v>83</v>
      </c>
      <c r="U1636" s="2" t="s">
        <v>84</v>
      </c>
      <c r="V1636" s="2" t="s">
        <v>56</v>
      </c>
      <c r="W1636" s="2" t="s">
        <v>83</v>
      </c>
      <c r="X1636" s="2" t="s">
        <v>85</v>
      </c>
      <c r="Y1636" s="2">
        <v>1.8101663326758299</v>
      </c>
      <c r="Z1636" s="2">
        <v>1810.1663326758301</v>
      </c>
      <c r="AA1636" s="2">
        <v>4.71035</v>
      </c>
      <c r="AB1636" s="2">
        <v>-74.030416666666696</v>
      </c>
      <c r="AC1636" s="2">
        <v>2570</v>
      </c>
      <c r="AD1636" s="2">
        <v>10</v>
      </c>
      <c r="AE1636" s="2" t="s">
        <v>59</v>
      </c>
      <c r="AF1636" s="2" t="s">
        <v>86</v>
      </c>
      <c r="AG1636" s="2" t="s">
        <v>61</v>
      </c>
      <c r="AH1636" s="2" t="s">
        <v>62</v>
      </c>
      <c r="AI1636" s="2" t="s">
        <v>87</v>
      </c>
      <c r="AJ1636" s="2">
        <v>1.2084663025412301</v>
      </c>
      <c r="AK1636" s="2">
        <v>1.8854762507343401</v>
      </c>
      <c r="AL1636" s="2">
        <v>1.0493393014841801</v>
      </c>
      <c r="AM1636" s="2">
        <v>0.366065553222717</v>
      </c>
      <c r="AN1636" s="2">
        <v>2.4978673349359699</v>
      </c>
      <c r="AO1636" s="2">
        <v>1.31287125915067E-2</v>
      </c>
      <c r="AP1636" s="2">
        <v>1.31287125915067E-2</v>
      </c>
      <c r="AQ1636" s="2">
        <v>0</v>
      </c>
      <c r="AR1636" s="2">
        <v>0</v>
      </c>
      <c r="AS1636" s="2">
        <v>0</v>
      </c>
      <c r="AT1636" s="2">
        <v>0</v>
      </c>
      <c r="AU1636" s="2">
        <v>0</v>
      </c>
      <c r="AV1636" s="2">
        <v>36</v>
      </c>
      <c r="AW1636" s="2">
        <v>0</v>
      </c>
      <c r="AX1636" s="2">
        <v>0</v>
      </c>
      <c r="AY1636" s="2">
        <v>15.5</v>
      </c>
      <c r="AZ1636" s="2">
        <v>2.4</v>
      </c>
      <c r="BA1636" s="2">
        <v>10.9</v>
      </c>
      <c r="BB1636" s="2">
        <v>564</v>
      </c>
      <c r="BC1636" s="2">
        <v>68</v>
      </c>
      <c r="BD1636" s="2">
        <v>1.5</v>
      </c>
      <c r="BE1636" s="2">
        <v>135</v>
      </c>
      <c r="BF1636" s="2">
        <v>0</v>
      </c>
      <c r="BG1636" s="2">
        <v>162</v>
      </c>
      <c r="BH1636" s="2">
        <v>9.1</v>
      </c>
      <c r="BI1636" s="2">
        <v>9.1999999999999993</v>
      </c>
      <c r="BJ1636" s="2">
        <v>18.3</v>
      </c>
      <c r="BK1636" s="2">
        <v>0.34</v>
      </c>
      <c r="BL1636" s="2">
        <v>7.3</v>
      </c>
      <c r="BM1636" s="2">
        <v>0.9</v>
      </c>
      <c r="BN1636" s="2">
        <v>7.5</v>
      </c>
      <c r="BO1636" s="2">
        <v>2.9</v>
      </c>
      <c r="BP1636" s="2">
        <f t="shared" si="50"/>
        <v>2.1943052988607565</v>
      </c>
      <c r="BQ1636" s="2">
        <f t="shared" si="51"/>
        <v>10.436599356444018</v>
      </c>
    </row>
    <row r="1637" spans="1:69" x14ac:dyDescent="0.2">
      <c r="A1637" s="2" t="s">
        <v>3250</v>
      </c>
      <c r="B1637" s="2" t="s">
        <v>47</v>
      </c>
      <c r="C1637" s="2" t="s">
        <v>1935</v>
      </c>
      <c r="D1637" s="2" t="s">
        <v>49</v>
      </c>
      <c r="E1637" s="2" t="s">
        <v>2062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89</v>
      </c>
      <c r="L1637" s="6" t="s">
        <v>141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3251</v>
      </c>
      <c r="R1637" s="2">
        <v>5185185.1849999996</v>
      </c>
      <c r="S1637" s="2">
        <v>0</v>
      </c>
      <c r="T1637" s="2" t="s">
        <v>83</v>
      </c>
      <c r="U1637" s="2" t="s">
        <v>84</v>
      </c>
      <c r="V1637" s="2" t="s">
        <v>56</v>
      </c>
      <c r="W1637" s="2" t="s">
        <v>83</v>
      </c>
      <c r="X1637" s="2" t="s">
        <v>85</v>
      </c>
      <c r="Y1637" s="2">
        <v>1.24184122269613</v>
      </c>
      <c r="Z1637" s="2">
        <v>1241.84122269613</v>
      </c>
      <c r="AA1637" s="2">
        <v>4.71035</v>
      </c>
      <c r="AB1637" s="2">
        <v>-74.030416666666696</v>
      </c>
      <c r="AC1637" s="2">
        <v>2570</v>
      </c>
      <c r="AD1637" s="2">
        <v>10</v>
      </c>
      <c r="AE1637" s="2" t="s">
        <v>59</v>
      </c>
      <c r="AF1637" s="2" t="s">
        <v>86</v>
      </c>
      <c r="AG1637" s="2" t="s">
        <v>61</v>
      </c>
      <c r="AH1637" s="2" t="s">
        <v>62</v>
      </c>
      <c r="AI1637" s="2" t="s">
        <v>87</v>
      </c>
      <c r="AJ1637" s="2">
        <v>2.4254470167657498</v>
      </c>
      <c r="AK1637" s="2">
        <v>0.66479506576331104</v>
      </c>
      <c r="AL1637" s="2">
        <v>1.24465129156567</v>
      </c>
      <c r="AM1637" s="2">
        <v>0.20819903942780599</v>
      </c>
      <c r="AN1637" s="2">
        <v>2.2380616123277401</v>
      </c>
      <c r="AO1637" s="2">
        <v>3.1215897145354998E-2</v>
      </c>
      <c r="AP1637" s="2">
        <v>3.1215897145354998E-2</v>
      </c>
      <c r="AQ1637" s="2">
        <v>0</v>
      </c>
      <c r="AR1637" s="2">
        <v>0</v>
      </c>
      <c r="AS1637" s="2">
        <v>0</v>
      </c>
      <c r="AT1637" s="2">
        <v>17</v>
      </c>
      <c r="AU1637" s="2">
        <v>0</v>
      </c>
      <c r="AV1637" s="2">
        <v>43</v>
      </c>
      <c r="AW1637" s="2">
        <v>0</v>
      </c>
      <c r="AX1637" s="2">
        <v>0</v>
      </c>
      <c r="AY1637" s="2">
        <v>15.5</v>
      </c>
      <c r="AZ1637" s="2">
        <v>2.4</v>
      </c>
      <c r="BA1637" s="2">
        <v>10.9</v>
      </c>
      <c r="BB1637" s="2">
        <v>564</v>
      </c>
      <c r="BC1637" s="2">
        <v>68</v>
      </c>
      <c r="BD1637" s="2">
        <v>1.5</v>
      </c>
      <c r="BE1637" s="2">
        <v>135</v>
      </c>
      <c r="BF1637" s="2">
        <v>0</v>
      </c>
      <c r="BG1637" s="2">
        <v>162</v>
      </c>
      <c r="BH1637" s="2">
        <v>9.1</v>
      </c>
      <c r="BI1637" s="2">
        <v>9.1999999999999993</v>
      </c>
      <c r="BJ1637" s="2">
        <v>18.3</v>
      </c>
      <c r="BK1637" s="2">
        <v>0.34</v>
      </c>
      <c r="BL1637" s="2">
        <v>7.3</v>
      </c>
      <c r="BM1637" s="2">
        <v>0.9</v>
      </c>
      <c r="BN1637" s="2">
        <v>7.5</v>
      </c>
      <c r="BO1637" s="2">
        <v>2.9</v>
      </c>
      <c r="BP1637" s="2">
        <f t="shared" si="50"/>
        <v>2.2569122021395351</v>
      </c>
      <c r="BQ1637" s="2">
        <f t="shared" si="51"/>
        <v>10.579927775455836</v>
      </c>
    </row>
    <row r="1638" spans="1:69" x14ac:dyDescent="0.2">
      <c r="A1638" s="2" t="s">
        <v>413</v>
      </c>
      <c r="B1638" s="2" t="s">
        <v>47</v>
      </c>
      <c r="C1638" s="2" t="s">
        <v>48</v>
      </c>
      <c r="D1638" s="2" t="s">
        <v>49</v>
      </c>
      <c r="E1638" s="2" t="s">
        <v>192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89</v>
      </c>
      <c r="L1638" s="6" t="s">
        <v>94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414</v>
      </c>
      <c r="R1638" s="2">
        <v>8183306.0559999999</v>
      </c>
      <c r="S1638" s="2">
        <v>0</v>
      </c>
      <c r="T1638" s="2" t="s">
        <v>83</v>
      </c>
      <c r="U1638" s="2" t="s">
        <v>84</v>
      </c>
      <c r="V1638" s="2" t="s">
        <v>56</v>
      </c>
      <c r="W1638" s="2" t="s">
        <v>83</v>
      </c>
      <c r="X1638" s="2" t="s">
        <v>85</v>
      </c>
      <c r="Y1638" s="2">
        <v>1.72470753122002</v>
      </c>
      <c r="Z1638" s="2">
        <v>1724.70753122002</v>
      </c>
      <c r="AA1638" s="2">
        <v>4.71035</v>
      </c>
      <c r="AB1638" s="2">
        <v>-74.030416666666696</v>
      </c>
      <c r="AC1638" s="2">
        <v>2570</v>
      </c>
      <c r="AD1638" s="2">
        <v>10</v>
      </c>
      <c r="AE1638" s="2" t="s">
        <v>59</v>
      </c>
      <c r="AF1638" s="2" t="s">
        <v>86</v>
      </c>
      <c r="AG1638" s="2" t="s">
        <v>61</v>
      </c>
      <c r="AH1638" s="2" t="s">
        <v>62</v>
      </c>
      <c r="AI1638" s="2" t="s">
        <v>87</v>
      </c>
      <c r="AJ1638" s="2">
        <v>1.7312927293573701</v>
      </c>
      <c r="AK1638" s="2">
        <v>1.5329287055970999</v>
      </c>
      <c r="AL1638" s="2">
        <v>0.88614865074614502</v>
      </c>
      <c r="AM1638" s="2">
        <v>4.8557280425766201E-2</v>
      </c>
      <c r="AN1638" s="2">
        <v>5.03001426801183</v>
      </c>
      <c r="AO1638" s="2">
        <v>2.1329371519383598E-2</v>
      </c>
      <c r="AP1638" s="2">
        <v>2.1329371519383598E-2</v>
      </c>
      <c r="AQ1638" s="2">
        <v>0</v>
      </c>
      <c r="AR1638" s="2">
        <v>0</v>
      </c>
      <c r="AS1638" s="2">
        <v>0</v>
      </c>
      <c r="AT1638" s="2">
        <v>0</v>
      </c>
      <c r="AU1638" s="2">
        <v>1</v>
      </c>
      <c r="AV1638" s="2">
        <v>156</v>
      </c>
      <c r="AW1638" s="2">
        <v>0</v>
      </c>
      <c r="AX1638" s="2">
        <v>0</v>
      </c>
      <c r="AY1638" s="2">
        <v>15.5</v>
      </c>
      <c r="AZ1638" s="2">
        <v>2.4</v>
      </c>
      <c r="BA1638" s="2">
        <v>10.9</v>
      </c>
      <c r="BB1638" s="2">
        <v>564</v>
      </c>
      <c r="BC1638" s="2">
        <v>68</v>
      </c>
      <c r="BD1638" s="2">
        <v>1.5</v>
      </c>
      <c r="BE1638" s="2">
        <v>135</v>
      </c>
      <c r="BF1638" s="2">
        <v>0</v>
      </c>
      <c r="BG1638" s="2">
        <v>162</v>
      </c>
      <c r="BH1638" s="2">
        <v>9.1</v>
      </c>
      <c r="BI1638" s="2">
        <v>9.1999999999999993</v>
      </c>
      <c r="BJ1638" s="2">
        <v>18.3</v>
      </c>
      <c r="BK1638" s="2">
        <v>0.34</v>
      </c>
      <c r="BL1638" s="2">
        <v>7.3</v>
      </c>
      <c r="BM1638" s="2">
        <v>0.9</v>
      </c>
      <c r="BN1638" s="2">
        <v>7.5</v>
      </c>
      <c r="BO1638" s="2">
        <v>2.9</v>
      </c>
      <c r="BP1638" s="2">
        <f t="shared" si="50"/>
        <v>2.2036073334653801</v>
      </c>
      <c r="BQ1638" s="2">
        <f t="shared" si="51"/>
        <v>10.458026905539102</v>
      </c>
    </row>
    <row r="1639" spans="1:69" x14ac:dyDescent="0.2">
      <c r="A1639" s="2" t="s">
        <v>814</v>
      </c>
      <c r="B1639" s="2" t="s">
        <v>47</v>
      </c>
      <c r="C1639" s="2" t="s">
        <v>48</v>
      </c>
      <c r="D1639" s="2" t="s">
        <v>49</v>
      </c>
      <c r="E1639" s="2" t="s">
        <v>169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89</v>
      </c>
      <c r="L1639" s="6" t="s">
        <v>103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815</v>
      </c>
      <c r="R1639" s="2">
        <v>8270676.6919999998</v>
      </c>
      <c r="S1639" s="2">
        <v>0</v>
      </c>
      <c r="T1639" s="2" t="s">
        <v>83</v>
      </c>
      <c r="U1639" s="2" t="s">
        <v>84</v>
      </c>
      <c r="V1639" s="2" t="s">
        <v>56</v>
      </c>
      <c r="W1639" s="2" t="s">
        <v>83</v>
      </c>
      <c r="X1639" s="2" t="s">
        <v>85</v>
      </c>
      <c r="Y1639" s="2">
        <v>2.9218347487072198</v>
      </c>
      <c r="Z1639" s="2">
        <v>2921.8347487072201</v>
      </c>
      <c r="AA1639" s="2">
        <v>4.71035</v>
      </c>
      <c r="AB1639" s="2">
        <v>-74.030416666666696</v>
      </c>
      <c r="AC1639" s="2">
        <v>2570</v>
      </c>
      <c r="AD1639" s="2">
        <v>10</v>
      </c>
      <c r="AE1639" s="2" t="s">
        <v>59</v>
      </c>
      <c r="AF1639" s="2" t="s">
        <v>86</v>
      </c>
      <c r="AG1639" s="2" t="s">
        <v>61</v>
      </c>
      <c r="AH1639" s="2" t="s">
        <v>62</v>
      </c>
      <c r="AI1639" s="2" t="s">
        <v>87</v>
      </c>
      <c r="AJ1639" s="2">
        <v>1.5836669085339301</v>
      </c>
      <c r="AK1639" s="2">
        <v>1.22275230301417</v>
      </c>
      <c r="AL1639" s="2">
        <v>0.68877794167694095</v>
      </c>
      <c r="AM1639" s="2">
        <v>5.1718073002576997E-2</v>
      </c>
      <c r="AN1639" s="2">
        <v>4.5542112992859396</v>
      </c>
      <c r="AO1639" s="2">
        <v>0.15417951864111901</v>
      </c>
      <c r="AP1639" s="2">
        <v>0.15417951864111901</v>
      </c>
      <c r="AQ1639" s="2">
        <v>0</v>
      </c>
      <c r="AR1639" s="2">
        <v>0</v>
      </c>
      <c r="AS1639" s="2">
        <v>0</v>
      </c>
      <c r="AT1639" s="2">
        <v>0</v>
      </c>
      <c r="AU1639" s="2">
        <v>6</v>
      </c>
      <c r="AV1639" s="2">
        <v>106</v>
      </c>
      <c r="AW1639" s="2">
        <v>0</v>
      </c>
      <c r="AX1639" s="2">
        <v>0</v>
      </c>
      <c r="AY1639" s="2">
        <v>15.5</v>
      </c>
      <c r="AZ1639" s="2">
        <v>2.4</v>
      </c>
      <c r="BA1639" s="2">
        <v>10.9</v>
      </c>
      <c r="BB1639" s="2">
        <v>564</v>
      </c>
      <c r="BC1639" s="2">
        <v>68</v>
      </c>
      <c r="BD1639" s="2">
        <v>1.5</v>
      </c>
      <c r="BE1639" s="2">
        <v>135</v>
      </c>
      <c r="BF1639" s="2">
        <v>0</v>
      </c>
      <c r="BG1639" s="2">
        <v>162</v>
      </c>
      <c r="BH1639" s="2">
        <v>9.1</v>
      </c>
      <c r="BI1639" s="2">
        <v>9.1999999999999993</v>
      </c>
      <c r="BJ1639" s="2">
        <v>18.3</v>
      </c>
      <c r="BK1639" s="2">
        <v>0.34</v>
      </c>
      <c r="BL1639" s="2">
        <v>7.3</v>
      </c>
      <c r="BM1639" s="2">
        <v>0.9</v>
      </c>
      <c r="BN1639" s="2">
        <v>7.5</v>
      </c>
      <c r="BO1639" s="2">
        <v>2.9</v>
      </c>
      <c r="BP1639" s="2">
        <f t="shared" si="50"/>
        <v>2.0768200822655842</v>
      </c>
      <c r="BQ1639" s="2">
        <f t="shared" si="51"/>
        <v>10.161832146431468</v>
      </c>
    </row>
    <row r="1640" spans="1:69" x14ac:dyDescent="0.2">
      <c r="A1640" s="2" t="s">
        <v>1914</v>
      </c>
      <c r="B1640" s="2" t="s">
        <v>47</v>
      </c>
      <c r="C1640" s="2" t="s">
        <v>48</v>
      </c>
      <c r="D1640" s="2" t="s">
        <v>49</v>
      </c>
      <c r="E1640" s="2" t="s">
        <v>316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89</v>
      </c>
      <c r="L1640" s="6" t="s">
        <v>90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1915</v>
      </c>
      <c r="R1640" s="2">
        <v>9398496.2410000004</v>
      </c>
      <c r="S1640" s="2">
        <v>0</v>
      </c>
      <c r="T1640" s="2" t="s">
        <v>83</v>
      </c>
      <c r="U1640" s="2" t="s">
        <v>84</v>
      </c>
      <c r="V1640" s="2" t="s">
        <v>56</v>
      </c>
      <c r="W1640" s="2" t="s">
        <v>83</v>
      </c>
      <c r="X1640" s="2" t="s">
        <v>85</v>
      </c>
      <c r="Y1640" s="2">
        <v>2.7530745523073601</v>
      </c>
      <c r="Z1640" s="2">
        <v>2753.0745523073601</v>
      </c>
      <c r="AA1640" s="2">
        <v>4.71035</v>
      </c>
      <c r="AB1640" s="2">
        <v>-74.030416666666696</v>
      </c>
      <c r="AC1640" s="2">
        <v>2570</v>
      </c>
      <c r="AD1640" s="2">
        <v>10</v>
      </c>
      <c r="AE1640" s="2" t="s">
        <v>59</v>
      </c>
      <c r="AF1640" s="2" t="s">
        <v>86</v>
      </c>
      <c r="AG1640" s="2" t="s">
        <v>61</v>
      </c>
      <c r="AH1640" s="2" t="s">
        <v>62</v>
      </c>
      <c r="AI1640" s="2" t="s">
        <v>87</v>
      </c>
      <c r="AJ1640" s="2">
        <v>0.34684202445818801</v>
      </c>
      <c r="AK1640" s="2">
        <v>3.0885465237028802</v>
      </c>
      <c r="AL1640" s="2">
        <v>1.0044609318419899</v>
      </c>
      <c r="AM1640" s="2">
        <v>8.4120263961578498E-2</v>
      </c>
      <c r="AN1640" s="2">
        <v>4.3836318646072403</v>
      </c>
      <c r="AO1640" s="2">
        <v>0.105480422728044</v>
      </c>
      <c r="AP1640" s="2">
        <v>0.105480422728044</v>
      </c>
      <c r="AQ1640" s="2">
        <v>2</v>
      </c>
      <c r="AR1640" s="2">
        <v>3</v>
      </c>
      <c r="AS1640" s="2">
        <v>0</v>
      </c>
      <c r="AT1640" s="2">
        <v>0</v>
      </c>
      <c r="AU1640" s="2">
        <v>0</v>
      </c>
      <c r="AV1640" s="2">
        <v>161</v>
      </c>
      <c r="AW1640" s="2">
        <v>0</v>
      </c>
      <c r="AX1640" s="2">
        <v>0</v>
      </c>
      <c r="AY1640" s="2">
        <v>15.5</v>
      </c>
      <c r="AZ1640" s="2">
        <v>2.4</v>
      </c>
      <c r="BA1640" s="2">
        <v>10.9</v>
      </c>
      <c r="BB1640" s="2">
        <v>564</v>
      </c>
      <c r="BC1640" s="2">
        <v>68</v>
      </c>
      <c r="BD1640" s="2">
        <v>1.5</v>
      </c>
      <c r="BE1640" s="2">
        <v>135</v>
      </c>
      <c r="BF1640" s="2">
        <v>0</v>
      </c>
      <c r="BG1640" s="2">
        <v>162</v>
      </c>
      <c r="BH1640" s="2">
        <v>9.1</v>
      </c>
      <c r="BI1640" s="2">
        <v>9.1999999999999993</v>
      </c>
      <c r="BJ1640" s="2">
        <v>18.3</v>
      </c>
      <c r="BK1640" s="2">
        <v>0.34</v>
      </c>
      <c r="BL1640" s="2">
        <v>7.3</v>
      </c>
      <c r="BM1640" s="2">
        <v>0.9</v>
      </c>
      <c r="BN1640" s="2">
        <v>7.5</v>
      </c>
      <c r="BO1640" s="2">
        <v>2.9</v>
      </c>
      <c r="BP1640" s="2">
        <f t="shared" si="50"/>
        <v>2.0942417339338744</v>
      </c>
      <c r="BQ1640" s="2">
        <f t="shared" si="51"/>
        <v>10.203073515803554</v>
      </c>
    </row>
    <row r="1641" spans="1:69" x14ac:dyDescent="0.2">
      <c r="A1641" s="2" t="s">
        <v>1010</v>
      </c>
      <c r="B1641" s="2" t="s">
        <v>47</v>
      </c>
      <c r="C1641" s="2" t="s">
        <v>48</v>
      </c>
      <c r="D1641" s="2" t="s">
        <v>49</v>
      </c>
      <c r="E1641" s="2" t="s">
        <v>1011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89</v>
      </c>
      <c r="L1641" s="6" t="s">
        <v>141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1012</v>
      </c>
      <c r="R1641" s="2">
        <v>4736842.1050000004</v>
      </c>
      <c r="S1641" s="2">
        <v>0</v>
      </c>
      <c r="T1641" s="2" t="s">
        <v>83</v>
      </c>
      <c r="U1641" s="2" t="s">
        <v>84</v>
      </c>
      <c r="V1641" s="2" t="s">
        <v>56</v>
      </c>
      <c r="W1641" s="2" t="s">
        <v>83</v>
      </c>
      <c r="X1641" s="2" t="s">
        <v>85</v>
      </c>
      <c r="Y1641" s="2">
        <v>1.7249027624448601</v>
      </c>
      <c r="Z1641" s="2">
        <v>1724.9027624448599</v>
      </c>
      <c r="AA1641" s="2">
        <v>4.71035</v>
      </c>
      <c r="AB1641" s="2">
        <v>-74.030416666666696</v>
      </c>
      <c r="AC1641" s="2">
        <v>2570</v>
      </c>
      <c r="AD1641" s="2">
        <v>10</v>
      </c>
      <c r="AE1641" s="2" t="s">
        <v>59</v>
      </c>
      <c r="AF1641" s="2" t="s">
        <v>86</v>
      </c>
      <c r="AG1641" s="2" t="s">
        <v>61</v>
      </c>
      <c r="AH1641" s="2" t="s">
        <v>62</v>
      </c>
      <c r="AI1641" s="2" t="s">
        <v>87</v>
      </c>
      <c r="AJ1641" s="2">
        <v>0.95027199340591295</v>
      </c>
      <c r="AK1641" s="2">
        <v>2.1649500519410698</v>
      </c>
      <c r="AL1641" s="2">
        <v>1.48571867651709</v>
      </c>
      <c r="AM1641" s="2">
        <v>0.26299698908337799</v>
      </c>
      <c r="AN1641" s="2">
        <v>3.0506530988213201</v>
      </c>
      <c r="AO1641" s="2">
        <v>0.303587385944809</v>
      </c>
      <c r="AP1641" s="2">
        <v>0.303587385944809</v>
      </c>
      <c r="AQ1641" s="2">
        <v>0</v>
      </c>
      <c r="AR1641" s="2">
        <v>1</v>
      </c>
      <c r="AS1641" s="2">
        <v>0</v>
      </c>
      <c r="AT1641" s="2">
        <v>0</v>
      </c>
      <c r="AU1641" s="2">
        <v>0</v>
      </c>
      <c r="AV1641" s="2">
        <v>35</v>
      </c>
      <c r="AW1641" s="2">
        <v>0</v>
      </c>
      <c r="AX1641" s="2">
        <v>0</v>
      </c>
      <c r="AY1641" s="2">
        <v>15.5</v>
      </c>
      <c r="AZ1641" s="2">
        <v>2.4</v>
      </c>
      <c r="BA1641" s="2">
        <v>10.9</v>
      </c>
      <c r="BB1641" s="2">
        <v>564</v>
      </c>
      <c r="BC1641" s="2">
        <v>68</v>
      </c>
      <c r="BD1641" s="2">
        <v>1.5</v>
      </c>
      <c r="BE1641" s="2">
        <v>135</v>
      </c>
      <c r="BF1641" s="2">
        <v>0</v>
      </c>
      <c r="BG1641" s="2">
        <v>162</v>
      </c>
      <c r="BH1641" s="2">
        <v>9.1</v>
      </c>
      <c r="BI1641" s="2">
        <v>9.1999999999999993</v>
      </c>
      <c r="BJ1641" s="2">
        <v>18.3</v>
      </c>
      <c r="BK1641" s="2">
        <v>0.34</v>
      </c>
      <c r="BL1641" s="2">
        <v>7.3</v>
      </c>
      <c r="BM1641" s="2">
        <v>0.9</v>
      </c>
      <c r="BN1641" s="2">
        <v>7.5</v>
      </c>
      <c r="BO1641" s="2">
        <v>2.9</v>
      </c>
      <c r="BP1641" s="2">
        <f t="shared" si="50"/>
        <v>2.2035860380268195</v>
      </c>
      <c r="BQ1641" s="2">
        <f t="shared" si="51"/>
        <v>10.45797790405225</v>
      </c>
    </row>
    <row r="1642" spans="1:69" x14ac:dyDescent="0.2">
      <c r="A1642" s="2" t="s">
        <v>683</v>
      </c>
      <c r="B1642" s="2" t="s">
        <v>47</v>
      </c>
      <c r="C1642" s="2" t="s">
        <v>48</v>
      </c>
      <c r="D1642" s="2" t="s">
        <v>49</v>
      </c>
      <c r="E1642" s="2" t="s">
        <v>189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89</v>
      </c>
      <c r="L1642" s="6" t="s">
        <v>141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684</v>
      </c>
      <c r="R1642" s="2">
        <v>6515151.5149999997</v>
      </c>
      <c r="S1642" s="2">
        <v>0</v>
      </c>
      <c r="T1642" s="2" t="s">
        <v>83</v>
      </c>
      <c r="U1642" s="2" t="s">
        <v>84</v>
      </c>
      <c r="V1642" s="2" t="s">
        <v>56</v>
      </c>
      <c r="W1642" s="2" t="s">
        <v>83</v>
      </c>
      <c r="X1642" s="2" t="s">
        <v>85</v>
      </c>
      <c r="Y1642" s="2">
        <v>2.4578009769548301</v>
      </c>
      <c r="Z1642" s="2">
        <v>2457.8009769548298</v>
      </c>
      <c r="AA1642" s="2">
        <v>4.71035</v>
      </c>
      <c r="AB1642" s="2">
        <v>-74.030416666666696</v>
      </c>
      <c r="AC1642" s="2">
        <v>2570</v>
      </c>
      <c r="AD1642" s="2">
        <v>10</v>
      </c>
      <c r="AE1642" s="2" t="s">
        <v>59</v>
      </c>
      <c r="AF1642" s="2" t="s">
        <v>86</v>
      </c>
      <c r="AG1642" s="2" t="s">
        <v>61</v>
      </c>
      <c r="AH1642" s="2" t="s">
        <v>62</v>
      </c>
      <c r="AI1642" s="2" t="s">
        <v>87</v>
      </c>
      <c r="AJ1642" s="2">
        <v>0.76272370340840201</v>
      </c>
      <c r="AK1642" s="2">
        <v>2.4871727627526501</v>
      </c>
      <c r="AL1642" s="2">
        <v>0.49343953000935997</v>
      </c>
      <c r="AM1642" s="2">
        <v>0.136098868344149</v>
      </c>
      <c r="AN1642" s="2">
        <v>4.53792012172954</v>
      </c>
      <c r="AO1642" s="2">
        <v>0.33354627603675902</v>
      </c>
      <c r="AP1642" s="2">
        <v>0.33354627603675902</v>
      </c>
      <c r="AQ1642" s="2">
        <v>0</v>
      </c>
      <c r="AR1642" s="2">
        <v>2</v>
      </c>
      <c r="AS1642" s="2">
        <v>0</v>
      </c>
      <c r="AT1642" s="2">
        <v>0</v>
      </c>
      <c r="AU1642" s="2">
        <v>1</v>
      </c>
      <c r="AV1642" s="2">
        <v>161</v>
      </c>
      <c r="AW1642" s="2">
        <v>0</v>
      </c>
      <c r="AX1642" s="2">
        <v>0</v>
      </c>
      <c r="AY1642" s="2">
        <v>15.5</v>
      </c>
      <c r="AZ1642" s="2">
        <v>2.4</v>
      </c>
      <c r="BA1642" s="2">
        <v>10.9</v>
      </c>
      <c r="BB1642" s="2">
        <v>564</v>
      </c>
      <c r="BC1642" s="2">
        <v>68</v>
      </c>
      <c r="BD1642" s="2">
        <v>1.5</v>
      </c>
      <c r="BE1642" s="2">
        <v>135</v>
      </c>
      <c r="BF1642" s="2">
        <v>0</v>
      </c>
      <c r="BG1642" s="2">
        <v>162</v>
      </c>
      <c r="BH1642" s="2">
        <v>9.1</v>
      </c>
      <c r="BI1642" s="2">
        <v>9.1999999999999993</v>
      </c>
      <c r="BJ1642" s="2">
        <v>18.3</v>
      </c>
      <c r="BK1642" s="2">
        <v>0.34</v>
      </c>
      <c r="BL1642" s="2">
        <v>7.3</v>
      </c>
      <c r="BM1642" s="2">
        <v>0.9</v>
      </c>
      <c r="BN1642" s="2">
        <v>7.5</v>
      </c>
      <c r="BO1642" s="2">
        <v>2.9</v>
      </c>
      <c r="BP1642" s="2">
        <f t="shared" si="50"/>
        <v>2.1250760479245341</v>
      </c>
      <c r="BQ1642" s="2">
        <f t="shared" si="51"/>
        <v>10.27563507017064</v>
      </c>
    </row>
    <row r="1643" spans="1:69" x14ac:dyDescent="0.2">
      <c r="A1643" s="2" t="s">
        <v>1866</v>
      </c>
      <c r="B1643" s="2" t="s">
        <v>47</v>
      </c>
      <c r="C1643" s="2" t="s">
        <v>48</v>
      </c>
      <c r="D1643" s="2" t="s">
        <v>49</v>
      </c>
      <c r="E1643" s="2" t="s">
        <v>189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89</v>
      </c>
      <c r="L1643" s="6" t="s">
        <v>141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1867</v>
      </c>
      <c r="R1643" s="2">
        <v>6221969.6969999997</v>
      </c>
      <c r="S1643" s="2">
        <v>0</v>
      </c>
      <c r="T1643" s="2" t="s">
        <v>83</v>
      </c>
      <c r="U1643" s="2" t="s">
        <v>84</v>
      </c>
      <c r="V1643" s="2" t="s">
        <v>56</v>
      </c>
      <c r="W1643" s="2" t="s">
        <v>83</v>
      </c>
      <c r="X1643" s="2" t="s">
        <v>85</v>
      </c>
      <c r="Y1643" s="2">
        <v>2.4472106375673301</v>
      </c>
      <c r="Z1643" s="2">
        <v>2447.2106375673302</v>
      </c>
      <c r="AA1643" s="2">
        <v>4.71035</v>
      </c>
      <c r="AB1643" s="2">
        <v>-74.030416666666696</v>
      </c>
      <c r="AC1643" s="2">
        <v>2570</v>
      </c>
      <c r="AD1643" s="2">
        <v>10</v>
      </c>
      <c r="AE1643" s="2" t="s">
        <v>59</v>
      </c>
      <c r="AF1643" s="2" t="s">
        <v>86</v>
      </c>
      <c r="AG1643" s="2" t="s">
        <v>61</v>
      </c>
      <c r="AH1643" s="2" t="s">
        <v>62</v>
      </c>
      <c r="AI1643" s="2" t="s">
        <v>87</v>
      </c>
      <c r="AJ1643" s="2">
        <v>0.76528324786608004</v>
      </c>
      <c r="AK1643" s="2">
        <v>2.4961639338831501</v>
      </c>
      <c r="AL1643" s="2">
        <v>0.50704276054478203</v>
      </c>
      <c r="AM1643" s="2">
        <v>0.12275541340341301</v>
      </c>
      <c r="AN1643" s="2">
        <v>4.54844652992427</v>
      </c>
      <c r="AO1643" s="2">
        <v>0.34700604162399201</v>
      </c>
      <c r="AP1643" s="2">
        <v>0.34700604162399201</v>
      </c>
      <c r="AQ1643" s="2">
        <v>0</v>
      </c>
      <c r="AR1643" s="2">
        <v>1</v>
      </c>
      <c r="AS1643" s="2">
        <v>0</v>
      </c>
      <c r="AT1643" s="2">
        <v>0</v>
      </c>
      <c r="AU1643" s="2">
        <v>1</v>
      </c>
      <c r="AV1643" s="2">
        <v>158</v>
      </c>
      <c r="AW1643" s="2">
        <v>0</v>
      </c>
      <c r="AX1643" s="2">
        <v>0</v>
      </c>
      <c r="AY1643" s="2">
        <v>15.5</v>
      </c>
      <c r="AZ1643" s="2">
        <v>2.4</v>
      </c>
      <c r="BA1643" s="2">
        <v>10.9</v>
      </c>
      <c r="BB1643" s="2">
        <v>564</v>
      </c>
      <c r="BC1643" s="2">
        <v>68</v>
      </c>
      <c r="BD1643" s="2">
        <v>1.5</v>
      </c>
      <c r="BE1643" s="2">
        <v>135</v>
      </c>
      <c r="BF1643" s="2">
        <v>0</v>
      </c>
      <c r="BG1643" s="2">
        <v>162</v>
      </c>
      <c r="BH1643" s="2">
        <v>9.1</v>
      </c>
      <c r="BI1643" s="2">
        <v>9.1999999999999993</v>
      </c>
      <c r="BJ1643" s="2">
        <v>18.3</v>
      </c>
      <c r="BK1643" s="2">
        <v>0.34</v>
      </c>
      <c r="BL1643" s="2">
        <v>7.3</v>
      </c>
      <c r="BM1643" s="2">
        <v>0.9</v>
      </c>
      <c r="BN1643" s="2">
        <v>7.5</v>
      </c>
      <c r="BO1643" s="2">
        <v>2.9</v>
      </c>
      <c r="BP1643" s="2">
        <f t="shared" si="50"/>
        <v>2.1261903511603424</v>
      </c>
      <c r="BQ1643" s="2">
        <f t="shared" si="51"/>
        <v>10.278247141216768</v>
      </c>
    </row>
    <row r="1644" spans="1:69" x14ac:dyDescent="0.2">
      <c r="A1644" s="2" t="s">
        <v>1579</v>
      </c>
      <c r="B1644" s="2" t="s">
        <v>47</v>
      </c>
      <c r="C1644" s="2" t="s">
        <v>48</v>
      </c>
      <c r="D1644" s="2" t="s">
        <v>49</v>
      </c>
      <c r="E1644" s="2" t="s">
        <v>81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89</v>
      </c>
      <c r="L1644" s="6" t="s">
        <v>141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1580</v>
      </c>
      <c r="R1644" s="2">
        <v>6818181.818</v>
      </c>
      <c r="S1644" s="2">
        <v>0</v>
      </c>
      <c r="T1644" s="2" t="s">
        <v>83</v>
      </c>
      <c r="U1644" s="2" t="s">
        <v>84</v>
      </c>
      <c r="V1644" s="2" t="s">
        <v>56</v>
      </c>
      <c r="W1644" s="2" t="s">
        <v>83</v>
      </c>
      <c r="X1644" s="2" t="s">
        <v>85</v>
      </c>
      <c r="Y1644" s="2">
        <v>2.1216293291001702</v>
      </c>
      <c r="Z1644" s="2">
        <v>2121.6293291001698</v>
      </c>
      <c r="AA1644" s="2">
        <v>4.71035</v>
      </c>
      <c r="AB1644" s="2">
        <v>-74.030416666666696</v>
      </c>
      <c r="AC1644" s="2">
        <v>2570</v>
      </c>
      <c r="AD1644" s="2">
        <v>10</v>
      </c>
      <c r="AE1644" s="2" t="s">
        <v>59</v>
      </c>
      <c r="AF1644" s="2" t="s">
        <v>86</v>
      </c>
      <c r="AG1644" s="2" t="s">
        <v>61</v>
      </c>
      <c r="AH1644" s="2" t="s">
        <v>62</v>
      </c>
      <c r="AI1644" s="2" t="s">
        <v>87</v>
      </c>
      <c r="AJ1644" s="2">
        <v>1.1368165540179</v>
      </c>
      <c r="AK1644" s="2">
        <v>2.1272155161014599</v>
      </c>
      <c r="AL1644" s="2">
        <v>0.75052567526059699</v>
      </c>
      <c r="AM1644" s="2">
        <v>0.13625946536714401</v>
      </c>
      <c r="AN1644" s="2">
        <v>4.8838315124165197</v>
      </c>
      <c r="AO1644" s="2">
        <v>0.26094409723019202</v>
      </c>
      <c r="AP1644" s="2">
        <v>0.26094409723019202</v>
      </c>
      <c r="AQ1644" s="2">
        <v>0</v>
      </c>
      <c r="AR1644" s="2">
        <v>0</v>
      </c>
      <c r="AS1644" s="2">
        <v>0</v>
      </c>
      <c r="AT1644" s="2">
        <v>0</v>
      </c>
      <c r="AU1644" s="2">
        <v>1</v>
      </c>
      <c r="AV1644" s="2">
        <v>119</v>
      </c>
      <c r="AW1644" s="2">
        <v>0</v>
      </c>
      <c r="AX1644" s="2">
        <v>0</v>
      </c>
      <c r="AY1644" s="2">
        <v>15.5</v>
      </c>
      <c r="AZ1644" s="2">
        <v>2.4</v>
      </c>
      <c r="BA1644" s="2">
        <v>10.9</v>
      </c>
      <c r="BB1644" s="2">
        <v>564</v>
      </c>
      <c r="BC1644" s="2">
        <v>68</v>
      </c>
      <c r="BD1644" s="2">
        <v>1.5</v>
      </c>
      <c r="BE1644" s="2">
        <v>135</v>
      </c>
      <c r="BF1644" s="2">
        <v>0</v>
      </c>
      <c r="BG1644" s="2">
        <v>162</v>
      </c>
      <c r="BH1644" s="2">
        <v>9.1</v>
      </c>
      <c r="BI1644" s="2">
        <v>9.1999999999999993</v>
      </c>
      <c r="BJ1644" s="2">
        <v>18.3</v>
      </c>
      <c r="BK1644" s="2">
        <v>0.34</v>
      </c>
      <c r="BL1644" s="2">
        <v>7.3</v>
      </c>
      <c r="BM1644" s="2">
        <v>0.9</v>
      </c>
      <c r="BN1644" s="2">
        <v>7.5</v>
      </c>
      <c r="BO1644" s="2">
        <v>2.9</v>
      </c>
      <c r="BP1644" s="2">
        <f t="shared" si="50"/>
        <v>2.1607342307156925</v>
      </c>
      <c r="BQ1644" s="2">
        <f t="shared" si="51"/>
        <v>10.358875467551442</v>
      </c>
    </row>
    <row r="1645" spans="1:69" x14ac:dyDescent="0.2">
      <c r="A1645" s="2" t="s">
        <v>369</v>
      </c>
      <c r="B1645" s="2" t="s">
        <v>47</v>
      </c>
      <c r="C1645" s="2" t="s">
        <v>48</v>
      </c>
      <c r="D1645" s="2" t="s">
        <v>49</v>
      </c>
      <c r="E1645" s="2" t="s">
        <v>370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89</v>
      </c>
      <c r="L1645" s="6" t="s">
        <v>103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371</v>
      </c>
      <c r="R1645" s="2">
        <v>7328244.2750000004</v>
      </c>
      <c r="S1645" s="2">
        <v>0</v>
      </c>
      <c r="T1645" s="2" t="s">
        <v>83</v>
      </c>
      <c r="U1645" s="2" t="s">
        <v>84</v>
      </c>
      <c r="V1645" s="2" t="s">
        <v>56</v>
      </c>
      <c r="W1645" s="2" t="s">
        <v>83</v>
      </c>
      <c r="X1645" s="2" t="s">
        <v>85</v>
      </c>
      <c r="Y1645" s="2">
        <v>2.43636540700538</v>
      </c>
      <c r="Z1645" s="2">
        <v>2436.3654070053799</v>
      </c>
      <c r="AA1645" s="2">
        <v>4.71035</v>
      </c>
      <c r="AB1645" s="2">
        <v>-74.030416666666696</v>
      </c>
      <c r="AC1645" s="2">
        <v>2570</v>
      </c>
      <c r="AD1645" s="2">
        <v>10</v>
      </c>
      <c r="AE1645" s="2" t="s">
        <v>59</v>
      </c>
      <c r="AF1645" s="2" t="s">
        <v>86</v>
      </c>
      <c r="AG1645" s="2" t="s">
        <v>61</v>
      </c>
      <c r="AH1645" s="2" t="s">
        <v>62</v>
      </c>
      <c r="AI1645" s="2" t="s">
        <v>87</v>
      </c>
      <c r="AJ1645" s="2">
        <v>0.353408817299531</v>
      </c>
      <c r="AK1645" s="2">
        <v>2.7966564294062501</v>
      </c>
      <c r="AL1645" s="2">
        <v>1.4864431910956499</v>
      </c>
      <c r="AM1645" s="2">
        <v>0.193370889774727</v>
      </c>
      <c r="AN1645" s="2">
        <v>3.20399460604391</v>
      </c>
      <c r="AO1645" s="2">
        <v>0.21097296803308799</v>
      </c>
      <c r="AP1645" s="2">
        <v>0.21097296803308799</v>
      </c>
      <c r="AQ1645" s="2">
        <v>1</v>
      </c>
      <c r="AR1645" s="2">
        <v>4</v>
      </c>
      <c r="AS1645" s="2">
        <v>0</v>
      </c>
      <c r="AT1645" s="2">
        <v>0</v>
      </c>
      <c r="AU1645" s="2">
        <v>0</v>
      </c>
      <c r="AV1645" s="2">
        <v>42</v>
      </c>
      <c r="AW1645" s="2">
        <v>0</v>
      </c>
      <c r="AX1645" s="2">
        <v>0</v>
      </c>
      <c r="AY1645" s="2">
        <v>15.5</v>
      </c>
      <c r="AZ1645" s="2">
        <v>2.4</v>
      </c>
      <c r="BA1645" s="2">
        <v>10.9</v>
      </c>
      <c r="BB1645" s="2">
        <v>564</v>
      </c>
      <c r="BC1645" s="2">
        <v>68</v>
      </c>
      <c r="BD1645" s="2">
        <v>1.5</v>
      </c>
      <c r="BE1645" s="2">
        <v>135</v>
      </c>
      <c r="BF1645" s="2">
        <v>0</v>
      </c>
      <c r="BG1645" s="2">
        <v>162</v>
      </c>
      <c r="BH1645" s="2">
        <v>9.1</v>
      </c>
      <c r="BI1645" s="2">
        <v>9.1999999999999993</v>
      </c>
      <c r="BJ1645" s="2">
        <v>18.3</v>
      </c>
      <c r="BK1645" s="2">
        <v>0.34</v>
      </c>
      <c r="BL1645" s="2">
        <v>7.3</v>
      </c>
      <c r="BM1645" s="2">
        <v>0.9</v>
      </c>
      <c r="BN1645" s="2">
        <v>7.5</v>
      </c>
      <c r="BO1645" s="2">
        <v>2.9</v>
      </c>
      <c r="BP1645" s="2">
        <f t="shared" si="50"/>
        <v>2.1273320793115298</v>
      </c>
      <c r="BQ1645" s="2">
        <f t="shared" si="51"/>
        <v>10.280922768455655</v>
      </c>
    </row>
    <row r="1646" spans="1:69" x14ac:dyDescent="0.2">
      <c r="A1646" s="2" t="s">
        <v>862</v>
      </c>
      <c r="B1646" s="2" t="s">
        <v>47</v>
      </c>
      <c r="C1646" s="2" t="s">
        <v>48</v>
      </c>
      <c r="D1646" s="2" t="s">
        <v>49</v>
      </c>
      <c r="E1646" s="2" t="s">
        <v>863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89</v>
      </c>
      <c r="L1646" s="6" t="s">
        <v>103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864</v>
      </c>
      <c r="R1646" s="2">
        <v>10230769.23</v>
      </c>
      <c r="S1646" s="2">
        <v>0</v>
      </c>
      <c r="T1646" s="2" t="s">
        <v>83</v>
      </c>
      <c r="U1646" s="2" t="s">
        <v>84</v>
      </c>
      <c r="V1646" s="2" t="s">
        <v>56</v>
      </c>
      <c r="W1646" s="2" t="s">
        <v>83</v>
      </c>
      <c r="X1646" s="2" t="s">
        <v>85</v>
      </c>
      <c r="Y1646" s="2">
        <v>3.88275890564507</v>
      </c>
      <c r="Z1646" s="2">
        <v>3882.7589056450702</v>
      </c>
      <c r="AA1646" s="2">
        <v>4.71035</v>
      </c>
      <c r="AB1646" s="2">
        <v>-74.030416666666696</v>
      </c>
      <c r="AC1646" s="2">
        <v>2570</v>
      </c>
      <c r="AD1646" s="2">
        <v>10</v>
      </c>
      <c r="AE1646" s="2" t="s">
        <v>59</v>
      </c>
      <c r="AF1646" s="2" t="s">
        <v>86</v>
      </c>
      <c r="AG1646" s="2" t="s">
        <v>61</v>
      </c>
      <c r="AH1646" s="2" t="s">
        <v>62</v>
      </c>
      <c r="AI1646" s="2" t="s">
        <v>109</v>
      </c>
      <c r="AJ1646" s="2">
        <v>1.7816273848495801</v>
      </c>
      <c r="AK1646" s="2">
        <v>0.55187750616801001</v>
      </c>
      <c r="AL1646" s="2">
        <v>0.65322396752175105</v>
      </c>
      <c r="AM1646" s="2">
        <v>0.22640309150346399</v>
      </c>
      <c r="AN1646" s="2">
        <v>4.3446018646973998</v>
      </c>
      <c r="AO1646" s="2">
        <v>1.0857131596971801</v>
      </c>
      <c r="AP1646" s="2">
        <v>1.0857131596971801</v>
      </c>
      <c r="AQ1646" s="2">
        <v>0</v>
      </c>
      <c r="AR1646" s="2">
        <v>0</v>
      </c>
      <c r="AS1646" s="2">
        <v>0</v>
      </c>
      <c r="AT1646" s="2">
        <v>8</v>
      </c>
      <c r="AU1646" s="2">
        <v>3</v>
      </c>
      <c r="AV1646" s="2">
        <v>77</v>
      </c>
      <c r="AW1646" s="2">
        <v>0</v>
      </c>
      <c r="AX1646" s="2">
        <v>0</v>
      </c>
      <c r="AY1646" s="2">
        <v>15.5</v>
      </c>
      <c r="AZ1646" s="2">
        <v>2.4</v>
      </c>
      <c r="BA1646" s="2">
        <v>10.9</v>
      </c>
      <c r="BB1646" s="2">
        <v>564</v>
      </c>
      <c r="BC1646" s="2">
        <v>68</v>
      </c>
      <c r="BD1646" s="2">
        <v>1.5</v>
      </c>
      <c r="BE1646" s="2">
        <v>135</v>
      </c>
      <c r="BF1646" s="2">
        <v>0</v>
      </c>
      <c r="BG1646" s="2">
        <v>162</v>
      </c>
      <c r="BH1646" s="2">
        <v>9.1</v>
      </c>
      <c r="BI1646" s="2">
        <v>9.1999999999999993</v>
      </c>
      <c r="BJ1646" s="2">
        <v>18.3</v>
      </c>
      <c r="BK1646" s="2">
        <v>0.34</v>
      </c>
      <c r="BL1646" s="2">
        <v>7.3</v>
      </c>
      <c r="BM1646" s="2">
        <v>0.9</v>
      </c>
      <c r="BN1646" s="2">
        <v>7.5</v>
      </c>
      <c r="BO1646" s="2">
        <v>2.9</v>
      </c>
      <c r="BP1646" s="2">
        <f t="shared" si="50"/>
        <v>1.9803471775335664</v>
      </c>
      <c r="BQ1646" s="2">
        <f t="shared" si="51"/>
        <v>9.9301598488909502</v>
      </c>
    </row>
    <row r="1647" spans="1:69" x14ac:dyDescent="0.2">
      <c r="A1647" s="2" t="s">
        <v>3326</v>
      </c>
      <c r="B1647" s="2" t="s">
        <v>47</v>
      </c>
      <c r="C1647" s="2" t="s">
        <v>3273</v>
      </c>
      <c r="D1647" s="2" t="s">
        <v>49</v>
      </c>
      <c r="E1647" s="2" t="s">
        <v>1628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89</v>
      </c>
      <c r="L1647" s="6" t="s">
        <v>112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3327</v>
      </c>
      <c r="R1647" s="2">
        <v>8538461.5380000006</v>
      </c>
      <c r="S1647" s="2">
        <v>0</v>
      </c>
      <c r="T1647" s="2" t="s">
        <v>83</v>
      </c>
      <c r="U1647" s="2" t="s">
        <v>84</v>
      </c>
      <c r="V1647" s="2" t="s">
        <v>56</v>
      </c>
      <c r="W1647" s="2" t="s">
        <v>83</v>
      </c>
      <c r="X1647" s="2" t="s">
        <v>85</v>
      </c>
      <c r="Y1647" s="2">
        <v>2.4803888643866601</v>
      </c>
      <c r="Z1647" s="2">
        <v>2480.3888643866599</v>
      </c>
      <c r="AA1647" s="2">
        <v>4.71035</v>
      </c>
      <c r="AB1647" s="2">
        <v>-74.030416666666696</v>
      </c>
      <c r="AC1647" s="2">
        <v>2570</v>
      </c>
      <c r="AD1647" s="2">
        <v>10</v>
      </c>
      <c r="AE1647" s="2" t="s">
        <v>59</v>
      </c>
      <c r="AF1647" s="2" t="s">
        <v>86</v>
      </c>
      <c r="AG1647" s="2" t="s">
        <v>61</v>
      </c>
      <c r="AH1647" s="2" t="s">
        <v>62</v>
      </c>
      <c r="AI1647" s="2" t="s">
        <v>87</v>
      </c>
      <c r="AJ1647" s="2">
        <v>1.5986838500454299</v>
      </c>
      <c r="AK1647" s="2">
        <v>1.5182794736779699</v>
      </c>
      <c r="AL1647" s="2">
        <v>0.91396254703374802</v>
      </c>
      <c r="AM1647" s="2">
        <v>0.170679923968514</v>
      </c>
      <c r="AN1647" s="2">
        <v>4.8332371513221597</v>
      </c>
      <c r="AO1647" s="2">
        <v>0.26824463368789198</v>
      </c>
      <c r="AP1647" s="2">
        <v>0.26824463368789198</v>
      </c>
      <c r="AQ1647" s="2">
        <v>0</v>
      </c>
      <c r="AR1647" s="2">
        <v>0</v>
      </c>
      <c r="AS1647" s="2">
        <v>0</v>
      </c>
      <c r="AT1647" s="2">
        <v>0</v>
      </c>
      <c r="AU1647" s="2">
        <v>1</v>
      </c>
      <c r="AV1647" s="2">
        <v>103</v>
      </c>
      <c r="AW1647" s="2">
        <v>0</v>
      </c>
      <c r="AX1647" s="2">
        <v>0</v>
      </c>
      <c r="AY1647" s="2">
        <v>15.5</v>
      </c>
      <c r="AZ1647" s="2">
        <v>2.4</v>
      </c>
      <c r="BA1647" s="2">
        <v>10.9</v>
      </c>
      <c r="BB1647" s="2">
        <v>564</v>
      </c>
      <c r="BC1647" s="2">
        <v>68</v>
      </c>
      <c r="BD1647" s="2">
        <v>1.5</v>
      </c>
      <c r="BE1647" s="2">
        <v>135</v>
      </c>
      <c r="BF1647" s="2">
        <v>0</v>
      </c>
      <c r="BG1647" s="2">
        <v>162</v>
      </c>
      <c r="BH1647" s="2">
        <v>9.1</v>
      </c>
      <c r="BI1647" s="2">
        <v>9.1999999999999993</v>
      </c>
      <c r="BJ1647" s="2">
        <v>18.3</v>
      </c>
      <c r="BK1647" s="2">
        <v>0.34</v>
      </c>
      <c r="BL1647" s="2">
        <v>7.3</v>
      </c>
      <c r="BM1647" s="2">
        <v>0.9</v>
      </c>
      <c r="BN1647" s="2">
        <v>7.5</v>
      </c>
      <c r="BO1647" s="2">
        <v>2.9</v>
      </c>
      <c r="BP1647" s="2">
        <f t="shared" si="50"/>
        <v>2.1227013273215389</v>
      </c>
      <c r="BQ1647" s="2">
        <f t="shared" si="51"/>
        <v>10.270066062494314</v>
      </c>
    </row>
    <row r="1648" spans="1:69" x14ac:dyDescent="0.2">
      <c r="A1648" s="2" t="s">
        <v>1361</v>
      </c>
      <c r="B1648" s="2" t="s">
        <v>47</v>
      </c>
      <c r="C1648" s="2" t="s">
        <v>48</v>
      </c>
      <c r="D1648" s="2" t="s">
        <v>49</v>
      </c>
      <c r="E1648" s="2" t="s">
        <v>262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89</v>
      </c>
      <c r="L1648" s="6" t="s">
        <v>112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1362</v>
      </c>
      <c r="R1648" s="2">
        <v>7673643.4110000003</v>
      </c>
      <c r="S1648" s="2">
        <v>0</v>
      </c>
      <c r="T1648" s="2" t="s">
        <v>83</v>
      </c>
      <c r="U1648" s="2" t="s">
        <v>84</v>
      </c>
      <c r="V1648" s="2" t="s">
        <v>56</v>
      </c>
      <c r="W1648" s="2" t="s">
        <v>83</v>
      </c>
      <c r="X1648" s="2" t="s">
        <v>85</v>
      </c>
      <c r="Y1648" s="2">
        <v>1.93680350104421</v>
      </c>
      <c r="Z1648" s="2">
        <v>1936.80350104421</v>
      </c>
      <c r="AA1648" s="2">
        <v>4.71035</v>
      </c>
      <c r="AB1648" s="2">
        <v>-74.030416666666696</v>
      </c>
      <c r="AC1648" s="2">
        <v>2570</v>
      </c>
      <c r="AD1648" s="2">
        <v>10</v>
      </c>
      <c r="AE1648" s="2" t="s">
        <v>59</v>
      </c>
      <c r="AF1648" s="2" t="s">
        <v>86</v>
      </c>
      <c r="AG1648" s="2" t="s">
        <v>61</v>
      </c>
      <c r="AH1648" s="2" t="s">
        <v>62</v>
      </c>
      <c r="AI1648" s="2" t="s">
        <v>87</v>
      </c>
      <c r="AJ1648" s="2">
        <v>1.6471530955505</v>
      </c>
      <c r="AK1648" s="2">
        <v>1.5412521888914501</v>
      </c>
      <c r="AL1648" s="2">
        <v>0.81947964967577602</v>
      </c>
      <c r="AM1648" s="2">
        <v>0.10009327612519001</v>
      </c>
      <c r="AN1648" s="2">
        <v>1.8756051425389799</v>
      </c>
      <c r="AO1648" s="2">
        <v>9.1683241531159504E-2</v>
      </c>
      <c r="AP1648" s="2">
        <v>9.1683241531159504E-2</v>
      </c>
      <c r="AQ1648" s="2">
        <v>0</v>
      </c>
      <c r="AR1648" s="2">
        <v>0</v>
      </c>
      <c r="AS1648" s="2">
        <v>0</v>
      </c>
      <c r="AT1648" s="2">
        <v>0</v>
      </c>
      <c r="AU1648" s="2">
        <v>1</v>
      </c>
      <c r="AV1648" s="2">
        <v>12</v>
      </c>
      <c r="AW1648" s="2">
        <v>0</v>
      </c>
      <c r="AX1648" s="2">
        <v>0</v>
      </c>
      <c r="AY1648" s="2">
        <v>15.5</v>
      </c>
      <c r="AZ1648" s="2">
        <v>2.4</v>
      </c>
      <c r="BA1648" s="2">
        <v>10.9</v>
      </c>
      <c r="BB1648" s="2">
        <v>564</v>
      </c>
      <c r="BC1648" s="2">
        <v>68</v>
      </c>
      <c r="BD1648" s="2">
        <v>1.5</v>
      </c>
      <c r="BE1648" s="2">
        <v>135</v>
      </c>
      <c r="BF1648" s="2">
        <v>0</v>
      </c>
      <c r="BG1648" s="2">
        <v>162</v>
      </c>
      <c r="BH1648" s="2">
        <v>9.1</v>
      </c>
      <c r="BI1648" s="2">
        <v>9.1999999999999993</v>
      </c>
      <c r="BJ1648" s="2">
        <v>18.3</v>
      </c>
      <c r="BK1648" s="2">
        <v>0.34</v>
      </c>
      <c r="BL1648" s="2">
        <v>7.3</v>
      </c>
      <c r="BM1648" s="2">
        <v>0.9</v>
      </c>
      <c r="BN1648" s="2">
        <v>7.5</v>
      </c>
      <c r="BO1648" s="2">
        <v>2.9</v>
      </c>
      <c r="BP1648" s="2">
        <f t="shared" si="50"/>
        <v>2.1805932309092699</v>
      </c>
      <c r="BQ1648" s="2">
        <f t="shared" si="51"/>
        <v>10.404927637268619</v>
      </c>
    </row>
    <row r="1649" spans="1:69" x14ac:dyDescent="0.2">
      <c r="A1649" s="2" t="s">
        <v>1016</v>
      </c>
      <c r="B1649" s="2" t="s">
        <v>47</v>
      </c>
      <c r="C1649" s="2" t="s">
        <v>48</v>
      </c>
      <c r="D1649" s="2" t="s">
        <v>49</v>
      </c>
      <c r="E1649" s="2" t="s">
        <v>214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89</v>
      </c>
      <c r="L1649" s="6" t="s">
        <v>103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1017</v>
      </c>
      <c r="R1649" s="2">
        <v>10000000</v>
      </c>
      <c r="S1649" s="2">
        <v>0</v>
      </c>
      <c r="T1649" s="2" t="s">
        <v>83</v>
      </c>
      <c r="U1649" s="2" t="s">
        <v>84</v>
      </c>
      <c r="V1649" s="2" t="s">
        <v>56</v>
      </c>
      <c r="W1649" s="2" t="s">
        <v>83</v>
      </c>
      <c r="X1649" s="2" t="s">
        <v>85</v>
      </c>
      <c r="Y1649" s="2">
        <v>1.32772143533472</v>
      </c>
      <c r="Z1649" s="2">
        <v>1327.7214353347199</v>
      </c>
      <c r="AA1649" s="2">
        <v>4.71035</v>
      </c>
      <c r="AB1649" s="2">
        <v>-74.030416666666696</v>
      </c>
      <c r="AC1649" s="2">
        <v>2570</v>
      </c>
      <c r="AD1649" s="2">
        <v>10</v>
      </c>
      <c r="AE1649" s="2" t="s">
        <v>59</v>
      </c>
      <c r="AF1649" s="2" t="s">
        <v>86</v>
      </c>
      <c r="AG1649" s="2" t="s">
        <v>61</v>
      </c>
      <c r="AH1649" s="2" t="s">
        <v>62</v>
      </c>
      <c r="AI1649" s="2" t="s">
        <v>87</v>
      </c>
      <c r="AJ1649" s="2">
        <v>1.4680676606726599</v>
      </c>
      <c r="AK1649" s="2">
        <v>1.73126720926184</v>
      </c>
      <c r="AL1649" s="2">
        <v>1.01757171755533</v>
      </c>
      <c r="AM1649" s="2">
        <v>6.9988819847280795E-2</v>
      </c>
      <c r="AN1649" s="2">
        <v>4.3613602592407599</v>
      </c>
      <c r="AO1649" s="2">
        <v>0.203496744893541</v>
      </c>
      <c r="AP1649" s="2">
        <v>0.203496744893541</v>
      </c>
      <c r="AQ1649" s="2">
        <v>0</v>
      </c>
      <c r="AR1649" s="2">
        <v>0</v>
      </c>
      <c r="AS1649" s="2">
        <v>0</v>
      </c>
      <c r="AT1649" s="2">
        <v>0</v>
      </c>
      <c r="AU1649" s="2">
        <v>0</v>
      </c>
      <c r="AV1649" s="2">
        <v>81</v>
      </c>
      <c r="AW1649" s="2">
        <v>0</v>
      </c>
      <c r="AX1649" s="2">
        <v>0</v>
      </c>
      <c r="AY1649" s="2">
        <v>15.5</v>
      </c>
      <c r="AZ1649" s="2">
        <v>2.4</v>
      </c>
      <c r="BA1649" s="2">
        <v>10.9</v>
      </c>
      <c r="BB1649" s="2">
        <v>564</v>
      </c>
      <c r="BC1649" s="2">
        <v>68</v>
      </c>
      <c r="BD1649" s="2">
        <v>1.5</v>
      </c>
      <c r="BE1649" s="2">
        <v>135</v>
      </c>
      <c r="BF1649" s="2">
        <v>0</v>
      </c>
      <c r="BG1649" s="2">
        <v>162</v>
      </c>
      <c r="BH1649" s="2">
        <v>9.1</v>
      </c>
      <c r="BI1649" s="2">
        <v>9.1999999999999993</v>
      </c>
      <c r="BJ1649" s="2">
        <v>18.3</v>
      </c>
      <c r="BK1649" s="2">
        <v>0.34</v>
      </c>
      <c r="BL1649" s="2">
        <v>7.3</v>
      </c>
      <c r="BM1649" s="2">
        <v>0.9</v>
      </c>
      <c r="BN1649" s="2">
        <v>7.5</v>
      </c>
      <c r="BO1649" s="2">
        <v>2.9</v>
      </c>
      <c r="BP1649" s="2">
        <f t="shared" si="50"/>
        <v>2.2473382733394121</v>
      </c>
      <c r="BQ1649" s="2">
        <f t="shared" si="51"/>
        <v>10.558143678313204</v>
      </c>
    </row>
    <row r="1650" spans="1:69" x14ac:dyDescent="0.2">
      <c r="A1650" s="2" t="s">
        <v>2593</v>
      </c>
      <c r="B1650" s="2" t="s">
        <v>47</v>
      </c>
      <c r="C1650" s="2" t="s">
        <v>1935</v>
      </c>
      <c r="D1650" s="2" t="s">
        <v>49</v>
      </c>
      <c r="E1650" s="2" t="s">
        <v>961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89</v>
      </c>
      <c r="L1650" s="6" t="s">
        <v>141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2594</v>
      </c>
      <c r="R1650" s="2">
        <v>5054039.3439999996</v>
      </c>
      <c r="S1650" s="2">
        <v>0</v>
      </c>
      <c r="T1650" s="2" t="s">
        <v>83</v>
      </c>
      <c r="U1650" s="2" t="s">
        <v>84</v>
      </c>
      <c r="V1650" s="2" t="s">
        <v>56</v>
      </c>
      <c r="W1650" s="2" t="s">
        <v>83</v>
      </c>
      <c r="X1650" s="2" t="s">
        <v>85</v>
      </c>
      <c r="Y1650" s="2">
        <v>2.1129466053055799</v>
      </c>
      <c r="Z1650" s="2">
        <v>2112.9466053055799</v>
      </c>
      <c r="AA1650" s="2">
        <v>4.71035</v>
      </c>
      <c r="AB1650" s="2">
        <v>-74.030416666666696</v>
      </c>
      <c r="AC1650" s="2">
        <v>2570</v>
      </c>
      <c r="AD1650" s="2">
        <v>10</v>
      </c>
      <c r="AE1650" s="2" t="s">
        <v>59</v>
      </c>
      <c r="AF1650" s="2" t="s">
        <v>86</v>
      </c>
      <c r="AG1650" s="2" t="s">
        <v>61</v>
      </c>
      <c r="AH1650" s="2" t="s">
        <v>62</v>
      </c>
      <c r="AI1650" s="2" t="s">
        <v>87</v>
      </c>
      <c r="AJ1650" s="2">
        <v>0.66294379448778196</v>
      </c>
      <c r="AK1650" s="2">
        <v>2.7017644808542798</v>
      </c>
      <c r="AL1650" s="2">
        <v>1.7849736439622299</v>
      </c>
      <c r="AM1650" s="2">
        <v>0.124040006098665</v>
      </c>
      <c r="AN1650" s="2">
        <v>4.3498201145258104</v>
      </c>
      <c r="AO1650" s="2">
        <v>0.14362138314450401</v>
      </c>
      <c r="AP1650" s="2">
        <v>0.14362138314450401</v>
      </c>
      <c r="AQ1650" s="2">
        <v>0</v>
      </c>
      <c r="AR1650" s="2">
        <v>2</v>
      </c>
      <c r="AS1650" s="2">
        <v>0</v>
      </c>
      <c r="AT1650" s="2">
        <v>0</v>
      </c>
      <c r="AU1650" s="2">
        <v>0</v>
      </c>
      <c r="AV1650" s="2">
        <v>114</v>
      </c>
      <c r="AW1650" s="2">
        <v>0</v>
      </c>
      <c r="AX1650" s="2">
        <v>0</v>
      </c>
      <c r="AY1650" s="2">
        <v>15.5</v>
      </c>
      <c r="AZ1650" s="2">
        <v>2.4</v>
      </c>
      <c r="BA1650" s="2">
        <v>10.9</v>
      </c>
      <c r="BB1650" s="2">
        <v>564</v>
      </c>
      <c r="BC1650" s="2">
        <v>68</v>
      </c>
      <c r="BD1650" s="2">
        <v>1.5</v>
      </c>
      <c r="BE1650" s="2">
        <v>135</v>
      </c>
      <c r="BF1650" s="2">
        <v>0</v>
      </c>
      <c r="BG1650" s="2">
        <v>162</v>
      </c>
      <c r="BH1650" s="2">
        <v>9.1</v>
      </c>
      <c r="BI1650" s="2">
        <v>9.1999999999999993</v>
      </c>
      <c r="BJ1650" s="2">
        <v>18.3</v>
      </c>
      <c r="BK1650" s="2">
        <v>0.34</v>
      </c>
      <c r="BL1650" s="2">
        <v>7.3</v>
      </c>
      <c r="BM1650" s="2">
        <v>0.9</v>
      </c>
      <c r="BN1650" s="2">
        <v>7.5</v>
      </c>
      <c r="BO1650" s="2">
        <v>2.9</v>
      </c>
      <c r="BP1650" s="2">
        <f t="shared" si="50"/>
        <v>2.1616631027102651</v>
      </c>
      <c r="BQ1650" s="2">
        <f t="shared" si="51"/>
        <v>10.361034330589542</v>
      </c>
    </row>
    <row r="1651" spans="1:69" x14ac:dyDescent="0.2">
      <c r="A1651" s="2" t="s">
        <v>1395</v>
      </c>
      <c r="B1651" s="2" t="s">
        <v>47</v>
      </c>
      <c r="C1651" s="2" t="s">
        <v>48</v>
      </c>
      <c r="D1651" s="2" t="s">
        <v>49</v>
      </c>
      <c r="E1651" s="2" t="s">
        <v>1128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89</v>
      </c>
      <c r="L1651" s="6" t="s">
        <v>103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1396</v>
      </c>
      <c r="R1651" s="2">
        <v>7343750</v>
      </c>
      <c r="S1651" s="2">
        <v>0</v>
      </c>
      <c r="T1651" s="2" t="s">
        <v>83</v>
      </c>
      <c r="U1651" s="2" t="s">
        <v>84</v>
      </c>
      <c r="V1651" s="2" t="s">
        <v>56</v>
      </c>
      <c r="W1651" s="2" t="s">
        <v>83</v>
      </c>
      <c r="X1651" s="2" t="s">
        <v>85</v>
      </c>
      <c r="Y1651" s="2">
        <v>0.80976690252234096</v>
      </c>
      <c r="Z1651" s="2">
        <v>809.76690252234096</v>
      </c>
      <c r="AA1651" s="2">
        <v>4.71035</v>
      </c>
      <c r="AB1651" s="2">
        <v>-74.030416666666696</v>
      </c>
      <c r="AC1651" s="2">
        <v>2570</v>
      </c>
      <c r="AD1651" s="2">
        <v>10</v>
      </c>
      <c r="AE1651" s="2" t="s">
        <v>59</v>
      </c>
      <c r="AF1651" s="2" t="s">
        <v>86</v>
      </c>
      <c r="AG1651" s="2" t="s">
        <v>61</v>
      </c>
      <c r="AH1651" s="2" t="s">
        <v>62</v>
      </c>
      <c r="AI1651" s="2" t="s">
        <v>87</v>
      </c>
      <c r="AJ1651" s="2">
        <v>2.9225470726546998</v>
      </c>
      <c r="AK1651" s="2">
        <v>0.29258211761417002</v>
      </c>
      <c r="AL1651" s="2">
        <v>0.56205150572168605</v>
      </c>
      <c r="AM1651" s="2">
        <v>0.127387936860729</v>
      </c>
      <c r="AN1651" s="2">
        <v>4.2026943368741998</v>
      </c>
      <c r="AO1651" s="2">
        <v>5.0533235097508199E-3</v>
      </c>
      <c r="AP1651" s="2">
        <v>5.0533235097508199E-3</v>
      </c>
      <c r="AQ1651" s="2">
        <v>0</v>
      </c>
      <c r="AR1651" s="2">
        <v>0</v>
      </c>
      <c r="AS1651" s="2">
        <v>11</v>
      </c>
      <c r="AT1651" s="2">
        <v>34</v>
      </c>
      <c r="AU1651" s="2">
        <v>2</v>
      </c>
      <c r="AV1651" s="2">
        <v>110</v>
      </c>
      <c r="AW1651" s="2">
        <v>0</v>
      </c>
      <c r="AX1651" s="2">
        <v>0</v>
      </c>
      <c r="AY1651" s="2">
        <v>15.5</v>
      </c>
      <c r="AZ1651" s="2">
        <v>2.4</v>
      </c>
      <c r="BA1651" s="2">
        <v>10.9</v>
      </c>
      <c r="BB1651" s="2">
        <v>564</v>
      </c>
      <c r="BC1651" s="2">
        <v>68</v>
      </c>
      <c r="BD1651" s="2">
        <v>1.5</v>
      </c>
      <c r="BE1651" s="2">
        <v>135</v>
      </c>
      <c r="BF1651" s="2">
        <v>0</v>
      </c>
      <c r="BG1651" s="2">
        <v>162</v>
      </c>
      <c r="BH1651" s="2">
        <v>9.1</v>
      </c>
      <c r="BI1651" s="2">
        <v>9.1999999999999993</v>
      </c>
      <c r="BJ1651" s="2">
        <v>18.3</v>
      </c>
      <c r="BK1651" s="2">
        <v>0.34</v>
      </c>
      <c r="BL1651" s="2">
        <v>7.3</v>
      </c>
      <c r="BM1651" s="2">
        <v>0.9</v>
      </c>
      <c r="BN1651" s="2">
        <v>7.5</v>
      </c>
      <c r="BO1651" s="2">
        <v>2.9</v>
      </c>
      <c r="BP1651" s="2">
        <f t="shared" si="50"/>
        <v>2.3057022081667506</v>
      </c>
      <c r="BQ1651" s="2">
        <f t="shared" si="51"/>
        <v>10.690210151832662</v>
      </c>
    </row>
    <row r="1652" spans="1:69" x14ac:dyDescent="0.2">
      <c r="A1652" s="2" t="s">
        <v>1916</v>
      </c>
      <c r="B1652" s="2" t="s">
        <v>47</v>
      </c>
      <c r="C1652" s="2" t="s">
        <v>48</v>
      </c>
      <c r="D1652" s="2" t="s">
        <v>49</v>
      </c>
      <c r="E1652" s="2" t="s">
        <v>727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89</v>
      </c>
      <c r="L1652" s="6" t="s">
        <v>103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1917</v>
      </c>
      <c r="R1652" s="2">
        <v>9194053.2080000006</v>
      </c>
      <c r="S1652" s="2">
        <v>0</v>
      </c>
      <c r="T1652" s="2" t="s">
        <v>83</v>
      </c>
      <c r="U1652" s="2" t="s">
        <v>84</v>
      </c>
      <c r="V1652" s="2" t="s">
        <v>56</v>
      </c>
      <c r="W1652" s="2" t="s">
        <v>83</v>
      </c>
      <c r="X1652" s="2" t="s">
        <v>85</v>
      </c>
      <c r="Y1652" s="2">
        <v>2.7939983708358298</v>
      </c>
      <c r="Z1652" s="2">
        <v>2793.99837083583</v>
      </c>
      <c r="AA1652" s="2">
        <v>4.71035</v>
      </c>
      <c r="AB1652" s="2">
        <v>-74.030416666666696</v>
      </c>
      <c r="AC1652" s="2">
        <v>2570</v>
      </c>
      <c r="AD1652" s="2">
        <v>10</v>
      </c>
      <c r="AE1652" s="2" t="s">
        <v>59</v>
      </c>
      <c r="AF1652" s="2" t="s">
        <v>86</v>
      </c>
      <c r="AG1652" s="2" t="s">
        <v>61</v>
      </c>
      <c r="AH1652" s="2" t="s">
        <v>62</v>
      </c>
      <c r="AI1652" s="2" t="s">
        <v>87</v>
      </c>
      <c r="AJ1652" s="2">
        <v>1.15373703163967</v>
      </c>
      <c r="AK1652" s="2">
        <v>1.7174400231334199</v>
      </c>
      <c r="AL1652" s="2">
        <v>0.51312980069774905</v>
      </c>
      <c r="AM1652" s="2">
        <v>7.6771570370136502E-2</v>
      </c>
      <c r="AN1652" s="2">
        <v>4.3870970898167698</v>
      </c>
      <c r="AO1652" s="2">
        <v>3.7568142687053E-3</v>
      </c>
      <c r="AP1652" s="2">
        <v>3.7568142687053E-3</v>
      </c>
      <c r="AQ1652" s="2">
        <v>0</v>
      </c>
      <c r="AR1652" s="2">
        <v>0</v>
      </c>
      <c r="AS1652" s="2">
        <v>0</v>
      </c>
      <c r="AT1652" s="2">
        <v>0</v>
      </c>
      <c r="AU1652" s="2">
        <v>5</v>
      </c>
      <c r="AV1652" s="2">
        <v>111</v>
      </c>
      <c r="AW1652" s="2">
        <v>0</v>
      </c>
      <c r="AX1652" s="2">
        <v>0</v>
      </c>
      <c r="AY1652" s="2">
        <v>15.5</v>
      </c>
      <c r="AZ1652" s="2">
        <v>2.4</v>
      </c>
      <c r="BA1652" s="2">
        <v>10.9</v>
      </c>
      <c r="BB1652" s="2">
        <v>564</v>
      </c>
      <c r="BC1652" s="2">
        <v>68</v>
      </c>
      <c r="BD1652" s="2">
        <v>1.5</v>
      </c>
      <c r="BE1652" s="2">
        <v>135</v>
      </c>
      <c r="BF1652" s="2">
        <v>0</v>
      </c>
      <c r="BG1652" s="2">
        <v>162</v>
      </c>
      <c r="BH1652" s="2">
        <v>9.1</v>
      </c>
      <c r="BI1652" s="2">
        <v>9.1999999999999993</v>
      </c>
      <c r="BJ1652" s="2">
        <v>18.3</v>
      </c>
      <c r="BK1652" s="2">
        <v>0.34</v>
      </c>
      <c r="BL1652" s="2">
        <v>7.3</v>
      </c>
      <c r="BM1652" s="2">
        <v>0.9</v>
      </c>
      <c r="BN1652" s="2">
        <v>7.5</v>
      </c>
      <c r="BO1652" s="2">
        <v>2.9</v>
      </c>
      <c r="BP1652" s="2">
        <f t="shared" si="50"/>
        <v>2.0900036617266937</v>
      </c>
      <c r="BQ1652" s="2">
        <f t="shared" si="51"/>
        <v>10.193057265951198</v>
      </c>
    </row>
    <row r="1653" spans="1:69" x14ac:dyDescent="0.2">
      <c r="A1653" s="2" t="s">
        <v>1630</v>
      </c>
      <c r="B1653" s="2" t="s">
        <v>47</v>
      </c>
      <c r="C1653" s="2" t="s">
        <v>48</v>
      </c>
      <c r="D1653" s="2" t="s">
        <v>49</v>
      </c>
      <c r="E1653" s="2" t="s">
        <v>81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89</v>
      </c>
      <c r="L1653" s="6" t="s">
        <v>141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1631</v>
      </c>
      <c r="R1653" s="2">
        <v>5718897.6380000003</v>
      </c>
      <c r="S1653" s="2">
        <v>0</v>
      </c>
      <c r="T1653" s="2" t="s">
        <v>83</v>
      </c>
      <c r="U1653" s="2" t="s">
        <v>84</v>
      </c>
      <c r="V1653" s="2" t="s">
        <v>56</v>
      </c>
      <c r="W1653" s="2" t="s">
        <v>83</v>
      </c>
      <c r="X1653" s="2" t="s">
        <v>85</v>
      </c>
      <c r="Y1653" s="2">
        <v>2.1128733342099699</v>
      </c>
      <c r="Z1653" s="2">
        <v>2112.8733342099699</v>
      </c>
      <c r="AA1653" s="2">
        <v>4.71035</v>
      </c>
      <c r="AB1653" s="2">
        <v>-74.030416666666696</v>
      </c>
      <c r="AC1653" s="2">
        <v>2570</v>
      </c>
      <c r="AD1653" s="2">
        <v>10</v>
      </c>
      <c r="AE1653" s="2" t="s">
        <v>59</v>
      </c>
      <c r="AF1653" s="2" t="s">
        <v>86</v>
      </c>
      <c r="AG1653" s="2" t="s">
        <v>61</v>
      </c>
      <c r="AH1653" s="2" t="s">
        <v>62</v>
      </c>
      <c r="AI1653" s="2" t="s">
        <v>87</v>
      </c>
      <c r="AJ1653" s="2">
        <v>1.52976588851373</v>
      </c>
      <c r="AK1653" s="2">
        <v>1.7264589354434201</v>
      </c>
      <c r="AL1653" s="2">
        <v>0.91255098078211105</v>
      </c>
      <c r="AM1653" s="2">
        <v>4.7075644862713498E-2</v>
      </c>
      <c r="AN1653" s="2">
        <v>5.0263664963338002</v>
      </c>
      <c r="AO1653" s="2">
        <v>0.20967408422334799</v>
      </c>
      <c r="AP1653" s="2">
        <v>0.20967408422334799</v>
      </c>
      <c r="AQ1653" s="2">
        <v>0</v>
      </c>
      <c r="AR1653" s="2">
        <v>0</v>
      </c>
      <c r="AS1653" s="2">
        <v>0</v>
      </c>
      <c r="AT1653" s="2">
        <v>0</v>
      </c>
      <c r="AU1653" s="2">
        <v>1</v>
      </c>
      <c r="AV1653" s="2">
        <v>128</v>
      </c>
      <c r="AW1653" s="2">
        <v>0</v>
      </c>
      <c r="AX1653" s="2">
        <v>0</v>
      </c>
      <c r="AY1653" s="2">
        <v>15.5</v>
      </c>
      <c r="AZ1653" s="2">
        <v>2.4</v>
      </c>
      <c r="BA1653" s="2">
        <v>10.9</v>
      </c>
      <c r="BB1653" s="2">
        <v>564</v>
      </c>
      <c r="BC1653" s="2">
        <v>68</v>
      </c>
      <c r="BD1653" s="2">
        <v>1.5</v>
      </c>
      <c r="BE1653" s="2">
        <v>135</v>
      </c>
      <c r="BF1653" s="2">
        <v>0</v>
      </c>
      <c r="BG1653" s="2">
        <v>162</v>
      </c>
      <c r="BH1653" s="2">
        <v>9.1</v>
      </c>
      <c r="BI1653" s="2">
        <v>9.1999999999999993</v>
      </c>
      <c r="BJ1653" s="2">
        <v>18.3</v>
      </c>
      <c r="BK1653" s="2">
        <v>0.34</v>
      </c>
      <c r="BL1653" s="2">
        <v>7.3</v>
      </c>
      <c r="BM1653" s="2">
        <v>0.9</v>
      </c>
      <c r="BN1653" s="2">
        <v>7.5</v>
      </c>
      <c r="BO1653" s="2">
        <v>2.9</v>
      </c>
      <c r="BP1653" s="2">
        <f t="shared" si="50"/>
        <v>2.1616709429019645</v>
      </c>
      <c r="BQ1653" s="2">
        <f t="shared" si="51"/>
        <v>10.361052550549651</v>
      </c>
    </row>
    <row r="1654" spans="1:69" x14ac:dyDescent="0.2">
      <c r="A1654" s="2" t="s">
        <v>2507</v>
      </c>
      <c r="B1654" s="2" t="s">
        <v>47</v>
      </c>
      <c r="C1654" s="2" t="s">
        <v>1935</v>
      </c>
      <c r="D1654" s="2" t="s">
        <v>49</v>
      </c>
      <c r="E1654" s="2" t="s">
        <v>184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89</v>
      </c>
      <c r="L1654" s="6" t="s">
        <v>141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2508</v>
      </c>
      <c r="R1654" s="2">
        <v>5118110.2359999996</v>
      </c>
      <c r="S1654" s="2">
        <v>0</v>
      </c>
      <c r="T1654" s="2" t="s">
        <v>83</v>
      </c>
      <c r="U1654" s="2" t="s">
        <v>84</v>
      </c>
      <c r="V1654" s="2" t="s">
        <v>56</v>
      </c>
      <c r="W1654" s="2" t="s">
        <v>83</v>
      </c>
      <c r="X1654" s="2" t="s">
        <v>85</v>
      </c>
      <c r="Y1654" s="2">
        <v>1.71960581622876</v>
      </c>
      <c r="Z1654" s="2">
        <v>1719.60581622876</v>
      </c>
      <c r="AA1654" s="2">
        <v>4.71035</v>
      </c>
      <c r="AB1654" s="2">
        <v>-74.030416666666696</v>
      </c>
      <c r="AC1654" s="2">
        <v>2570</v>
      </c>
      <c r="AD1654" s="2">
        <v>10</v>
      </c>
      <c r="AE1654" s="2" t="s">
        <v>59</v>
      </c>
      <c r="AF1654" s="2" t="s">
        <v>86</v>
      </c>
      <c r="AG1654" s="2" t="s">
        <v>61</v>
      </c>
      <c r="AH1654" s="2" t="s">
        <v>62</v>
      </c>
      <c r="AI1654" s="2" t="s">
        <v>87</v>
      </c>
      <c r="AJ1654" s="2">
        <v>1.42236707331079</v>
      </c>
      <c r="AK1654" s="2">
        <v>1.6678753550932901</v>
      </c>
      <c r="AL1654" s="2">
        <v>1.0265005987200899</v>
      </c>
      <c r="AM1654" s="2">
        <v>0.43437019670846699</v>
      </c>
      <c r="AN1654" s="2">
        <v>2.3268329306164399</v>
      </c>
      <c r="AO1654" s="2">
        <v>0.117212557903137</v>
      </c>
      <c r="AP1654" s="2">
        <v>0.117212557903137</v>
      </c>
      <c r="AQ1654" s="2">
        <v>0</v>
      </c>
      <c r="AR1654" s="2">
        <v>0</v>
      </c>
      <c r="AS1654" s="2">
        <v>0</v>
      </c>
      <c r="AT1654" s="2">
        <v>0</v>
      </c>
      <c r="AU1654" s="2">
        <v>0</v>
      </c>
      <c r="AV1654" s="2">
        <v>26</v>
      </c>
      <c r="AW1654" s="2">
        <v>0</v>
      </c>
      <c r="AX1654" s="2">
        <v>0</v>
      </c>
      <c r="AY1654" s="2">
        <v>15.5</v>
      </c>
      <c r="AZ1654" s="2">
        <v>2.4</v>
      </c>
      <c r="BA1654" s="2">
        <v>10.9</v>
      </c>
      <c r="BB1654" s="2">
        <v>564</v>
      </c>
      <c r="BC1654" s="2">
        <v>68</v>
      </c>
      <c r="BD1654" s="2">
        <v>1.5</v>
      </c>
      <c r="BE1654" s="2">
        <v>135</v>
      </c>
      <c r="BF1654" s="2">
        <v>0</v>
      </c>
      <c r="BG1654" s="2">
        <v>162</v>
      </c>
      <c r="BH1654" s="2">
        <v>9.1</v>
      </c>
      <c r="BI1654" s="2">
        <v>9.1999999999999993</v>
      </c>
      <c r="BJ1654" s="2">
        <v>18.3</v>
      </c>
      <c r="BK1654" s="2">
        <v>0.34</v>
      </c>
      <c r="BL1654" s="2">
        <v>7.3</v>
      </c>
      <c r="BM1654" s="2">
        <v>0.9</v>
      </c>
      <c r="BN1654" s="2">
        <v>7.5</v>
      </c>
      <c r="BO1654" s="2">
        <v>2.9</v>
      </c>
      <c r="BP1654" s="2">
        <f t="shared" si="50"/>
        <v>2.2041638914776964</v>
      </c>
      <c r="BQ1654" s="2">
        <f t="shared" si="51"/>
        <v>10.459307476878253</v>
      </c>
    </row>
    <row r="1655" spans="1:69" x14ac:dyDescent="0.2">
      <c r="A1655" s="2" t="s">
        <v>1777</v>
      </c>
      <c r="B1655" s="2" t="s">
        <v>47</v>
      </c>
      <c r="C1655" s="2" t="s">
        <v>48</v>
      </c>
      <c r="D1655" s="2" t="s">
        <v>49</v>
      </c>
      <c r="E1655" s="2" t="s">
        <v>1465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89</v>
      </c>
      <c r="L1655" s="6" t="s">
        <v>141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1778</v>
      </c>
      <c r="R1655" s="2">
        <v>10162601.630000001</v>
      </c>
      <c r="S1655" s="2">
        <v>0</v>
      </c>
      <c r="T1655" s="2" t="s">
        <v>83</v>
      </c>
      <c r="U1655" s="2" t="s">
        <v>84</v>
      </c>
      <c r="V1655" s="2" t="s">
        <v>56</v>
      </c>
      <c r="W1655" s="2" t="s">
        <v>83</v>
      </c>
      <c r="X1655" s="2" t="s">
        <v>85</v>
      </c>
      <c r="Y1655" s="2">
        <v>3.9383313555765</v>
      </c>
      <c r="Z1655" s="2">
        <v>3938.3313555764998</v>
      </c>
      <c r="AA1655" s="2">
        <v>4.71035</v>
      </c>
      <c r="AB1655" s="2">
        <v>-74.030416666666696</v>
      </c>
      <c r="AC1655" s="2">
        <v>2570</v>
      </c>
      <c r="AD1655" s="2">
        <v>10</v>
      </c>
      <c r="AE1655" s="2" t="s">
        <v>59</v>
      </c>
      <c r="AF1655" s="2" t="s">
        <v>86</v>
      </c>
      <c r="AG1655" s="2" t="s">
        <v>61</v>
      </c>
      <c r="AH1655" s="2" t="s">
        <v>62</v>
      </c>
      <c r="AI1655" s="2" t="s">
        <v>109</v>
      </c>
      <c r="AJ1655" s="2">
        <v>0.744168798120867</v>
      </c>
      <c r="AK1655" s="2">
        <v>1.5720353524302799</v>
      </c>
      <c r="AL1655" s="2">
        <v>0.467914748351762</v>
      </c>
      <c r="AM1655" s="2">
        <v>0.105887279485194</v>
      </c>
      <c r="AN1655" s="2">
        <v>3.4951840727684198</v>
      </c>
      <c r="AO1655" s="2">
        <v>0.78642387253388202</v>
      </c>
      <c r="AP1655" s="2">
        <v>0.78642387253388202</v>
      </c>
      <c r="AQ1655" s="2">
        <v>0</v>
      </c>
      <c r="AR1655" s="2">
        <v>1</v>
      </c>
      <c r="AS1655" s="2">
        <v>0</v>
      </c>
      <c r="AT1655" s="2">
        <v>0</v>
      </c>
      <c r="AU1655" s="2">
        <v>4</v>
      </c>
      <c r="AV1655" s="2">
        <v>215</v>
      </c>
      <c r="AW1655" s="2">
        <v>0</v>
      </c>
      <c r="AX1655" s="2">
        <v>0</v>
      </c>
      <c r="AY1655" s="2">
        <v>15.5</v>
      </c>
      <c r="AZ1655" s="2">
        <v>2.4</v>
      </c>
      <c r="BA1655" s="2">
        <v>10.9</v>
      </c>
      <c r="BB1655" s="2">
        <v>564</v>
      </c>
      <c r="BC1655" s="2">
        <v>68</v>
      </c>
      <c r="BD1655" s="2">
        <v>1.5</v>
      </c>
      <c r="BE1655" s="2">
        <v>135</v>
      </c>
      <c r="BF1655" s="2">
        <v>0</v>
      </c>
      <c r="BG1655" s="2">
        <v>162</v>
      </c>
      <c r="BH1655" s="2">
        <v>9.1</v>
      </c>
      <c r="BI1655" s="2">
        <v>9.1999999999999993</v>
      </c>
      <c r="BJ1655" s="2">
        <v>18.3</v>
      </c>
      <c r="BK1655" s="2">
        <v>0.34</v>
      </c>
      <c r="BL1655" s="2">
        <v>7.3</v>
      </c>
      <c r="BM1655" s="2">
        <v>0.9</v>
      </c>
      <c r="BN1655" s="2">
        <v>7.5</v>
      </c>
      <c r="BO1655" s="2">
        <v>2.9</v>
      </c>
      <c r="BP1655" s="2">
        <f t="shared" si="50"/>
        <v>1.9749070525642758</v>
      </c>
      <c r="BQ1655" s="2">
        <f t="shared" si="51"/>
        <v>9.9169244376793397</v>
      </c>
    </row>
    <row r="1656" spans="1:69" x14ac:dyDescent="0.2">
      <c r="A1656" s="2" t="s">
        <v>2348</v>
      </c>
      <c r="B1656" s="2" t="s">
        <v>47</v>
      </c>
      <c r="C1656" s="2" t="s">
        <v>1935</v>
      </c>
      <c r="D1656" s="2" t="s">
        <v>49</v>
      </c>
      <c r="E1656" s="2" t="s">
        <v>539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89</v>
      </c>
      <c r="L1656" s="6" t="s">
        <v>141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2349</v>
      </c>
      <c r="R1656" s="2">
        <v>6548788.4740000004</v>
      </c>
      <c r="S1656" s="2">
        <v>0</v>
      </c>
      <c r="T1656" s="2" t="s">
        <v>83</v>
      </c>
      <c r="U1656" s="2" t="s">
        <v>84</v>
      </c>
      <c r="V1656" s="2" t="s">
        <v>56</v>
      </c>
      <c r="W1656" s="2" t="s">
        <v>83</v>
      </c>
      <c r="X1656" s="2" t="s">
        <v>85</v>
      </c>
      <c r="Y1656" s="2">
        <v>0.82434988499711404</v>
      </c>
      <c r="Z1656" s="2">
        <v>824.34988499711403</v>
      </c>
      <c r="AA1656" s="2">
        <v>4.71035</v>
      </c>
      <c r="AB1656" s="2">
        <v>-74.030416666666696</v>
      </c>
      <c r="AC1656" s="2">
        <v>2570</v>
      </c>
      <c r="AD1656" s="2">
        <v>10</v>
      </c>
      <c r="AE1656" s="2" t="s">
        <v>59</v>
      </c>
      <c r="AF1656" s="2" t="s">
        <v>86</v>
      </c>
      <c r="AG1656" s="2" t="s">
        <v>61</v>
      </c>
      <c r="AH1656" s="2" t="s">
        <v>62</v>
      </c>
      <c r="AI1656" s="2" t="s">
        <v>87</v>
      </c>
      <c r="AJ1656" s="2">
        <v>2.0027792283135701</v>
      </c>
      <c r="AK1656" s="2">
        <v>1.12299231520898</v>
      </c>
      <c r="AL1656" s="2">
        <v>0.69071708530619602</v>
      </c>
      <c r="AM1656" s="2">
        <v>0.120436048890311</v>
      </c>
      <c r="AN1656" s="2">
        <v>2.8376122393764001</v>
      </c>
      <c r="AO1656" s="2">
        <v>0.143664590974451</v>
      </c>
      <c r="AP1656" s="2">
        <v>0.143664590974451</v>
      </c>
      <c r="AQ1656" s="2">
        <v>0</v>
      </c>
      <c r="AR1656" s="2">
        <v>0</v>
      </c>
      <c r="AS1656" s="2">
        <v>0</v>
      </c>
      <c r="AT1656" s="2">
        <v>0</v>
      </c>
      <c r="AU1656" s="2">
        <v>1</v>
      </c>
      <c r="AV1656" s="2">
        <v>75</v>
      </c>
      <c r="AW1656" s="2">
        <v>0</v>
      </c>
      <c r="AX1656" s="2">
        <v>0</v>
      </c>
      <c r="AY1656" s="2">
        <v>15.5</v>
      </c>
      <c r="AZ1656" s="2">
        <v>2.4</v>
      </c>
      <c r="BA1656" s="2">
        <v>10.9</v>
      </c>
      <c r="BB1656" s="2">
        <v>564</v>
      </c>
      <c r="BC1656" s="2">
        <v>68</v>
      </c>
      <c r="BD1656" s="2">
        <v>1.5</v>
      </c>
      <c r="BE1656" s="2">
        <v>135</v>
      </c>
      <c r="BF1656" s="2">
        <v>0</v>
      </c>
      <c r="BG1656" s="2">
        <v>162</v>
      </c>
      <c r="BH1656" s="2">
        <v>9.1</v>
      </c>
      <c r="BI1656" s="2">
        <v>9.1999999999999993</v>
      </c>
      <c r="BJ1656" s="2">
        <v>18.3</v>
      </c>
      <c r="BK1656" s="2">
        <v>0.34</v>
      </c>
      <c r="BL1656" s="2">
        <v>7.3</v>
      </c>
      <c r="BM1656" s="2">
        <v>0.9</v>
      </c>
      <c r="BN1656" s="2">
        <v>7.5</v>
      </c>
      <c r="BO1656" s="2">
        <v>2.9</v>
      </c>
      <c r="BP1656" s="2">
        <f t="shared" si="50"/>
        <v>2.3040384200108468</v>
      </c>
      <c r="BQ1656" s="2">
        <f t="shared" si="51"/>
        <v>10.686469322965049</v>
      </c>
    </row>
    <row r="1657" spans="1:69" x14ac:dyDescent="0.2">
      <c r="A1657" s="2" t="s">
        <v>2430</v>
      </c>
      <c r="B1657" s="2" t="s">
        <v>47</v>
      </c>
      <c r="C1657" s="2" t="s">
        <v>1935</v>
      </c>
      <c r="D1657" s="2" t="s">
        <v>49</v>
      </c>
      <c r="E1657" s="2" t="s">
        <v>184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89</v>
      </c>
      <c r="L1657" s="6" t="s">
        <v>141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2431</v>
      </c>
      <c r="R1657" s="2">
        <v>5166666.6670000004</v>
      </c>
      <c r="S1657" s="2">
        <v>0</v>
      </c>
      <c r="T1657" s="2" t="s">
        <v>83</v>
      </c>
      <c r="U1657" s="2" t="s">
        <v>84</v>
      </c>
      <c r="V1657" s="2" t="s">
        <v>56</v>
      </c>
      <c r="W1657" s="2" t="s">
        <v>83</v>
      </c>
      <c r="X1657" s="2" t="s">
        <v>85</v>
      </c>
      <c r="Y1657" s="2">
        <v>2.4993827233947599</v>
      </c>
      <c r="Z1657" s="2">
        <v>2499.38272339476</v>
      </c>
      <c r="AA1657" s="2">
        <v>4.71035</v>
      </c>
      <c r="AB1657" s="2">
        <v>-74.030416666666696</v>
      </c>
      <c r="AC1657" s="2">
        <v>2570</v>
      </c>
      <c r="AD1657" s="2">
        <v>10</v>
      </c>
      <c r="AE1657" s="2" t="s">
        <v>59</v>
      </c>
      <c r="AF1657" s="2" t="s">
        <v>86</v>
      </c>
      <c r="AG1657" s="2" t="s">
        <v>61</v>
      </c>
      <c r="AH1657" s="2" t="s">
        <v>62</v>
      </c>
      <c r="AI1657" s="2" t="s">
        <v>87</v>
      </c>
      <c r="AJ1657" s="2">
        <v>1.1266203867171301</v>
      </c>
      <c r="AK1657" s="2">
        <v>1.96794722719455</v>
      </c>
      <c r="AL1657" s="2">
        <v>0.22979377615097599</v>
      </c>
      <c r="AM1657" s="2">
        <v>0.29085063097455</v>
      </c>
      <c r="AN1657" s="2">
        <v>1.8578073474438299</v>
      </c>
      <c r="AO1657" s="2">
        <v>8.2247631449551203E-2</v>
      </c>
      <c r="AP1657" s="2">
        <v>8.2247631449551203E-2</v>
      </c>
      <c r="AQ1657" s="2">
        <v>0</v>
      </c>
      <c r="AR1657" s="2">
        <v>0</v>
      </c>
      <c r="AS1657" s="2">
        <v>0</v>
      </c>
      <c r="AT1657" s="2">
        <v>0</v>
      </c>
      <c r="AU1657" s="2">
        <v>1</v>
      </c>
      <c r="AV1657" s="2">
        <v>12</v>
      </c>
      <c r="AW1657" s="2">
        <v>0</v>
      </c>
      <c r="AX1657" s="2">
        <v>0</v>
      </c>
      <c r="AY1657" s="2">
        <v>15.5</v>
      </c>
      <c r="AZ1657" s="2">
        <v>2.4</v>
      </c>
      <c r="BA1657" s="2">
        <v>10.9</v>
      </c>
      <c r="BB1657" s="2">
        <v>564</v>
      </c>
      <c r="BC1657" s="2">
        <v>68</v>
      </c>
      <c r="BD1657" s="2">
        <v>1.5</v>
      </c>
      <c r="BE1657" s="2">
        <v>135</v>
      </c>
      <c r="BF1657" s="2">
        <v>0</v>
      </c>
      <c r="BG1657" s="2">
        <v>162</v>
      </c>
      <c r="BH1657" s="2">
        <v>9.1</v>
      </c>
      <c r="BI1657" s="2">
        <v>9.1999999999999993</v>
      </c>
      <c r="BJ1657" s="2">
        <v>18.3</v>
      </c>
      <c r="BK1657" s="2">
        <v>0.34</v>
      </c>
      <c r="BL1657" s="2">
        <v>7.3</v>
      </c>
      <c r="BM1657" s="2">
        <v>0.9</v>
      </c>
      <c r="BN1657" s="2">
        <v>7.5</v>
      </c>
      <c r="BO1657" s="2">
        <v>2.9</v>
      </c>
      <c r="BP1657" s="2">
        <f t="shared" si="50"/>
        <v>2.1207065098866837</v>
      </c>
      <c r="BQ1657" s="2">
        <f t="shared" si="51"/>
        <v>10.265385492917233</v>
      </c>
    </row>
    <row r="1658" spans="1:69" x14ac:dyDescent="0.2">
      <c r="A1658" s="2" t="s">
        <v>1024</v>
      </c>
      <c r="B1658" s="2" t="s">
        <v>47</v>
      </c>
      <c r="C1658" s="2" t="s">
        <v>48</v>
      </c>
      <c r="D1658" s="2" t="s">
        <v>49</v>
      </c>
      <c r="E1658" s="2" t="s">
        <v>81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89</v>
      </c>
      <c r="L1658" s="6" t="s">
        <v>141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1025</v>
      </c>
      <c r="R1658" s="2">
        <v>6250000</v>
      </c>
      <c r="S1658" s="2">
        <v>0</v>
      </c>
      <c r="T1658" s="2" t="s">
        <v>83</v>
      </c>
      <c r="U1658" s="2" t="s">
        <v>84</v>
      </c>
      <c r="V1658" s="2" t="s">
        <v>56</v>
      </c>
      <c r="W1658" s="2" t="s">
        <v>83</v>
      </c>
      <c r="X1658" s="2" t="s">
        <v>85</v>
      </c>
      <c r="Y1658" s="2">
        <v>2.0971951037716701</v>
      </c>
      <c r="Z1658" s="2">
        <v>2097.1951037716699</v>
      </c>
      <c r="AA1658" s="2">
        <v>4.71035</v>
      </c>
      <c r="AB1658" s="2">
        <v>-74.030416666666696</v>
      </c>
      <c r="AC1658" s="2">
        <v>2570</v>
      </c>
      <c r="AD1658" s="2">
        <v>10</v>
      </c>
      <c r="AE1658" s="2" t="s">
        <v>59</v>
      </c>
      <c r="AF1658" s="2" t="s">
        <v>86</v>
      </c>
      <c r="AG1658" s="2" t="s">
        <v>61</v>
      </c>
      <c r="AH1658" s="2" t="s">
        <v>62</v>
      </c>
      <c r="AI1658" s="2" t="s">
        <v>87</v>
      </c>
      <c r="AJ1658" s="2">
        <v>1.60553875420931</v>
      </c>
      <c r="AK1658" s="2">
        <v>1.6504429793569699</v>
      </c>
      <c r="AL1658" s="2">
        <v>0.97535499944895698</v>
      </c>
      <c r="AM1658" s="2">
        <v>0.117527508819511</v>
      </c>
      <c r="AN1658" s="2">
        <v>5.0743457736093198</v>
      </c>
      <c r="AO1658" s="2">
        <v>0.16104387353865299</v>
      </c>
      <c r="AP1658" s="2">
        <v>0.16104387353865299</v>
      </c>
      <c r="AQ1658" s="2">
        <v>0</v>
      </c>
      <c r="AR1658" s="2">
        <v>0</v>
      </c>
      <c r="AS1658" s="2">
        <v>0</v>
      </c>
      <c r="AT1658" s="2">
        <v>0</v>
      </c>
      <c r="AU1658" s="2">
        <v>1</v>
      </c>
      <c r="AV1658" s="2">
        <v>121</v>
      </c>
      <c r="AW1658" s="2">
        <v>0</v>
      </c>
      <c r="AX1658" s="2">
        <v>0</v>
      </c>
      <c r="AY1658" s="2">
        <v>15.5</v>
      </c>
      <c r="AZ1658" s="2">
        <v>2.4</v>
      </c>
      <c r="BA1658" s="2">
        <v>10.9</v>
      </c>
      <c r="BB1658" s="2">
        <v>564</v>
      </c>
      <c r="BC1658" s="2">
        <v>68</v>
      </c>
      <c r="BD1658" s="2">
        <v>1.5</v>
      </c>
      <c r="BE1658" s="2">
        <v>135</v>
      </c>
      <c r="BF1658" s="2">
        <v>0</v>
      </c>
      <c r="BG1658" s="2">
        <v>162</v>
      </c>
      <c r="BH1658" s="2">
        <v>9.1</v>
      </c>
      <c r="BI1658" s="2">
        <v>9.1999999999999993</v>
      </c>
      <c r="BJ1658" s="2">
        <v>18.3</v>
      </c>
      <c r="BK1658" s="2">
        <v>0.34</v>
      </c>
      <c r="BL1658" s="2">
        <v>7.3</v>
      </c>
      <c r="BM1658" s="2">
        <v>0.9</v>
      </c>
      <c r="BN1658" s="2">
        <v>7.5</v>
      </c>
      <c r="BO1658" s="2">
        <v>2.9</v>
      </c>
      <c r="BP1658" s="2">
        <f t="shared" si="50"/>
        <v>2.1633492072161862</v>
      </c>
      <c r="BQ1658" s="2">
        <f t="shared" si="51"/>
        <v>10.364951915392631</v>
      </c>
    </row>
    <row r="1659" spans="1:69" x14ac:dyDescent="0.2">
      <c r="A1659" s="2" t="s">
        <v>753</v>
      </c>
      <c r="B1659" s="2" t="s">
        <v>47</v>
      </c>
      <c r="C1659" s="2" t="s">
        <v>48</v>
      </c>
      <c r="D1659" s="2" t="s">
        <v>49</v>
      </c>
      <c r="E1659" s="2" t="s">
        <v>754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89</v>
      </c>
      <c r="L1659" s="6" t="s">
        <v>141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755</v>
      </c>
      <c r="R1659" s="2">
        <v>5000000</v>
      </c>
      <c r="S1659" s="2">
        <v>0</v>
      </c>
      <c r="T1659" s="2" t="s">
        <v>83</v>
      </c>
      <c r="U1659" s="2" t="s">
        <v>84</v>
      </c>
      <c r="V1659" s="2" t="s">
        <v>56</v>
      </c>
      <c r="W1659" s="2" t="s">
        <v>83</v>
      </c>
      <c r="X1659" s="2" t="s">
        <v>85</v>
      </c>
      <c r="Y1659" s="2">
        <v>1.9329524890485399</v>
      </c>
      <c r="Z1659" s="2">
        <v>1932.95248904854</v>
      </c>
      <c r="AA1659" s="2">
        <v>4.71035</v>
      </c>
      <c r="AB1659" s="2">
        <v>-74.030416666666696</v>
      </c>
      <c r="AC1659" s="2">
        <v>2570</v>
      </c>
      <c r="AD1659" s="2">
        <v>10</v>
      </c>
      <c r="AE1659" s="2" t="s">
        <v>59</v>
      </c>
      <c r="AF1659" s="2" t="s">
        <v>86</v>
      </c>
      <c r="AG1659" s="2" t="s">
        <v>61</v>
      </c>
      <c r="AH1659" s="2" t="s">
        <v>62</v>
      </c>
      <c r="AI1659" s="2" t="s">
        <v>87</v>
      </c>
      <c r="AJ1659" s="2">
        <v>0.56764878060841195</v>
      </c>
      <c r="AK1659" s="2">
        <v>2.5365445946624301</v>
      </c>
      <c r="AL1659" s="2">
        <v>1.6659751319337699</v>
      </c>
      <c r="AM1659" s="2">
        <v>0.52828020142508203</v>
      </c>
      <c r="AN1659" s="2">
        <v>3.8698470005694698</v>
      </c>
      <c r="AO1659" s="2">
        <v>0.41246168161647501</v>
      </c>
      <c r="AP1659" s="2">
        <v>0.41246168161647501</v>
      </c>
      <c r="AQ1659" s="2">
        <v>0</v>
      </c>
      <c r="AR1659" s="2">
        <v>2</v>
      </c>
      <c r="AS1659" s="2">
        <v>0</v>
      </c>
      <c r="AT1659" s="2">
        <v>0</v>
      </c>
      <c r="AU1659" s="2">
        <v>0</v>
      </c>
      <c r="AV1659" s="2">
        <v>80</v>
      </c>
      <c r="AW1659" s="2">
        <v>0</v>
      </c>
      <c r="AX1659" s="2">
        <v>0</v>
      </c>
      <c r="AY1659" s="2">
        <v>15.5</v>
      </c>
      <c r="AZ1659" s="2">
        <v>2.4</v>
      </c>
      <c r="BA1659" s="2">
        <v>10.9</v>
      </c>
      <c r="BB1659" s="2">
        <v>564</v>
      </c>
      <c r="BC1659" s="2">
        <v>68</v>
      </c>
      <c r="BD1659" s="2">
        <v>1.5</v>
      </c>
      <c r="BE1659" s="2">
        <v>135</v>
      </c>
      <c r="BF1659" s="2">
        <v>0</v>
      </c>
      <c r="BG1659" s="2">
        <v>162</v>
      </c>
      <c r="BH1659" s="2">
        <v>9.1</v>
      </c>
      <c r="BI1659" s="2">
        <v>9.1999999999999993</v>
      </c>
      <c r="BJ1659" s="2">
        <v>18.3</v>
      </c>
      <c r="BK1659" s="2">
        <v>0.34</v>
      </c>
      <c r="BL1659" s="2">
        <v>7.3</v>
      </c>
      <c r="BM1659" s="2">
        <v>0.9</v>
      </c>
      <c r="BN1659" s="2">
        <v>7.5</v>
      </c>
      <c r="BO1659" s="2">
        <v>2.9</v>
      </c>
      <c r="BP1659" s="2">
        <f t="shared" si="50"/>
        <v>2.1810089463200564</v>
      </c>
      <c r="BQ1659" s="2">
        <f t="shared" si="51"/>
        <v>10.405889349738214</v>
      </c>
    </row>
    <row r="1660" spans="1:69" x14ac:dyDescent="0.2">
      <c r="A1660" s="2" t="s">
        <v>1632</v>
      </c>
      <c r="B1660" s="2" t="s">
        <v>47</v>
      </c>
      <c r="C1660" s="2" t="s">
        <v>48</v>
      </c>
      <c r="D1660" s="2" t="s">
        <v>49</v>
      </c>
      <c r="E1660" s="2" t="s">
        <v>169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89</v>
      </c>
      <c r="L1660" s="6" t="s">
        <v>141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1633</v>
      </c>
      <c r="R1660" s="2">
        <v>7563025.21</v>
      </c>
      <c r="S1660" s="2">
        <v>0</v>
      </c>
      <c r="T1660" s="2" t="s">
        <v>83</v>
      </c>
      <c r="U1660" s="2" t="s">
        <v>84</v>
      </c>
      <c r="V1660" s="2" t="s">
        <v>56</v>
      </c>
      <c r="W1660" s="2" t="s">
        <v>83</v>
      </c>
      <c r="X1660" s="2" t="s">
        <v>85</v>
      </c>
      <c r="Y1660" s="2">
        <v>2.8839042797402898</v>
      </c>
      <c r="Z1660" s="2">
        <v>2883.9042797402899</v>
      </c>
      <c r="AA1660" s="2">
        <v>4.71035</v>
      </c>
      <c r="AB1660" s="2">
        <v>-74.030416666666696</v>
      </c>
      <c r="AC1660" s="2">
        <v>2570</v>
      </c>
      <c r="AD1660" s="2">
        <v>10</v>
      </c>
      <c r="AE1660" s="2" t="s">
        <v>59</v>
      </c>
      <c r="AF1660" s="2" t="s">
        <v>86</v>
      </c>
      <c r="AG1660" s="2" t="s">
        <v>61</v>
      </c>
      <c r="AH1660" s="2" t="s">
        <v>62</v>
      </c>
      <c r="AI1660" s="2" t="s">
        <v>87</v>
      </c>
      <c r="AJ1660" s="2">
        <v>1.43162625267147</v>
      </c>
      <c r="AK1660" s="2">
        <v>1.3848263732896999</v>
      </c>
      <c r="AL1660" s="2">
        <v>0.73743182426506404</v>
      </c>
      <c r="AM1660" s="2">
        <v>0.137754200261861</v>
      </c>
      <c r="AN1660" s="2">
        <v>4.48144305612312</v>
      </c>
      <c r="AO1660" s="2">
        <v>0.11172515859674</v>
      </c>
      <c r="AP1660" s="2">
        <v>0.11172515859674</v>
      </c>
      <c r="AQ1660" s="2">
        <v>0</v>
      </c>
      <c r="AR1660" s="2">
        <v>0</v>
      </c>
      <c r="AS1660" s="2">
        <v>0</v>
      </c>
      <c r="AT1660" s="2">
        <v>0</v>
      </c>
      <c r="AU1660" s="2">
        <v>5</v>
      </c>
      <c r="AV1660" s="2">
        <v>113</v>
      </c>
      <c r="AW1660" s="2">
        <v>0</v>
      </c>
      <c r="AX1660" s="2">
        <v>0</v>
      </c>
      <c r="AY1660" s="2">
        <v>15.5</v>
      </c>
      <c r="AZ1660" s="2">
        <v>2.4</v>
      </c>
      <c r="BA1660" s="2">
        <v>10.9</v>
      </c>
      <c r="BB1660" s="2">
        <v>564</v>
      </c>
      <c r="BC1660" s="2">
        <v>68</v>
      </c>
      <c r="BD1660" s="2">
        <v>1.5</v>
      </c>
      <c r="BE1660" s="2">
        <v>135</v>
      </c>
      <c r="BF1660" s="2">
        <v>0</v>
      </c>
      <c r="BG1660" s="2">
        <v>162</v>
      </c>
      <c r="BH1660" s="2">
        <v>9.1</v>
      </c>
      <c r="BI1660" s="2">
        <v>9.1999999999999993</v>
      </c>
      <c r="BJ1660" s="2">
        <v>18.3</v>
      </c>
      <c r="BK1660" s="2">
        <v>0.34</v>
      </c>
      <c r="BL1660" s="2">
        <v>7.3</v>
      </c>
      <c r="BM1660" s="2">
        <v>0.9</v>
      </c>
      <c r="BN1660" s="2">
        <v>7.5</v>
      </c>
      <c r="BO1660" s="2">
        <v>2.9</v>
      </c>
      <c r="BP1660" s="2">
        <f t="shared" si="50"/>
        <v>2.0807230957907259</v>
      </c>
      <c r="BQ1660" s="2">
        <f t="shared" si="51"/>
        <v>10.171086991692849</v>
      </c>
    </row>
    <row r="1661" spans="1:69" x14ac:dyDescent="0.2">
      <c r="A1661" s="2" t="s">
        <v>998</v>
      </c>
      <c r="B1661" s="2" t="s">
        <v>47</v>
      </c>
      <c r="C1661" s="2" t="s">
        <v>48</v>
      </c>
      <c r="D1661" s="2" t="s">
        <v>49</v>
      </c>
      <c r="E1661" s="2" t="s">
        <v>205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89</v>
      </c>
      <c r="L1661" s="6" t="s">
        <v>141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999</v>
      </c>
      <c r="R1661" s="2">
        <v>6103361.3449999997</v>
      </c>
      <c r="S1661" s="2">
        <v>0</v>
      </c>
      <c r="T1661" s="2" t="s">
        <v>83</v>
      </c>
      <c r="U1661" s="2" t="s">
        <v>84</v>
      </c>
      <c r="V1661" s="2" t="s">
        <v>56</v>
      </c>
      <c r="W1661" s="2" t="s">
        <v>83</v>
      </c>
      <c r="X1661" s="2" t="s">
        <v>85</v>
      </c>
      <c r="Y1661" s="2">
        <v>2.1302840389425399</v>
      </c>
      <c r="Z1661" s="2">
        <v>2130.2840389425401</v>
      </c>
      <c r="AA1661" s="2">
        <v>4.71035</v>
      </c>
      <c r="AB1661" s="2">
        <v>-74.030416666666696</v>
      </c>
      <c r="AC1661" s="2">
        <v>2570</v>
      </c>
      <c r="AD1661" s="2">
        <v>10</v>
      </c>
      <c r="AE1661" s="2" t="s">
        <v>59</v>
      </c>
      <c r="AF1661" s="2" t="s">
        <v>86</v>
      </c>
      <c r="AG1661" s="2" t="s">
        <v>61</v>
      </c>
      <c r="AH1661" s="2" t="s">
        <v>62</v>
      </c>
      <c r="AI1661" s="2" t="s">
        <v>87</v>
      </c>
      <c r="AJ1661" s="2">
        <v>1.5277046112211401</v>
      </c>
      <c r="AK1661" s="2">
        <v>1.7282571186147699</v>
      </c>
      <c r="AL1661" s="2">
        <v>0.902984562510174</v>
      </c>
      <c r="AM1661" s="2">
        <v>6.11091641012739E-2</v>
      </c>
      <c r="AN1661" s="2">
        <v>5.01305784574883</v>
      </c>
      <c r="AO1661" s="2">
        <v>0.22118871610698701</v>
      </c>
      <c r="AP1661" s="2">
        <v>0.22118871610698701</v>
      </c>
      <c r="AQ1661" s="2">
        <v>0</v>
      </c>
      <c r="AR1661" s="2">
        <v>0</v>
      </c>
      <c r="AS1661" s="2">
        <v>0</v>
      </c>
      <c r="AT1661" s="2">
        <v>0</v>
      </c>
      <c r="AU1661" s="2">
        <v>1</v>
      </c>
      <c r="AV1661" s="2">
        <v>120</v>
      </c>
      <c r="AW1661" s="2">
        <v>0</v>
      </c>
      <c r="AX1661" s="2">
        <v>0</v>
      </c>
      <c r="AY1661" s="2">
        <v>15.5</v>
      </c>
      <c r="AZ1661" s="2">
        <v>2.4</v>
      </c>
      <c r="BA1661" s="2">
        <v>10.9</v>
      </c>
      <c r="BB1661" s="2">
        <v>564</v>
      </c>
      <c r="BC1661" s="2">
        <v>68</v>
      </c>
      <c r="BD1661" s="2">
        <v>1.5</v>
      </c>
      <c r="BE1661" s="2">
        <v>135</v>
      </c>
      <c r="BF1661" s="2">
        <v>0</v>
      </c>
      <c r="BG1661" s="2">
        <v>162</v>
      </c>
      <c r="BH1661" s="2">
        <v>9.1</v>
      </c>
      <c r="BI1661" s="2">
        <v>9.1999999999999993</v>
      </c>
      <c r="BJ1661" s="2">
        <v>18.3</v>
      </c>
      <c r="BK1661" s="2">
        <v>0.34</v>
      </c>
      <c r="BL1661" s="2">
        <v>7.3</v>
      </c>
      <c r="BM1661" s="2">
        <v>0.9</v>
      </c>
      <c r="BN1661" s="2">
        <v>7.5</v>
      </c>
      <c r="BO1661" s="2">
        <v>2.9</v>
      </c>
      <c r="BP1661" s="2">
        <f t="shared" si="50"/>
        <v>2.1598087528442131</v>
      </c>
      <c r="BQ1661" s="2">
        <f t="shared" si="51"/>
        <v>10.356724017526128</v>
      </c>
    </row>
    <row r="1662" spans="1:69" x14ac:dyDescent="0.2">
      <c r="A1662" s="2" t="s">
        <v>731</v>
      </c>
      <c r="B1662" s="2" t="s">
        <v>47</v>
      </c>
      <c r="C1662" s="2" t="s">
        <v>48</v>
      </c>
      <c r="D1662" s="2" t="s">
        <v>49</v>
      </c>
      <c r="E1662" s="2" t="s">
        <v>208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89</v>
      </c>
      <c r="L1662" s="6" t="s">
        <v>141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732</v>
      </c>
      <c r="R1662" s="2">
        <v>6355932.2029999997</v>
      </c>
      <c r="S1662" s="2">
        <v>0</v>
      </c>
      <c r="T1662" s="2" t="s">
        <v>83</v>
      </c>
      <c r="U1662" s="2" t="s">
        <v>84</v>
      </c>
      <c r="V1662" s="2" t="s">
        <v>56</v>
      </c>
      <c r="W1662" s="2" t="s">
        <v>83</v>
      </c>
      <c r="X1662" s="2" t="s">
        <v>85</v>
      </c>
      <c r="Y1662" s="2">
        <v>3.4886689649893801</v>
      </c>
      <c r="Z1662" s="2">
        <v>3488.6689649893801</v>
      </c>
      <c r="AA1662" s="2">
        <v>4.71035</v>
      </c>
      <c r="AB1662" s="2">
        <v>-74.030416666666696</v>
      </c>
      <c r="AC1662" s="2">
        <v>2570</v>
      </c>
      <c r="AD1662" s="2">
        <v>10</v>
      </c>
      <c r="AE1662" s="2" t="s">
        <v>59</v>
      </c>
      <c r="AF1662" s="2" t="s">
        <v>86</v>
      </c>
      <c r="AG1662" s="2" t="s">
        <v>61</v>
      </c>
      <c r="AH1662" s="2" t="s">
        <v>62</v>
      </c>
      <c r="AI1662" s="2" t="s">
        <v>109</v>
      </c>
      <c r="AJ1662" s="2">
        <v>1.7303713640554099</v>
      </c>
      <c r="AK1662" s="2">
        <v>0.72536014887490996</v>
      </c>
      <c r="AL1662" s="2">
        <v>0.36132813170651101</v>
      </c>
      <c r="AM1662" s="2">
        <v>8.4650581257128696E-2</v>
      </c>
      <c r="AN1662" s="2">
        <v>4.4623411179854804</v>
      </c>
      <c r="AO1662" s="2">
        <v>0.70438938737025403</v>
      </c>
      <c r="AP1662" s="2">
        <v>0.70438938737025403</v>
      </c>
      <c r="AQ1662" s="2">
        <v>0</v>
      </c>
      <c r="AR1662" s="2">
        <v>0</v>
      </c>
      <c r="AS1662" s="2">
        <v>0</v>
      </c>
      <c r="AT1662" s="2">
        <v>1</v>
      </c>
      <c r="AU1662" s="2">
        <v>3</v>
      </c>
      <c r="AV1662" s="2">
        <v>82</v>
      </c>
      <c r="AW1662" s="2">
        <v>0</v>
      </c>
      <c r="AX1662" s="2">
        <v>0</v>
      </c>
      <c r="AY1662" s="2">
        <v>15.5</v>
      </c>
      <c r="AZ1662" s="2">
        <v>2.4</v>
      </c>
      <c r="BA1662" s="2">
        <v>10.9</v>
      </c>
      <c r="BB1662" s="2">
        <v>564</v>
      </c>
      <c r="BC1662" s="2">
        <v>68</v>
      </c>
      <c r="BD1662" s="2">
        <v>1.5</v>
      </c>
      <c r="BE1662" s="2">
        <v>135</v>
      </c>
      <c r="BF1662" s="2">
        <v>0</v>
      </c>
      <c r="BG1662" s="2">
        <v>162</v>
      </c>
      <c r="BH1662" s="2">
        <v>9.1</v>
      </c>
      <c r="BI1662" s="2">
        <v>9.1999999999999993</v>
      </c>
      <c r="BJ1662" s="2">
        <v>18.3</v>
      </c>
      <c r="BK1662" s="2">
        <v>0.34</v>
      </c>
      <c r="BL1662" s="2">
        <v>7.3</v>
      </c>
      <c r="BM1662" s="2">
        <v>0.9</v>
      </c>
      <c r="BN1662" s="2">
        <v>7.5</v>
      </c>
      <c r="BO1662" s="2">
        <v>2.9</v>
      </c>
      <c r="BP1662" s="2">
        <f t="shared" si="50"/>
        <v>2.0193579686434835</v>
      </c>
      <c r="BQ1662" s="2">
        <f t="shared" si="51"/>
        <v>10.024526439034657</v>
      </c>
    </row>
    <row r="1663" spans="1:69" x14ac:dyDescent="0.2">
      <c r="A1663" s="2" t="s">
        <v>407</v>
      </c>
      <c r="B1663" s="2" t="s">
        <v>47</v>
      </c>
      <c r="C1663" s="2" t="s">
        <v>48</v>
      </c>
      <c r="D1663" s="2" t="s">
        <v>49</v>
      </c>
      <c r="E1663" s="2" t="s">
        <v>408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89</v>
      </c>
      <c r="L1663" s="6" t="s">
        <v>112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409</v>
      </c>
      <c r="R1663" s="2">
        <v>6694915.2539999997</v>
      </c>
      <c r="S1663" s="2">
        <v>0</v>
      </c>
      <c r="T1663" s="2" t="s">
        <v>83</v>
      </c>
      <c r="U1663" s="2" t="s">
        <v>84</v>
      </c>
      <c r="V1663" s="2" t="s">
        <v>56</v>
      </c>
      <c r="W1663" s="2" t="s">
        <v>83</v>
      </c>
      <c r="X1663" s="2" t="s">
        <v>85</v>
      </c>
      <c r="Y1663" s="2">
        <v>2.34065352692165</v>
      </c>
      <c r="Z1663" s="2">
        <v>2340.6535269216502</v>
      </c>
      <c r="AA1663" s="2">
        <v>4.71035</v>
      </c>
      <c r="AB1663" s="2">
        <v>-74.030416666666696</v>
      </c>
      <c r="AC1663" s="2">
        <v>2570</v>
      </c>
      <c r="AD1663" s="2">
        <v>10</v>
      </c>
      <c r="AE1663" s="2" t="s">
        <v>59</v>
      </c>
      <c r="AF1663" s="2" t="s">
        <v>86</v>
      </c>
      <c r="AG1663" s="2" t="s">
        <v>61</v>
      </c>
      <c r="AH1663" s="2" t="s">
        <v>62</v>
      </c>
      <c r="AI1663" s="2" t="s">
        <v>87</v>
      </c>
      <c r="AJ1663" s="2">
        <v>0.874597311468991</v>
      </c>
      <c r="AK1663" s="2">
        <v>2.28243959171271</v>
      </c>
      <c r="AL1663" s="2">
        <v>0.66572028269707195</v>
      </c>
      <c r="AM1663" s="2">
        <v>0.364503088006354</v>
      </c>
      <c r="AN1663" s="2">
        <v>2.34985370453155</v>
      </c>
      <c r="AO1663" s="2">
        <v>0.10960554436941899</v>
      </c>
      <c r="AP1663" s="2">
        <v>0.10960554436941899</v>
      </c>
      <c r="AQ1663" s="2">
        <v>0</v>
      </c>
      <c r="AR1663" s="2">
        <v>2</v>
      </c>
      <c r="AS1663" s="2">
        <v>0</v>
      </c>
      <c r="AT1663" s="2">
        <v>0</v>
      </c>
      <c r="AU1663" s="2">
        <v>1</v>
      </c>
      <c r="AV1663" s="2">
        <v>32</v>
      </c>
      <c r="AW1663" s="2">
        <v>0</v>
      </c>
      <c r="AX1663" s="2">
        <v>0</v>
      </c>
      <c r="AY1663" s="2">
        <v>15.5</v>
      </c>
      <c r="AZ1663" s="2">
        <v>2.4</v>
      </c>
      <c r="BA1663" s="2">
        <v>10.9</v>
      </c>
      <c r="BB1663" s="2">
        <v>564</v>
      </c>
      <c r="BC1663" s="2">
        <v>68</v>
      </c>
      <c r="BD1663" s="2">
        <v>1.5</v>
      </c>
      <c r="BE1663" s="2">
        <v>135</v>
      </c>
      <c r="BF1663" s="2">
        <v>0</v>
      </c>
      <c r="BG1663" s="2">
        <v>162</v>
      </c>
      <c r="BH1663" s="2">
        <v>9.1</v>
      </c>
      <c r="BI1663" s="2">
        <v>9.1999999999999993</v>
      </c>
      <c r="BJ1663" s="2">
        <v>18.3</v>
      </c>
      <c r="BK1663" s="2">
        <v>0.34</v>
      </c>
      <c r="BL1663" s="2">
        <v>7.3</v>
      </c>
      <c r="BM1663" s="2">
        <v>0.9</v>
      </c>
      <c r="BN1663" s="2">
        <v>7.5</v>
      </c>
      <c r="BO1663" s="2">
        <v>2.9</v>
      </c>
      <c r="BP1663" s="2">
        <f t="shared" si="50"/>
        <v>2.1374347344485098</v>
      </c>
      <c r="BQ1663" s="2">
        <f t="shared" si="51"/>
        <v>10.304566068127206</v>
      </c>
    </row>
    <row r="1664" spans="1:69" x14ac:dyDescent="0.2">
      <c r="A1664" s="2" t="s">
        <v>555</v>
      </c>
      <c r="B1664" s="2" t="s">
        <v>47</v>
      </c>
      <c r="C1664" s="2" t="s">
        <v>48</v>
      </c>
      <c r="D1664" s="2" t="s">
        <v>49</v>
      </c>
      <c r="E1664" s="2" t="s">
        <v>556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89</v>
      </c>
      <c r="L1664" s="6" t="s">
        <v>90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557</v>
      </c>
      <c r="R1664" s="2">
        <v>10847457.630000001</v>
      </c>
      <c r="S1664" s="2">
        <v>0</v>
      </c>
      <c r="T1664" s="2" t="s">
        <v>83</v>
      </c>
      <c r="U1664" s="2" t="s">
        <v>84</v>
      </c>
      <c r="V1664" s="2" t="s">
        <v>56</v>
      </c>
      <c r="W1664" s="2" t="s">
        <v>83</v>
      </c>
      <c r="X1664" s="2" t="s">
        <v>85</v>
      </c>
      <c r="Y1664" s="2">
        <v>0.19552770267490799</v>
      </c>
      <c r="Z1664" s="2">
        <v>195.527702674908</v>
      </c>
      <c r="AA1664" s="2">
        <v>4.71035</v>
      </c>
      <c r="AB1664" s="2">
        <v>-74.030416666666696</v>
      </c>
      <c r="AC1664" s="2">
        <v>2570</v>
      </c>
      <c r="AD1664" s="2">
        <v>10</v>
      </c>
      <c r="AE1664" s="2" t="s">
        <v>59</v>
      </c>
      <c r="AF1664" s="2" t="s">
        <v>86</v>
      </c>
      <c r="AG1664" s="2" t="s">
        <v>61</v>
      </c>
      <c r="AH1664" s="2" t="s">
        <v>62</v>
      </c>
      <c r="AI1664" s="2" t="s">
        <v>87</v>
      </c>
      <c r="AJ1664" s="2">
        <v>2.5799028587527602</v>
      </c>
      <c r="AK1664" s="2">
        <v>0.55587781561569405</v>
      </c>
      <c r="AL1664" s="2">
        <v>0.38177261070386098</v>
      </c>
      <c r="AM1664" s="2">
        <v>0.274565740502557</v>
      </c>
      <c r="AN1664" s="2">
        <v>3.6550473568937898</v>
      </c>
      <c r="AO1664" s="2">
        <v>0.36285931789027098</v>
      </c>
      <c r="AP1664" s="2">
        <v>0.36285931789027098</v>
      </c>
      <c r="AQ1664" s="2">
        <v>0</v>
      </c>
      <c r="AR1664" s="2">
        <v>0</v>
      </c>
      <c r="AS1664" s="2">
        <v>0</v>
      </c>
      <c r="AT1664" s="2">
        <v>28</v>
      </c>
      <c r="AU1664" s="2">
        <v>2</v>
      </c>
      <c r="AV1664" s="2">
        <v>100</v>
      </c>
      <c r="AW1664" s="2">
        <v>0</v>
      </c>
      <c r="AX1664" s="2">
        <v>0</v>
      </c>
      <c r="AY1664" s="2">
        <v>15.5</v>
      </c>
      <c r="AZ1664" s="2">
        <v>2.4</v>
      </c>
      <c r="BA1664" s="2">
        <v>10.9</v>
      </c>
      <c r="BB1664" s="2">
        <v>564</v>
      </c>
      <c r="BC1664" s="2">
        <v>68</v>
      </c>
      <c r="BD1664" s="2">
        <v>1.5</v>
      </c>
      <c r="BE1664" s="2">
        <v>135</v>
      </c>
      <c r="BF1664" s="2">
        <v>0</v>
      </c>
      <c r="BG1664" s="2">
        <v>162</v>
      </c>
      <c r="BH1664" s="2">
        <v>9.1</v>
      </c>
      <c r="BI1664" s="2">
        <v>9.1999999999999993</v>
      </c>
      <c r="BJ1664" s="2">
        <v>18.3</v>
      </c>
      <c r="BK1664" s="2">
        <v>0.34</v>
      </c>
      <c r="BL1664" s="2">
        <v>7.3</v>
      </c>
      <c r="BM1664" s="2">
        <v>0.9</v>
      </c>
      <c r="BN1664" s="2">
        <v>7.5</v>
      </c>
      <c r="BO1664" s="2">
        <v>2.9</v>
      </c>
      <c r="BP1664" s="2">
        <f t="shared" si="50"/>
        <v>2.3768833579892648</v>
      </c>
      <c r="BQ1664" s="2">
        <f t="shared" si="51"/>
        <v>10.848969780484422</v>
      </c>
    </row>
    <row r="1665" spans="1:69" x14ac:dyDescent="0.2">
      <c r="A1665" s="2" t="s">
        <v>375</v>
      </c>
      <c r="B1665" s="2" t="s">
        <v>47</v>
      </c>
      <c r="C1665" s="2" t="s">
        <v>48</v>
      </c>
      <c r="D1665" s="2" t="s">
        <v>49</v>
      </c>
      <c r="E1665" s="2" t="s">
        <v>241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89</v>
      </c>
      <c r="L1665" s="6" t="s">
        <v>141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376</v>
      </c>
      <c r="R1665" s="2">
        <v>6637931.034</v>
      </c>
      <c r="S1665" s="2">
        <v>0</v>
      </c>
      <c r="T1665" s="2" t="s">
        <v>83</v>
      </c>
      <c r="U1665" s="2" t="s">
        <v>84</v>
      </c>
      <c r="V1665" s="2" t="s">
        <v>56</v>
      </c>
      <c r="W1665" s="2" t="s">
        <v>83</v>
      </c>
      <c r="X1665" s="2" t="s">
        <v>85</v>
      </c>
      <c r="Y1665" s="2">
        <v>0.69677462666665002</v>
      </c>
      <c r="Z1665" s="2">
        <v>696.77462666664997</v>
      </c>
      <c r="AA1665" s="2">
        <v>4.71035</v>
      </c>
      <c r="AB1665" s="2">
        <v>-74.030416666666696</v>
      </c>
      <c r="AC1665" s="2">
        <v>2570</v>
      </c>
      <c r="AD1665" s="2">
        <v>10</v>
      </c>
      <c r="AE1665" s="2" t="s">
        <v>59</v>
      </c>
      <c r="AF1665" s="2" t="s">
        <v>86</v>
      </c>
      <c r="AG1665" s="2" t="s">
        <v>61</v>
      </c>
      <c r="AH1665" s="2" t="s">
        <v>62</v>
      </c>
      <c r="AI1665" s="2" t="s">
        <v>87</v>
      </c>
      <c r="AJ1665" s="2">
        <v>2.5021673165885701</v>
      </c>
      <c r="AK1665" s="2">
        <v>0.70908553186116496</v>
      </c>
      <c r="AL1665" s="2">
        <v>0.33062436072842699</v>
      </c>
      <c r="AM1665" s="2">
        <v>8.9745899133046494E-2</v>
      </c>
      <c r="AN1665" s="2">
        <v>4.1605935936747898</v>
      </c>
      <c r="AO1665" s="2">
        <v>0.354239633370315</v>
      </c>
      <c r="AP1665" s="2">
        <v>0.354239633370315</v>
      </c>
      <c r="AQ1665" s="2">
        <v>0</v>
      </c>
      <c r="AR1665" s="2">
        <v>0</v>
      </c>
      <c r="AS1665" s="2">
        <v>0</v>
      </c>
      <c r="AT1665" s="2">
        <v>18</v>
      </c>
      <c r="AU1665" s="2">
        <v>2</v>
      </c>
      <c r="AV1665" s="2">
        <v>118</v>
      </c>
      <c r="AW1665" s="2">
        <v>0</v>
      </c>
      <c r="AX1665" s="2">
        <v>0</v>
      </c>
      <c r="AY1665" s="2">
        <v>15.5</v>
      </c>
      <c r="AZ1665" s="2">
        <v>2.4</v>
      </c>
      <c r="BA1665" s="2">
        <v>10.9</v>
      </c>
      <c r="BB1665" s="2">
        <v>564</v>
      </c>
      <c r="BC1665" s="2">
        <v>68</v>
      </c>
      <c r="BD1665" s="2">
        <v>1.5</v>
      </c>
      <c r="BE1665" s="2">
        <v>135</v>
      </c>
      <c r="BF1665" s="2">
        <v>0</v>
      </c>
      <c r="BG1665" s="2">
        <v>162</v>
      </c>
      <c r="BH1665" s="2">
        <v>9.1</v>
      </c>
      <c r="BI1665" s="2">
        <v>9.1999999999999993</v>
      </c>
      <c r="BJ1665" s="2">
        <v>18.3</v>
      </c>
      <c r="BK1665" s="2">
        <v>0.34</v>
      </c>
      <c r="BL1665" s="2">
        <v>7.3</v>
      </c>
      <c r="BM1665" s="2">
        <v>0.9</v>
      </c>
      <c r="BN1665" s="2">
        <v>7.5</v>
      </c>
      <c r="BO1665" s="2">
        <v>2.9</v>
      </c>
      <c r="BP1665" s="2">
        <f t="shared" si="50"/>
        <v>2.3186344038269202</v>
      </c>
      <c r="BQ1665" s="2">
        <f t="shared" si="51"/>
        <v>10.719239363148928</v>
      </c>
    </row>
    <row r="1666" spans="1:69" x14ac:dyDescent="0.2">
      <c r="A1666" s="2" t="s">
        <v>1026</v>
      </c>
      <c r="B1666" s="2" t="s">
        <v>47</v>
      </c>
      <c r="C1666" s="2" t="s">
        <v>48</v>
      </c>
      <c r="D1666" s="2" t="s">
        <v>49</v>
      </c>
      <c r="E1666" s="2" t="s">
        <v>192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89</v>
      </c>
      <c r="L1666" s="6" t="s">
        <v>103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1027</v>
      </c>
      <c r="R1666" s="2">
        <v>9118541.0329999998</v>
      </c>
      <c r="S1666" s="2">
        <v>0</v>
      </c>
      <c r="T1666" s="2" t="s">
        <v>83</v>
      </c>
      <c r="U1666" s="2" t="s">
        <v>84</v>
      </c>
      <c r="V1666" s="2" t="s">
        <v>56</v>
      </c>
      <c r="W1666" s="2" t="s">
        <v>83</v>
      </c>
      <c r="X1666" s="2" t="s">
        <v>85</v>
      </c>
      <c r="Y1666" s="2">
        <v>1.2476014785724201</v>
      </c>
      <c r="Z1666" s="2">
        <v>1247.6014785724201</v>
      </c>
      <c r="AA1666" s="2">
        <v>4.71035</v>
      </c>
      <c r="AB1666" s="2">
        <v>-74.030416666666696</v>
      </c>
      <c r="AC1666" s="2">
        <v>2570</v>
      </c>
      <c r="AD1666" s="2">
        <v>10</v>
      </c>
      <c r="AE1666" s="2" t="s">
        <v>59</v>
      </c>
      <c r="AF1666" s="2" t="s">
        <v>86</v>
      </c>
      <c r="AG1666" s="2" t="s">
        <v>61</v>
      </c>
      <c r="AH1666" s="2" t="s">
        <v>62</v>
      </c>
      <c r="AI1666" s="2" t="s">
        <v>87</v>
      </c>
      <c r="AJ1666" s="2">
        <v>2.1972106807663199</v>
      </c>
      <c r="AK1666" s="2">
        <v>1.01179843336599</v>
      </c>
      <c r="AL1666" s="2">
        <v>0.30663537287641301</v>
      </c>
      <c r="AM1666" s="2">
        <v>0.27664242657592603</v>
      </c>
      <c r="AN1666" s="2">
        <v>4.6701384710199099</v>
      </c>
      <c r="AO1666" s="2">
        <v>0.26286597583210902</v>
      </c>
      <c r="AP1666" s="2">
        <v>0.26286597583210902</v>
      </c>
      <c r="AQ1666" s="2">
        <v>0</v>
      </c>
      <c r="AR1666" s="2">
        <v>0</v>
      </c>
      <c r="AS1666" s="2">
        <v>0</v>
      </c>
      <c r="AT1666" s="2">
        <v>0</v>
      </c>
      <c r="AU1666" s="2">
        <v>2</v>
      </c>
      <c r="AV1666" s="2">
        <v>163</v>
      </c>
      <c r="AW1666" s="2">
        <v>0</v>
      </c>
      <c r="AX1666" s="2">
        <v>0</v>
      </c>
      <c r="AY1666" s="2">
        <v>15.5</v>
      </c>
      <c r="AZ1666" s="2">
        <v>2.4</v>
      </c>
      <c r="BA1666" s="2">
        <v>10.9</v>
      </c>
      <c r="BB1666" s="2">
        <v>564</v>
      </c>
      <c r="BC1666" s="2">
        <v>68</v>
      </c>
      <c r="BD1666" s="2">
        <v>1.5</v>
      </c>
      <c r="BE1666" s="2">
        <v>135</v>
      </c>
      <c r="BF1666" s="2">
        <v>0</v>
      </c>
      <c r="BG1666" s="2">
        <v>162</v>
      </c>
      <c r="BH1666" s="2">
        <v>9.1</v>
      </c>
      <c r="BI1666" s="2">
        <v>9.1999999999999993</v>
      </c>
      <c r="BJ1666" s="2">
        <v>18.3</v>
      </c>
      <c r="BK1666" s="2">
        <v>0.34</v>
      </c>
      <c r="BL1666" s="2">
        <v>7.3</v>
      </c>
      <c r="BM1666" s="2">
        <v>0.9</v>
      </c>
      <c r="BN1666" s="2">
        <v>7.5</v>
      </c>
      <c r="BO1666" s="2">
        <v>2.9</v>
      </c>
      <c r="BP1666" s="2">
        <f t="shared" ref="BP1666:BP1729" si="52">+AZ1666*EXP(-0.0495*Y1666)</f>
        <v>2.2562687744821712</v>
      </c>
      <c r="BQ1666" s="2">
        <f t="shared" ref="BQ1666:BQ1729" si="53">+BA1666*EXP(-0.024*Y1666)</f>
        <v>10.578465242365599</v>
      </c>
    </row>
    <row r="1667" spans="1:69" x14ac:dyDescent="0.2">
      <c r="A1667" s="2" t="s">
        <v>2185</v>
      </c>
      <c r="B1667" s="2" t="s">
        <v>47</v>
      </c>
      <c r="C1667" s="2" t="s">
        <v>1935</v>
      </c>
      <c r="D1667" s="2" t="s">
        <v>49</v>
      </c>
      <c r="E1667" s="2" t="s">
        <v>1582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89</v>
      </c>
      <c r="L1667" s="6" t="s">
        <v>141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2186</v>
      </c>
      <c r="R1667" s="2">
        <v>5391304.3480000002</v>
      </c>
      <c r="S1667" s="2">
        <v>0</v>
      </c>
      <c r="T1667" s="2" t="s">
        <v>83</v>
      </c>
      <c r="U1667" s="2" t="s">
        <v>84</v>
      </c>
      <c r="V1667" s="2" t="s">
        <v>56</v>
      </c>
      <c r="W1667" s="2" t="s">
        <v>83</v>
      </c>
      <c r="X1667" s="2" t="s">
        <v>85</v>
      </c>
      <c r="Y1667" s="2">
        <v>2.5126876884823499</v>
      </c>
      <c r="Z1667" s="2">
        <v>2512.68768848235</v>
      </c>
      <c r="AA1667" s="2">
        <v>4.71035</v>
      </c>
      <c r="AB1667" s="2">
        <v>-74.030416666666696</v>
      </c>
      <c r="AC1667" s="2">
        <v>2570</v>
      </c>
      <c r="AD1667" s="2">
        <v>10</v>
      </c>
      <c r="AE1667" s="2" t="s">
        <v>59</v>
      </c>
      <c r="AF1667" s="2" t="s">
        <v>86</v>
      </c>
      <c r="AG1667" s="2" t="s">
        <v>61</v>
      </c>
      <c r="AH1667" s="2" t="s">
        <v>62</v>
      </c>
      <c r="AI1667" s="2" t="s">
        <v>87</v>
      </c>
      <c r="AJ1667" s="2">
        <v>1.1495762415791499</v>
      </c>
      <c r="AK1667" s="2">
        <v>1.9428160329578399</v>
      </c>
      <c r="AL1667" s="2">
        <v>0.21083251092692501</v>
      </c>
      <c r="AM1667" s="2">
        <v>0.303846850630765</v>
      </c>
      <c r="AN1667" s="2">
        <v>1.82462090637733</v>
      </c>
      <c r="AO1667" s="2">
        <v>5.0500052671401202E-2</v>
      </c>
      <c r="AP1667" s="2">
        <v>5.0500052671401202E-2</v>
      </c>
      <c r="AQ1667" s="2">
        <v>0</v>
      </c>
      <c r="AR1667" s="2">
        <v>0</v>
      </c>
      <c r="AS1667" s="2">
        <v>0</v>
      </c>
      <c r="AT1667" s="2">
        <v>0</v>
      </c>
      <c r="AU1667" s="2">
        <v>1</v>
      </c>
      <c r="AV1667" s="2">
        <v>13</v>
      </c>
      <c r="AW1667" s="2">
        <v>0</v>
      </c>
      <c r="AX1667" s="2">
        <v>0</v>
      </c>
      <c r="AY1667" s="2">
        <v>15.5</v>
      </c>
      <c r="AZ1667" s="2">
        <v>2.4</v>
      </c>
      <c r="BA1667" s="2">
        <v>10.9</v>
      </c>
      <c r="BB1667" s="2">
        <v>564</v>
      </c>
      <c r="BC1667" s="2">
        <v>68</v>
      </c>
      <c r="BD1667" s="2">
        <v>1.5</v>
      </c>
      <c r="BE1667" s="2">
        <v>135</v>
      </c>
      <c r="BF1667" s="2">
        <v>0</v>
      </c>
      <c r="BG1667" s="2">
        <v>162</v>
      </c>
      <c r="BH1667" s="2">
        <v>9.1</v>
      </c>
      <c r="BI1667" s="2">
        <v>9.1999999999999993</v>
      </c>
      <c r="BJ1667" s="2">
        <v>18.3</v>
      </c>
      <c r="BK1667" s="2">
        <v>0.34</v>
      </c>
      <c r="BL1667" s="2">
        <v>7.3</v>
      </c>
      <c r="BM1667" s="2">
        <v>0.9</v>
      </c>
      <c r="BN1667" s="2">
        <v>7.5</v>
      </c>
      <c r="BO1667" s="2">
        <v>2.9</v>
      </c>
      <c r="BP1667" s="2">
        <f t="shared" si="52"/>
        <v>2.1193102813715337</v>
      </c>
      <c r="BQ1667" s="2">
        <f t="shared" si="53"/>
        <v>10.262108081920893</v>
      </c>
    </row>
    <row r="1668" spans="1:69" x14ac:dyDescent="0.2">
      <c r="A1668" s="2" t="s">
        <v>1048</v>
      </c>
      <c r="B1668" s="2" t="s">
        <v>47</v>
      </c>
      <c r="C1668" s="2" t="s">
        <v>48</v>
      </c>
      <c r="D1668" s="2" t="s">
        <v>49</v>
      </c>
      <c r="E1668" s="2" t="s">
        <v>980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89</v>
      </c>
      <c r="L1668" s="6" t="s">
        <v>141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1049</v>
      </c>
      <c r="R1668" s="2">
        <v>6637168.142</v>
      </c>
      <c r="S1668" s="2">
        <v>0</v>
      </c>
      <c r="T1668" s="2" t="s">
        <v>83</v>
      </c>
      <c r="U1668" s="2" t="s">
        <v>84</v>
      </c>
      <c r="V1668" s="2" t="s">
        <v>56</v>
      </c>
      <c r="W1668" s="2" t="s">
        <v>83</v>
      </c>
      <c r="X1668" s="2" t="s">
        <v>85</v>
      </c>
      <c r="Y1668" s="2">
        <v>4.1327042196649204</v>
      </c>
      <c r="Z1668" s="2">
        <v>4132.7042196649199</v>
      </c>
      <c r="AA1668" s="2">
        <v>4.71035</v>
      </c>
      <c r="AB1668" s="2">
        <v>-74.030416666666696</v>
      </c>
      <c r="AC1668" s="2">
        <v>2570</v>
      </c>
      <c r="AD1668" s="2">
        <v>10</v>
      </c>
      <c r="AE1668" s="2" t="s">
        <v>59</v>
      </c>
      <c r="AF1668" s="2" t="s">
        <v>86</v>
      </c>
      <c r="AG1668" s="2" t="s">
        <v>61</v>
      </c>
      <c r="AH1668" s="2" t="s">
        <v>62</v>
      </c>
      <c r="AI1668" s="2" t="s">
        <v>100</v>
      </c>
      <c r="AJ1668" s="2">
        <v>0.36634725862984902</v>
      </c>
      <c r="AK1668" s="2">
        <v>3.6087711528918298</v>
      </c>
      <c r="AL1668" s="2">
        <v>0.64920356089764397</v>
      </c>
      <c r="AM1668" s="2">
        <v>3.3682990691208899E-2</v>
      </c>
      <c r="AN1668" s="2">
        <v>3.0508325902730702</v>
      </c>
      <c r="AO1668" s="2">
        <v>0.185750802990686</v>
      </c>
      <c r="AP1668" s="2">
        <v>0.185750802990686</v>
      </c>
      <c r="AQ1668" s="2">
        <v>1</v>
      </c>
      <c r="AR1668" s="2">
        <v>4</v>
      </c>
      <c r="AS1668" s="2">
        <v>0</v>
      </c>
      <c r="AT1668" s="2">
        <v>0</v>
      </c>
      <c r="AU1668" s="2">
        <v>1</v>
      </c>
      <c r="AV1668" s="2">
        <v>92</v>
      </c>
      <c r="AW1668" s="2">
        <v>0</v>
      </c>
      <c r="AX1668" s="2">
        <v>0</v>
      </c>
      <c r="AY1668" s="2">
        <v>15.5</v>
      </c>
      <c r="AZ1668" s="2">
        <v>2.4</v>
      </c>
      <c r="BA1668" s="2">
        <v>10.9</v>
      </c>
      <c r="BB1668" s="2">
        <v>564</v>
      </c>
      <c r="BC1668" s="2">
        <v>68</v>
      </c>
      <c r="BD1668" s="2">
        <v>1.5</v>
      </c>
      <c r="BE1668" s="2">
        <v>135</v>
      </c>
      <c r="BF1668" s="2">
        <v>0</v>
      </c>
      <c r="BG1668" s="2">
        <v>162</v>
      </c>
      <c r="BH1668" s="2">
        <v>9.1</v>
      </c>
      <c r="BI1668" s="2">
        <v>9.1999999999999993</v>
      </c>
      <c r="BJ1668" s="2">
        <v>18.3</v>
      </c>
      <c r="BK1668" s="2">
        <v>0.34</v>
      </c>
      <c r="BL1668" s="2">
        <v>7.3</v>
      </c>
      <c r="BM1668" s="2">
        <v>0.9</v>
      </c>
      <c r="BN1668" s="2">
        <v>7.5</v>
      </c>
      <c r="BO1668" s="2">
        <v>2.9</v>
      </c>
      <c r="BP1668" s="2">
        <f t="shared" si="52"/>
        <v>1.9559966882363391</v>
      </c>
      <c r="BQ1668" s="2">
        <f t="shared" si="53"/>
        <v>9.8707702307420906</v>
      </c>
    </row>
    <row r="1669" spans="1:69" x14ac:dyDescent="0.2">
      <c r="A1669" s="2" t="s">
        <v>1833</v>
      </c>
      <c r="B1669" s="2" t="s">
        <v>47</v>
      </c>
      <c r="C1669" s="2" t="s">
        <v>48</v>
      </c>
      <c r="D1669" s="2" t="s">
        <v>49</v>
      </c>
      <c r="E1669" s="2" t="s">
        <v>241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89</v>
      </c>
      <c r="L1669" s="6" t="s">
        <v>141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1834</v>
      </c>
      <c r="R1669" s="2">
        <v>5357142.8569999998</v>
      </c>
      <c r="S1669" s="2">
        <v>0</v>
      </c>
      <c r="T1669" s="2" t="s">
        <v>83</v>
      </c>
      <c r="U1669" s="2" t="s">
        <v>84</v>
      </c>
      <c r="V1669" s="2" t="s">
        <v>56</v>
      </c>
      <c r="W1669" s="2" t="s">
        <v>83</v>
      </c>
      <c r="X1669" s="2" t="s">
        <v>85</v>
      </c>
      <c r="Y1669" s="2">
        <v>0.44652964519362998</v>
      </c>
      <c r="Z1669" s="2">
        <v>446.52964519363002</v>
      </c>
      <c r="AA1669" s="2">
        <v>4.71035</v>
      </c>
      <c r="AB1669" s="2">
        <v>-74.030416666666696</v>
      </c>
      <c r="AC1669" s="2">
        <v>2570</v>
      </c>
      <c r="AD1669" s="2">
        <v>10</v>
      </c>
      <c r="AE1669" s="2" t="s">
        <v>59</v>
      </c>
      <c r="AF1669" s="2" t="s">
        <v>86</v>
      </c>
      <c r="AG1669" s="2" t="s">
        <v>61</v>
      </c>
      <c r="AH1669" s="2" t="s">
        <v>62</v>
      </c>
      <c r="AI1669" s="2" t="s">
        <v>87</v>
      </c>
      <c r="AJ1669" s="2">
        <v>2.4243672047779801</v>
      </c>
      <c r="AK1669" s="2">
        <v>0.83027985120193903</v>
      </c>
      <c r="AL1669" s="2">
        <v>0.44983418190294899</v>
      </c>
      <c r="AM1669" s="2">
        <v>0.14110066579337299</v>
      </c>
      <c r="AN1669" s="2">
        <v>3.8937658479878601</v>
      </c>
      <c r="AO1669" s="2">
        <v>0.10325334172239101</v>
      </c>
      <c r="AP1669" s="2">
        <v>0.10325334172239101</v>
      </c>
      <c r="AQ1669" s="2">
        <v>0</v>
      </c>
      <c r="AR1669" s="2">
        <v>0</v>
      </c>
      <c r="AS1669" s="2">
        <v>0</v>
      </c>
      <c r="AT1669" s="2">
        <v>15</v>
      </c>
      <c r="AU1669" s="2">
        <v>2</v>
      </c>
      <c r="AV1669" s="2">
        <v>111</v>
      </c>
      <c r="AW1669" s="2">
        <v>0</v>
      </c>
      <c r="AX1669" s="2">
        <v>0</v>
      </c>
      <c r="AY1669" s="2">
        <v>15.5</v>
      </c>
      <c r="AZ1669" s="2">
        <v>2.4</v>
      </c>
      <c r="BA1669" s="2">
        <v>10.9</v>
      </c>
      <c r="BB1669" s="2">
        <v>564</v>
      </c>
      <c r="BC1669" s="2">
        <v>68</v>
      </c>
      <c r="BD1669" s="2">
        <v>1.5</v>
      </c>
      <c r="BE1669" s="2">
        <v>135</v>
      </c>
      <c r="BF1669" s="2">
        <v>0</v>
      </c>
      <c r="BG1669" s="2">
        <v>162</v>
      </c>
      <c r="BH1669" s="2">
        <v>9.1</v>
      </c>
      <c r="BI1669" s="2">
        <v>9.1999999999999993</v>
      </c>
      <c r="BJ1669" s="2">
        <v>18.3</v>
      </c>
      <c r="BK1669" s="2">
        <v>0.34</v>
      </c>
      <c r="BL1669" s="2">
        <v>7.3</v>
      </c>
      <c r="BM1669" s="2">
        <v>0.9</v>
      </c>
      <c r="BN1669" s="2">
        <v>7.5</v>
      </c>
      <c r="BO1669" s="2">
        <v>2.9</v>
      </c>
      <c r="BP1669" s="2">
        <f t="shared" si="52"/>
        <v>2.3475342451490944</v>
      </c>
      <c r="BQ1669" s="2">
        <f t="shared" si="53"/>
        <v>10.783811535938952</v>
      </c>
    </row>
    <row r="1670" spans="1:69" x14ac:dyDescent="0.2">
      <c r="A1670" s="2" t="s">
        <v>258</v>
      </c>
      <c r="B1670" s="2" t="s">
        <v>47</v>
      </c>
      <c r="C1670" s="2" t="s">
        <v>48</v>
      </c>
      <c r="D1670" s="2" t="s">
        <v>49</v>
      </c>
      <c r="E1670" s="2" t="s">
        <v>259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89</v>
      </c>
      <c r="L1670" s="6" t="s">
        <v>103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260</v>
      </c>
      <c r="R1670" s="2">
        <v>5855855.8559999997</v>
      </c>
      <c r="S1670" s="2">
        <v>0</v>
      </c>
      <c r="T1670" s="2" t="s">
        <v>83</v>
      </c>
      <c r="U1670" s="2" t="s">
        <v>84</v>
      </c>
      <c r="V1670" s="2" t="s">
        <v>56</v>
      </c>
      <c r="W1670" s="2" t="s">
        <v>83</v>
      </c>
      <c r="X1670" s="2" t="s">
        <v>85</v>
      </c>
      <c r="Y1670" s="2">
        <v>4.0357474524368504</v>
      </c>
      <c r="Z1670" s="2">
        <v>4035.7474524368499</v>
      </c>
      <c r="AA1670" s="2">
        <v>4.71035</v>
      </c>
      <c r="AB1670" s="2">
        <v>-74.030416666666696</v>
      </c>
      <c r="AC1670" s="2">
        <v>2570</v>
      </c>
      <c r="AD1670" s="2">
        <v>10</v>
      </c>
      <c r="AE1670" s="2" t="s">
        <v>59</v>
      </c>
      <c r="AF1670" s="2" t="s">
        <v>86</v>
      </c>
      <c r="AG1670" s="2" t="s">
        <v>61</v>
      </c>
      <c r="AH1670" s="2" t="s">
        <v>62</v>
      </c>
      <c r="AI1670" s="2" t="s">
        <v>87</v>
      </c>
      <c r="AJ1670" s="2">
        <v>1.56308207268739</v>
      </c>
      <c r="AK1670" s="2">
        <v>1.4340142329821299</v>
      </c>
      <c r="AL1670" s="2">
        <v>0.38740797421536</v>
      </c>
      <c r="AM1670" s="2">
        <v>0.49968041716068101</v>
      </c>
      <c r="AN1670" s="2">
        <v>0.89929322576575199</v>
      </c>
      <c r="AO1670" s="2">
        <v>0.35858639633436901</v>
      </c>
      <c r="AP1670" s="2">
        <v>0.35858639633436901</v>
      </c>
      <c r="AQ1670" s="2">
        <v>0</v>
      </c>
      <c r="AR1670" s="2">
        <v>0</v>
      </c>
      <c r="AS1670" s="2">
        <v>0</v>
      </c>
      <c r="AT1670" s="2">
        <v>0</v>
      </c>
      <c r="AU1670" s="2">
        <v>3</v>
      </c>
      <c r="AV1670" s="2">
        <v>12</v>
      </c>
      <c r="AW1670" s="2">
        <v>1</v>
      </c>
      <c r="AX1670" s="2">
        <v>0</v>
      </c>
      <c r="AY1670" s="2">
        <v>15.5</v>
      </c>
      <c r="AZ1670" s="2">
        <v>2.4</v>
      </c>
      <c r="BA1670" s="2">
        <v>10.9</v>
      </c>
      <c r="BB1670" s="2">
        <v>564</v>
      </c>
      <c r="BC1670" s="2">
        <v>68</v>
      </c>
      <c r="BD1670" s="2">
        <v>1.5</v>
      </c>
      <c r="BE1670" s="2">
        <v>135</v>
      </c>
      <c r="BF1670" s="2">
        <v>0</v>
      </c>
      <c r="BG1670" s="2">
        <v>162</v>
      </c>
      <c r="BH1670" s="2">
        <v>9.1</v>
      </c>
      <c r="BI1670" s="2">
        <v>9.1999999999999993</v>
      </c>
      <c r="BJ1670" s="2">
        <v>18.3</v>
      </c>
      <c r="BK1670" s="2">
        <v>0.34</v>
      </c>
      <c r="BL1670" s="2">
        <v>7.3</v>
      </c>
      <c r="BM1670" s="2">
        <v>0.9</v>
      </c>
      <c r="BN1670" s="2">
        <v>7.5</v>
      </c>
      <c r="BO1670" s="2">
        <v>2.9</v>
      </c>
      <c r="BP1670" s="2">
        <f t="shared" si="52"/>
        <v>1.9654067836135614</v>
      </c>
      <c r="BQ1670" s="2">
        <f t="shared" si="53"/>
        <v>9.8937658866982883</v>
      </c>
    </row>
    <row r="1671" spans="1:69" x14ac:dyDescent="0.2">
      <c r="A1671" s="2" t="s">
        <v>2234</v>
      </c>
      <c r="B1671" s="2" t="s">
        <v>47</v>
      </c>
      <c r="C1671" s="2" t="s">
        <v>1935</v>
      </c>
      <c r="D1671" s="2" t="s">
        <v>49</v>
      </c>
      <c r="E1671" s="2" t="s">
        <v>1121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89</v>
      </c>
      <c r="L1671" s="6" t="s">
        <v>141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2235</v>
      </c>
      <c r="R1671" s="2">
        <v>10909090.91</v>
      </c>
      <c r="S1671" s="2">
        <v>0</v>
      </c>
      <c r="T1671" s="2" t="s">
        <v>83</v>
      </c>
      <c r="U1671" s="2" t="s">
        <v>84</v>
      </c>
      <c r="V1671" s="2" t="s">
        <v>56</v>
      </c>
      <c r="W1671" s="2" t="s">
        <v>83</v>
      </c>
      <c r="X1671" s="2" t="s">
        <v>85</v>
      </c>
      <c r="Y1671" s="2">
        <v>3.31901531118258</v>
      </c>
      <c r="Z1671" s="2">
        <v>3319.0153111825798</v>
      </c>
      <c r="AA1671" s="2">
        <v>4.71035</v>
      </c>
      <c r="AB1671" s="2">
        <v>-74.030416666666696</v>
      </c>
      <c r="AC1671" s="2">
        <v>2570</v>
      </c>
      <c r="AD1671" s="2">
        <v>10</v>
      </c>
      <c r="AE1671" s="2" t="s">
        <v>59</v>
      </c>
      <c r="AF1671" s="2" t="s">
        <v>86</v>
      </c>
      <c r="AG1671" s="2" t="s">
        <v>61</v>
      </c>
      <c r="AH1671" s="2" t="s">
        <v>62</v>
      </c>
      <c r="AI1671" s="2" t="s">
        <v>100</v>
      </c>
      <c r="AJ1671" s="2">
        <v>0.70930395682849601</v>
      </c>
      <c r="AK1671" s="2">
        <v>3.8706789678844902</v>
      </c>
      <c r="AL1671" s="2">
        <v>1.46355806486578</v>
      </c>
      <c r="AM1671" s="2">
        <v>0.18169671072944499</v>
      </c>
      <c r="AN1671" s="2">
        <v>4.3927220227714896</v>
      </c>
      <c r="AO1671" s="2">
        <v>0.108205664341622</v>
      </c>
      <c r="AP1671" s="2">
        <v>0.108205664341622</v>
      </c>
      <c r="AQ1671" s="2">
        <v>0</v>
      </c>
      <c r="AR1671" s="2">
        <v>1</v>
      </c>
      <c r="AS1671" s="2">
        <v>0</v>
      </c>
      <c r="AT1671" s="2">
        <v>0</v>
      </c>
      <c r="AU1671" s="2">
        <v>0</v>
      </c>
      <c r="AV1671" s="2">
        <v>64</v>
      </c>
      <c r="AW1671" s="2">
        <v>0</v>
      </c>
      <c r="AX1671" s="2">
        <v>0</v>
      </c>
      <c r="AY1671" s="2">
        <v>15.5</v>
      </c>
      <c r="AZ1671" s="2">
        <v>2.4</v>
      </c>
      <c r="BA1671" s="2">
        <v>10.9</v>
      </c>
      <c r="BB1671" s="2">
        <v>564</v>
      </c>
      <c r="BC1671" s="2">
        <v>68</v>
      </c>
      <c r="BD1671" s="2">
        <v>1.5</v>
      </c>
      <c r="BE1671" s="2">
        <v>135</v>
      </c>
      <c r="BF1671" s="2">
        <v>0</v>
      </c>
      <c r="BG1671" s="2">
        <v>162</v>
      </c>
      <c r="BH1671" s="2">
        <v>9.1</v>
      </c>
      <c r="BI1671" s="2">
        <v>9.1999999999999993</v>
      </c>
      <c r="BJ1671" s="2">
        <v>18.3</v>
      </c>
      <c r="BK1671" s="2">
        <v>0.34</v>
      </c>
      <c r="BL1671" s="2">
        <v>7.3</v>
      </c>
      <c r="BM1671" s="2">
        <v>0.9</v>
      </c>
      <c r="BN1671" s="2">
        <v>7.5</v>
      </c>
      <c r="BO1671" s="2">
        <v>2.9</v>
      </c>
      <c r="BP1671" s="2">
        <f t="shared" si="52"/>
        <v>2.0363876521311903</v>
      </c>
      <c r="BQ1671" s="2">
        <f t="shared" si="53"/>
        <v>10.065426389354919</v>
      </c>
    </row>
    <row r="1672" spans="1:69" x14ac:dyDescent="0.2">
      <c r="A1672" s="2" t="s">
        <v>1648</v>
      </c>
      <c r="B1672" s="2" t="s">
        <v>47</v>
      </c>
      <c r="C1672" s="2" t="s">
        <v>48</v>
      </c>
      <c r="D1672" s="2" t="s">
        <v>49</v>
      </c>
      <c r="E1672" s="2" t="s">
        <v>189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89</v>
      </c>
      <c r="L1672" s="6" t="s">
        <v>103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1649</v>
      </c>
      <c r="R1672" s="2">
        <v>6818181.818</v>
      </c>
      <c r="S1672" s="2">
        <v>0</v>
      </c>
      <c r="T1672" s="2" t="s">
        <v>83</v>
      </c>
      <c r="U1672" s="2" t="s">
        <v>84</v>
      </c>
      <c r="V1672" s="2" t="s">
        <v>56</v>
      </c>
      <c r="W1672" s="2" t="s">
        <v>83</v>
      </c>
      <c r="X1672" s="2" t="s">
        <v>85</v>
      </c>
      <c r="Y1672" s="2">
        <v>3.2385381746577702</v>
      </c>
      <c r="Z1672" s="2">
        <v>3238.53817465777</v>
      </c>
      <c r="AA1672" s="2">
        <v>4.71035</v>
      </c>
      <c r="AB1672" s="2">
        <v>-74.030416666666696</v>
      </c>
      <c r="AC1672" s="2">
        <v>2570</v>
      </c>
      <c r="AD1672" s="2">
        <v>10</v>
      </c>
      <c r="AE1672" s="2" t="s">
        <v>59</v>
      </c>
      <c r="AF1672" s="2" t="s">
        <v>86</v>
      </c>
      <c r="AG1672" s="2" t="s">
        <v>61</v>
      </c>
      <c r="AH1672" s="2" t="s">
        <v>62</v>
      </c>
      <c r="AI1672" s="2" t="s">
        <v>87</v>
      </c>
      <c r="AJ1672" s="2">
        <v>0.51070839222151398</v>
      </c>
      <c r="AK1672" s="2">
        <v>2.2170053221320898</v>
      </c>
      <c r="AL1672" s="2">
        <v>0.336140497119782</v>
      </c>
      <c r="AM1672" s="2">
        <v>0.166916172939089</v>
      </c>
      <c r="AN1672" s="2">
        <v>3.80102030575258</v>
      </c>
      <c r="AO1672" s="2">
        <v>0.231877370272636</v>
      </c>
      <c r="AP1672" s="2">
        <v>0.231877370272636</v>
      </c>
      <c r="AQ1672" s="2">
        <v>0</v>
      </c>
      <c r="AR1672" s="2">
        <v>3</v>
      </c>
      <c r="AS1672" s="2">
        <v>0</v>
      </c>
      <c r="AT1672" s="2">
        <v>0</v>
      </c>
      <c r="AU1672" s="2">
        <v>5</v>
      </c>
      <c r="AV1672" s="2">
        <v>183</v>
      </c>
      <c r="AW1672" s="2">
        <v>0</v>
      </c>
      <c r="AX1672" s="2">
        <v>0</v>
      </c>
      <c r="AY1672" s="2">
        <v>15.5</v>
      </c>
      <c r="AZ1672" s="2">
        <v>2.4</v>
      </c>
      <c r="BA1672" s="2">
        <v>10.9</v>
      </c>
      <c r="BB1672" s="2">
        <v>564</v>
      </c>
      <c r="BC1672" s="2">
        <v>68</v>
      </c>
      <c r="BD1672" s="2">
        <v>1.5</v>
      </c>
      <c r="BE1672" s="2">
        <v>135</v>
      </c>
      <c r="BF1672" s="2">
        <v>0</v>
      </c>
      <c r="BG1672" s="2">
        <v>162</v>
      </c>
      <c r="BH1672" s="2">
        <v>9.1</v>
      </c>
      <c r="BI1672" s="2">
        <v>9.1999999999999993</v>
      </c>
      <c r="BJ1672" s="2">
        <v>18.3</v>
      </c>
      <c r="BK1672" s="2">
        <v>0.34</v>
      </c>
      <c r="BL1672" s="2">
        <v>7.3</v>
      </c>
      <c r="BM1672" s="2">
        <v>0.9</v>
      </c>
      <c r="BN1672" s="2">
        <v>7.5</v>
      </c>
      <c r="BO1672" s="2">
        <v>2.9</v>
      </c>
      <c r="BP1672" s="2">
        <f t="shared" si="52"/>
        <v>2.0445160225757615</v>
      </c>
      <c r="BQ1672" s="2">
        <f t="shared" si="53"/>
        <v>10.084886056654209</v>
      </c>
    </row>
    <row r="1673" spans="1:69" x14ac:dyDescent="0.2">
      <c r="A1673" s="2" t="s">
        <v>1084</v>
      </c>
      <c r="B1673" s="2" t="s">
        <v>47</v>
      </c>
      <c r="C1673" s="2" t="s">
        <v>48</v>
      </c>
      <c r="D1673" s="2" t="s">
        <v>49</v>
      </c>
      <c r="E1673" s="2" t="s">
        <v>1085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89</v>
      </c>
      <c r="L1673" s="6" t="s">
        <v>94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1086</v>
      </c>
      <c r="R1673" s="2">
        <v>6518181.818</v>
      </c>
      <c r="S1673" s="2">
        <v>0</v>
      </c>
      <c r="T1673" s="2" t="s">
        <v>83</v>
      </c>
      <c r="U1673" s="2" t="s">
        <v>84</v>
      </c>
      <c r="V1673" s="2" t="s">
        <v>56</v>
      </c>
      <c r="W1673" s="2" t="s">
        <v>83</v>
      </c>
      <c r="X1673" s="2" t="s">
        <v>85</v>
      </c>
      <c r="Y1673" s="2">
        <v>2.3757280999223398</v>
      </c>
      <c r="Z1673" s="2">
        <v>2375.7280999223399</v>
      </c>
      <c r="AA1673" s="2">
        <v>4.71035</v>
      </c>
      <c r="AB1673" s="2">
        <v>-74.030416666666696</v>
      </c>
      <c r="AC1673" s="2">
        <v>2570</v>
      </c>
      <c r="AD1673" s="2">
        <v>10</v>
      </c>
      <c r="AE1673" s="2" t="s">
        <v>59</v>
      </c>
      <c r="AF1673" s="2" t="s">
        <v>86</v>
      </c>
      <c r="AG1673" s="2" t="s">
        <v>61</v>
      </c>
      <c r="AH1673" s="2" t="s">
        <v>62</v>
      </c>
      <c r="AI1673" s="2" t="s">
        <v>87</v>
      </c>
      <c r="AJ1673" s="2">
        <v>0.29223778726639499</v>
      </c>
      <c r="AK1673" s="2">
        <v>2.93899705085403</v>
      </c>
      <c r="AL1673" s="2">
        <v>2.1100953092325501</v>
      </c>
      <c r="AM1673" s="2">
        <v>0.38992458357881299</v>
      </c>
      <c r="AN1673" s="2">
        <v>3.8425831916472499</v>
      </c>
      <c r="AO1673" s="2">
        <v>0.24282213494366001</v>
      </c>
      <c r="AP1673" s="2">
        <v>0.24282213494366001</v>
      </c>
      <c r="AQ1673" s="2">
        <v>1</v>
      </c>
      <c r="AR1673" s="2">
        <v>2</v>
      </c>
      <c r="AS1673" s="2">
        <v>0</v>
      </c>
      <c r="AT1673" s="2">
        <v>0</v>
      </c>
      <c r="AU1673" s="2">
        <v>0</v>
      </c>
      <c r="AV1673" s="2">
        <v>43</v>
      </c>
      <c r="AW1673" s="2">
        <v>0</v>
      </c>
      <c r="AX1673" s="2">
        <v>0</v>
      </c>
      <c r="AY1673" s="2">
        <v>15.5</v>
      </c>
      <c r="AZ1673" s="2">
        <v>2.4</v>
      </c>
      <c r="BA1673" s="2">
        <v>10.9</v>
      </c>
      <c r="BB1673" s="2">
        <v>564</v>
      </c>
      <c r="BC1673" s="2">
        <v>68</v>
      </c>
      <c r="BD1673" s="2">
        <v>1.5</v>
      </c>
      <c r="BE1673" s="2">
        <v>135</v>
      </c>
      <c r="BF1673" s="2">
        <v>0</v>
      </c>
      <c r="BG1673" s="2">
        <v>162</v>
      </c>
      <c r="BH1673" s="2">
        <v>9.1</v>
      </c>
      <c r="BI1673" s="2">
        <v>9.1999999999999993</v>
      </c>
      <c r="BJ1673" s="2">
        <v>18.3</v>
      </c>
      <c r="BK1673" s="2">
        <v>0.34</v>
      </c>
      <c r="BL1673" s="2">
        <v>7.3</v>
      </c>
      <c r="BM1673" s="2">
        <v>0.9</v>
      </c>
      <c r="BN1673" s="2">
        <v>7.5</v>
      </c>
      <c r="BO1673" s="2">
        <v>2.9</v>
      </c>
      <c r="BP1673" s="2">
        <f t="shared" si="52"/>
        <v>2.1337269583582366</v>
      </c>
      <c r="BQ1673" s="2">
        <f t="shared" si="53"/>
        <v>10.29589543994706</v>
      </c>
    </row>
    <row r="1674" spans="1:69" x14ac:dyDescent="0.2">
      <c r="A1674" s="2" t="s">
        <v>240</v>
      </c>
      <c r="B1674" s="2" t="s">
        <v>47</v>
      </c>
      <c r="C1674" s="2" t="s">
        <v>48</v>
      </c>
      <c r="D1674" s="2" t="s">
        <v>49</v>
      </c>
      <c r="E1674" s="2" t="s">
        <v>241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89</v>
      </c>
      <c r="L1674" s="6" t="s">
        <v>112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242</v>
      </c>
      <c r="R1674" s="2">
        <v>7090909.091</v>
      </c>
      <c r="S1674" s="2">
        <v>0</v>
      </c>
      <c r="T1674" s="2" t="s">
        <v>83</v>
      </c>
      <c r="U1674" s="2" t="s">
        <v>84</v>
      </c>
      <c r="V1674" s="2" t="s">
        <v>56</v>
      </c>
      <c r="W1674" s="2" t="s">
        <v>83</v>
      </c>
      <c r="X1674" s="2" t="s">
        <v>85</v>
      </c>
      <c r="Y1674" s="2">
        <v>0.52755473325986302</v>
      </c>
      <c r="Z1674" s="2">
        <v>527.55473325986304</v>
      </c>
      <c r="AA1674" s="2">
        <v>4.71035</v>
      </c>
      <c r="AB1674" s="2">
        <v>-74.030416666666696</v>
      </c>
      <c r="AC1674" s="2">
        <v>2570</v>
      </c>
      <c r="AD1674" s="2">
        <v>10</v>
      </c>
      <c r="AE1674" s="2" t="s">
        <v>59</v>
      </c>
      <c r="AF1674" s="2" t="s">
        <v>86</v>
      </c>
      <c r="AG1674" s="2" t="s">
        <v>61</v>
      </c>
      <c r="AH1674" s="2" t="s">
        <v>62</v>
      </c>
      <c r="AI1674" s="2" t="s">
        <v>87</v>
      </c>
      <c r="AJ1674" s="2">
        <v>2.7070140746478599</v>
      </c>
      <c r="AK1674" s="2">
        <v>0.57696699548850705</v>
      </c>
      <c r="AL1674" s="2">
        <v>0.560055710351958</v>
      </c>
      <c r="AM1674" s="2">
        <v>0.25439577198637098</v>
      </c>
      <c r="AN1674" s="2">
        <v>3.9807839923600001</v>
      </c>
      <c r="AO1674" s="2">
        <v>0.17069400988104</v>
      </c>
      <c r="AP1674" s="2">
        <v>0.17069400988104</v>
      </c>
      <c r="AQ1674" s="2">
        <v>0</v>
      </c>
      <c r="AR1674" s="2">
        <v>0</v>
      </c>
      <c r="AS1674" s="2">
        <v>0</v>
      </c>
      <c r="AT1674" s="2">
        <v>28</v>
      </c>
      <c r="AU1674" s="2">
        <v>2</v>
      </c>
      <c r="AV1674" s="2">
        <v>101</v>
      </c>
      <c r="AW1674" s="2">
        <v>0</v>
      </c>
      <c r="AX1674" s="2">
        <v>0</v>
      </c>
      <c r="AY1674" s="2">
        <v>15.5</v>
      </c>
      <c r="AZ1674" s="2">
        <v>2.4</v>
      </c>
      <c r="BA1674" s="2">
        <v>10.9</v>
      </c>
      <c r="BB1674" s="2">
        <v>564</v>
      </c>
      <c r="BC1674" s="2">
        <v>68</v>
      </c>
      <c r="BD1674" s="2">
        <v>1.5</v>
      </c>
      <c r="BE1674" s="2">
        <v>135</v>
      </c>
      <c r="BF1674" s="2">
        <v>0</v>
      </c>
      <c r="BG1674" s="2">
        <v>162</v>
      </c>
      <c r="BH1674" s="2">
        <v>9.1</v>
      </c>
      <c r="BI1674" s="2">
        <v>9.1999999999999993</v>
      </c>
      <c r="BJ1674" s="2">
        <v>18.3</v>
      </c>
      <c r="BK1674" s="2">
        <v>0.34</v>
      </c>
      <c r="BL1674" s="2">
        <v>7.3</v>
      </c>
      <c r="BM1674" s="2">
        <v>0.9</v>
      </c>
      <c r="BN1674" s="2">
        <v>7.5</v>
      </c>
      <c r="BO1674" s="2">
        <v>2.9</v>
      </c>
      <c r="BP1674" s="2">
        <f t="shared" si="52"/>
        <v>2.3381377473455625</v>
      </c>
      <c r="BQ1674" s="2">
        <f t="shared" si="53"/>
        <v>10.762861689393329</v>
      </c>
    </row>
    <row r="1675" spans="1:69" x14ac:dyDescent="0.2">
      <c r="A1675" s="2" t="s">
        <v>803</v>
      </c>
      <c r="B1675" s="2" t="s">
        <v>47</v>
      </c>
      <c r="C1675" s="2" t="s">
        <v>48</v>
      </c>
      <c r="D1675" s="2" t="s">
        <v>49</v>
      </c>
      <c r="E1675" s="2" t="s">
        <v>259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89</v>
      </c>
      <c r="L1675" s="6" t="s">
        <v>103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804</v>
      </c>
      <c r="R1675" s="2">
        <v>5833333.3329999996</v>
      </c>
      <c r="S1675" s="2">
        <v>0</v>
      </c>
      <c r="T1675" s="2" t="s">
        <v>83</v>
      </c>
      <c r="U1675" s="2" t="s">
        <v>84</v>
      </c>
      <c r="V1675" s="2" t="s">
        <v>56</v>
      </c>
      <c r="W1675" s="2" t="s">
        <v>83</v>
      </c>
      <c r="X1675" s="2" t="s">
        <v>85</v>
      </c>
      <c r="Y1675" s="2">
        <v>3.7714713540082099</v>
      </c>
      <c r="Z1675" s="2">
        <v>3771.4713540082098</v>
      </c>
      <c r="AA1675" s="2">
        <v>4.71035</v>
      </c>
      <c r="AB1675" s="2">
        <v>-74.030416666666696</v>
      </c>
      <c r="AC1675" s="2">
        <v>2570</v>
      </c>
      <c r="AD1675" s="2">
        <v>10</v>
      </c>
      <c r="AE1675" s="2" t="s">
        <v>59</v>
      </c>
      <c r="AF1675" s="2" t="s">
        <v>86</v>
      </c>
      <c r="AG1675" s="2" t="s">
        <v>61</v>
      </c>
      <c r="AH1675" s="2" t="s">
        <v>62</v>
      </c>
      <c r="AI1675" s="2" t="s">
        <v>87</v>
      </c>
      <c r="AJ1675" s="2">
        <v>1.50900654522519</v>
      </c>
      <c r="AK1675" s="2">
        <v>1.5451090183557601</v>
      </c>
      <c r="AL1675" s="2">
        <v>0.59392827969754702</v>
      </c>
      <c r="AM1675" s="2">
        <v>0.22709056145044301</v>
      </c>
      <c r="AN1675" s="2">
        <v>0.832800912146624</v>
      </c>
      <c r="AO1675" s="2">
        <v>7.9703606572866195E-2</v>
      </c>
      <c r="AP1675" s="2">
        <v>7.9703606572866195E-2</v>
      </c>
      <c r="AQ1675" s="2">
        <v>0</v>
      </c>
      <c r="AR1675" s="2">
        <v>0</v>
      </c>
      <c r="AS1675" s="2">
        <v>0</v>
      </c>
      <c r="AT1675" s="2">
        <v>0</v>
      </c>
      <c r="AU1675" s="2">
        <v>3</v>
      </c>
      <c r="AV1675" s="2">
        <v>17</v>
      </c>
      <c r="AW1675" s="2">
        <v>1</v>
      </c>
      <c r="AX1675" s="2">
        <v>0</v>
      </c>
      <c r="AY1675" s="2">
        <v>15.5</v>
      </c>
      <c r="AZ1675" s="2">
        <v>2.4</v>
      </c>
      <c r="BA1675" s="2">
        <v>10.9</v>
      </c>
      <c r="BB1675" s="2">
        <v>564</v>
      </c>
      <c r="BC1675" s="2">
        <v>68</v>
      </c>
      <c r="BD1675" s="2">
        <v>1.5</v>
      </c>
      <c r="BE1675" s="2">
        <v>135</v>
      </c>
      <c r="BF1675" s="2">
        <v>0</v>
      </c>
      <c r="BG1675" s="2">
        <v>162</v>
      </c>
      <c r="BH1675" s="2">
        <v>9.1</v>
      </c>
      <c r="BI1675" s="2">
        <v>9.1999999999999993</v>
      </c>
      <c r="BJ1675" s="2">
        <v>18.3</v>
      </c>
      <c r="BK1675" s="2">
        <v>0.34</v>
      </c>
      <c r="BL1675" s="2">
        <v>7.3</v>
      </c>
      <c r="BM1675" s="2">
        <v>0.9</v>
      </c>
      <c r="BN1675" s="2">
        <v>7.5</v>
      </c>
      <c r="BO1675" s="2">
        <v>2.9</v>
      </c>
      <c r="BP1675" s="2">
        <f t="shared" si="52"/>
        <v>1.9912864861839901</v>
      </c>
      <c r="BQ1675" s="2">
        <f t="shared" si="53"/>
        <v>9.9567177761500094</v>
      </c>
    </row>
    <row r="1676" spans="1:69" x14ac:dyDescent="0.2">
      <c r="A1676" s="2" t="s">
        <v>1542</v>
      </c>
      <c r="B1676" s="2" t="s">
        <v>47</v>
      </c>
      <c r="C1676" s="2" t="s">
        <v>48</v>
      </c>
      <c r="D1676" s="2" t="s">
        <v>49</v>
      </c>
      <c r="E1676" s="2" t="s">
        <v>1543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89</v>
      </c>
      <c r="L1676" s="6" t="s">
        <v>90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1544</v>
      </c>
      <c r="R1676" s="2">
        <v>6018518.5190000003</v>
      </c>
      <c r="S1676" s="2">
        <v>0</v>
      </c>
      <c r="T1676" s="2" t="s">
        <v>83</v>
      </c>
      <c r="U1676" s="2" t="s">
        <v>84</v>
      </c>
      <c r="V1676" s="2" t="s">
        <v>56</v>
      </c>
      <c r="W1676" s="2" t="s">
        <v>83</v>
      </c>
      <c r="X1676" s="2" t="s">
        <v>85</v>
      </c>
      <c r="Y1676" s="2">
        <v>2.6701155545769901</v>
      </c>
      <c r="Z1676" s="2">
        <v>2670.1155545769898</v>
      </c>
      <c r="AA1676" s="2">
        <v>4.71035</v>
      </c>
      <c r="AB1676" s="2">
        <v>-74.030416666666696</v>
      </c>
      <c r="AC1676" s="2">
        <v>2570</v>
      </c>
      <c r="AD1676" s="2">
        <v>10</v>
      </c>
      <c r="AE1676" s="2" t="s">
        <v>59</v>
      </c>
      <c r="AF1676" s="2" t="s">
        <v>86</v>
      </c>
      <c r="AG1676" s="2" t="s">
        <v>61</v>
      </c>
      <c r="AH1676" s="2" t="s">
        <v>62</v>
      </c>
      <c r="AI1676" s="2" t="s">
        <v>87</v>
      </c>
      <c r="AJ1676" s="2">
        <v>2.13329679249959</v>
      </c>
      <c r="AK1676" s="2">
        <v>0.90461641821993999</v>
      </c>
      <c r="AL1676" s="2">
        <v>1.1186281255238999</v>
      </c>
      <c r="AM1676" s="2">
        <v>0.47534616233726601</v>
      </c>
      <c r="AN1676" s="2">
        <v>0.87420228866514704</v>
      </c>
      <c r="AO1676" s="2">
        <v>8.2910921754532699E-2</v>
      </c>
      <c r="AP1676" s="2">
        <v>8.2910921754532699E-2</v>
      </c>
      <c r="AQ1676" s="2">
        <v>0</v>
      </c>
      <c r="AR1676" s="2">
        <v>0</v>
      </c>
      <c r="AS1676" s="2">
        <v>0</v>
      </c>
      <c r="AT1676" s="2">
        <v>3</v>
      </c>
      <c r="AU1676" s="2">
        <v>0</v>
      </c>
      <c r="AV1676" s="2">
        <v>12</v>
      </c>
      <c r="AW1676" s="2">
        <v>1</v>
      </c>
      <c r="AX1676" s="2">
        <v>0</v>
      </c>
      <c r="AY1676" s="2">
        <v>15.5</v>
      </c>
      <c r="AZ1676" s="2">
        <v>2.4</v>
      </c>
      <c r="BA1676" s="2">
        <v>10.9</v>
      </c>
      <c r="BB1676" s="2">
        <v>564</v>
      </c>
      <c r="BC1676" s="2">
        <v>68</v>
      </c>
      <c r="BD1676" s="2">
        <v>1.5</v>
      </c>
      <c r="BE1676" s="2">
        <v>135</v>
      </c>
      <c r="BF1676" s="2">
        <v>0</v>
      </c>
      <c r="BG1676" s="2">
        <v>162</v>
      </c>
      <c r="BH1676" s="2">
        <v>9.1</v>
      </c>
      <c r="BI1676" s="2">
        <v>9.1999999999999993</v>
      </c>
      <c r="BJ1676" s="2">
        <v>18.3</v>
      </c>
      <c r="BK1676" s="2">
        <v>0.34</v>
      </c>
      <c r="BL1676" s="2">
        <v>7.3</v>
      </c>
      <c r="BM1676" s="2">
        <v>0.9</v>
      </c>
      <c r="BN1676" s="2">
        <v>7.5</v>
      </c>
      <c r="BO1676" s="2">
        <v>2.9</v>
      </c>
      <c r="BP1676" s="2">
        <f t="shared" si="52"/>
        <v>2.102859357496865</v>
      </c>
      <c r="BQ1676" s="2">
        <f t="shared" si="53"/>
        <v>10.223408234524053</v>
      </c>
    </row>
    <row r="1677" spans="1:69" x14ac:dyDescent="0.2">
      <c r="A1677" s="2" t="s">
        <v>3759</v>
      </c>
      <c r="B1677" s="2" t="s">
        <v>47</v>
      </c>
      <c r="C1677" s="2" t="s">
        <v>3273</v>
      </c>
      <c r="D1677" s="2" t="s">
        <v>49</v>
      </c>
      <c r="E1677" s="2" t="s">
        <v>1628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89</v>
      </c>
      <c r="L1677" s="6" t="s">
        <v>103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3760</v>
      </c>
      <c r="R1677" s="2">
        <v>11226415.09</v>
      </c>
      <c r="S1677" s="2">
        <v>0</v>
      </c>
      <c r="T1677" s="2" t="s">
        <v>83</v>
      </c>
      <c r="U1677" s="2" t="s">
        <v>84</v>
      </c>
      <c r="V1677" s="2" t="s">
        <v>56</v>
      </c>
      <c r="W1677" s="2" t="s">
        <v>83</v>
      </c>
      <c r="X1677" s="2" t="s">
        <v>85</v>
      </c>
      <c r="Y1677" s="2">
        <v>3.7558508827492401</v>
      </c>
      <c r="Z1677" s="2">
        <v>3755.8508827492401</v>
      </c>
      <c r="AA1677" s="2">
        <v>4.71035</v>
      </c>
      <c r="AB1677" s="2">
        <v>-74.030416666666696</v>
      </c>
      <c r="AC1677" s="2">
        <v>2570</v>
      </c>
      <c r="AD1677" s="2">
        <v>10</v>
      </c>
      <c r="AE1677" s="2" t="s">
        <v>59</v>
      </c>
      <c r="AF1677" s="2" t="s">
        <v>86</v>
      </c>
      <c r="AG1677" s="2" t="s">
        <v>61</v>
      </c>
      <c r="AH1677" s="2" t="s">
        <v>62</v>
      </c>
      <c r="AI1677" s="2" t="s">
        <v>87</v>
      </c>
      <c r="AJ1677" s="2">
        <v>0.50890203568054904</v>
      </c>
      <c r="AK1677" s="2">
        <v>2.4038156842724199</v>
      </c>
      <c r="AL1677" s="2">
        <v>0.44142890337241503</v>
      </c>
      <c r="AM1677" s="2">
        <v>4.4634023693252201E-2</v>
      </c>
      <c r="AN1677" s="2">
        <v>3.2833582611730998</v>
      </c>
      <c r="AO1677" s="2">
        <v>0.56452254880785802</v>
      </c>
      <c r="AP1677" s="2">
        <v>0.56452254880785802</v>
      </c>
      <c r="AQ1677" s="2">
        <v>0</v>
      </c>
      <c r="AR1677" s="2">
        <v>4</v>
      </c>
      <c r="AS1677" s="2">
        <v>0</v>
      </c>
      <c r="AT1677" s="2">
        <v>0</v>
      </c>
      <c r="AU1677" s="2">
        <v>5</v>
      </c>
      <c r="AV1677" s="2">
        <v>218</v>
      </c>
      <c r="AW1677" s="2">
        <v>0</v>
      </c>
      <c r="AX1677" s="2">
        <v>0</v>
      </c>
      <c r="AY1677" s="2">
        <v>15.5</v>
      </c>
      <c r="AZ1677" s="2">
        <v>2.4</v>
      </c>
      <c r="BA1677" s="2">
        <v>10.9</v>
      </c>
      <c r="BB1677" s="2">
        <v>564</v>
      </c>
      <c r="BC1677" s="2">
        <v>68</v>
      </c>
      <c r="BD1677" s="2">
        <v>1.5</v>
      </c>
      <c r="BE1677" s="2">
        <v>135</v>
      </c>
      <c r="BF1677" s="2">
        <v>0</v>
      </c>
      <c r="BG1677" s="2">
        <v>162</v>
      </c>
      <c r="BH1677" s="2">
        <v>9.1</v>
      </c>
      <c r="BI1677" s="2">
        <v>9.1999999999999993</v>
      </c>
      <c r="BJ1677" s="2">
        <v>18.3</v>
      </c>
      <c r="BK1677" s="2">
        <v>0.34</v>
      </c>
      <c r="BL1677" s="2">
        <v>7.3</v>
      </c>
      <c r="BM1677" s="2">
        <v>0.9</v>
      </c>
      <c r="BN1677" s="2">
        <v>7.5</v>
      </c>
      <c r="BO1677" s="2">
        <v>2.9</v>
      </c>
      <c r="BP1677" s="2">
        <f t="shared" si="52"/>
        <v>1.9928267708411909</v>
      </c>
      <c r="BQ1677" s="2">
        <f t="shared" si="53"/>
        <v>9.9604511628859509</v>
      </c>
    </row>
    <row r="1678" spans="1:69" x14ac:dyDescent="0.2">
      <c r="A1678" s="2" t="s">
        <v>729</v>
      </c>
      <c r="B1678" s="2" t="s">
        <v>47</v>
      </c>
      <c r="C1678" s="2" t="s">
        <v>48</v>
      </c>
      <c r="D1678" s="2" t="s">
        <v>49</v>
      </c>
      <c r="E1678" s="2" t="s">
        <v>447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89</v>
      </c>
      <c r="L1678" s="6" t="s">
        <v>112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730</v>
      </c>
      <c r="R1678" s="2">
        <v>11320754.720000001</v>
      </c>
      <c r="S1678" s="2">
        <v>0</v>
      </c>
      <c r="T1678" s="2" t="s">
        <v>83</v>
      </c>
      <c r="U1678" s="2" t="s">
        <v>84</v>
      </c>
      <c r="V1678" s="2" t="s">
        <v>56</v>
      </c>
      <c r="W1678" s="2" t="s">
        <v>83</v>
      </c>
      <c r="X1678" s="2" t="s">
        <v>85</v>
      </c>
      <c r="Y1678" s="2">
        <v>3.7551384288790901</v>
      </c>
      <c r="Z1678" s="2">
        <v>3755.13842887909</v>
      </c>
      <c r="AA1678" s="2">
        <v>4.71035</v>
      </c>
      <c r="AB1678" s="2">
        <v>-74.030416666666696</v>
      </c>
      <c r="AC1678" s="2">
        <v>2570</v>
      </c>
      <c r="AD1678" s="2">
        <v>10</v>
      </c>
      <c r="AE1678" s="2" t="s">
        <v>59</v>
      </c>
      <c r="AF1678" s="2" t="s">
        <v>86</v>
      </c>
      <c r="AG1678" s="2" t="s">
        <v>61</v>
      </c>
      <c r="AH1678" s="2" t="s">
        <v>62</v>
      </c>
      <c r="AI1678" s="2" t="s">
        <v>87</v>
      </c>
      <c r="AJ1678" s="2">
        <v>0.50970978206363204</v>
      </c>
      <c r="AK1678" s="2">
        <v>2.4040891688012098</v>
      </c>
      <c r="AL1678" s="2">
        <v>0.44167290300996898</v>
      </c>
      <c r="AM1678" s="2">
        <v>4.4923251656710503E-2</v>
      </c>
      <c r="AN1678" s="2">
        <v>3.28397019426742</v>
      </c>
      <c r="AO1678" s="2">
        <v>0.56532645186810004</v>
      </c>
      <c r="AP1678" s="2">
        <v>0.56532645186810004</v>
      </c>
      <c r="AQ1678" s="2">
        <v>0</v>
      </c>
      <c r="AR1678" s="2">
        <v>4</v>
      </c>
      <c r="AS1678" s="2">
        <v>0</v>
      </c>
      <c r="AT1678" s="2">
        <v>0</v>
      </c>
      <c r="AU1678" s="2">
        <v>5</v>
      </c>
      <c r="AV1678" s="2">
        <v>218</v>
      </c>
      <c r="AW1678" s="2">
        <v>0</v>
      </c>
      <c r="AX1678" s="2">
        <v>0</v>
      </c>
      <c r="AY1678" s="2">
        <v>15.5</v>
      </c>
      <c r="AZ1678" s="2">
        <v>2.4</v>
      </c>
      <c r="BA1678" s="2">
        <v>10.9</v>
      </c>
      <c r="BB1678" s="2">
        <v>564</v>
      </c>
      <c r="BC1678" s="2">
        <v>68</v>
      </c>
      <c r="BD1678" s="2">
        <v>1.5</v>
      </c>
      <c r="BE1678" s="2">
        <v>135</v>
      </c>
      <c r="BF1678" s="2">
        <v>0</v>
      </c>
      <c r="BG1678" s="2">
        <v>162</v>
      </c>
      <c r="BH1678" s="2">
        <v>9.1</v>
      </c>
      <c r="BI1678" s="2">
        <v>9.1999999999999993</v>
      </c>
      <c r="BJ1678" s="2">
        <v>18.3</v>
      </c>
      <c r="BK1678" s="2">
        <v>0.34</v>
      </c>
      <c r="BL1678" s="2">
        <v>7.3</v>
      </c>
      <c r="BM1678" s="2">
        <v>0.9</v>
      </c>
      <c r="BN1678" s="2">
        <v>7.5</v>
      </c>
      <c r="BO1678" s="2">
        <v>2.9</v>
      </c>
      <c r="BP1678" s="2">
        <f t="shared" si="52"/>
        <v>1.9928970520391669</v>
      </c>
      <c r="BQ1678" s="2">
        <f t="shared" si="53"/>
        <v>9.9606214770295463</v>
      </c>
    </row>
    <row r="1679" spans="1:69" x14ac:dyDescent="0.2">
      <c r="A1679" s="2" t="s">
        <v>1050</v>
      </c>
      <c r="B1679" s="2" t="s">
        <v>47</v>
      </c>
      <c r="C1679" s="2" t="s">
        <v>48</v>
      </c>
      <c r="D1679" s="2" t="s">
        <v>49</v>
      </c>
      <c r="E1679" s="2" t="s">
        <v>447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89</v>
      </c>
      <c r="L1679" s="6" t="s">
        <v>141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1051</v>
      </c>
      <c r="R1679" s="2">
        <v>9147786.5199999996</v>
      </c>
      <c r="S1679" s="2">
        <v>0</v>
      </c>
      <c r="T1679" s="2" t="s">
        <v>83</v>
      </c>
      <c r="U1679" s="2" t="s">
        <v>84</v>
      </c>
      <c r="V1679" s="2" t="s">
        <v>56</v>
      </c>
      <c r="W1679" s="2" t="s">
        <v>83</v>
      </c>
      <c r="X1679" s="2" t="s">
        <v>85</v>
      </c>
      <c r="Y1679" s="2">
        <v>3.3161989725060002</v>
      </c>
      <c r="Z1679" s="2">
        <v>3316.1989725059998</v>
      </c>
      <c r="AA1679" s="2">
        <v>4.71035</v>
      </c>
      <c r="AB1679" s="2">
        <v>-74.030416666666696</v>
      </c>
      <c r="AC1679" s="2">
        <v>2570</v>
      </c>
      <c r="AD1679" s="2">
        <v>10</v>
      </c>
      <c r="AE1679" s="2" t="s">
        <v>59</v>
      </c>
      <c r="AF1679" s="2" t="s">
        <v>86</v>
      </c>
      <c r="AG1679" s="2" t="s">
        <v>61</v>
      </c>
      <c r="AH1679" s="2" t="s">
        <v>62</v>
      </c>
      <c r="AI1679" s="2" t="s">
        <v>87</v>
      </c>
      <c r="AJ1679" s="2">
        <v>0.99545614761782797</v>
      </c>
      <c r="AK1679" s="2">
        <v>1.72537627400813</v>
      </c>
      <c r="AL1679" s="2">
        <v>0.193521395695672</v>
      </c>
      <c r="AM1679" s="2">
        <v>0.14783056817530599</v>
      </c>
      <c r="AN1679" s="2">
        <v>3.9063144710942699</v>
      </c>
      <c r="AO1679" s="2">
        <v>0.48112301705375399</v>
      </c>
      <c r="AP1679" s="2">
        <v>0.48112301705375399</v>
      </c>
      <c r="AQ1679" s="2">
        <v>0</v>
      </c>
      <c r="AR1679" s="2">
        <v>1</v>
      </c>
      <c r="AS1679" s="2">
        <v>0</v>
      </c>
      <c r="AT1679" s="2">
        <v>0</v>
      </c>
      <c r="AU1679" s="2">
        <v>5</v>
      </c>
      <c r="AV1679" s="2">
        <v>186</v>
      </c>
      <c r="AW1679" s="2">
        <v>0</v>
      </c>
      <c r="AX1679" s="2">
        <v>0</v>
      </c>
      <c r="AY1679" s="2">
        <v>15.5</v>
      </c>
      <c r="AZ1679" s="2">
        <v>2.4</v>
      </c>
      <c r="BA1679" s="2">
        <v>10.9</v>
      </c>
      <c r="BB1679" s="2">
        <v>564</v>
      </c>
      <c r="BC1679" s="2">
        <v>68</v>
      </c>
      <c r="BD1679" s="2">
        <v>1.5</v>
      </c>
      <c r="BE1679" s="2">
        <v>135</v>
      </c>
      <c r="BF1679" s="2">
        <v>0</v>
      </c>
      <c r="BG1679" s="2">
        <v>162</v>
      </c>
      <c r="BH1679" s="2">
        <v>9.1</v>
      </c>
      <c r="BI1679" s="2">
        <v>9.1999999999999993</v>
      </c>
      <c r="BJ1679" s="2">
        <v>18.3</v>
      </c>
      <c r="BK1679" s="2">
        <v>0.34</v>
      </c>
      <c r="BL1679" s="2">
        <v>7.3</v>
      </c>
      <c r="BM1679" s="2">
        <v>0.9</v>
      </c>
      <c r="BN1679" s="2">
        <v>7.5</v>
      </c>
      <c r="BO1679" s="2">
        <v>2.9</v>
      </c>
      <c r="BP1679" s="2">
        <f t="shared" si="52"/>
        <v>2.0366715622071143</v>
      </c>
      <c r="BQ1679" s="2">
        <f t="shared" si="53"/>
        <v>10.06610675593965</v>
      </c>
    </row>
    <row r="1680" spans="1:69" x14ac:dyDescent="0.2">
      <c r="A1680" s="2" t="s">
        <v>3092</v>
      </c>
      <c r="B1680" s="2" t="s">
        <v>47</v>
      </c>
      <c r="C1680" s="2" t="s">
        <v>1935</v>
      </c>
      <c r="D1680" s="2" t="s">
        <v>49</v>
      </c>
      <c r="E1680" s="2" t="s">
        <v>3093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89</v>
      </c>
      <c r="L1680" s="6" t="s">
        <v>103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3094</v>
      </c>
      <c r="R1680" s="2">
        <v>4571428.5710000005</v>
      </c>
      <c r="S1680" s="2">
        <v>0</v>
      </c>
      <c r="T1680" s="2" t="s">
        <v>83</v>
      </c>
      <c r="U1680" s="2" t="s">
        <v>84</v>
      </c>
      <c r="V1680" s="2" t="s">
        <v>56</v>
      </c>
      <c r="W1680" s="2" t="s">
        <v>83</v>
      </c>
      <c r="X1680" s="2" t="s">
        <v>85</v>
      </c>
      <c r="Y1680" s="2">
        <v>4.0165130150913502</v>
      </c>
      <c r="Z1680" s="2">
        <v>4016.5130150913501</v>
      </c>
      <c r="AA1680" s="2">
        <v>4.71035</v>
      </c>
      <c r="AB1680" s="2">
        <v>-74.030416666666696</v>
      </c>
      <c r="AC1680" s="2">
        <v>2570</v>
      </c>
      <c r="AD1680" s="2">
        <v>10</v>
      </c>
      <c r="AE1680" s="2" t="s">
        <v>59</v>
      </c>
      <c r="AF1680" s="2" t="s">
        <v>86</v>
      </c>
      <c r="AG1680" s="2" t="s">
        <v>61</v>
      </c>
      <c r="AH1680" s="2" t="s">
        <v>62</v>
      </c>
      <c r="AI1680" s="2" t="s">
        <v>87</v>
      </c>
      <c r="AJ1680" s="2">
        <v>1.65374671992857</v>
      </c>
      <c r="AK1680" s="2">
        <v>1.34785639407575</v>
      </c>
      <c r="AL1680" s="2">
        <v>0.30987706470499998</v>
      </c>
      <c r="AM1680" s="2">
        <v>0.45714340575343998</v>
      </c>
      <c r="AN1680" s="2">
        <v>0.82035419635614704</v>
      </c>
      <c r="AO1680" s="2">
        <v>0.36479113107177003</v>
      </c>
      <c r="AP1680" s="2">
        <v>0.36479113107177003</v>
      </c>
      <c r="AQ1680" s="2">
        <v>0</v>
      </c>
      <c r="AR1680" s="2">
        <v>0</v>
      </c>
      <c r="AS1680" s="2">
        <v>0</v>
      </c>
      <c r="AT1680" s="2">
        <v>0</v>
      </c>
      <c r="AU1680" s="2">
        <v>3</v>
      </c>
      <c r="AV1680" s="2">
        <v>10</v>
      </c>
      <c r="AW1680" s="2">
        <v>1</v>
      </c>
      <c r="AX1680" s="2">
        <v>0</v>
      </c>
      <c r="AY1680" s="2">
        <v>15.5</v>
      </c>
      <c r="AZ1680" s="2">
        <v>2.4</v>
      </c>
      <c r="BA1680" s="2">
        <v>10.9</v>
      </c>
      <c r="BB1680" s="2">
        <v>564</v>
      </c>
      <c r="BC1680" s="2">
        <v>68</v>
      </c>
      <c r="BD1680" s="2">
        <v>1.5</v>
      </c>
      <c r="BE1680" s="2">
        <v>135</v>
      </c>
      <c r="BF1680" s="2">
        <v>0</v>
      </c>
      <c r="BG1680" s="2">
        <v>162</v>
      </c>
      <c r="BH1680" s="2">
        <v>9.1</v>
      </c>
      <c r="BI1680" s="2">
        <v>9.1999999999999993</v>
      </c>
      <c r="BJ1680" s="2">
        <v>18.3</v>
      </c>
      <c r="BK1680" s="2">
        <v>0.34</v>
      </c>
      <c r="BL1680" s="2">
        <v>7.3</v>
      </c>
      <c r="BM1680" s="2">
        <v>0.9</v>
      </c>
      <c r="BN1680" s="2">
        <v>7.5</v>
      </c>
      <c r="BO1680" s="2">
        <v>2.9</v>
      </c>
      <c r="BP1680" s="2">
        <f t="shared" si="52"/>
        <v>1.967278947655251</v>
      </c>
      <c r="BQ1680" s="2">
        <f t="shared" si="53"/>
        <v>9.898334165517845</v>
      </c>
    </row>
    <row r="1681" spans="1:69" x14ac:dyDescent="0.2">
      <c r="A1681" s="2" t="s">
        <v>1500</v>
      </c>
      <c r="B1681" s="2" t="s">
        <v>47</v>
      </c>
      <c r="C1681" s="2" t="s">
        <v>48</v>
      </c>
      <c r="D1681" s="2" t="s">
        <v>49</v>
      </c>
      <c r="E1681" s="2" t="s">
        <v>1121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89</v>
      </c>
      <c r="L1681" s="6" t="s">
        <v>103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1501</v>
      </c>
      <c r="R1681" s="2">
        <v>5714285.7139999997</v>
      </c>
      <c r="S1681" s="2">
        <v>0</v>
      </c>
      <c r="T1681" s="2" t="s">
        <v>83</v>
      </c>
      <c r="U1681" s="2" t="s">
        <v>84</v>
      </c>
      <c r="V1681" s="2" t="s">
        <v>56</v>
      </c>
      <c r="W1681" s="2" t="s">
        <v>83</v>
      </c>
      <c r="X1681" s="2" t="s">
        <v>85</v>
      </c>
      <c r="Y1681" s="2">
        <v>2.9477769501992399</v>
      </c>
      <c r="Z1681" s="2">
        <v>2947.7769501992402</v>
      </c>
      <c r="AA1681" s="2">
        <v>4.71035</v>
      </c>
      <c r="AB1681" s="2">
        <v>-74.030416666666696</v>
      </c>
      <c r="AC1681" s="2">
        <v>2570</v>
      </c>
      <c r="AD1681" s="2">
        <v>10</v>
      </c>
      <c r="AE1681" s="2" t="s">
        <v>59</v>
      </c>
      <c r="AF1681" s="2" t="s">
        <v>86</v>
      </c>
      <c r="AG1681" s="2" t="s">
        <v>61</v>
      </c>
      <c r="AH1681" s="2" t="s">
        <v>62</v>
      </c>
      <c r="AI1681" s="2" t="s">
        <v>100</v>
      </c>
      <c r="AJ1681" s="2">
        <v>0.33571969338568902</v>
      </c>
      <c r="AK1681" s="2">
        <v>3.4807729062535899</v>
      </c>
      <c r="AL1681" s="2">
        <v>1.6353374568891299</v>
      </c>
      <c r="AM1681" s="2">
        <v>0.10340112708659401</v>
      </c>
      <c r="AN1681" s="2">
        <v>4.5566480372171903</v>
      </c>
      <c r="AO1681" s="2">
        <v>0.18466969488563201</v>
      </c>
      <c r="AP1681" s="2">
        <v>0.18466969488563201</v>
      </c>
      <c r="AQ1681" s="2">
        <v>1</v>
      </c>
      <c r="AR1681" s="2">
        <v>2</v>
      </c>
      <c r="AS1681" s="2">
        <v>0</v>
      </c>
      <c r="AT1681" s="2">
        <v>0</v>
      </c>
      <c r="AU1681" s="2">
        <v>0</v>
      </c>
      <c r="AV1681" s="2">
        <v>113</v>
      </c>
      <c r="AW1681" s="2">
        <v>0</v>
      </c>
      <c r="AX1681" s="2">
        <v>0</v>
      </c>
      <c r="AY1681" s="2">
        <v>15.5</v>
      </c>
      <c r="AZ1681" s="2">
        <v>2.4</v>
      </c>
      <c r="BA1681" s="2">
        <v>10.9</v>
      </c>
      <c r="BB1681" s="2">
        <v>564</v>
      </c>
      <c r="BC1681" s="2">
        <v>68</v>
      </c>
      <c r="BD1681" s="2">
        <v>1.5</v>
      </c>
      <c r="BE1681" s="2">
        <v>135</v>
      </c>
      <c r="BF1681" s="2">
        <v>0</v>
      </c>
      <c r="BG1681" s="2">
        <v>162</v>
      </c>
      <c r="BH1681" s="2">
        <v>9.1</v>
      </c>
      <c r="BI1681" s="2">
        <v>9.1999999999999993</v>
      </c>
      <c r="BJ1681" s="2">
        <v>18.3</v>
      </c>
      <c r="BK1681" s="2">
        <v>0.34</v>
      </c>
      <c r="BL1681" s="2">
        <v>7.3</v>
      </c>
      <c r="BM1681" s="2">
        <v>0.9</v>
      </c>
      <c r="BN1681" s="2">
        <v>7.5</v>
      </c>
      <c r="BO1681" s="2">
        <v>2.9</v>
      </c>
      <c r="BP1681" s="2">
        <f t="shared" si="52"/>
        <v>2.0741548682750897</v>
      </c>
      <c r="BQ1681" s="2">
        <f t="shared" si="53"/>
        <v>10.155507228493633</v>
      </c>
    </row>
    <row r="1682" spans="1:69" x14ac:dyDescent="0.2">
      <c r="A1682" s="2" t="s">
        <v>933</v>
      </c>
      <c r="B1682" s="2" t="s">
        <v>47</v>
      </c>
      <c r="C1682" s="2" t="s">
        <v>48</v>
      </c>
      <c r="D1682" s="2" t="s">
        <v>49</v>
      </c>
      <c r="E1682" s="2" t="s">
        <v>262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89</v>
      </c>
      <c r="L1682" s="6" t="s">
        <v>103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934</v>
      </c>
      <c r="R1682" s="2">
        <v>6442307.6919999998</v>
      </c>
      <c r="S1682" s="2">
        <v>0</v>
      </c>
      <c r="T1682" s="2" t="s">
        <v>83</v>
      </c>
      <c r="U1682" s="2" t="s">
        <v>84</v>
      </c>
      <c r="V1682" s="2" t="s">
        <v>56</v>
      </c>
      <c r="W1682" s="2" t="s">
        <v>83</v>
      </c>
      <c r="X1682" s="2" t="s">
        <v>85</v>
      </c>
      <c r="Y1682" s="2">
        <v>1.90878622412057</v>
      </c>
      <c r="Z1682" s="2">
        <v>1908.7862241205701</v>
      </c>
      <c r="AA1682" s="2">
        <v>4.71035</v>
      </c>
      <c r="AB1682" s="2">
        <v>-74.030416666666696</v>
      </c>
      <c r="AC1682" s="2">
        <v>2570</v>
      </c>
      <c r="AD1682" s="2">
        <v>10</v>
      </c>
      <c r="AE1682" s="2" t="s">
        <v>59</v>
      </c>
      <c r="AF1682" s="2" t="s">
        <v>86</v>
      </c>
      <c r="AG1682" s="2" t="s">
        <v>61</v>
      </c>
      <c r="AH1682" s="2" t="s">
        <v>62</v>
      </c>
      <c r="AI1682" s="2" t="s">
        <v>87</v>
      </c>
      <c r="AJ1682" s="2">
        <v>1.53185508148001</v>
      </c>
      <c r="AK1682" s="2">
        <v>1.62703419837896</v>
      </c>
      <c r="AL1682" s="2">
        <v>0.81184112642336004</v>
      </c>
      <c r="AM1682" s="2">
        <v>0.25620071721946203</v>
      </c>
      <c r="AN1682" s="2">
        <v>2.0127624235158699</v>
      </c>
      <c r="AO1682" s="2">
        <v>0.18500560364249399</v>
      </c>
      <c r="AP1682" s="2">
        <v>0.18500560364249399</v>
      </c>
      <c r="AQ1682" s="2">
        <v>0</v>
      </c>
      <c r="AR1682" s="2">
        <v>0</v>
      </c>
      <c r="AS1682" s="2">
        <v>0</v>
      </c>
      <c r="AT1682" s="2">
        <v>0</v>
      </c>
      <c r="AU1682" s="2">
        <v>1</v>
      </c>
      <c r="AV1682" s="2">
        <v>20</v>
      </c>
      <c r="AW1682" s="2">
        <v>0</v>
      </c>
      <c r="AX1682" s="2">
        <v>0</v>
      </c>
      <c r="AY1682" s="2">
        <v>15.5</v>
      </c>
      <c r="AZ1682" s="2">
        <v>2.4</v>
      </c>
      <c r="BA1682" s="2">
        <v>10.9</v>
      </c>
      <c r="BB1682" s="2">
        <v>564</v>
      </c>
      <c r="BC1682" s="2">
        <v>68</v>
      </c>
      <c r="BD1682" s="2">
        <v>1.5</v>
      </c>
      <c r="BE1682" s="2">
        <v>135</v>
      </c>
      <c r="BF1682" s="2">
        <v>0</v>
      </c>
      <c r="BG1682" s="2">
        <v>162</v>
      </c>
      <c r="BH1682" s="2">
        <v>9.1</v>
      </c>
      <c r="BI1682" s="2">
        <v>9.1999999999999993</v>
      </c>
      <c r="BJ1682" s="2">
        <v>18.3</v>
      </c>
      <c r="BK1682" s="2">
        <v>0.34</v>
      </c>
      <c r="BL1682" s="2">
        <v>7.3</v>
      </c>
      <c r="BM1682" s="2">
        <v>0.9</v>
      </c>
      <c r="BN1682" s="2">
        <v>7.5</v>
      </c>
      <c r="BO1682" s="2">
        <v>2.9</v>
      </c>
      <c r="BP1682" s="2">
        <f t="shared" si="52"/>
        <v>2.1836194959981738</v>
      </c>
      <c r="BQ1682" s="2">
        <f t="shared" si="53"/>
        <v>10.411926415781116</v>
      </c>
    </row>
    <row r="1683" spans="1:69" x14ac:dyDescent="0.2">
      <c r="A1683" s="2" t="s">
        <v>310</v>
      </c>
      <c r="B1683" s="2" t="s">
        <v>47</v>
      </c>
      <c r="C1683" s="2" t="s">
        <v>48</v>
      </c>
      <c r="D1683" s="2" t="s">
        <v>49</v>
      </c>
      <c r="E1683" s="2" t="s">
        <v>311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89</v>
      </c>
      <c r="L1683" s="6" t="s">
        <v>141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312</v>
      </c>
      <c r="R1683" s="2">
        <v>5679611.6500000004</v>
      </c>
      <c r="S1683" s="2">
        <v>0</v>
      </c>
      <c r="T1683" s="2" t="s">
        <v>83</v>
      </c>
      <c r="U1683" s="2" t="s">
        <v>84</v>
      </c>
      <c r="V1683" s="2" t="s">
        <v>56</v>
      </c>
      <c r="W1683" s="2" t="s">
        <v>83</v>
      </c>
      <c r="X1683" s="2" t="s">
        <v>85</v>
      </c>
      <c r="Y1683" s="2">
        <v>1.8014204405974801</v>
      </c>
      <c r="Z1683" s="2">
        <v>1801.4204405974799</v>
      </c>
      <c r="AA1683" s="2">
        <v>4.71035</v>
      </c>
      <c r="AB1683" s="2">
        <v>-74.030416666666696</v>
      </c>
      <c r="AC1683" s="2">
        <v>2570</v>
      </c>
      <c r="AD1683" s="2">
        <v>10</v>
      </c>
      <c r="AE1683" s="2" t="s">
        <v>59</v>
      </c>
      <c r="AF1683" s="2" t="s">
        <v>86</v>
      </c>
      <c r="AG1683" s="2" t="s">
        <v>61</v>
      </c>
      <c r="AH1683" s="2" t="s">
        <v>62</v>
      </c>
      <c r="AI1683" s="2" t="s">
        <v>87</v>
      </c>
      <c r="AJ1683" s="2">
        <v>2.80522718694171</v>
      </c>
      <c r="AK1683" s="2">
        <v>0.41524629549222702</v>
      </c>
      <c r="AL1683" s="2">
        <v>1.8376370808581399</v>
      </c>
      <c r="AM1683" s="2">
        <v>0.227713053029163</v>
      </c>
      <c r="AN1683" s="2">
        <v>1.76807213699543</v>
      </c>
      <c r="AO1683" s="2">
        <v>0.60199973168199905</v>
      </c>
      <c r="AP1683" s="2">
        <v>0.60199973168199905</v>
      </c>
      <c r="AQ1683" s="2">
        <v>0</v>
      </c>
      <c r="AR1683" s="2">
        <v>0</v>
      </c>
      <c r="AS1683" s="2">
        <v>10</v>
      </c>
      <c r="AT1683" s="2">
        <v>33</v>
      </c>
      <c r="AU1683" s="2">
        <v>0</v>
      </c>
      <c r="AV1683" s="2">
        <v>7</v>
      </c>
      <c r="AW1683" s="2">
        <v>0</v>
      </c>
      <c r="AX1683" s="2">
        <v>0</v>
      </c>
      <c r="AY1683" s="2">
        <v>15.5</v>
      </c>
      <c r="AZ1683" s="2">
        <v>2.4</v>
      </c>
      <c r="BA1683" s="2">
        <v>10.9</v>
      </c>
      <c r="BB1683" s="2">
        <v>564</v>
      </c>
      <c r="BC1683" s="2">
        <v>68</v>
      </c>
      <c r="BD1683" s="2">
        <v>1.5</v>
      </c>
      <c r="BE1683" s="2">
        <v>135</v>
      </c>
      <c r="BF1683" s="2">
        <v>0</v>
      </c>
      <c r="BG1683" s="2">
        <v>162</v>
      </c>
      <c r="BH1683" s="2">
        <v>9.1</v>
      </c>
      <c r="BI1683" s="2">
        <v>9.1999999999999993</v>
      </c>
      <c r="BJ1683" s="2">
        <v>18.3</v>
      </c>
      <c r="BK1683" s="2">
        <v>0.34</v>
      </c>
      <c r="BL1683" s="2">
        <v>7.3</v>
      </c>
      <c r="BM1683" s="2">
        <v>0.9</v>
      </c>
      <c r="BN1683" s="2">
        <v>7.5</v>
      </c>
      <c r="BO1683" s="2">
        <v>2.9</v>
      </c>
      <c r="BP1683" s="2">
        <f t="shared" si="52"/>
        <v>2.1952554668079314</v>
      </c>
      <c r="BQ1683" s="2">
        <f t="shared" si="53"/>
        <v>10.438790243290368</v>
      </c>
    </row>
    <row r="1684" spans="1:69" x14ac:dyDescent="0.2">
      <c r="A1684" s="2" t="s">
        <v>812</v>
      </c>
      <c r="B1684" s="2" t="s">
        <v>47</v>
      </c>
      <c r="C1684" s="2" t="s">
        <v>48</v>
      </c>
      <c r="D1684" s="2" t="s">
        <v>49</v>
      </c>
      <c r="E1684" s="2" t="s">
        <v>189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89</v>
      </c>
      <c r="L1684" s="6" t="s">
        <v>112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813</v>
      </c>
      <c r="R1684" s="2">
        <v>8333333.3329999996</v>
      </c>
      <c r="S1684" s="2">
        <v>0</v>
      </c>
      <c r="T1684" s="2" t="s">
        <v>83</v>
      </c>
      <c r="U1684" s="2" t="s">
        <v>84</v>
      </c>
      <c r="V1684" s="2" t="s">
        <v>56</v>
      </c>
      <c r="W1684" s="2" t="s">
        <v>83</v>
      </c>
      <c r="X1684" s="2" t="s">
        <v>85</v>
      </c>
      <c r="Y1684" s="2">
        <v>2.7414616523781601</v>
      </c>
      <c r="Z1684" s="2">
        <v>2741.4616523781601</v>
      </c>
      <c r="AA1684" s="2">
        <v>4.71035</v>
      </c>
      <c r="AB1684" s="2">
        <v>-74.030416666666696</v>
      </c>
      <c r="AC1684" s="2">
        <v>2570</v>
      </c>
      <c r="AD1684" s="2">
        <v>10</v>
      </c>
      <c r="AE1684" s="2" t="s">
        <v>59</v>
      </c>
      <c r="AF1684" s="2" t="s">
        <v>86</v>
      </c>
      <c r="AG1684" s="2" t="s">
        <v>61</v>
      </c>
      <c r="AH1684" s="2" t="s">
        <v>62</v>
      </c>
      <c r="AI1684" s="2" t="s">
        <v>87</v>
      </c>
      <c r="AJ1684" s="2">
        <v>1.0369979639471401</v>
      </c>
      <c r="AK1684" s="2">
        <v>1.8899468238035799</v>
      </c>
      <c r="AL1684" s="2">
        <v>0.35933726263367199</v>
      </c>
      <c r="AM1684" s="2">
        <v>0.104564971201019</v>
      </c>
      <c r="AN1684" s="2">
        <v>4.3677701648488103</v>
      </c>
      <c r="AO1684" s="2">
        <v>9.8841846768010097E-2</v>
      </c>
      <c r="AP1684" s="2">
        <v>9.8841846768010097E-2</v>
      </c>
      <c r="AQ1684" s="2">
        <v>0</v>
      </c>
      <c r="AR1684" s="2">
        <v>0</v>
      </c>
      <c r="AS1684" s="2">
        <v>0</v>
      </c>
      <c r="AT1684" s="2">
        <v>0</v>
      </c>
      <c r="AU1684" s="2">
        <v>5</v>
      </c>
      <c r="AV1684" s="2">
        <v>120</v>
      </c>
      <c r="AW1684" s="2">
        <v>0</v>
      </c>
      <c r="AX1684" s="2">
        <v>0</v>
      </c>
      <c r="AY1684" s="2">
        <v>15.5</v>
      </c>
      <c r="AZ1684" s="2">
        <v>2.4</v>
      </c>
      <c r="BA1684" s="2">
        <v>10.9</v>
      </c>
      <c r="BB1684" s="2">
        <v>564</v>
      </c>
      <c r="BC1684" s="2">
        <v>68</v>
      </c>
      <c r="BD1684" s="2">
        <v>1.5</v>
      </c>
      <c r="BE1684" s="2">
        <v>135</v>
      </c>
      <c r="BF1684" s="2">
        <v>0</v>
      </c>
      <c r="BG1684" s="2">
        <v>162</v>
      </c>
      <c r="BH1684" s="2">
        <v>9.1</v>
      </c>
      <c r="BI1684" s="2">
        <v>9.1999999999999993</v>
      </c>
      <c r="BJ1684" s="2">
        <v>18.3</v>
      </c>
      <c r="BK1684" s="2">
        <v>0.34</v>
      </c>
      <c r="BL1684" s="2">
        <v>7.3</v>
      </c>
      <c r="BM1684" s="2">
        <v>0.9</v>
      </c>
      <c r="BN1684" s="2">
        <v>7.5</v>
      </c>
      <c r="BO1684" s="2">
        <v>2.9</v>
      </c>
      <c r="BP1684" s="2">
        <f t="shared" si="52"/>
        <v>2.095445930884472</v>
      </c>
      <c r="BQ1684" s="2">
        <f t="shared" si="53"/>
        <v>10.205917606643874</v>
      </c>
    </row>
    <row r="1685" spans="1:69" x14ac:dyDescent="0.2">
      <c r="A1685" s="2" t="s">
        <v>1545</v>
      </c>
      <c r="B1685" s="2" t="s">
        <v>47</v>
      </c>
      <c r="C1685" s="2" t="s">
        <v>48</v>
      </c>
      <c r="D1685" s="2" t="s">
        <v>49</v>
      </c>
      <c r="E1685" s="2" t="s">
        <v>208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89</v>
      </c>
      <c r="L1685" s="6" t="s">
        <v>103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1546</v>
      </c>
      <c r="R1685" s="2">
        <v>10500000</v>
      </c>
      <c r="S1685" s="2">
        <v>0</v>
      </c>
      <c r="T1685" s="2" t="s">
        <v>83</v>
      </c>
      <c r="U1685" s="2" t="s">
        <v>84</v>
      </c>
      <c r="V1685" s="2" t="s">
        <v>56</v>
      </c>
      <c r="W1685" s="2" t="s">
        <v>83</v>
      </c>
      <c r="X1685" s="2" t="s">
        <v>85</v>
      </c>
      <c r="Y1685" s="2">
        <v>4.10745961659077</v>
      </c>
      <c r="Z1685" s="2">
        <v>4107.4596165907697</v>
      </c>
      <c r="AA1685" s="2">
        <v>4.71035</v>
      </c>
      <c r="AB1685" s="2">
        <v>-74.030416666666696</v>
      </c>
      <c r="AC1685" s="2">
        <v>2570</v>
      </c>
      <c r="AD1685" s="2">
        <v>10</v>
      </c>
      <c r="AE1685" s="2" t="s">
        <v>59</v>
      </c>
      <c r="AF1685" s="2" t="s">
        <v>86</v>
      </c>
      <c r="AG1685" s="2" t="s">
        <v>61</v>
      </c>
      <c r="AH1685" s="2" t="s">
        <v>62</v>
      </c>
      <c r="AI1685" s="2" t="s">
        <v>109</v>
      </c>
      <c r="AJ1685" s="2">
        <v>1.2456595992159201</v>
      </c>
      <c r="AK1685" s="2">
        <v>1.0260542064445</v>
      </c>
      <c r="AL1685" s="2">
        <v>0.96895472022163998</v>
      </c>
      <c r="AM1685" s="2">
        <v>9.9890223332519804E-2</v>
      </c>
      <c r="AN1685" s="2">
        <v>3.7879195690677299</v>
      </c>
      <c r="AO1685" s="2">
        <v>1.2347679595877401</v>
      </c>
      <c r="AP1685" s="2">
        <v>1.2347679595877401</v>
      </c>
      <c r="AQ1685" s="2">
        <v>0</v>
      </c>
      <c r="AR1685" s="2">
        <v>0</v>
      </c>
      <c r="AS1685" s="2">
        <v>0</v>
      </c>
      <c r="AT1685" s="2">
        <v>0</v>
      </c>
      <c r="AU1685" s="2">
        <v>1</v>
      </c>
      <c r="AV1685" s="2">
        <v>110</v>
      </c>
      <c r="AW1685" s="2">
        <v>0</v>
      </c>
      <c r="AX1685" s="2">
        <v>0</v>
      </c>
      <c r="AY1685" s="2">
        <v>15.5</v>
      </c>
      <c r="AZ1685" s="2">
        <v>2.4</v>
      </c>
      <c r="BA1685" s="2">
        <v>10.9</v>
      </c>
      <c r="BB1685" s="2">
        <v>564</v>
      </c>
      <c r="BC1685" s="2">
        <v>68</v>
      </c>
      <c r="BD1685" s="2">
        <v>1.5</v>
      </c>
      <c r="BE1685" s="2">
        <v>135</v>
      </c>
      <c r="BF1685" s="2">
        <v>0</v>
      </c>
      <c r="BG1685" s="2">
        <v>162</v>
      </c>
      <c r="BH1685" s="2">
        <v>9.1</v>
      </c>
      <c r="BI1685" s="2">
        <v>9.1999999999999993</v>
      </c>
      <c r="BJ1685" s="2">
        <v>18.3</v>
      </c>
      <c r="BK1685" s="2">
        <v>0.34</v>
      </c>
      <c r="BL1685" s="2">
        <v>7.3</v>
      </c>
      <c r="BM1685" s="2">
        <v>0.9</v>
      </c>
      <c r="BN1685" s="2">
        <v>7.5</v>
      </c>
      <c r="BO1685" s="2">
        <v>2.9</v>
      </c>
      <c r="BP1685" s="2">
        <f t="shared" si="52"/>
        <v>1.9584424448568594</v>
      </c>
      <c r="BQ1685" s="2">
        <f t="shared" si="53"/>
        <v>9.8767524510206819</v>
      </c>
    </row>
    <row r="1686" spans="1:69" x14ac:dyDescent="0.2">
      <c r="A1686" s="2" t="s">
        <v>1611</v>
      </c>
      <c r="B1686" s="2" t="s">
        <v>47</v>
      </c>
      <c r="C1686" s="2" t="s">
        <v>48</v>
      </c>
      <c r="D1686" s="2" t="s">
        <v>49</v>
      </c>
      <c r="E1686" s="2" t="s">
        <v>316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89</v>
      </c>
      <c r="L1686" s="6" t="s">
        <v>103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1612</v>
      </c>
      <c r="R1686" s="2">
        <v>8300000</v>
      </c>
      <c r="S1686" s="2">
        <v>0</v>
      </c>
      <c r="T1686" s="2" t="s">
        <v>83</v>
      </c>
      <c r="U1686" s="2" t="s">
        <v>84</v>
      </c>
      <c r="V1686" s="2" t="s">
        <v>56</v>
      </c>
      <c r="W1686" s="2" t="s">
        <v>83</v>
      </c>
      <c r="X1686" s="2" t="s">
        <v>85</v>
      </c>
      <c r="Y1686" s="2">
        <v>1.79079900841226</v>
      </c>
      <c r="Z1686" s="2">
        <v>1790.79900841226</v>
      </c>
      <c r="AA1686" s="2">
        <v>4.71035</v>
      </c>
      <c r="AB1686" s="2">
        <v>-74.030416666666696</v>
      </c>
      <c r="AC1686" s="2">
        <v>2570</v>
      </c>
      <c r="AD1686" s="2">
        <v>10</v>
      </c>
      <c r="AE1686" s="2" t="s">
        <v>59</v>
      </c>
      <c r="AF1686" s="2" t="s">
        <v>86</v>
      </c>
      <c r="AG1686" s="2" t="s">
        <v>61</v>
      </c>
      <c r="AH1686" s="2" t="s">
        <v>62</v>
      </c>
      <c r="AI1686" s="2" t="s">
        <v>87</v>
      </c>
      <c r="AJ1686" s="2">
        <v>1.0215360897368799</v>
      </c>
      <c r="AK1686" s="2">
        <v>2.1672634361982999</v>
      </c>
      <c r="AL1686" s="2">
        <v>1.25663250623207</v>
      </c>
      <c r="AM1686" s="2">
        <v>0.10471652955824701</v>
      </c>
      <c r="AN1686" s="2">
        <v>4.6591810837339498</v>
      </c>
      <c r="AO1686" s="2">
        <v>0.27373009124200198</v>
      </c>
      <c r="AP1686" s="2">
        <v>0.27373009124200198</v>
      </c>
      <c r="AQ1686" s="2">
        <v>0</v>
      </c>
      <c r="AR1686" s="2">
        <v>0</v>
      </c>
      <c r="AS1686" s="2">
        <v>0</v>
      </c>
      <c r="AT1686" s="2">
        <v>0</v>
      </c>
      <c r="AU1686" s="2">
        <v>0</v>
      </c>
      <c r="AV1686" s="2">
        <v>163</v>
      </c>
      <c r="AW1686" s="2">
        <v>0</v>
      </c>
      <c r="AX1686" s="2">
        <v>0</v>
      </c>
      <c r="AY1686" s="2">
        <v>15.5</v>
      </c>
      <c r="AZ1686" s="2">
        <v>2.4</v>
      </c>
      <c r="BA1686" s="2">
        <v>10.9</v>
      </c>
      <c r="BB1686" s="2">
        <v>564</v>
      </c>
      <c r="BC1686" s="2">
        <v>68</v>
      </c>
      <c r="BD1686" s="2">
        <v>1.5</v>
      </c>
      <c r="BE1686" s="2">
        <v>135</v>
      </c>
      <c r="BF1686" s="2">
        <v>0</v>
      </c>
      <c r="BG1686" s="2">
        <v>162</v>
      </c>
      <c r="BH1686" s="2">
        <v>9.1</v>
      </c>
      <c r="BI1686" s="2">
        <v>9.1999999999999993</v>
      </c>
      <c r="BJ1686" s="2">
        <v>18.3</v>
      </c>
      <c r="BK1686" s="2">
        <v>0.34</v>
      </c>
      <c r="BL1686" s="2">
        <v>7.3</v>
      </c>
      <c r="BM1686" s="2">
        <v>0.9</v>
      </c>
      <c r="BN1686" s="2">
        <v>7.5</v>
      </c>
      <c r="BO1686" s="2">
        <v>2.9</v>
      </c>
      <c r="BP1686" s="2">
        <f t="shared" si="52"/>
        <v>2.1964099497472902</v>
      </c>
      <c r="BQ1686" s="2">
        <f t="shared" si="53"/>
        <v>10.44145158014642</v>
      </c>
    </row>
    <row r="1687" spans="1:69" x14ac:dyDescent="0.2">
      <c r="A1687" s="2" t="s">
        <v>1207</v>
      </c>
      <c r="B1687" s="2" t="s">
        <v>47</v>
      </c>
      <c r="C1687" s="2" t="s">
        <v>48</v>
      </c>
      <c r="D1687" s="2" t="s">
        <v>49</v>
      </c>
      <c r="E1687" s="2" t="s">
        <v>184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89</v>
      </c>
      <c r="L1687" s="6" t="s">
        <v>103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1208</v>
      </c>
      <c r="R1687" s="2">
        <v>6036217.3039999995</v>
      </c>
      <c r="S1687" s="2">
        <v>0</v>
      </c>
      <c r="T1687" s="2" t="s">
        <v>83</v>
      </c>
      <c r="U1687" s="2" t="s">
        <v>84</v>
      </c>
      <c r="V1687" s="2" t="s">
        <v>56</v>
      </c>
      <c r="W1687" s="2" t="s">
        <v>83</v>
      </c>
      <c r="X1687" s="2" t="s">
        <v>85</v>
      </c>
      <c r="Y1687" s="2">
        <v>1.1563999927297</v>
      </c>
      <c r="Z1687" s="2">
        <v>1156.3999927297</v>
      </c>
      <c r="AA1687" s="2">
        <v>4.71035</v>
      </c>
      <c r="AB1687" s="2">
        <v>-74.030416666666696</v>
      </c>
      <c r="AC1687" s="2">
        <v>2570</v>
      </c>
      <c r="AD1687" s="2">
        <v>10</v>
      </c>
      <c r="AE1687" s="2" t="s">
        <v>59</v>
      </c>
      <c r="AF1687" s="2" t="s">
        <v>86</v>
      </c>
      <c r="AG1687" s="2" t="s">
        <v>61</v>
      </c>
      <c r="AH1687" s="2" t="s">
        <v>62</v>
      </c>
      <c r="AI1687" s="2" t="s">
        <v>87</v>
      </c>
      <c r="AJ1687" s="2">
        <v>1.6080532913999299</v>
      </c>
      <c r="AK1687" s="2">
        <v>1.52150263597823</v>
      </c>
      <c r="AL1687" s="2">
        <v>0.96101992397168401</v>
      </c>
      <c r="AM1687" s="2">
        <v>0.106475532895178</v>
      </c>
      <c r="AN1687" s="2">
        <v>2.8325932895125301</v>
      </c>
      <c r="AO1687" s="2">
        <v>0.153906147094027</v>
      </c>
      <c r="AP1687" s="2">
        <v>0.153906147094027</v>
      </c>
      <c r="AQ1687" s="2">
        <v>0</v>
      </c>
      <c r="AR1687" s="2">
        <v>0</v>
      </c>
      <c r="AS1687" s="2">
        <v>0</v>
      </c>
      <c r="AT1687" s="2">
        <v>0</v>
      </c>
      <c r="AU1687" s="2">
        <v>1</v>
      </c>
      <c r="AV1687" s="2">
        <v>65</v>
      </c>
      <c r="AW1687" s="2">
        <v>0</v>
      </c>
      <c r="AX1687" s="2">
        <v>0</v>
      </c>
      <c r="AY1687" s="2">
        <v>15.5</v>
      </c>
      <c r="AZ1687" s="2">
        <v>2.4</v>
      </c>
      <c r="BA1687" s="2">
        <v>10.9</v>
      </c>
      <c r="BB1687" s="2">
        <v>564</v>
      </c>
      <c r="BC1687" s="2">
        <v>68</v>
      </c>
      <c r="BD1687" s="2">
        <v>1.5</v>
      </c>
      <c r="BE1687" s="2">
        <v>135</v>
      </c>
      <c r="BF1687" s="2">
        <v>0</v>
      </c>
      <c r="BG1687" s="2">
        <v>162</v>
      </c>
      <c r="BH1687" s="2">
        <v>9.1</v>
      </c>
      <c r="BI1687" s="2">
        <v>9.1999999999999993</v>
      </c>
      <c r="BJ1687" s="2">
        <v>18.3</v>
      </c>
      <c r="BK1687" s="2">
        <v>0.34</v>
      </c>
      <c r="BL1687" s="2">
        <v>7.3</v>
      </c>
      <c r="BM1687" s="2">
        <v>0.9</v>
      </c>
      <c r="BN1687" s="2">
        <v>7.5</v>
      </c>
      <c r="BO1687" s="2">
        <v>2.9</v>
      </c>
      <c r="BP1687" s="2">
        <f t="shared" si="52"/>
        <v>2.2664776667330093</v>
      </c>
      <c r="BQ1687" s="2">
        <f t="shared" si="53"/>
        <v>10.60164512353923</v>
      </c>
    </row>
    <row r="1688" spans="1:69" x14ac:dyDescent="0.2">
      <c r="A1688" s="2" t="s">
        <v>1309</v>
      </c>
      <c r="B1688" s="2" t="s">
        <v>47</v>
      </c>
      <c r="C1688" s="2" t="s">
        <v>48</v>
      </c>
      <c r="D1688" s="2" t="s">
        <v>49</v>
      </c>
      <c r="E1688" s="2" t="s">
        <v>1310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89</v>
      </c>
      <c r="L1688" s="6" t="s">
        <v>141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1311</v>
      </c>
      <c r="R1688" s="2">
        <v>10824742.27</v>
      </c>
      <c r="S1688" s="2">
        <v>0</v>
      </c>
      <c r="T1688" s="2" t="s">
        <v>83</v>
      </c>
      <c r="U1688" s="2" t="s">
        <v>84</v>
      </c>
      <c r="V1688" s="2" t="s">
        <v>56</v>
      </c>
      <c r="W1688" s="2" t="s">
        <v>83</v>
      </c>
      <c r="X1688" s="2" t="s">
        <v>85</v>
      </c>
      <c r="Y1688" s="2">
        <v>3.7592549409204001</v>
      </c>
      <c r="Z1688" s="2">
        <v>3759.2549409203998</v>
      </c>
      <c r="AA1688" s="2">
        <v>4.71035</v>
      </c>
      <c r="AB1688" s="2">
        <v>-74.030416666666696</v>
      </c>
      <c r="AC1688" s="2">
        <v>2570</v>
      </c>
      <c r="AD1688" s="2">
        <v>10</v>
      </c>
      <c r="AE1688" s="2" t="s">
        <v>59</v>
      </c>
      <c r="AF1688" s="2" t="s">
        <v>86</v>
      </c>
      <c r="AG1688" s="2" t="s">
        <v>61</v>
      </c>
      <c r="AH1688" s="2" t="s">
        <v>62</v>
      </c>
      <c r="AI1688" s="2" t="s">
        <v>109</v>
      </c>
      <c r="AJ1688" s="2">
        <v>0.82931333307610799</v>
      </c>
      <c r="AK1688" s="2">
        <v>1.55357552673224</v>
      </c>
      <c r="AL1688" s="2">
        <v>0.34541234854927</v>
      </c>
      <c r="AM1688" s="2">
        <v>6.3135041531379901E-2</v>
      </c>
      <c r="AN1688" s="2">
        <v>3.6447111868686899</v>
      </c>
      <c r="AO1688" s="2">
        <v>0.88042373523911099</v>
      </c>
      <c r="AP1688" s="2">
        <v>0.88042373523911099</v>
      </c>
      <c r="AQ1688" s="2">
        <v>0</v>
      </c>
      <c r="AR1688" s="2">
        <v>1</v>
      </c>
      <c r="AS1688" s="2">
        <v>0</v>
      </c>
      <c r="AT1688" s="2">
        <v>0</v>
      </c>
      <c r="AU1688" s="2">
        <v>4</v>
      </c>
      <c r="AV1688" s="2">
        <v>186</v>
      </c>
      <c r="AW1688" s="2">
        <v>0</v>
      </c>
      <c r="AX1688" s="2">
        <v>0</v>
      </c>
      <c r="AY1688" s="2">
        <v>15.5</v>
      </c>
      <c r="AZ1688" s="2">
        <v>2.4</v>
      </c>
      <c r="BA1688" s="2">
        <v>10.9</v>
      </c>
      <c r="BB1688" s="2">
        <v>564</v>
      </c>
      <c r="BC1688" s="2">
        <v>68</v>
      </c>
      <c r="BD1688" s="2">
        <v>1.5</v>
      </c>
      <c r="BE1688" s="2">
        <v>135</v>
      </c>
      <c r="BF1688" s="2">
        <v>0</v>
      </c>
      <c r="BG1688" s="2">
        <v>162</v>
      </c>
      <c r="BH1688" s="2">
        <v>9.1</v>
      </c>
      <c r="BI1688" s="2">
        <v>9.1999999999999993</v>
      </c>
      <c r="BJ1688" s="2">
        <v>18.3</v>
      </c>
      <c r="BK1688" s="2">
        <v>0.34</v>
      </c>
      <c r="BL1688" s="2">
        <v>7.3</v>
      </c>
      <c r="BM1688" s="2">
        <v>0.9</v>
      </c>
      <c r="BN1688" s="2">
        <v>7.5</v>
      </c>
      <c r="BO1688" s="2">
        <v>2.9</v>
      </c>
      <c r="BP1688" s="2">
        <f t="shared" si="52"/>
        <v>1.9924910060667922</v>
      </c>
      <c r="BQ1688" s="2">
        <f t="shared" si="53"/>
        <v>9.959637453201319</v>
      </c>
    </row>
    <row r="1689" spans="1:69" x14ac:dyDescent="0.2">
      <c r="A1689" s="2" t="s">
        <v>1068</v>
      </c>
      <c r="B1689" s="2" t="s">
        <v>47</v>
      </c>
      <c r="C1689" s="2" t="s">
        <v>48</v>
      </c>
      <c r="D1689" s="2" t="s">
        <v>49</v>
      </c>
      <c r="E1689" s="2" t="s">
        <v>292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89</v>
      </c>
      <c r="L1689" s="6" t="s">
        <v>141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1069</v>
      </c>
      <c r="R1689" s="2">
        <v>6185567.0099999998</v>
      </c>
      <c r="S1689" s="2">
        <v>0</v>
      </c>
      <c r="T1689" s="2" t="s">
        <v>83</v>
      </c>
      <c r="U1689" s="2" t="s">
        <v>84</v>
      </c>
      <c r="V1689" s="2" t="s">
        <v>56</v>
      </c>
      <c r="W1689" s="2" t="s">
        <v>83</v>
      </c>
      <c r="X1689" s="2" t="s">
        <v>85</v>
      </c>
      <c r="Y1689" s="2">
        <v>3.2425882740217702</v>
      </c>
      <c r="Z1689" s="2">
        <v>3242.5882740217698</v>
      </c>
      <c r="AA1689" s="2">
        <v>4.71035</v>
      </c>
      <c r="AB1689" s="2">
        <v>-74.030416666666696</v>
      </c>
      <c r="AC1689" s="2">
        <v>2570</v>
      </c>
      <c r="AD1689" s="2">
        <v>10</v>
      </c>
      <c r="AE1689" s="2" t="s">
        <v>59</v>
      </c>
      <c r="AF1689" s="2" t="s">
        <v>86</v>
      </c>
      <c r="AG1689" s="2" t="s">
        <v>61</v>
      </c>
      <c r="AH1689" s="2" t="s">
        <v>62</v>
      </c>
      <c r="AI1689" s="2" t="s">
        <v>100</v>
      </c>
      <c r="AJ1689" s="2">
        <v>0.73719241671226798</v>
      </c>
      <c r="AK1689" s="2">
        <v>3.82771339301615</v>
      </c>
      <c r="AL1689" s="2">
        <v>1.5984722732427099</v>
      </c>
      <c r="AM1689" s="2">
        <v>0.20215635399665299</v>
      </c>
      <c r="AN1689" s="2">
        <v>4.5674542444511799</v>
      </c>
      <c r="AO1689" s="2">
        <v>7.8543799073214106E-3</v>
      </c>
      <c r="AP1689" s="2">
        <v>7.8543799073214106E-3</v>
      </c>
      <c r="AQ1689" s="2">
        <v>0</v>
      </c>
      <c r="AR1689" s="2">
        <v>1</v>
      </c>
      <c r="AS1689" s="2">
        <v>0</v>
      </c>
      <c r="AT1689" s="2">
        <v>0</v>
      </c>
      <c r="AU1689" s="2">
        <v>0</v>
      </c>
      <c r="AV1689" s="2">
        <v>65</v>
      </c>
      <c r="AW1689" s="2">
        <v>0</v>
      </c>
      <c r="AX1689" s="2">
        <v>0</v>
      </c>
      <c r="AY1689" s="2">
        <v>15.5</v>
      </c>
      <c r="AZ1689" s="2">
        <v>2.4</v>
      </c>
      <c r="BA1689" s="2">
        <v>10.9</v>
      </c>
      <c r="BB1689" s="2">
        <v>564</v>
      </c>
      <c r="BC1689" s="2">
        <v>68</v>
      </c>
      <c r="BD1689" s="2">
        <v>1.5</v>
      </c>
      <c r="BE1689" s="2">
        <v>135</v>
      </c>
      <c r="BF1689" s="2">
        <v>0</v>
      </c>
      <c r="BG1689" s="2">
        <v>162</v>
      </c>
      <c r="BH1689" s="2">
        <v>9.1</v>
      </c>
      <c r="BI1689" s="2">
        <v>9.1999999999999993</v>
      </c>
      <c r="BJ1689" s="2">
        <v>18.3</v>
      </c>
      <c r="BK1689" s="2">
        <v>0.34</v>
      </c>
      <c r="BL1689" s="2">
        <v>7.3</v>
      </c>
      <c r="BM1689" s="2">
        <v>0.9</v>
      </c>
      <c r="BN1689" s="2">
        <v>7.5</v>
      </c>
      <c r="BO1689" s="2">
        <v>2.9</v>
      </c>
      <c r="BP1689" s="2">
        <f t="shared" si="52"/>
        <v>2.044106179254197</v>
      </c>
      <c r="BQ1689" s="2">
        <f t="shared" si="53"/>
        <v>10.083905829320701</v>
      </c>
    </row>
    <row r="1690" spans="1:69" x14ac:dyDescent="0.2">
      <c r="A1690" s="2" t="s">
        <v>2847</v>
      </c>
      <c r="B1690" s="2" t="s">
        <v>47</v>
      </c>
      <c r="C1690" s="2" t="s">
        <v>1935</v>
      </c>
      <c r="D1690" s="2" t="s">
        <v>49</v>
      </c>
      <c r="E1690" s="2" t="s">
        <v>339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89</v>
      </c>
      <c r="L1690" s="6" t="s">
        <v>141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2848</v>
      </c>
      <c r="R1690" s="2">
        <v>5095541.4009999996</v>
      </c>
      <c r="S1690" s="2">
        <v>0</v>
      </c>
      <c r="T1690" s="2" t="s">
        <v>83</v>
      </c>
      <c r="U1690" s="2" t="s">
        <v>84</v>
      </c>
      <c r="V1690" s="2" t="s">
        <v>56</v>
      </c>
      <c r="W1690" s="2" t="s">
        <v>83</v>
      </c>
      <c r="X1690" s="2" t="s">
        <v>85</v>
      </c>
      <c r="Y1690" s="2">
        <v>3.33617451527829</v>
      </c>
      <c r="Z1690" s="2">
        <v>3336.1745152782901</v>
      </c>
      <c r="AA1690" s="2">
        <v>4.71035</v>
      </c>
      <c r="AB1690" s="2">
        <v>-74.030416666666696</v>
      </c>
      <c r="AC1690" s="2">
        <v>2570</v>
      </c>
      <c r="AD1690" s="2">
        <v>10</v>
      </c>
      <c r="AE1690" s="2" t="s">
        <v>59</v>
      </c>
      <c r="AF1690" s="2" t="s">
        <v>86</v>
      </c>
      <c r="AG1690" s="2" t="s">
        <v>61</v>
      </c>
      <c r="AH1690" s="2" t="s">
        <v>62</v>
      </c>
      <c r="AI1690" s="2" t="s">
        <v>87</v>
      </c>
      <c r="AJ1690" s="2">
        <v>1.55098853459456</v>
      </c>
      <c r="AK1690" s="2">
        <v>1.56325738566957</v>
      </c>
      <c r="AL1690" s="2">
        <v>0.96533079388390097</v>
      </c>
      <c r="AM1690" s="2">
        <v>0.12776147242418501</v>
      </c>
      <c r="AN1690" s="2">
        <v>0.83566580693665204</v>
      </c>
      <c r="AO1690" s="2">
        <v>0.115523698598506</v>
      </c>
      <c r="AP1690" s="2">
        <v>0.115523698598506</v>
      </c>
      <c r="AQ1690" s="2">
        <v>0</v>
      </c>
      <c r="AR1690" s="2">
        <v>0</v>
      </c>
      <c r="AS1690" s="2">
        <v>0</v>
      </c>
      <c r="AT1690" s="2">
        <v>0</v>
      </c>
      <c r="AU1690" s="2">
        <v>1</v>
      </c>
      <c r="AV1690" s="2">
        <v>18</v>
      </c>
      <c r="AW1690" s="2">
        <v>1</v>
      </c>
      <c r="AX1690" s="2">
        <v>0</v>
      </c>
      <c r="AY1690" s="2">
        <v>15.5</v>
      </c>
      <c r="AZ1690" s="2">
        <v>2.4</v>
      </c>
      <c r="BA1690" s="2">
        <v>10.9</v>
      </c>
      <c r="BB1690" s="2">
        <v>564</v>
      </c>
      <c r="BC1690" s="2">
        <v>68</v>
      </c>
      <c r="BD1690" s="2">
        <v>1.5</v>
      </c>
      <c r="BE1690" s="2">
        <v>135</v>
      </c>
      <c r="BF1690" s="2">
        <v>0</v>
      </c>
      <c r="BG1690" s="2">
        <v>162</v>
      </c>
      <c r="BH1690" s="2">
        <v>9.1</v>
      </c>
      <c r="BI1690" s="2">
        <v>9.1999999999999993</v>
      </c>
      <c r="BJ1690" s="2">
        <v>18.3</v>
      </c>
      <c r="BK1690" s="2">
        <v>0.34</v>
      </c>
      <c r="BL1690" s="2">
        <v>7.3</v>
      </c>
      <c r="BM1690" s="2">
        <v>0.9</v>
      </c>
      <c r="BN1690" s="2">
        <v>7.5</v>
      </c>
      <c r="BO1690" s="2">
        <v>2.9</v>
      </c>
      <c r="BP1690" s="2">
        <f t="shared" si="52"/>
        <v>2.0346587183251792</v>
      </c>
      <c r="BQ1690" s="2">
        <f t="shared" si="53"/>
        <v>10.061282089830659</v>
      </c>
    </row>
    <row r="1691" spans="1:69" x14ac:dyDescent="0.2">
      <c r="A1691" s="2" t="s">
        <v>787</v>
      </c>
      <c r="B1691" s="2" t="s">
        <v>47</v>
      </c>
      <c r="C1691" s="2" t="s">
        <v>48</v>
      </c>
      <c r="D1691" s="2" t="s">
        <v>49</v>
      </c>
      <c r="E1691" s="2" t="s">
        <v>262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89</v>
      </c>
      <c r="L1691" s="6" t="s">
        <v>141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788</v>
      </c>
      <c r="R1691" s="2">
        <v>6914893.6169999996</v>
      </c>
      <c r="S1691" s="2">
        <v>0</v>
      </c>
      <c r="T1691" s="2" t="s">
        <v>83</v>
      </c>
      <c r="U1691" s="2" t="s">
        <v>84</v>
      </c>
      <c r="V1691" s="2" t="s">
        <v>56</v>
      </c>
      <c r="W1691" s="2" t="s">
        <v>83</v>
      </c>
      <c r="X1691" s="2" t="s">
        <v>85</v>
      </c>
      <c r="Y1691" s="2">
        <v>2.2920990052736401</v>
      </c>
      <c r="Z1691" s="2">
        <v>2292.0990052736402</v>
      </c>
      <c r="AA1691" s="2">
        <v>4.71035</v>
      </c>
      <c r="AB1691" s="2">
        <v>-74.030416666666696</v>
      </c>
      <c r="AC1691" s="2">
        <v>2570</v>
      </c>
      <c r="AD1691" s="2">
        <v>10</v>
      </c>
      <c r="AE1691" s="2" t="s">
        <v>59</v>
      </c>
      <c r="AF1691" s="2" t="s">
        <v>86</v>
      </c>
      <c r="AG1691" s="2" t="s">
        <v>61</v>
      </c>
      <c r="AH1691" s="2" t="s">
        <v>62</v>
      </c>
      <c r="AI1691" s="2" t="s">
        <v>87</v>
      </c>
      <c r="AJ1691" s="2">
        <v>1.2768666486771101</v>
      </c>
      <c r="AK1691" s="2">
        <v>1.85559323409378</v>
      </c>
      <c r="AL1691" s="2">
        <v>0.42861155244016302</v>
      </c>
      <c r="AM1691" s="2">
        <v>0.46230157606439198</v>
      </c>
      <c r="AN1691" s="2">
        <v>1.8680635946089801</v>
      </c>
      <c r="AO1691" s="2">
        <v>0.17451109012848601</v>
      </c>
      <c r="AP1691" s="2">
        <v>0.17451109012848601</v>
      </c>
      <c r="AQ1691" s="2">
        <v>0</v>
      </c>
      <c r="AR1691" s="2">
        <v>0</v>
      </c>
      <c r="AS1691" s="2">
        <v>0</v>
      </c>
      <c r="AT1691" s="2">
        <v>0</v>
      </c>
      <c r="AU1691" s="2">
        <v>1</v>
      </c>
      <c r="AV1691" s="2">
        <v>13</v>
      </c>
      <c r="AW1691" s="2">
        <v>0</v>
      </c>
      <c r="AX1691" s="2">
        <v>0</v>
      </c>
      <c r="AY1691" s="2">
        <v>15.5</v>
      </c>
      <c r="AZ1691" s="2">
        <v>2.4</v>
      </c>
      <c r="BA1691" s="2">
        <v>10.9</v>
      </c>
      <c r="BB1691" s="2">
        <v>564</v>
      </c>
      <c r="BC1691" s="2">
        <v>68</v>
      </c>
      <c r="BD1691" s="2">
        <v>1.5</v>
      </c>
      <c r="BE1691" s="2">
        <v>135</v>
      </c>
      <c r="BF1691" s="2">
        <v>0</v>
      </c>
      <c r="BG1691" s="2">
        <v>162</v>
      </c>
      <c r="BH1691" s="2">
        <v>9.1</v>
      </c>
      <c r="BI1691" s="2">
        <v>9.1999999999999993</v>
      </c>
      <c r="BJ1691" s="2">
        <v>18.3</v>
      </c>
      <c r="BK1691" s="2">
        <v>0.34</v>
      </c>
      <c r="BL1691" s="2">
        <v>7.3</v>
      </c>
      <c r="BM1691" s="2">
        <v>0.9</v>
      </c>
      <c r="BN1691" s="2">
        <v>7.5</v>
      </c>
      <c r="BO1691" s="2">
        <v>2.9</v>
      </c>
      <c r="BP1691" s="2">
        <f t="shared" si="52"/>
        <v>2.142578127907762</v>
      </c>
      <c r="BQ1691" s="2">
        <f t="shared" si="53"/>
        <v>10.316581065986727</v>
      </c>
    </row>
    <row r="1692" spans="1:69" x14ac:dyDescent="0.2">
      <c r="A1692" s="2" t="s">
        <v>1386</v>
      </c>
      <c r="B1692" s="2" t="s">
        <v>47</v>
      </c>
      <c r="C1692" s="2" t="s">
        <v>48</v>
      </c>
      <c r="D1692" s="2" t="s">
        <v>49</v>
      </c>
      <c r="E1692" s="2" t="s">
        <v>241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89</v>
      </c>
      <c r="L1692" s="6" t="s">
        <v>141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1387</v>
      </c>
      <c r="R1692" s="2">
        <v>5851063.8300000001</v>
      </c>
      <c r="S1692" s="2">
        <v>0</v>
      </c>
      <c r="T1692" s="2" t="s">
        <v>83</v>
      </c>
      <c r="U1692" s="2" t="s">
        <v>84</v>
      </c>
      <c r="V1692" s="2" t="s">
        <v>56</v>
      </c>
      <c r="W1692" s="2" t="s">
        <v>83</v>
      </c>
      <c r="X1692" s="2" t="s">
        <v>85</v>
      </c>
      <c r="Y1692" s="2">
        <v>0.63769565056488997</v>
      </c>
      <c r="Z1692" s="2">
        <v>637.69565056489</v>
      </c>
      <c r="AA1692" s="2">
        <v>4.71035</v>
      </c>
      <c r="AB1692" s="2">
        <v>-74.030416666666696</v>
      </c>
      <c r="AC1692" s="2">
        <v>2570</v>
      </c>
      <c r="AD1692" s="2">
        <v>10</v>
      </c>
      <c r="AE1692" s="2" t="s">
        <v>59</v>
      </c>
      <c r="AF1692" s="2" t="s">
        <v>86</v>
      </c>
      <c r="AG1692" s="2" t="s">
        <v>61</v>
      </c>
      <c r="AH1692" s="2" t="s">
        <v>62</v>
      </c>
      <c r="AI1692" s="2" t="s">
        <v>87</v>
      </c>
      <c r="AJ1692" s="2">
        <v>2.7242560904000901</v>
      </c>
      <c r="AK1692" s="2">
        <v>0.51828406031892804</v>
      </c>
      <c r="AL1692" s="2">
        <v>0.48283456476326803</v>
      </c>
      <c r="AM1692" s="2">
        <v>0.14551589765912901</v>
      </c>
      <c r="AN1692" s="2">
        <v>4.0869025196401001</v>
      </c>
      <c r="AO1692" s="2">
        <v>0.177741297243901</v>
      </c>
      <c r="AP1692" s="2">
        <v>0.177741297243901</v>
      </c>
      <c r="AQ1692" s="2">
        <v>0</v>
      </c>
      <c r="AR1692" s="2">
        <v>0</v>
      </c>
      <c r="AS1692" s="2">
        <v>0</v>
      </c>
      <c r="AT1692" s="2">
        <v>28</v>
      </c>
      <c r="AU1692" s="2">
        <v>2</v>
      </c>
      <c r="AV1692" s="2">
        <v>109</v>
      </c>
      <c r="AW1692" s="2">
        <v>0</v>
      </c>
      <c r="AX1692" s="2">
        <v>0</v>
      </c>
      <c r="AY1692" s="2">
        <v>15.5</v>
      </c>
      <c r="AZ1692" s="2">
        <v>2.4</v>
      </c>
      <c r="BA1692" s="2">
        <v>10.9</v>
      </c>
      <c r="BB1692" s="2">
        <v>564</v>
      </c>
      <c r="BC1692" s="2">
        <v>68</v>
      </c>
      <c r="BD1692" s="2">
        <v>1.5</v>
      </c>
      <c r="BE1692" s="2">
        <v>135</v>
      </c>
      <c r="BF1692" s="2">
        <v>0</v>
      </c>
      <c r="BG1692" s="2">
        <v>162</v>
      </c>
      <c r="BH1692" s="2">
        <v>9.1</v>
      </c>
      <c r="BI1692" s="2">
        <v>9.1999999999999993</v>
      </c>
      <c r="BJ1692" s="2">
        <v>18.3</v>
      </c>
      <c r="BK1692" s="2">
        <v>0.34</v>
      </c>
      <c r="BL1692" s="2">
        <v>7.3</v>
      </c>
      <c r="BM1692" s="2">
        <v>0.9</v>
      </c>
      <c r="BN1692" s="2">
        <v>7.5</v>
      </c>
      <c r="BO1692" s="2">
        <v>2.9</v>
      </c>
      <c r="BP1692" s="2">
        <f t="shared" si="52"/>
        <v>2.3254249642298284</v>
      </c>
      <c r="BQ1692" s="2">
        <f t="shared" si="53"/>
        <v>10.734448903837826</v>
      </c>
    </row>
    <row r="1693" spans="1:69" x14ac:dyDescent="0.2">
      <c r="A1693" s="2" t="s">
        <v>1775</v>
      </c>
      <c r="B1693" s="2" t="s">
        <v>47</v>
      </c>
      <c r="C1693" s="2" t="s">
        <v>48</v>
      </c>
      <c r="D1693" s="2" t="s">
        <v>49</v>
      </c>
      <c r="E1693" s="2" t="s">
        <v>961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89</v>
      </c>
      <c r="L1693" s="6" t="s">
        <v>103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1776</v>
      </c>
      <c r="R1693" s="2">
        <v>9130434.7829999998</v>
      </c>
      <c r="S1693" s="2">
        <v>0</v>
      </c>
      <c r="T1693" s="2" t="s">
        <v>83</v>
      </c>
      <c r="U1693" s="2" t="s">
        <v>84</v>
      </c>
      <c r="V1693" s="2" t="s">
        <v>56</v>
      </c>
      <c r="W1693" s="2" t="s">
        <v>83</v>
      </c>
      <c r="X1693" s="2" t="s">
        <v>85</v>
      </c>
      <c r="Y1693" s="2">
        <v>2.1615412783610299</v>
      </c>
      <c r="Z1693" s="2">
        <v>2161.54127836103</v>
      </c>
      <c r="AA1693" s="2">
        <v>4.71035</v>
      </c>
      <c r="AB1693" s="2">
        <v>-74.030416666666696</v>
      </c>
      <c r="AC1693" s="2">
        <v>2570</v>
      </c>
      <c r="AD1693" s="2">
        <v>10</v>
      </c>
      <c r="AE1693" s="2" t="s">
        <v>59</v>
      </c>
      <c r="AF1693" s="2" t="s">
        <v>86</v>
      </c>
      <c r="AG1693" s="2" t="s">
        <v>61</v>
      </c>
      <c r="AH1693" s="2" t="s">
        <v>62</v>
      </c>
      <c r="AI1693" s="2" t="s">
        <v>87</v>
      </c>
      <c r="AJ1693" s="2">
        <v>0.494761637570869</v>
      </c>
      <c r="AK1693" s="2">
        <v>2.7583143461591901</v>
      </c>
      <c r="AL1693" s="2">
        <v>1.8974189356953399</v>
      </c>
      <c r="AM1693" s="2">
        <v>0.26379814586926698</v>
      </c>
      <c r="AN1693" s="2">
        <v>4.24307881856042</v>
      </c>
      <c r="AO1693" s="2">
        <v>0.231732283736588</v>
      </c>
      <c r="AP1693" s="2">
        <v>0.231732283736588</v>
      </c>
      <c r="AQ1693" s="2">
        <v>1</v>
      </c>
      <c r="AR1693" s="2">
        <v>2</v>
      </c>
      <c r="AS1693" s="2">
        <v>0</v>
      </c>
      <c r="AT1693" s="2">
        <v>0</v>
      </c>
      <c r="AU1693" s="2">
        <v>0</v>
      </c>
      <c r="AV1693" s="2">
        <v>99</v>
      </c>
      <c r="AW1693" s="2">
        <v>0</v>
      </c>
      <c r="AX1693" s="2">
        <v>0</v>
      </c>
      <c r="AY1693" s="2">
        <v>15.5</v>
      </c>
      <c r="AZ1693" s="2">
        <v>2.4</v>
      </c>
      <c r="BA1693" s="2">
        <v>10.9</v>
      </c>
      <c r="BB1693" s="2">
        <v>564</v>
      </c>
      <c r="BC1693" s="2">
        <v>68</v>
      </c>
      <c r="BD1693" s="2">
        <v>1.5</v>
      </c>
      <c r="BE1693" s="2">
        <v>135</v>
      </c>
      <c r="BF1693" s="2">
        <v>0</v>
      </c>
      <c r="BG1693" s="2">
        <v>162</v>
      </c>
      <c r="BH1693" s="2">
        <v>9.1</v>
      </c>
      <c r="BI1693" s="2">
        <v>9.1999999999999993</v>
      </c>
      <c r="BJ1693" s="2">
        <v>18.3</v>
      </c>
      <c r="BK1693" s="2">
        <v>0.34</v>
      </c>
      <c r="BL1693" s="2">
        <v>7.3</v>
      </c>
      <c r="BM1693" s="2">
        <v>0.9</v>
      </c>
      <c r="BN1693" s="2">
        <v>7.5</v>
      </c>
      <c r="BO1693" s="2">
        <v>2.9</v>
      </c>
      <c r="BP1693" s="2">
        <f t="shared" si="52"/>
        <v>2.1564696085933805</v>
      </c>
      <c r="BQ1693" s="2">
        <f t="shared" si="53"/>
        <v>10.348957588522948</v>
      </c>
    </row>
    <row r="1694" spans="1:69" x14ac:dyDescent="0.2">
      <c r="A1694" s="2" t="s">
        <v>3788</v>
      </c>
      <c r="B1694" s="2" t="s">
        <v>47</v>
      </c>
      <c r="C1694" s="2" t="s">
        <v>3273</v>
      </c>
      <c r="D1694" s="2" t="s">
        <v>49</v>
      </c>
      <c r="E1694" s="2" t="s">
        <v>172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89</v>
      </c>
      <c r="L1694" s="6" t="s">
        <v>112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3789</v>
      </c>
      <c r="R1694" s="2">
        <v>6815217.3909999998</v>
      </c>
      <c r="S1694" s="2">
        <v>0</v>
      </c>
      <c r="T1694" s="2" t="s">
        <v>83</v>
      </c>
      <c r="U1694" s="2" t="s">
        <v>84</v>
      </c>
      <c r="V1694" s="2" t="s">
        <v>56</v>
      </c>
      <c r="W1694" s="2" t="s">
        <v>83</v>
      </c>
      <c r="X1694" s="2" t="s">
        <v>85</v>
      </c>
      <c r="Y1694" s="2">
        <v>1.30632572003283</v>
      </c>
      <c r="Z1694" s="2">
        <v>1306.3257200328301</v>
      </c>
      <c r="AA1694" s="2">
        <v>4.71035</v>
      </c>
      <c r="AB1694" s="2">
        <v>-74.030416666666696</v>
      </c>
      <c r="AC1694" s="2">
        <v>2570</v>
      </c>
      <c r="AD1694" s="2">
        <v>10</v>
      </c>
      <c r="AE1694" s="2" t="s">
        <v>59</v>
      </c>
      <c r="AF1694" s="2" t="s">
        <v>86</v>
      </c>
      <c r="AG1694" s="2" t="s">
        <v>61</v>
      </c>
      <c r="AH1694" s="2" t="s">
        <v>62</v>
      </c>
      <c r="AI1694" s="2" t="s">
        <v>87</v>
      </c>
      <c r="AJ1694" s="2">
        <v>2.5252092959047499</v>
      </c>
      <c r="AK1694" s="2">
        <v>0.70370445637411205</v>
      </c>
      <c r="AL1694" s="2">
        <v>0.286438128333806</v>
      </c>
      <c r="AM1694" s="2">
        <v>2.5201622992472299E-2</v>
      </c>
      <c r="AN1694" s="2">
        <v>4.7670872857819004</v>
      </c>
      <c r="AO1694" s="2">
        <v>0.26291458158591502</v>
      </c>
      <c r="AP1694" s="2">
        <v>0.26291458158591502</v>
      </c>
      <c r="AQ1694" s="2">
        <v>0</v>
      </c>
      <c r="AR1694" s="2">
        <v>0</v>
      </c>
      <c r="AS1694" s="2">
        <v>0</v>
      </c>
      <c r="AT1694" s="2">
        <v>20</v>
      </c>
      <c r="AU1694" s="2">
        <v>2</v>
      </c>
      <c r="AV1694" s="2">
        <v>135</v>
      </c>
      <c r="AW1694" s="2">
        <v>0</v>
      </c>
      <c r="AX1694" s="2">
        <v>0</v>
      </c>
      <c r="AY1694" s="2">
        <v>15.5</v>
      </c>
      <c r="AZ1694" s="2">
        <v>2.4</v>
      </c>
      <c r="BA1694" s="2">
        <v>10.9</v>
      </c>
      <c r="BB1694" s="2">
        <v>564</v>
      </c>
      <c r="BC1694" s="2">
        <v>68</v>
      </c>
      <c r="BD1694" s="2">
        <v>1.5</v>
      </c>
      <c r="BE1694" s="2">
        <v>135</v>
      </c>
      <c r="BF1694" s="2">
        <v>0</v>
      </c>
      <c r="BG1694" s="2">
        <v>162</v>
      </c>
      <c r="BH1694" s="2">
        <v>9.1</v>
      </c>
      <c r="BI1694" s="2">
        <v>9.1999999999999993</v>
      </c>
      <c r="BJ1694" s="2">
        <v>18.3</v>
      </c>
      <c r="BK1694" s="2">
        <v>0.34</v>
      </c>
      <c r="BL1694" s="2">
        <v>7.3</v>
      </c>
      <c r="BM1694" s="2">
        <v>0.9</v>
      </c>
      <c r="BN1694" s="2">
        <v>7.5</v>
      </c>
      <c r="BO1694" s="2">
        <v>2.9</v>
      </c>
      <c r="BP1694" s="2">
        <f t="shared" si="52"/>
        <v>2.2497196629565197</v>
      </c>
      <c r="BQ1694" s="2">
        <f t="shared" si="53"/>
        <v>10.563566647403858</v>
      </c>
    </row>
    <row r="1695" spans="1:69" x14ac:dyDescent="0.2">
      <c r="A1695" s="2" t="s">
        <v>1655</v>
      </c>
      <c r="B1695" s="2" t="s">
        <v>47</v>
      </c>
      <c r="C1695" s="2" t="s">
        <v>48</v>
      </c>
      <c r="D1695" s="2" t="s">
        <v>49</v>
      </c>
      <c r="E1695" s="2" t="s">
        <v>1656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89</v>
      </c>
      <c r="L1695" s="6" t="s">
        <v>103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1657</v>
      </c>
      <c r="R1695" s="2">
        <v>9021739.1300000008</v>
      </c>
      <c r="S1695" s="2">
        <v>0</v>
      </c>
      <c r="T1695" s="2" t="s">
        <v>83</v>
      </c>
      <c r="U1695" s="2" t="s">
        <v>84</v>
      </c>
      <c r="V1695" s="2" t="s">
        <v>56</v>
      </c>
      <c r="W1695" s="2" t="s">
        <v>83</v>
      </c>
      <c r="X1695" s="2" t="s">
        <v>85</v>
      </c>
      <c r="Y1695" s="2">
        <v>0.50931166706250597</v>
      </c>
      <c r="Z1695" s="2">
        <v>509.31166706250599</v>
      </c>
      <c r="AA1695" s="2">
        <v>4.71035</v>
      </c>
      <c r="AB1695" s="2">
        <v>-74.030416666666696</v>
      </c>
      <c r="AC1695" s="2">
        <v>2570</v>
      </c>
      <c r="AD1695" s="2">
        <v>10</v>
      </c>
      <c r="AE1695" s="2" t="s">
        <v>59</v>
      </c>
      <c r="AF1695" s="2" t="s">
        <v>86</v>
      </c>
      <c r="AG1695" s="2" t="s">
        <v>61</v>
      </c>
      <c r="AH1695" s="2" t="s">
        <v>62</v>
      </c>
      <c r="AI1695" s="2" t="s">
        <v>87</v>
      </c>
      <c r="AJ1695" s="2">
        <v>2.9733279671530002</v>
      </c>
      <c r="AK1695" s="2">
        <v>0.16587112673862101</v>
      </c>
      <c r="AL1695" s="2">
        <v>0.76171098314437902</v>
      </c>
      <c r="AM1695" s="2">
        <v>0.43632623761595501</v>
      </c>
      <c r="AN1695" s="2">
        <v>3.3385614968454602</v>
      </c>
      <c r="AO1695" s="2">
        <v>0.65405382815919699</v>
      </c>
      <c r="AP1695" s="2">
        <v>0.65405382815919699</v>
      </c>
      <c r="AQ1695" s="2">
        <v>0</v>
      </c>
      <c r="AR1695" s="2">
        <v>0</v>
      </c>
      <c r="AS1695" s="2">
        <v>16</v>
      </c>
      <c r="AT1695" s="2">
        <v>45</v>
      </c>
      <c r="AU1695" s="2">
        <v>1</v>
      </c>
      <c r="AV1695" s="2">
        <v>80</v>
      </c>
      <c r="AW1695" s="2">
        <v>0</v>
      </c>
      <c r="AX1695" s="2">
        <v>0</v>
      </c>
      <c r="AY1695" s="2">
        <v>15.5</v>
      </c>
      <c r="AZ1695" s="2">
        <v>2.4</v>
      </c>
      <c r="BA1695" s="2">
        <v>10.9</v>
      </c>
      <c r="BB1695" s="2">
        <v>564</v>
      </c>
      <c r="BC1695" s="2">
        <v>68</v>
      </c>
      <c r="BD1695" s="2">
        <v>1.5</v>
      </c>
      <c r="BE1695" s="2">
        <v>135</v>
      </c>
      <c r="BF1695" s="2">
        <v>0</v>
      </c>
      <c r="BG1695" s="2">
        <v>162</v>
      </c>
      <c r="BH1695" s="2">
        <v>9.1</v>
      </c>
      <c r="BI1695" s="2">
        <v>9.1999999999999993</v>
      </c>
      <c r="BJ1695" s="2">
        <v>18.3</v>
      </c>
      <c r="BK1695" s="2">
        <v>0.34</v>
      </c>
      <c r="BL1695" s="2">
        <v>7.3</v>
      </c>
      <c r="BM1695" s="2">
        <v>0.9</v>
      </c>
      <c r="BN1695" s="2">
        <v>7.5</v>
      </c>
      <c r="BO1695" s="2">
        <v>2.9</v>
      </c>
      <c r="BP1695" s="2">
        <f t="shared" si="52"/>
        <v>2.3402501136532821</v>
      </c>
      <c r="BQ1695" s="2">
        <f t="shared" si="53"/>
        <v>10.76757506351333</v>
      </c>
    </row>
    <row r="1696" spans="1:69" x14ac:dyDescent="0.2">
      <c r="A1696" s="2" t="s">
        <v>1957</v>
      </c>
      <c r="B1696" s="2" t="s">
        <v>47</v>
      </c>
      <c r="C1696" s="2" t="s">
        <v>1935</v>
      </c>
      <c r="D1696" s="2" t="s">
        <v>49</v>
      </c>
      <c r="E1696" s="2" t="s">
        <v>1582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89</v>
      </c>
      <c r="L1696" s="6" t="s">
        <v>141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1958</v>
      </c>
      <c r="R1696" s="2">
        <v>6091591.4280000003</v>
      </c>
      <c r="S1696" s="2">
        <v>0</v>
      </c>
      <c r="T1696" s="2" t="s">
        <v>83</v>
      </c>
      <c r="U1696" s="2" t="s">
        <v>84</v>
      </c>
      <c r="V1696" s="2" t="s">
        <v>56</v>
      </c>
      <c r="W1696" s="2" t="s">
        <v>83</v>
      </c>
      <c r="X1696" s="2" t="s">
        <v>85</v>
      </c>
      <c r="Y1696" s="2">
        <v>2.5511978909781901</v>
      </c>
      <c r="Z1696" s="2">
        <v>2551.1978909781901</v>
      </c>
      <c r="AA1696" s="2">
        <v>4.71035</v>
      </c>
      <c r="AB1696" s="2">
        <v>-74.030416666666696</v>
      </c>
      <c r="AC1696" s="2">
        <v>2570</v>
      </c>
      <c r="AD1696" s="2">
        <v>10</v>
      </c>
      <c r="AE1696" s="2" t="s">
        <v>59</v>
      </c>
      <c r="AF1696" s="2" t="s">
        <v>86</v>
      </c>
      <c r="AG1696" s="2" t="s">
        <v>61</v>
      </c>
      <c r="AH1696" s="2" t="s">
        <v>62</v>
      </c>
      <c r="AI1696" s="2" t="s">
        <v>87</v>
      </c>
      <c r="AJ1696" s="2">
        <v>1.12905161143192</v>
      </c>
      <c r="AK1696" s="2">
        <v>1.9524515506883899</v>
      </c>
      <c r="AL1696" s="2">
        <v>0.172539588753198</v>
      </c>
      <c r="AM1696" s="2">
        <v>0.282685925108772</v>
      </c>
      <c r="AN1696" s="2">
        <v>1.8117818071544001</v>
      </c>
      <c r="AO1696" s="2">
        <v>2.2890102199437701E-2</v>
      </c>
      <c r="AP1696" s="2">
        <v>2.2890102199437701E-2</v>
      </c>
      <c r="AQ1696" s="2">
        <v>0</v>
      </c>
      <c r="AR1696" s="2">
        <v>0</v>
      </c>
      <c r="AS1696" s="2">
        <v>0</v>
      </c>
      <c r="AT1696" s="2">
        <v>0</v>
      </c>
      <c r="AU1696" s="2">
        <v>1</v>
      </c>
      <c r="AV1696" s="2">
        <v>14</v>
      </c>
      <c r="AW1696" s="2">
        <v>0</v>
      </c>
      <c r="AX1696" s="2">
        <v>0</v>
      </c>
      <c r="AY1696" s="2">
        <v>15.5</v>
      </c>
      <c r="AZ1696" s="2">
        <v>2.4</v>
      </c>
      <c r="BA1696" s="2">
        <v>10.9</v>
      </c>
      <c r="BB1696" s="2">
        <v>564</v>
      </c>
      <c r="BC1696" s="2">
        <v>68</v>
      </c>
      <c r="BD1696" s="2">
        <v>1.5</v>
      </c>
      <c r="BE1696" s="2">
        <v>135</v>
      </c>
      <c r="BF1696" s="2">
        <v>0</v>
      </c>
      <c r="BG1696" s="2">
        <v>162</v>
      </c>
      <c r="BH1696" s="2">
        <v>9.1</v>
      </c>
      <c r="BI1696" s="2">
        <v>9.1999999999999993</v>
      </c>
      <c r="BJ1696" s="2">
        <v>18.3</v>
      </c>
      <c r="BK1696" s="2">
        <v>0.34</v>
      </c>
      <c r="BL1696" s="2">
        <v>7.3</v>
      </c>
      <c r="BM1696" s="2">
        <v>0.9</v>
      </c>
      <c r="BN1696" s="2">
        <v>7.5</v>
      </c>
      <c r="BO1696" s="2">
        <v>2.9</v>
      </c>
      <c r="BP1696" s="2">
        <f t="shared" si="52"/>
        <v>2.1152741836392099</v>
      </c>
      <c r="BQ1696" s="2">
        <f t="shared" si="53"/>
        <v>10.25262776301731</v>
      </c>
    </row>
    <row r="1697" spans="1:69" x14ac:dyDescent="0.2">
      <c r="A1697" s="2" t="s">
        <v>807</v>
      </c>
      <c r="B1697" s="2" t="s">
        <v>47</v>
      </c>
      <c r="C1697" s="2" t="s">
        <v>48</v>
      </c>
      <c r="D1697" s="2" t="s">
        <v>49</v>
      </c>
      <c r="E1697" s="2" t="s">
        <v>169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89</v>
      </c>
      <c r="L1697" s="6" t="s">
        <v>103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808</v>
      </c>
      <c r="R1697" s="2">
        <v>7362637.3629999999</v>
      </c>
      <c r="S1697" s="2">
        <v>0</v>
      </c>
      <c r="T1697" s="2" t="s">
        <v>83</v>
      </c>
      <c r="U1697" s="2" t="s">
        <v>84</v>
      </c>
      <c r="V1697" s="2" t="s">
        <v>56</v>
      </c>
      <c r="W1697" s="2" t="s">
        <v>83</v>
      </c>
      <c r="X1697" s="2" t="s">
        <v>85</v>
      </c>
      <c r="Y1697" s="2">
        <v>2.9735402291617699</v>
      </c>
      <c r="Z1697" s="2">
        <v>2973.5402291617702</v>
      </c>
      <c r="AA1697" s="2">
        <v>4.71035</v>
      </c>
      <c r="AB1697" s="2">
        <v>-74.030416666666696</v>
      </c>
      <c r="AC1697" s="2">
        <v>2570</v>
      </c>
      <c r="AD1697" s="2">
        <v>10</v>
      </c>
      <c r="AE1697" s="2" t="s">
        <v>59</v>
      </c>
      <c r="AF1697" s="2" t="s">
        <v>86</v>
      </c>
      <c r="AG1697" s="2" t="s">
        <v>61</v>
      </c>
      <c r="AH1697" s="2" t="s">
        <v>62</v>
      </c>
      <c r="AI1697" s="2" t="s">
        <v>87</v>
      </c>
      <c r="AJ1697" s="2">
        <v>1.3149471680911899</v>
      </c>
      <c r="AK1697" s="2">
        <v>1.4611229972614901</v>
      </c>
      <c r="AL1697" s="2">
        <v>0.60268167499648895</v>
      </c>
      <c r="AM1697" s="2">
        <v>0.18496556124862201</v>
      </c>
      <c r="AN1697" s="2">
        <v>4.3490178553549903</v>
      </c>
      <c r="AO1697" s="2">
        <v>0.19833208148665399</v>
      </c>
      <c r="AP1697" s="2">
        <v>0.19833208148665399</v>
      </c>
      <c r="AQ1697" s="2">
        <v>0</v>
      </c>
      <c r="AR1697" s="2">
        <v>0</v>
      </c>
      <c r="AS1697" s="2">
        <v>0</v>
      </c>
      <c r="AT1697" s="2">
        <v>0</v>
      </c>
      <c r="AU1697" s="2">
        <v>6</v>
      </c>
      <c r="AV1697" s="2">
        <v>123</v>
      </c>
      <c r="AW1697" s="2">
        <v>0</v>
      </c>
      <c r="AX1697" s="2">
        <v>0</v>
      </c>
      <c r="AY1697" s="2">
        <v>15.5</v>
      </c>
      <c r="AZ1697" s="2">
        <v>2.4</v>
      </c>
      <c r="BA1697" s="2">
        <v>10.9</v>
      </c>
      <c r="BB1697" s="2">
        <v>564</v>
      </c>
      <c r="BC1697" s="2">
        <v>68</v>
      </c>
      <c r="BD1697" s="2">
        <v>1.5</v>
      </c>
      <c r="BE1697" s="2">
        <v>135</v>
      </c>
      <c r="BF1697" s="2">
        <v>0</v>
      </c>
      <c r="BG1697" s="2">
        <v>162</v>
      </c>
      <c r="BH1697" s="2">
        <v>9.1</v>
      </c>
      <c r="BI1697" s="2">
        <v>9.1999999999999993</v>
      </c>
      <c r="BJ1697" s="2">
        <v>18.3</v>
      </c>
      <c r="BK1697" s="2">
        <v>0.34</v>
      </c>
      <c r="BL1697" s="2">
        <v>7.3</v>
      </c>
      <c r="BM1697" s="2">
        <v>0.9</v>
      </c>
      <c r="BN1697" s="2">
        <v>7.5</v>
      </c>
      <c r="BO1697" s="2">
        <v>2.9</v>
      </c>
      <c r="BP1697" s="2">
        <f t="shared" si="52"/>
        <v>2.0715114211950985</v>
      </c>
      <c r="BQ1697" s="2">
        <f t="shared" si="53"/>
        <v>10.149229829432622</v>
      </c>
    </row>
    <row r="1698" spans="1:69" x14ac:dyDescent="0.2">
      <c r="A1698" s="2" t="s">
        <v>589</v>
      </c>
      <c r="B1698" s="2" t="s">
        <v>47</v>
      </c>
      <c r="C1698" s="2" t="s">
        <v>48</v>
      </c>
      <c r="D1698" s="2" t="s">
        <v>49</v>
      </c>
      <c r="E1698" s="2" t="s">
        <v>590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89</v>
      </c>
      <c r="L1698" s="6" t="s">
        <v>103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591</v>
      </c>
      <c r="R1698" s="2">
        <v>6593406.5930000003</v>
      </c>
      <c r="S1698" s="2">
        <v>0</v>
      </c>
      <c r="T1698" s="2" t="s">
        <v>83</v>
      </c>
      <c r="U1698" s="2" t="s">
        <v>84</v>
      </c>
      <c r="V1698" s="2" t="s">
        <v>56</v>
      </c>
      <c r="W1698" s="2" t="s">
        <v>83</v>
      </c>
      <c r="X1698" s="2" t="s">
        <v>85</v>
      </c>
      <c r="Y1698" s="2">
        <v>1.2951468562925099</v>
      </c>
      <c r="Z1698" s="2">
        <v>1295.1468562925099</v>
      </c>
      <c r="AA1698" s="2">
        <v>4.71035</v>
      </c>
      <c r="AB1698" s="2">
        <v>-74.030416666666696</v>
      </c>
      <c r="AC1698" s="2">
        <v>2570</v>
      </c>
      <c r="AD1698" s="2">
        <v>10</v>
      </c>
      <c r="AE1698" s="2" t="s">
        <v>59</v>
      </c>
      <c r="AF1698" s="2" t="s">
        <v>86</v>
      </c>
      <c r="AG1698" s="2" t="s">
        <v>61</v>
      </c>
      <c r="AH1698" s="2" t="s">
        <v>62</v>
      </c>
      <c r="AI1698" s="2" t="s">
        <v>87</v>
      </c>
      <c r="AJ1698" s="2">
        <v>2.3462907734795699</v>
      </c>
      <c r="AK1698" s="2">
        <v>0.74656682268929198</v>
      </c>
      <c r="AL1698" s="2">
        <v>1.28140845133659</v>
      </c>
      <c r="AM1698" s="2">
        <v>0.11986290568389001</v>
      </c>
      <c r="AN1698" s="2">
        <v>2.1905077668312298</v>
      </c>
      <c r="AO1698" s="2">
        <v>5.6969461721709497E-2</v>
      </c>
      <c r="AP1698" s="2">
        <v>5.6969461721709497E-2</v>
      </c>
      <c r="AQ1698" s="2">
        <v>0</v>
      </c>
      <c r="AR1698" s="2">
        <v>0</v>
      </c>
      <c r="AS1698" s="2">
        <v>0</v>
      </c>
      <c r="AT1698" s="2">
        <v>7</v>
      </c>
      <c r="AU1698" s="2">
        <v>0</v>
      </c>
      <c r="AV1698" s="2">
        <v>43</v>
      </c>
      <c r="AW1698" s="2">
        <v>0</v>
      </c>
      <c r="AX1698" s="2">
        <v>0</v>
      </c>
      <c r="AY1698" s="2">
        <v>15.5</v>
      </c>
      <c r="AZ1698" s="2">
        <v>2.4</v>
      </c>
      <c r="BA1698" s="2">
        <v>10.9</v>
      </c>
      <c r="BB1698" s="2">
        <v>564</v>
      </c>
      <c r="BC1698" s="2">
        <v>68</v>
      </c>
      <c r="BD1698" s="2">
        <v>1.5</v>
      </c>
      <c r="BE1698" s="2">
        <v>135</v>
      </c>
      <c r="BF1698" s="2">
        <v>0</v>
      </c>
      <c r="BG1698" s="2">
        <v>162</v>
      </c>
      <c r="BH1698" s="2">
        <v>9.1</v>
      </c>
      <c r="BI1698" s="2">
        <v>9.1999999999999993</v>
      </c>
      <c r="BJ1698" s="2">
        <v>18.3</v>
      </c>
      <c r="BK1698" s="2">
        <v>0.34</v>
      </c>
      <c r="BL1698" s="2">
        <v>7.3</v>
      </c>
      <c r="BM1698" s="2">
        <v>0.9</v>
      </c>
      <c r="BN1698" s="2">
        <v>7.5</v>
      </c>
      <c r="BO1698" s="2">
        <v>2.9</v>
      </c>
      <c r="BP1698" s="2">
        <f t="shared" si="52"/>
        <v>2.2509648982760884</v>
      </c>
      <c r="BQ1698" s="2">
        <f t="shared" si="53"/>
        <v>10.566401155757763</v>
      </c>
    </row>
    <row r="1699" spans="1:69" x14ac:dyDescent="0.2">
      <c r="A1699" s="2" t="s">
        <v>3374</v>
      </c>
      <c r="B1699" s="2" t="s">
        <v>47</v>
      </c>
      <c r="C1699" s="2" t="s">
        <v>3273</v>
      </c>
      <c r="D1699" s="2" t="s">
        <v>49</v>
      </c>
      <c r="E1699" s="2" t="s">
        <v>184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89</v>
      </c>
      <c r="L1699" s="6" t="s">
        <v>90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3375</v>
      </c>
      <c r="R1699" s="2">
        <v>6153846.1540000001</v>
      </c>
      <c r="S1699" s="2">
        <v>0</v>
      </c>
      <c r="T1699" s="2" t="s">
        <v>83</v>
      </c>
      <c r="U1699" s="2" t="s">
        <v>84</v>
      </c>
      <c r="V1699" s="2" t="s">
        <v>56</v>
      </c>
      <c r="W1699" s="2" t="s">
        <v>83</v>
      </c>
      <c r="X1699" s="2" t="s">
        <v>85</v>
      </c>
      <c r="Y1699" s="2">
        <v>1.0867668494572</v>
      </c>
      <c r="Z1699" s="2">
        <v>1086.7668494571999</v>
      </c>
      <c r="AA1699" s="2">
        <v>4.71035</v>
      </c>
      <c r="AB1699" s="2">
        <v>-74.030416666666696</v>
      </c>
      <c r="AC1699" s="2">
        <v>2570</v>
      </c>
      <c r="AD1699" s="2">
        <v>10</v>
      </c>
      <c r="AE1699" s="2" t="s">
        <v>59</v>
      </c>
      <c r="AF1699" s="2" t="s">
        <v>86</v>
      </c>
      <c r="AG1699" s="2" t="s">
        <v>61</v>
      </c>
      <c r="AH1699" s="2" t="s">
        <v>62</v>
      </c>
      <c r="AI1699" s="2" t="s">
        <v>87</v>
      </c>
      <c r="AJ1699" s="2">
        <v>1.65743369980202</v>
      </c>
      <c r="AK1699" s="2">
        <v>1.4644461662877</v>
      </c>
      <c r="AL1699" s="2">
        <v>0.89080691719389005</v>
      </c>
      <c r="AM1699" s="2">
        <v>8.7107609948819401E-2</v>
      </c>
      <c r="AN1699" s="2">
        <v>2.8721016174218201</v>
      </c>
      <c r="AO1699" s="2">
        <v>0.19445734076288601</v>
      </c>
      <c r="AP1699" s="2">
        <v>0.19445734076288601</v>
      </c>
      <c r="AQ1699" s="2">
        <v>0</v>
      </c>
      <c r="AR1699" s="2">
        <v>0</v>
      </c>
      <c r="AS1699" s="2">
        <v>0</v>
      </c>
      <c r="AT1699" s="2">
        <v>0</v>
      </c>
      <c r="AU1699" s="2">
        <v>1</v>
      </c>
      <c r="AV1699" s="2">
        <v>63</v>
      </c>
      <c r="AW1699" s="2">
        <v>0</v>
      </c>
      <c r="AX1699" s="2">
        <v>0</v>
      </c>
      <c r="AY1699" s="2">
        <v>15.5</v>
      </c>
      <c r="AZ1699" s="2">
        <v>2.4</v>
      </c>
      <c r="BA1699" s="2">
        <v>10.9</v>
      </c>
      <c r="BB1699" s="2">
        <v>564</v>
      </c>
      <c r="BC1699" s="2">
        <v>68</v>
      </c>
      <c r="BD1699" s="2">
        <v>1.5</v>
      </c>
      <c r="BE1699" s="2">
        <v>135</v>
      </c>
      <c r="BF1699" s="2">
        <v>0</v>
      </c>
      <c r="BG1699" s="2">
        <v>162</v>
      </c>
      <c r="BH1699" s="2">
        <v>9.1</v>
      </c>
      <c r="BI1699" s="2">
        <v>9.1999999999999993</v>
      </c>
      <c r="BJ1699" s="2">
        <v>18.3</v>
      </c>
      <c r="BK1699" s="2">
        <v>0.34</v>
      </c>
      <c r="BL1699" s="2">
        <v>7.3</v>
      </c>
      <c r="BM1699" s="2">
        <v>0.9</v>
      </c>
      <c r="BN1699" s="2">
        <v>7.5</v>
      </c>
      <c r="BO1699" s="2">
        <v>2.9</v>
      </c>
      <c r="BP1699" s="2">
        <f t="shared" si="52"/>
        <v>2.27430333311995</v>
      </c>
      <c r="BQ1699" s="2">
        <f t="shared" si="53"/>
        <v>10.619377357397859</v>
      </c>
    </row>
    <row r="1700" spans="1:69" x14ac:dyDescent="0.2">
      <c r="A1700" s="2" t="s">
        <v>404</v>
      </c>
      <c r="B1700" s="2" t="s">
        <v>47</v>
      </c>
      <c r="C1700" s="2" t="s">
        <v>48</v>
      </c>
      <c r="D1700" s="2" t="s">
        <v>49</v>
      </c>
      <c r="E1700" s="2" t="s">
        <v>405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89</v>
      </c>
      <c r="L1700" s="6" t="s">
        <v>90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406</v>
      </c>
      <c r="R1700" s="2">
        <v>9666666.6669999994</v>
      </c>
      <c r="S1700" s="2">
        <v>0</v>
      </c>
      <c r="T1700" s="2" t="s">
        <v>83</v>
      </c>
      <c r="U1700" s="2" t="s">
        <v>84</v>
      </c>
      <c r="V1700" s="2" t="s">
        <v>56</v>
      </c>
      <c r="W1700" s="2" t="s">
        <v>83</v>
      </c>
      <c r="X1700" s="2" t="s">
        <v>85</v>
      </c>
      <c r="Y1700" s="2">
        <v>1.9668147912065601</v>
      </c>
      <c r="Z1700" s="2">
        <v>1966.8147912065599</v>
      </c>
      <c r="AA1700" s="2">
        <v>4.71035</v>
      </c>
      <c r="AB1700" s="2">
        <v>-74.030416666666696</v>
      </c>
      <c r="AC1700" s="2">
        <v>2570</v>
      </c>
      <c r="AD1700" s="2">
        <v>10</v>
      </c>
      <c r="AE1700" s="2" t="s">
        <v>59</v>
      </c>
      <c r="AF1700" s="2" t="s">
        <v>86</v>
      </c>
      <c r="AG1700" s="2" t="s">
        <v>61</v>
      </c>
      <c r="AH1700" s="2" t="s">
        <v>62</v>
      </c>
      <c r="AI1700" s="2" t="s">
        <v>87</v>
      </c>
      <c r="AJ1700" s="2">
        <v>0.93095218106422495</v>
      </c>
      <c r="AK1700" s="2">
        <v>2.2759698984261298</v>
      </c>
      <c r="AL1700" s="2">
        <v>1.07075409128418</v>
      </c>
      <c r="AM1700" s="2">
        <v>9.36421651773678E-2</v>
      </c>
      <c r="AN1700" s="2">
        <v>4.8470887611183899</v>
      </c>
      <c r="AO1700" s="2">
        <v>0.10632650898627</v>
      </c>
      <c r="AP1700" s="2">
        <v>0.10632650898627</v>
      </c>
      <c r="AQ1700" s="2">
        <v>0</v>
      </c>
      <c r="AR1700" s="2">
        <v>1</v>
      </c>
      <c r="AS1700" s="2">
        <v>0</v>
      </c>
      <c r="AT1700" s="2">
        <v>0</v>
      </c>
      <c r="AU1700" s="2">
        <v>0</v>
      </c>
      <c r="AV1700" s="2">
        <v>178</v>
      </c>
      <c r="AW1700" s="2">
        <v>0</v>
      </c>
      <c r="AX1700" s="2">
        <v>0</v>
      </c>
      <c r="AY1700" s="2">
        <v>15.5</v>
      </c>
      <c r="AZ1700" s="2">
        <v>2.4</v>
      </c>
      <c r="BA1700" s="2">
        <v>10.9</v>
      </c>
      <c r="BB1700" s="2">
        <v>564</v>
      </c>
      <c r="BC1700" s="2">
        <v>68</v>
      </c>
      <c r="BD1700" s="2">
        <v>1.5</v>
      </c>
      <c r="BE1700" s="2">
        <v>135</v>
      </c>
      <c r="BF1700" s="2">
        <v>0</v>
      </c>
      <c r="BG1700" s="2">
        <v>162</v>
      </c>
      <c r="BH1700" s="2">
        <v>9.1</v>
      </c>
      <c r="BI1700" s="2">
        <v>9.1999999999999993</v>
      </c>
      <c r="BJ1700" s="2">
        <v>18.3</v>
      </c>
      <c r="BK1700" s="2">
        <v>0.34</v>
      </c>
      <c r="BL1700" s="2">
        <v>7.3</v>
      </c>
      <c r="BM1700" s="2">
        <v>0.9</v>
      </c>
      <c r="BN1700" s="2">
        <v>7.5</v>
      </c>
      <c r="BO1700" s="2">
        <v>2.9</v>
      </c>
      <c r="BP1700" s="2">
        <f t="shared" si="52"/>
        <v>2.1773562362767551</v>
      </c>
      <c r="BQ1700" s="2">
        <f t="shared" si="53"/>
        <v>10.397435968349733</v>
      </c>
    </row>
    <row r="1701" spans="1:69" x14ac:dyDescent="0.2">
      <c r="A1701" s="2" t="s">
        <v>1391</v>
      </c>
      <c r="B1701" s="2" t="s">
        <v>47</v>
      </c>
      <c r="C1701" s="2" t="s">
        <v>48</v>
      </c>
      <c r="D1701" s="2" t="s">
        <v>49</v>
      </c>
      <c r="E1701" s="2" t="s">
        <v>311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89</v>
      </c>
      <c r="L1701" s="6" t="s">
        <v>141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1392</v>
      </c>
      <c r="R1701" s="2">
        <v>4333333.3329999996</v>
      </c>
      <c r="S1701" s="2">
        <v>0</v>
      </c>
      <c r="T1701" s="2" t="s">
        <v>83</v>
      </c>
      <c r="U1701" s="2" t="s">
        <v>84</v>
      </c>
      <c r="V1701" s="2" t="s">
        <v>56</v>
      </c>
      <c r="W1701" s="2" t="s">
        <v>83</v>
      </c>
      <c r="X1701" s="2" t="s">
        <v>85</v>
      </c>
      <c r="Y1701" s="2">
        <v>1.91030639691557</v>
      </c>
      <c r="Z1701" s="2">
        <v>1910.3063969155701</v>
      </c>
      <c r="AA1701" s="2">
        <v>4.71035</v>
      </c>
      <c r="AB1701" s="2">
        <v>-74.030416666666696</v>
      </c>
      <c r="AC1701" s="2">
        <v>2570</v>
      </c>
      <c r="AD1701" s="2">
        <v>10</v>
      </c>
      <c r="AE1701" s="2" t="s">
        <v>59</v>
      </c>
      <c r="AF1701" s="2" t="s">
        <v>86</v>
      </c>
      <c r="AG1701" s="2" t="s">
        <v>61</v>
      </c>
      <c r="AH1701" s="2" t="s">
        <v>62</v>
      </c>
      <c r="AI1701" s="2" t="s">
        <v>87</v>
      </c>
      <c r="AJ1701" s="2">
        <v>2.57593183963272</v>
      </c>
      <c r="AK1701" s="2">
        <v>0.62372757205412599</v>
      </c>
      <c r="AL1701" s="2">
        <v>1.58410374087373</v>
      </c>
      <c r="AM1701" s="2">
        <v>0.266367804276612</v>
      </c>
      <c r="AN1701" s="2">
        <v>1.5906339863554699</v>
      </c>
      <c r="AO1701" s="2">
        <v>0.34495876452316099</v>
      </c>
      <c r="AP1701" s="2">
        <v>0.34495876452316099</v>
      </c>
      <c r="AQ1701" s="2">
        <v>0</v>
      </c>
      <c r="AR1701" s="2">
        <v>0</v>
      </c>
      <c r="AS1701" s="2">
        <v>0</v>
      </c>
      <c r="AT1701" s="2">
        <v>28</v>
      </c>
      <c r="AU1701" s="2">
        <v>0</v>
      </c>
      <c r="AV1701" s="2">
        <v>8</v>
      </c>
      <c r="AW1701" s="2">
        <v>0</v>
      </c>
      <c r="AX1701" s="2">
        <v>0</v>
      </c>
      <c r="AY1701" s="2">
        <v>15.5</v>
      </c>
      <c r="AZ1701" s="2">
        <v>2.4</v>
      </c>
      <c r="BA1701" s="2">
        <v>10.9</v>
      </c>
      <c r="BB1701" s="2">
        <v>564</v>
      </c>
      <c r="BC1701" s="2">
        <v>68</v>
      </c>
      <c r="BD1701" s="2">
        <v>1.5</v>
      </c>
      <c r="BE1701" s="2">
        <v>135</v>
      </c>
      <c r="BF1701" s="2">
        <v>0</v>
      </c>
      <c r="BG1701" s="2">
        <v>162</v>
      </c>
      <c r="BH1701" s="2">
        <v>9.1</v>
      </c>
      <c r="BI1701" s="2">
        <v>9.1999999999999993</v>
      </c>
      <c r="BJ1701" s="2">
        <v>18.3</v>
      </c>
      <c r="BK1701" s="2">
        <v>0.34</v>
      </c>
      <c r="BL1701" s="2">
        <v>7.3</v>
      </c>
      <c r="BM1701" s="2">
        <v>0.9</v>
      </c>
      <c r="BN1701" s="2">
        <v>7.5</v>
      </c>
      <c r="BO1701" s="2">
        <v>2.9</v>
      </c>
      <c r="BP1701" s="2">
        <f t="shared" si="52"/>
        <v>2.1834551879720756</v>
      </c>
      <c r="BQ1701" s="2">
        <f t="shared" si="53"/>
        <v>10.411546552455912</v>
      </c>
    </row>
    <row r="1702" spans="1:69" x14ac:dyDescent="0.2">
      <c r="A1702" s="2" t="s">
        <v>801</v>
      </c>
      <c r="B1702" s="2" t="s">
        <v>47</v>
      </c>
      <c r="C1702" s="2" t="s">
        <v>48</v>
      </c>
      <c r="D1702" s="2" t="s">
        <v>49</v>
      </c>
      <c r="E1702" s="2" t="s">
        <v>539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89</v>
      </c>
      <c r="L1702" s="6" t="s">
        <v>90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802</v>
      </c>
      <c r="R1702" s="2">
        <v>9888888.8890000004</v>
      </c>
      <c r="S1702" s="2">
        <v>0</v>
      </c>
      <c r="T1702" s="2" t="s">
        <v>83</v>
      </c>
      <c r="U1702" s="2" t="s">
        <v>84</v>
      </c>
      <c r="V1702" s="2" t="s">
        <v>56</v>
      </c>
      <c r="W1702" s="2" t="s">
        <v>83</v>
      </c>
      <c r="X1702" s="2" t="s">
        <v>85</v>
      </c>
      <c r="Y1702" s="2">
        <v>0.88799094134168699</v>
      </c>
      <c r="Z1702" s="2">
        <v>887.99094134168695</v>
      </c>
      <c r="AA1702" s="2">
        <v>4.71035</v>
      </c>
      <c r="AB1702" s="2">
        <v>-74.030416666666696</v>
      </c>
      <c r="AC1702" s="2">
        <v>2570</v>
      </c>
      <c r="AD1702" s="2">
        <v>10</v>
      </c>
      <c r="AE1702" s="2" t="s">
        <v>59</v>
      </c>
      <c r="AF1702" s="2" t="s">
        <v>86</v>
      </c>
      <c r="AG1702" s="2" t="s">
        <v>61</v>
      </c>
      <c r="AH1702" s="2" t="s">
        <v>62</v>
      </c>
      <c r="AI1702" s="2" t="s">
        <v>87</v>
      </c>
      <c r="AJ1702" s="2">
        <v>1.6976821403512701</v>
      </c>
      <c r="AK1702" s="2">
        <v>1.4086573649943499</v>
      </c>
      <c r="AL1702" s="2">
        <v>0.64712604886780201</v>
      </c>
      <c r="AM1702" s="2">
        <v>0.27023566560201701</v>
      </c>
      <c r="AN1702" s="2">
        <v>3.20637763844412</v>
      </c>
      <c r="AO1702" s="2">
        <v>0.28404166913471501</v>
      </c>
      <c r="AP1702" s="2">
        <v>0.28404166913471501</v>
      </c>
      <c r="AQ1702" s="2">
        <v>0</v>
      </c>
      <c r="AR1702" s="2">
        <v>0</v>
      </c>
      <c r="AS1702" s="2">
        <v>0</v>
      </c>
      <c r="AT1702" s="2">
        <v>0</v>
      </c>
      <c r="AU1702" s="2">
        <v>1</v>
      </c>
      <c r="AV1702" s="2">
        <v>77</v>
      </c>
      <c r="AW1702" s="2">
        <v>0</v>
      </c>
      <c r="AX1702" s="2">
        <v>0</v>
      </c>
      <c r="AY1702" s="2">
        <v>15.5</v>
      </c>
      <c r="AZ1702" s="2">
        <v>2.4</v>
      </c>
      <c r="BA1702" s="2">
        <v>10.9</v>
      </c>
      <c r="BB1702" s="2">
        <v>564</v>
      </c>
      <c r="BC1702" s="2">
        <v>68</v>
      </c>
      <c r="BD1702" s="2">
        <v>1.5</v>
      </c>
      <c r="BE1702" s="2">
        <v>135</v>
      </c>
      <c r="BF1702" s="2">
        <v>0</v>
      </c>
      <c r="BG1702" s="2">
        <v>162</v>
      </c>
      <c r="BH1702" s="2">
        <v>9.1</v>
      </c>
      <c r="BI1702" s="2">
        <v>9.1999999999999993</v>
      </c>
      <c r="BJ1702" s="2">
        <v>18.3</v>
      </c>
      <c r="BK1702" s="2">
        <v>0.34</v>
      </c>
      <c r="BL1702" s="2">
        <v>7.3</v>
      </c>
      <c r="BM1702" s="2">
        <v>0.9</v>
      </c>
      <c r="BN1702" s="2">
        <v>7.5</v>
      </c>
      <c r="BO1702" s="2">
        <v>2.9</v>
      </c>
      <c r="BP1702" s="2">
        <f t="shared" si="52"/>
        <v>2.2967915843858022</v>
      </c>
      <c r="BQ1702" s="2">
        <f t="shared" si="53"/>
        <v>10.670159425173953</v>
      </c>
    </row>
    <row r="1703" spans="1:69" x14ac:dyDescent="0.2">
      <c r="A1703" s="2" t="s">
        <v>238</v>
      </c>
      <c r="B1703" s="2" t="s">
        <v>47</v>
      </c>
      <c r="C1703" s="2" t="s">
        <v>48</v>
      </c>
      <c r="D1703" s="2" t="s">
        <v>49</v>
      </c>
      <c r="E1703" s="2" t="s">
        <v>184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89</v>
      </c>
      <c r="L1703" s="6" t="s">
        <v>141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239</v>
      </c>
      <c r="R1703" s="2">
        <v>5083798.8830000004</v>
      </c>
      <c r="S1703" s="2">
        <v>0</v>
      </c>
      <c r="T1703" s="2" t="s">
        <v>83</v>
      </c>
      <c r="U1703" s="2" t="s">
        <v>84</v>
      </c>
      <c r="V1703" s="2" t="s">
        <v>56</v>
      </c>
      <c r="W1703" s="2" t="s">
        <v>83</v>
      </c>
      <c r="X1703" s="2" t="s">
        <v>85</v>
      </c>
      <c r="Y1703" s="2">
        <v>0.83869416026502397</v>
      </c>
      <c r="Z1703" s="2">
        <v>838.69416026502404</v>
      </c>
      <c r="AA1703" s="2">
        <v>4.71035</v>
      </c>
      <c r="AB1703" s="2">
        <v>-74.030416666666696</v>
      </c>
      <c r="AC1703" s="2">
        <v>2570</v>
      </c>
      <c r="AD1703" s="2">
        <v>10</v>
      </c>
      <c r="AE1703" s="2" t="s">
        <v>59</v>
      </c>
      <c r="AF1703" s="2" t="s">
        <v>86</v>
      </c>
      <c r="AG1703" s="2" t="s">
        <v>61</v>
      </c>
      <c r="AH1703" s="2" t="s">
        <v>62</v>
      </c>
      <c r="AI1703" s="2" t="s">
        <v>87</v>
      </c>
      <c r="AJ1703" s="2">
        <v>2.43484350642332</v>
      </c>
      <c r="AK1703" s="2">
        <v>0.71263369252854603</v>
      </c>
      <c r="AL1703" s="2">
        <v>0.85489277087020699</v>
      </c>
      <c r="AM1703" s="2">
        <v>0.15914262422064401</v>
      </c>
      <c r="AN1703" s="2">
        <v>2.6384815113903399</v>
      </c>
      <c r="AO1703" s="2">
        <v>0.132634814564317</v>
      </c>
      <c r="AP1703" s="2">
        <v>0.132634814564317</v>
      </c>
      <c r="AQ1703" s="2">
        <v>0</v>
      </c>
      <c r="AR1703" s="2">
        <v>0</v>
      </c>
      <c r="AS1703" s="2">
        <v>0</v>
      </c>
      <c r="AT1703" s="2">
        <v>30</v>
      </c>
      <c r="AU1703" s="2">
        <v>1</v>
      </c>
      <c r="AV1703" s="2">
        <v>74</v>
      </c>
      <c r="AW1703" s="2">
        <v>0</v>
      </c>
      <c r="AX1703" s="2">
        <v>0</v>
      </c>
      <c r="AY1703" s="2">
        <v>15.5</v>
      </c>
      <c r="AZ1703" s="2">
        <v>2.4</v>
      </c>
      <c r="BA1703" s="2">
        <v>10.9</v>
      </c>
      <c r="BB1703" s="2">
        <v>564</v>
      </c>
      <c r="BC1703" s="2">
        <v>68</v>
      </c>
      <c r="BD1703" s="2">
        <v>1.5</v>
      </c>
      <c r="BE1703" s="2">
        <v>135</v>
      </c>
      <c r="BF1703" s="2">
        <v>0</v>
      </c>
      <c r="BG1703" s="2">
        <v>162</v>
      </c>
      <c r="BH1703" s="2">
        <v>9.1</v>
      </c>
      <c r="BI1703" s="2">
        <v>9.1999999999999993</v>
      </c>
      <c r="BJ1703" s="2">
        <v>18.3</v>
      </c>
      <c r="BK1703" s="2">
        <v>0.34</v>
      </c>
      <c r="BL1703" s="2">
        <v>7.3</v>
      </c>
      <c r="BM1703" s="2">
        <v>0.9</v>
      </c>
      <c r="BN1703" s="2">
        <v>7.5</v>
      </c>
      <c r="BO1703" s="2">
        <v>2.9</v>
      </c>
      <c r="BP1703" s="2">
        <f t="shared" si="52"/>
        <v>2.3024030374888254</v>
      </c>
      <c r="BQ1703" s="2">
        <f t="shared" si="53"/>
        <v>10.682791004372495</v>
      </c>
    </row>
    <row r="1704" spans="1:69" x14ac:dyDescent="0.2">
      <c r="A1704" s="2" t="s">
        <v>756</v>
      </c>
      <c r="B1704" s="2" t="s">
        <v>47</v>
      </c>
      <c r="C1704" s="2" t="s">
        <v>48</v>
      </c>
      <c r="D1704" s="2" t="s">
        <v>49</v>
      </c>
      <c r="E1704" s="2" t="s">
        <v>262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89</v>
      </c>
      <c r="L1704" s="6" t="s">
        <v>103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757</v>
      </c>
      <c r="R1704" s="2">
        <v>7078651.6849999996</v>
      </c>
      <c r="S1704" s="2">
        <v>0</v>
      </c>
      <c r="T1704" s="2" t="s">
        <v>83</v>
      </c>
      <c r="U1704" s="2" t="s">
        <v>84</v>
      </c>
      <c r="V1704" s="2" t="s">
        <v>56</v>
      </c>
      <c r="W1704" s="2" t="s">
        <v>83</v>
      </c>
      <c r="X1704" s="2" t="s">
        <v>85</v>
      </c>
      <c r="Y1704" s="2">
        <v>2.2449117596306198</v>
      </c>
      <c r="Z1704" s="2">
        <v>2244.9117596306201</v>
      </c>
      <c r="AA1704" s="2">
        <v>4.71035</v>
      </c>
      <c r="AB1704" s="2">
        <v>-74.030416666666696</v>
      </c>
      <c r="AC1704" s="2">
        <v>2570</v>
      </c>
      <c r="AD1704" s="2">
        <v>10</v>
      </c>
      <c r="AE1704" s="2" t="s">
        <v>59</v>
      </c>
      <c r="AF1704" s="2" t="s">
        <v>86</v>
      </c>
      <c r="AG1704" s="2" t="s">
        <v>61</v>
      </c>
      <c r="AH1704" s="2" t="s">
        <v>62</v>
      </c>
      <c r="AI1704" s="2" t="s">
        <v>87</v>
      </c>
      <c r="AJ1704" s="2">
        <v>1.7859561065551901</v>
      </c>
      <c r="AK1704" s="2">
        <v>1.3262231808373199</v>
      </c>
      <c r="AL1704" s="2">
        <v>0.75298353011663699</v>
      </c>
      <c r="AM1704" s="2">
        <v>0.327733752967169</v>
      </c>
      <c r="AN1704" s="2">
        <v>1.46805660417537</v>
      </c>
      <c r="AO1704" s="2">
        <v>0.116670323085942</v>
      </c>
      <c r="AP1704" s="2">
        <v>0.116670323085942</v>
      </c>
      <c r="AQ1704" s="2">
        <v>0</v>
      </c>
      <c r="AR1704" s="2">
        <v>0</v>
      </c>
      <c r="AS1704" s="2">
        <v>0</v>
      </c>
      <c r="AT1704" s="2">
        <v>0</v>
      </c>
      <c r="AU1704" s="2">
        <v>1</v>
      </c>
      <c r="AV1704" s="2">
        <v>8</v>
      </c>
      <c r="AW1704" s="2">
        <v>0</v>
      </c>
      <c r="AX1704" s="2">
        <v>0</v>
      </c>
      <c r="AY1704" s="2">
        <v>15.5</v>
      </c>
      <c r="AZ1704" s="2">
        <v>2.4</v>
      </c>
      <c r="BA1704" s="2">
        <v>10.9</v>
      </c>
      <c r="BB1704" s="2">
        <v>564</v>
      </c>
      <c r="BC1704" s="2">
        <v>68</v>
      </c>
      <c r="BD1704" s="2">
        <v>1.5</v>
      </c>
      <c r="BE1704" s="2">
        <v>135</v>
      </c>
      <c r="BF1704" s="2">
        <v>0</v>
      </c>
      <c r="BG1704" s="2">
        <v>162</v>
      </c>
      <c r="BH1704" s="2">
        <v>9.1</v>
      </c>
      <c r="BI1704" s="2">
        <v>9.1999999999999993</v>
      </c>
      <c r="BJ1704" s="2">
        <v>18.3</v>
      </c>
      <c r="BK1704" s="2">
        <v>0.34</v>
      </c>
      <c r="BL1704" s="2">
        <v>7.3</v>
      </c>
      <c r="BM1704" s="2">
        <v>0.9</v>
      </c>
      <c r="BN1704" s="2">
        <v>7.5</v>
      </c>
      <c r="BO1704" s="2">
        <v>2.9</v>
      </c>
      <c r="BP1704" s="2">
        <f t="shared" si="52"/>
        <v>2.1475885440576081</v>
      </c>
      <c r="BQ1704" s="2">
        <f t="shared" si="53"/>
        <v>10.328271149290261</v>
      </c>
    </row>
    <row r="1705" spans="1:69" x14ac:dyDescent="0.2">
      <c r="A1705" s="2" t="s">
        <v>1795</v>
      </c>
      <c r="B1705" s="2" t="s">
        <v>47</v>
      </c>
      <c r="C1705" s="2" t="s">
        <v>48</v>
      </c>
      <c r="D1705" s="2" t="s">
        <v>49</v>
      </c>
      <c r="E1705" s="2" t="s">
        <v>172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89</v>
      </c>
      <c r="L1705" s="6" t="s">
        <v>90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1796</v>
      </c>
      <c r="R1705" s="2">
        <v>9775280.8990000002</v>
      </c>
      <c r="S1705" s="2">
        <v>0</v>
      </c>
      <c r="T1705" s="2" t="s">
        <v>83</v>
      </c>
      <c r="U1705" s="2" t="s">
        <v>84</v>
      </c>
      <c r="V1705" s="2" t="s">
        <v>56</v>
      </c>
      <c r="W1705" s="2" t="s">
        <v>83</v>
      </c>
      <c r="X1705" s="2" t="s">
        <v>85</v>
      </c>
      <c r="Y1705" s="2">
        <v>0.96574264583204406</v>
      </c>
      <c r="Z1705" s="2">
        <v>965.74264583204399</v>
      </c>
      <c r="AA1705" s="2">
        <v>4.71035</v>
      </c>
      <c r="AB1705" s="2">
        <v>-74.030416666666696</v>
      </c>
      <c r="AC1705" s="2">
        <v>2570</v>
      </c>
      <c r="AD1705" s="2">
        <v>10</v>
      </c>
      <c r="AE1705" s="2" t="s">
        <v>59</v>
      </c>
      <c r="AF1705" s="2" t="s">
        <v>86</v>
      </c>
      <c r="AG1705" s="2" t="s">
        <v>61</v>
      </c>
      <c r="AH1705" s="2" t="s">
        <v>62</v>
      </c>
      <c r="AI1705" s="2" t="s">
        <v>87</v>
      </c>
      <c r="AJ1705" s="2">
        <v>2.5491322364014</v>
      </c>
      <c r="AK1705" s="2">
        <v>0.65119484680859396</v>
      </c>
      <c r="AL1705" s="2">
        <v>0.124099189631749</v>
      </c>
      <c r="AM1705" s="2">
        <v>8.2289613709770199E-2</v>
      </c>
      <c r="AN1705" s="2">
        <v>4.4294925654663198</v>
      </c>
      <c r="AO1705" s="2">
        <v>0.401798976017961</v>
      </c>
      <c r="AP1705" s="2">
        <v>0.401798976017961</v>
      </c>
      <c r="AQ1705" s="2">
        <v>0</v>
      </c>
      <c r="AR1705" s="2">
        <v>0</v>
      </c>
      <c r="AS1705" s="2">
        <v>0</v>
      </c>
      <c r="AT1705" s="2">
        <v>21</v>
      </c>
      <c r="AU1705" s="2">
        <v>2</v>
      </c>
      <c r="AV1705" s="2">
        <v>117</v>
      </c>
      <c r="AW1705" s="2">
        <v>0</v>
      </c>
      <c r="AX1705" s="2">
        <v>0</v>
      </c>
      <c r="AY1705" s="2">
        <v>15.5</v>
      </c>
      <c r="AZ1705" s="2">
        <v>2.4</v>
      </c>
      <c r="BA1705" s="2">
        <v>10.9</v>
      </c>
      <c r="BB1705" s="2">
        <v>564</v>
      </c>
      <c r="BC1705" s="2">
        <v>68</v>
      </c>
      <c r="BD1705" s="2">
        <v>1.5</v>
      </c>
      <c r="BE1705" s="2">
        <v>135</v>
      </c>
      <c r="BF1705" s="2">
        <v>0</v>
      </c>
      <c r="BG1705" s="2">
        <v>162</v>
      </c>
      <c r="BH1705" s="2">
        <v>9.1</v>
      </c>
      <c r="BI1705" s="2">
        <v>9.1999999999999993</v>
      </c>
      <c r="BJ1705" s="2">
        <v>18.3</v>
      </c>
      <c r="BK1705" s="2">
        <v>0.34</v>
      </c>
      <c r="BL1705" s="2">
        <v>7.3</v>
      </c>
      <c r="BM1705" s="2">
        <v>0.9</v>
      </c>
      <c r="BN1705" s="2">
        <v>7.5</v>
      </c>
      <c r="BO1705" s="2">
        <v>2.9</v>
      </c>
      <c r="BP1705" s="2">
        <f t="shared" si="52"/>
        <v>2.2879688899727153</v>
      </c>
      <c r="BQ1705" s="2">
        <f t="shared" si="53"/>
        <v>10.650267036971522</v>
      </c>
    </row>
    <row r="1706" spans="1:69" x14ac:dyDescent="0.2">
      <c r="A1706" s="2" t="s">
        <v>194</v>
      </c>
      <c r="B1706" s="2" t="s">
        <v>47</v>
      </c>
      <c r="C1706" s="2" t="s">
        <v>48</v>
      </c>
      <c r="D1706" s="2" t="s">
        <v>49</v>
      </c>
      <c r="E1706" s="2" t="s">
        <v>195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89</v>
      </c>
      <c r="L1706" s="6" t="s">
        <v>141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196</v>
      </c>
      <c r="R1706" s="2">
        <v>6299212.5980000002</v>
      </c>
      <c r="S1706" s="2">
        <v>0</v>
      </c>
      <c r="T1706" s="2" t="s">
        <v>83</v>
      </c>
      <c r="U1706" s="2" t="s">
        <v>84</v>
      </c>
      <c r="V1706" s="2" t="s">
        <v>56</v>
      </c>
      <c r="W1706" s="2" t="s">
        <v>83</v>
      </c>
      <c r="X1706" s="2" t="s">
        <v>85</v>
      </c>
      <c r="Y1706" s="2">
        <v>1.8211075681322</v>
      </c>
      <c r="Z1706" s="2">
        <v>1821.1075681322</v>
      </c>
      <c r="AA1706" s="2">
        <v>4.71035</v>
      </c>
      <c r="AB1706" s="2">
        <v>-74.030416666666696</v>
      </c>
      <c r="AC1706" s="2">
        <v>2570</v>
      </c>
      <c r="AD1706" s="2">
        <v>10</v>
      </c>
      <c r="AE1706" s="2" t="s">
        <v>59</v>
      </c>
      <c r="AF1706" s="2" t="s">
        <v>86</v>
      </c>
      <c r="AG1706" s="2" t="s">
        <v>61</v>
      </c>
      <c r="AH1706" s="2" t="s">
        <v>62</v>
      </c>
      <c r="AI1706" s="2" t="s">
        <v>87</v>
      </c>
      <c r="AJ1706" s="2">
        <v>1.98202877768904</v>
      </c>
      <c r="AK1706" s="2">
        <v>1.2946440845227301</v>
      </c>
      <c r="AL1706" s="2">
        <v>0.84877524909145896</v>
      </c>
      <c r="AM1706" s="2">
        <v>3.2917575812414501E-2</v>
      </c>
      <c r="AN1706" s="2">
        <v>5.2131597611898499</v>
      </c>
      <c r="AO1706" s="2">
        <v>0.26586862287462099</v>
      </c>
      <c r="AP1706" s="2">
        <v>0.26586862287462099</v>
      </c>
      <c r="AQ1706" s="2">
        <v>0</v>
      </c>
      <c r="AR1706" s="2">
        <v>0</v>
      </c>
      <c r="AS1706" s="2">
        <v>0</v>
      </c>
      <c r="AT1706" s="2">
        <v>0</v>
      </c>
      <c r="AU1706" s="2">
        <v>2</v>
      </c>
      <c r="AV1706" s="2">
        <v>147</v>
      </c>
      <c r="AW1706" s="2">
        <v>0</v>
      </c>
      <c r="AX1706" s="2">
        <v>0</v>
      </c>
      <c r="AY1706" s="2">
        <v>15.5</v>
      </c>
      <c r="AZ1706" s="2">
        <v>2.4</v>
      </c>
      <c r="BA1706" s="2">
        <v>10.9</v>
      </c>
      <c r="BB1706" s="2">
        <v>564</v>
      </c>
      <c r="BC1706" s="2">
        <v>68</v>
      </c>
      <c r="BD1706" s="2">
        <v>1.5</v>
      </c>
      <c r="BE1706" s="2">
        <v>135</v>
      </c>
      <c r="BF1706" s="2">
        <v>0</v>
      </c>
      <c r="BG1706" s="2">
        <v>162</v>
      </c>
      <c r="BH1706" s="2">
        <v>9.1</v>
      </c>
      <c r="BI1706" s="2">
        <v>9.1999999999999993</v>
      </c>
      <c r="BJ1706" s="2">
        <v>18.3</v>
      </c>
      <c r="BK1706" s="2">
        <v>0.34</v>
      </c>
      <c r="BL1706" s="2">
        <v>7.3</v>
      </c>
      <c r="BM1706" s="2">
        <v>0.9</v>
      </c>
      <c r="BN1706" s="2">
        <v>7.5</v>
      </c>
      <c r="BO1706" s="2">
        <v>2.9</v>
      </c>
      <c r="BP1706" s="2">
        <f t="shared" si="52"/>
        <v>2.1931172042791252</v>
      </c>
      <c r="BQ1706" s="2">
        <f t="shared" si="53"/>
        <v>10.433859173249495</v>
      </c>
    </row>
    <row r="1707" spans="1:69" x14ac:dyDescent="0.2">
      <c r="A1707" s="2" t="s">
        <v>1441</v>
      </c>
      <c r="B1707" s="2" t="s">
        <v>47</v>
      </c>
      <c r="C1707" s="2" t="s">
        <v>48</v>
      </c>
      <c r="D1707" s="2" t="s">
        <v>49</v>
      </c>
      <c r="E1707" s="2" t="s">
        <v>262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89</v>
      </c>
      <c r="L1707" s="6" t="s">
        <v>103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1442</v>
      </c>
      <c r="R1707" s="2">
        <v>7386363.6359999999</v>
      </c>
      <c r="S1707" s="2">
        <v>0</v>
      </c>
      <c r="T1707" s="2" t="s">
        <v>83</v>
      </c>
      <c r="U1707" s="2" t="s">
        <v>84</v>
      </c>
      <c r="V1707" s="2" t="s">
        <v>56</v>
      </c>
      <c r="W1707" s="2" t="s">
        <v>83</v>
      </c>
      <c r="X1707" s="2" t="s">
        <v>85</v>
      </c>
      <c r="Y1707" s="2">
        <v>2.11632734312448</v>
      </c>
      <c r="Z1707" s="2">
        <v>2116.3273431244802</v>
      </c>
      <c r="AA1707" s="2">
        <v>4.71035</v>
      </c>
      <c r="AB1707" s="2">
        <v>-74.030416666666696</v>
      </c>
      <c r="AC1707" s="2">
        <v>2570</v>
      </c>
      <c r="AD1707" s="2">
        <v>10</v>
      </c>
      <c r="AE1707" s="2" t="s">
        <v>59</v>
      </c>
      <c r="AF1707" s="2" t="s">
        <v>86</v>
      </c>
      <c r="AG1707" s="2" t="s">
        <v>61</v>
      </c>
      <c r="AH1707" s="2" t="s">
        <v>62</v>
      </c>
      <c r="AI1707" s="2" t="s">
        <v>87</v>
      </c>
      <c r="AJ1707" s="2">
        <v>1.2649207007518399</v>
      </c>
      <c r="AK1707" s="2">
        <v>1.9028758017684699</v>
      </c>
      <c r="AL1707" s="2">
        <v>0.62211506037911801</v>
      </c>
      <c r="AM1707" s="2">
        <v>0.47487930947010498</v>
      </c>
      <c r="AN1707" s="2">
        <v>2.0732700867279998</v>
      </c>
      <c r="AO1707" s="2">
        <v>0.19593186490197101</v>
      </c>
      <c r="AP1707" s="2">
        <v>0.19593186490197101</v>
      </c>
      <c r="AQ1707" s="2">
        <v>0</v>
      </c>
      <c r="AR1707" s="2">
        <v>0</v>
      </c>
      <c r="AS1707" s="2">
        <v>0</v>
      </c>
      <c r="AT1707" s="2">
        <v>0</v>
      </c>
      <c r="AU1707" s="2">
        <v>1</v>
      </c>
      <c r="AV1707" s="2">
        <v>24</v>
      </c>
      <c r="AW1707" s="2">
        <v>0</v>
      </c>
      <c r="AX1707" s="2">
        <v>0</v>
      </c>
      <c r="AY1707" s="2">
        <v>15.5</v>
      </c>
      <c r="AZ1707" s="2">
        <v>2.4</v>
      </c>
      <c r="BA1707" s="2">
        <v>10.9</v>
      </c>
      <c r="BB1707" s="2">
        <v>564</v>
      </c>
      <c r="BC1707" s="2">
        <v>68</v>
      </c>
      <c r="BD1707" s="2">
        <v>1.5</v>
      </c>
      <c r="BE1707" s="2">
        <v>135</v>
      </c>
      <c r="BF1707" s="2">
        <v>0</v>
      </c>
      <c r="BG1707" s="2">
        <v>162</v>
      </c>
      <c r="BH1707" s="2">
        <v>9.1</v>
      </c>
      <c r="BI1707" s="2">
        <v>9.1999999999999993</v>
      </c>
      <c r="BJ1707" s="2">
        <v>18.3</v>
      </c>
      <c r="BK1707" s="2">
        <v>0.34</v>
      </c>
      <c r="BL1707" s="2">
        <v>7.3</v>
      </c>
      <c r="BM1707" s="2">
        <v>0.9</v>
      </c>
      <c r="BN1707" s="2">
        <v>7.5</v>
      </c>
      <c r="BO1707" s="2">
        <v>2.9</v>
      </c>
      <c r="BP1707" s="2">
        <f t="shared" si="52"/>
        <v>2.1613013861750598</v>
      </c>
      <c r="BQ1707" s="2">
        <f t="shared" si="53"/>
        <v>10.360193694119157</v>
      </c>
    </row>
    <row r="1708" spans="1:69" x14ac:dyDescent="0.2">
      <c r="A1708" s="2" t="s">
        <v>1376</v>
      </c>
      <c r="B1708" s="2" t="s">
        <v>47</v>
      </c>
      <c r="C1708" s="2" t="s">
        <v>48</v>
      </c>
      <c r="D1708" s="2" t="s">
        <v>49</v>
      </c>
      <c r="E1708" s="2" t="s">
        <v>169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51</v>
      </c>
      <c r="L1708" s="6" t="s">
        <v>52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1377</v>
      </c>
      <c r="R1708" s="2">
        <v>10655172.41</v>
      </c>
      <c r="S1708" s="2">
        <v>0</v>
      </c>
      <c r="T1708" s="2" t="s">
        <v>83</v>
      </c>
      <c r="U1708" s="2" t="s">
        <v>84</v>
      </c>
      <c r="V1708" s="2" t="s">
        <v>56</v>
      </c>
      <c r="W1708" s="2" t="s">
        <v>83</v>
      </c>
      <c r="X1708" s="2" t="s">
        <v>85</v>
      </c>
      <c r="Y1708" s="2">
        <v>3.2807569802126602</v>
      </c>
      <c r="Z1708" s="2">
        <v>3280.75698021266</v>
      </c>
      <c r="AA1708" s="2">
        <v>4.71035</v>
      </c>
      <c r="AB1708" s="2">
        <v>-74.030416666666696</v>
      </c>
      <c r="AC1708" s="2">
        <v>2570</v>
      </c>
      <c r="AD1708" s="2">
        <v>10</v>
      </c>
      <c r="AE1708" s="2" t="s">
        <v>59</v>
      </c>
      <c r="AF1708" s="2" t="s">
        <v>86</v>
      </c>
      <c r="AG1708" s="2" t="s">
        <v>61</v>
      </c>
      <c r="AH1708" s="2" t="s">
        <v>62</v>
      </c>
      <c r="AI1708" s="2" t="s">
        <v>87</v>
      </c>
      <c r="AJ1708" s="2">
        <v>1.37380277563854</v>
      </c>
      <c r="AK1708" s="2">
        <v>1.2243109840482</v>
      </c>
      <c r="AL1708" s="2">
        <v>0.64771334240354606</v>
      </c>
      <c r="AM1708" s="2">
        <v>0.13319029730864199</v>
      </c>
      <c r="AN1708" s="2">
        <v>4.2293790482367699</v>
      </c>
      <c r="AO1708" s="2">
        <v>0.50879496026064197</v>
      </c>
      <c r="AP1708" s="2">
        <v>0.50879496026064197</v>
      </c>
      <c r="AQ1708" s="2">
        <v>0</v>
      </c>
      <c r="AR1708" s="2">
        <v>0</v>
      </c>
      <c r="AS1708" s="2">
        <v>0</v>
      </c>
      <c r="AT1708" s="2">
        <v>0</v>
      </c>
      <c r="AU1708" s="2">
        <v>7</v>
      </c>
      <c r="AV1708" s="2">
        <v>122</v>
      </c>
      <c r="AW1708" s="2">
        <v>0</v>
      </c>
      <c r="AX1708" s="2">
        <v>0</v>
      </c>
      <c r="AY1708" s="2">
        <v>15.5</v>
      </c>
      <c r="AZ1708" s="2">
        <v>2.4</v>
      </c>
      <c r="BA1708" s="2">
        <v>10.9</v>
      </c>
      <c r="BB1708" s="2">
        <v>564</v>
      </c>
      <c r="BC1708" s="2">
        <v>68</v>
      </c>
      <c r="BD1708" s="2">
        <v>1.5</v>
      </c>
      <c r="BE1708" s="2">
        <v>135</v>
      </c>
      <c r="BF1708" s="2">
        <v>0</v>
      </c>
      <c r="BG1708" s="2">
        <v>162</v>
      </c>
      <c r="BH1708" s="2">
        <v>9.1</v>
      </c>
      <c r="BI1708" s="2">
        <v>9.1999999999999993</v>
      </c>
      <c r="BJ1708" s="2">
        <v>18.3</v>
      </c>
      <c r="BK1708" s="2">
        <v>0.34</v>
      </c>
      <c r="BL1708" s="2">
        <v>7.3</v>
      </c>
      <c r="BM1708" s="2">
        <v>0.9</v>
      </c>
      <c r="BN1708" s="2">
        <v>7.5</v>
      </c>
      <c r="BO1708" s="2">
        <v>2.9</v>
      </c>
      <c r="BP1708" s="2">
        <f t="shared" si="52"/>
        <v>2.0402477913615242</v>
      </c>
      <c r="BQ1708" s="2">
        <f t="shared" si="53"/>
        <v>10.074672707629528</v>
      </c>
    </row>
    <row r="1709" spans="1:69" x14ac:dyDescent="0.2">
      <c r="A1709" s="2" t="s">
        <v>630</v>
      </c>
      <c r="B1709" s="2" t="s">
        <v>47</v>
      </c>
      <c r="C1709" s="2" t="s">
        <v>48</v>
      </c>
      <c r="D1709" s="2" t="s">
        <v>49</v>
      </c>
      <c r="E1709" s="2" t="s">
        <v>189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89</v>
      </c>
      <c r="L1709" s="6" t="s">
        <v>141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631</v>
      </c>
      <c r="R1709" s="2">
        <v>6781609.1950000003</v>
      </c>
      <c r="S1709" s="2">
        <v>0</v>
      </c>
      <c r="T1709" s="2" t="s">
        <v>83</v>
      </c>
      <c r="U1709" s="2" t="s">
        <v>84</v>
      </c>
      <c r="V1709" s="2" t="s">
        <v>56</v>
      </c>
      <c r="W1709" s="2" t="s">
        <v>83</v>
      </c>
      <c r="X1709" s="2" t="s">
        <v>85</v>
      </c>
      <c r="Y1709" s="2">
        <v>2.4400791268171602</v>
      </c>
      <c r="Z1709" s="2">
        <v>2440.0791268171602</v>
      </c>
      <c r="AA1709" s="2">
        <v>4.71035</v>
      </c>
      <c r="AB1709" s="2">
        <v>-74.030416666666696</v>
      </c>
      <c r="AC1709" s="2">
        <v>2570</v>
      </c>
      <c r="AD1709" s="2">
        <v>10</v>
      </c>
      <c r="AE1709" s="2" t="s">
        <v>59</v>
      </c>
      <c r="AF1709" s="2" t="s">
        <v>86</v>
      </c>
      <c r="AG1709" s="2" t="s">
        <v>61</v>
      </c>
      <c r="AH1709" s="2" t="s">
        <v>62</v>
      </c>
      <c r="AI1709" s="2" t="s">
        <v>87</v>
      </c>
      <c r="AJ1709" s="2">
        <v>1.29240259663572</v>
      </c>
      <c r="AK1709" s="2">
        <v>1.8838280519092501</v>
      </c>
      <c r="AL1709" s="2">
        <v>0.58949864151287001</v>
      </c>
      <c r="AM1709" s="2">
        <v>0.17497685415591299</v>
      </c>
      <c r="AN1709" s="2">
        <v>4.6777967754021796</v>
      </c>
      <c r="AO1709" s="2">
        <v>0.10712375108261001</v>
      </c>
      <c r="AP1709" s="2">
        <v>0.10712375108261001</v>
      </c>
      <c r="AQ1709" s="2">
        <v>0</v>
      </c>
      <c r="AR1709" s="2">
        <v>0</v>
      </c>
      <c r="AS1709" s="2">
        <v>0</v>
      </c>
      <c r="AT1709" s="2">
        <v>0</v>
      </c>
      <c r="AU1709" s="2">
        <v>3</v>
      </c>
      <c r="AV1709" s="2">
        <v>116</v>
      </c>
      <c r="AW1709" s="2">
        <v>0</v>
      </c>
      <c r="AX1709" s="2">
        <v>0</v>
      </c>
      <c r="AY1709" s="2">
        <v>15.5</v>
      </c>
      <c r="AZ1709" s="2">
        <v>2.4</v>
      </c>
      <c r="BA1709" s="2">
        <v>10.9</v>
      </c>
      <c r="BB1709" s="2">
        <v>564</v>
      </c>
      <c r="BC1709" s="2">
        <v>68</v>
      </c>
      <c r="BD1709" s="2">
        <v>1.5</v>
      </c>
      <c r="BE1709" s="2">
        <v>135</v>
      </c>
      <c r="BF1709" s="2">
        <v>0</v>
      </c>
      <c r="BG1709" s="2">
        <v>162</v>
      </c>
      <c r="BH1709" s="2">
        <v>9.1</v>
      </c>
      <c r="BI1709" s="2">
        <v>9.1999999999999993</v>
      </c>
      <c r="BJ1709" s="2">
        <v>18.3</v>
      </c>
      <c r="BK1709" s="2">
        <v>0.34</v>
      </c>
      <c r="BL1709" s="2">
        <v>7.3</v>
      </c>
      <c r="BM1709" s="2">
        <v>0.9</v>
      </c>
      <c r="BN1709" s="2">
        <v>7.5</v>
      </c>
      <c r="BO1709" s="2">
        <v>2.9</v>
      </c>
      <c r="BP1709" s="2">
        <f t="shared" si="52"/>
        <v>2.1269410496471384</v>
      </c>
      <c r="BQ1709" s="2">
        <f t="shared" si="53"/>
        <v>10.280006478092764</v>
      </c>
    </row>
    <row r="1710" spans="1:69" x14ac:dyDescent="0.2">
      <c r="A1710" s="2" t="s">
        <v>299</v>
      </c>
      <c r="B1710" s="2" t="s">
        <v>47</v>
      </c>
      <c r="C1710" s="2" t="s">
        <v>48</v>
      </c>
      <c r="D1710" s="2" t="s">
        <v>49</v>
      </c>
      <c r="E1710" s="2" t="s">
        <v>189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89</v>
      </c>
      <c r="L1710" s="6" t="s">
        <v>94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300</v>
      </c>
      <c r="R1710" s="2">
        <v>9739534.8839999996</v>
      </c>
      <c r="S1710" s="2">
        <v>0</v>
      </c>
      <c r="T1710" s="2" t="s">
        <v>83</v>
      </c>
      <c r="U1710" s="2" t="s">
        <v>84</v>
      </c>
      <c r="V1710" s="2" t="s">
        <v>56</v>
      </c>
      <c r="W1710" s="2" t="s">
        <v>83</v>
      </c>
      <c r="X1710" s="2" t="s">
        <v>85</v>
      </c>
      <c r="Y1710" s="2">
        <v>2.7108924682444302</v>
      </c>
      <c r="Z1710" s="2">
        <v>2710.8924682444299</v>
      </c>
      <c r="AA1710" s="2">
        <v>4.71035</v>
      </c>
      <c r="AB1710" s="2">
        <v>-74.030416666666696</v>
      </c>
      <c r="AC1710" s="2">
        <v>2570</v>
      </c>
      <c r="AD1710" s="2">
        <v>10</v>
      </c>
      <c r="AE1710" s="2" t="s">
        <v>59</v>
      </c>
      <c r="AF1710" s="2" t="s">
        <v>86</v>
      </c>
      <c r="AG1710" s="2" t="s">
        <v>61</v>
      </c>
      <c r="AH1710" s="2" t="s">
        <v>62</v>
      </c>
      <c r="AI1710" s="2" t="s">
        <v>87</v>
      </c>
      <c r="AJ1710" s="2">
        <v>0.99434332851604501</v>
      </c>
      <c r="AK1710" s="2">
        <v>1.9720560251522301</v>
      </c>
      <c r="AL1710" s="2">
        <v>0.29970299232604197</v>
      </c>
      <c r="AM1710" s="2">
        <v>9.1590902442201402E-2</v>
      </c>
      <c r="AN1710" s="2">
        <v>4.3700469967671101</v>
      </c>
      <c r="AO1710" s="2">
        <v>0.101624842250298</v>
      </c>
      <c r="AP1710" s="2">
        <v>0.101624842250298</v>
      </c>
      <c r="AQ1710" s="2">
        <v>0</v>
      </c>
      <c r="AR1710" s="2">
        <v>1</v>
      </c>
      <c r="AS1710" s="2">
        <v>0</v>
      </c>
      <c r="AT1710" s="2">
        <v>0</v>
      </c>
      <c r="AU1710" s="2">
        <v>5</v>
      </c>
      <c r="AV1710" s="2">
        <v>122</v>
      </c>
      <c r="AW1710" s="2">
        <v>0</v>
      </c>
      <c r="AX1710" s="2">
        <v>0</v>
      </c>
      <c r="AY1710" s="2">
        <v>15.5</v>
      </c>
      <c r="AZ1710" s="2">
        <v>2.4</v>
      </c>
      <c r="BA1710" s="2">
        <v>10.9</v>
      </c>
      <c r="BB1710" s="2">
        <v>564</v>
      </c>
      <c r="BC1710" s="2">
        <v>68</v>
      </c>
      <c r="BD1710" s="2">
        <v>1.5</v>
      </c>
      <c r="BE1710" s="2">
        <v>135</v>
      </c>
      <c r="BF1710" s="2">
        <v>0</v>
      </c>
      <c r="BG1710" s="2">
        <v>162</v>
      </c>
      <c r="BH1710" s="2">
        <v>9.1</v>
      </c>
      <c r="BI1710" s="2">
        <v>9.1999999999999993</v>
      </c>
      <c r="BJ1710" s="2">
        <v>18.3</v>
      </c>
      <c r="BK1710" s="2">
        <v>0.34</v>
      </c>
      <c r="BL1710" s="2">
        <v>7.3</v>
      </c>
      <c r="BM1710" s="2">
        <v>0.9</v>
      </c>
      <c r="BN1710" s="2">
        <v>7.5</v>
      </c>
      <c r="BO1710" s="2">
        <v>2.9</v>
      </c>
      <c r="BP1710" s="2">
        <f t="shared" si="52"/>
        <v>2.0986191066524365</v>
      </c>
      <c r="BQ1710" s="2">
        <f t="shared" si="53"/>
        <v>10.213408031811836</v>
      </c>
    </row>
    <row r="1711" spans="1:69" x14ac:dyDescent="0.2">
      <c r="A1711" s="2" t="s">
        <v>3943</v>
      </c>
      <c r="B1711" s="2" t="s">
        <v>47</v>
      </c>
      <c r="C1711" s="2" t="s">
        <v>3273</v>
      </c>
      <c r="D1711" s="2" t="s">
        <v>49</v>
      </c>
      <c r="E1711" s="2" t="s">
        <v>192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89</v>
      </c>
      <c r="L1711" s="6" t="s">
        <v>112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3944</v>
      </c>
      <c r="R1711" s="2">
        <v>6470588.2350000003</v>
      </c>
      <c r="S1711" s="2">
        <v>0</v>
      </c>
      <c r="T1711" s="2" t="s">
        <v>83</v>
      </c>
      <c r="U1711" s="2" t="s">
        <v>84</v>
      </c>
      <c r="V1711" s="2" t="s">
        <v>56</v>
      </c>
      <c r="W1711" s="2" t="s">
        <v>83</v>
      </c>
      <c r="X1711" s="2" t="s">
        <v>85</v>
      </c>
      <c r="Y1711" s="2">
        <v>1.4347675736646499</v>
      </c>
      <c r="Z1711" s="2">
        <v>1434.7675736646499</v>
      </c>
      <c r="AA1711" s="2">
        <v>4.71035</v>
      </c>
      <c r="AB1711" s="2">
        <v>-74.030416666666696</v>
      </c>
      <c r="AC1711" s="2">
        <v>2570</v>
      </c>
      <c r="AD1711" s="2">
        <v>10</v>
      </c>
      <c r="AE1711" s="2" t="s">
        <v>59</v>
      </c>
      <c r="AF1711" s="2" t="s">
        <v>86</v>
      </c>
      <c r="AG1711" s="2" t="s">
        <v>61</v>
      </c>
      <c r="AH1711" s="2" t="s">
        <v>62</v>
      </c>
      <c r="AI1711" s="2" t="s">
        <v>87</v>
      </c>
      <c r="AJ1711" s="2">
        <v>1.9386007931873701</v>
      </c>
      <c r="AK1711" s="2">
        <v>1.28950681704543</v>
      </c>
      <c r="AL1711" s="2">
        <v>0.59070699828860396</v>
      </c>
      <c r="AM1711" s="2">
        <v>0.14832403792936399</v>
      </c>
      <c r="AN1711" s="2">
        <v>4.7898608866097403</v>
      </c>
      <c r="AO1711" s="2">
        <v>0.116356760124915</v>
      </c>
      <c r="AP1711" s="2">
        <v>0.116356760124915</v>
      </c>
      <c r="AQ1711" s="2">
        <v>0</v>
      </c>
      <c r="AR1711" s="2">
        <v>0</v>
      </c>
      <c r="AS1711" s="2">
        <v>0</v>
      </c>
      <c r="AT1711" s="2">
        <v>0</v>
      </c>
      <c r="AU1711" s="2">
        <v>1</v>
      </c>
      <c r="AV1711" s="2">
        <v>171</v>
      </c>
      <c r="AW1711" s="2">
        <v>0</v>
      </c>
      <c r="AX1711" s="2">
        <v>0</v>
      </c>
      <c r="AY1711" s="2">
        <v>15.5</v>
      </c>
      <c r="AZ1711" s="2">
        <v>2.4</v>
      </c>
      <c r="BA1711" s="2">
        <v>10.9</v>
      </c>
      <c r="BB1711" s="2">
        <v>564</v>
      </c>
      <c r="BC1711" s="2">
        <v>68</v>
      </c>
      <c r="BD1711" s="2">
        <v>1.5</v>
      </c>
      <c r="BE1711" s="2">
        <v>135</v>
      </c>
      <c r="BF1711" s="2">
        <v>0</v>
      </c>
      <c r="BG1711" s="2">
        <v>162</v>
      </c>
      <c r="BH1711" s="2">
        <v>9.1</v>
      </c>
      <c r="BI1711" s="2">
        <v>9.1999999999999993</v>
      </c>
      <c r="BJ1711" s="2">
        <v>18.3</v>
      </c>
      <c r="BK1711" s="2">
        <v>0.34</v>
      </c>
      <c r="BL1711" s="2">
        <v>7.3</v>
      </c>
      <c r="BM1711" s="2">
        <v>0.9</v>
      </c>
      <c r="BN1711" s="2">
        <v>7.5</v>
      </c>
      <c r="BO1711" s="2">
        <v>2.9</v>
      </c>
      <c r="BP1711" s="2">
        <f t="shared" si="52"/>
        <v>2.2354616073286855</v>
      </c>
      <c r="BQ1711" s="2">
        <f t="shared" si="53"/>
        <v>10.531053487808169</v>
      </c>
    </row>
    <row r="1712" spans="1:69" x14ac:dyDescent="0.2">
      <c r="A1712" s="2" t="s">
        <v>1636</v>
      </c>
      <c r="B1712" s="2" t="s">
        <v>47</v>
      </c>
      <c r="C1712" s="2" t="s">
        <v>48</v>
      </c>
      <c r="D1712" s="2" t="s">
        <v>49</v>
      </c>
      <c r="E1712" s="2" t="s">
        <v>1637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89</v>
      </c>
      <c r="L1712" s="6" t="s">
        <v>103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1638</v>
      </c>
      <c r="R1712" s="2">
        <v>8952380.9519999996</v>
      </c>
      <c r="S1712" s="2">
        <v>0</v>
      </c>
      <c r="T1712" s="2" t="s">
        <v>83</v>
      </c>
      <c r="U1712" s="2" t="s">
        <v>84</v>
      </c>
      <c r="V1712" s="2" t="s">
        <v>56</v>
      </c>
      <c r="W1712" s="2" t="s">
        <v>83</v>
      </c>
      <c r="X1712" s="2" t="s">
        <v>85</v>
      </c>
      <c r="Y1712" s="2">
        <v>4.1593295690382801</v>
      </c>
      <c r="Z1712" s="2">
        <v>4159.3295690382802</v>
      </c>
      <c r="AA1712" s="2">
        <v>4.71035</v>
      </c>
      <c r="AB1712" s="2">
        <v>-74.030416666666696</v>
      </c>
      <c r="AC1712" s="2">
        <v>2570</v>
      </c>
      <c r="AD1712" s="2">
        <v>10</v>
      </c>
      <c r="AE1712" s="2" t="s">
        <v>59</v>
      </c>
      <c r="AF1712" s="2" t="s">
        <v>86</v>
      </c>
      <c r="AG1712" s="2" t="s">
        <v>61</v>
      </c>
      <c r="AH1712" s="2" t="s">
        <v>62</v>
      </c>
      <c r="AI1712" s="2" t="s">
        <v>109</v>
      </c>
      <c r="AJ1712" s="2">
        <v>0.38142919751562199</v>
      </c>
      <c r="AK1712" s="2">
        <v>1.91966394936149</v>
      </c>
      <c r="AL1712" s="2">
        <v>0.47171644105293897</v>
      </c>
      <c r="AM1712" s="2">
        <v>9.8080810734689203E-2</v>
      </c>
      <c r="AN1712" s="2">
        <v>3.1283950681299899</v>
      </c>
      <c r="AO1712" s="2">
        <v>0.41143055006240298</v>
      </c>
      <c r="AP1712" s="2">
        <v>0.41143055006240298</v>
      </c>
      <c r="AQ1712" s="2">
        <v>1</v>
      </c>
      <c r="AR1712" s="2">
        <v>3</v>
      </c>
      <c r="AS1712" s="2">
        <v>0</v>
      </c>
      <c r="AT1712" s="2">
        <v>0</v>
      </c>
      <c r="AU1712" s="2">
        <v>5</v>
      </c>
      <c r="AV1712" s="2">
        <v>240</v>
      </c>
      <c r="AW1712" s="2">
        <v>0</v>
      </c>
      <c r="AX1712" s="2">
        <v>0</v>
      </c>
      <c r="AY1712" s="2">
        <v>15.5</v>
      </c>
      <c r="AZ1712" s="2">
        <v>2.4</v>
      </c>
      <c r="BA1712" s="2">
        <v>10.9</v>
      </c>
      <c r="BB1712" s="2">
        <v>564</v>
      </c>
      <c r="BC1712" s="2">
        <v>68</v>
      </c>
      <c r="BD1712" s="2">
        <v>1.5</v>
      </c>
      <c r="BE1712" s="2">
        <v>135</v>
      </c>
      <c r="BF1712" s="2">
        <v>0</v>
      </c>
      <c r="BG1712" s="2">
        <v>162</v>
      </c>
      <c r="BH1712" s="2">
        <v>9.1</v>
      </c>
      <c r="BI1712" s="2">
        <v>9.1999999999999993</v>
      </c>
      <c r="BJ1712" s="2">
        <v>18.3</v>
      </c>
      <c r="BK1712" s="2">
        <v>0.34</v>
      </c>
      <c r="BL1712" s="2">
        <v>7.3</v>
      </c>
      <c r="BM1712" s="2">
        <v>0.9</v>
      </c>
      <c r="BN1712" s="2">
        <v>7.5</v>
      </c>
      <c r="BO1712" s="2">
        <v>2.9</v>
      </c>
      <c r="BP1712" s="2">
        <f t="shared" si="52"/>
        <v>1.95342047106586</v>
      </c>
      <c r="BQ1712" s="2">
        <f t="shared" si="53"/>
        <v>9.8644647406437098</v>
      </c>
    </row>
    <row r="1713" spans="1:69" x14ac:dyDescent="0.2">
      <c r="A1713" s="2" t="s">
        <v>1851</v>
      </c>
      <c r="B1713" s="2" t="s">
        <v>47</v>
      </c>
      <c r="C1713" s="2" t="s">
        <v>48</v>
      </c>
      <c r="D1713" s="2" t="s">
        <v>49</v>
      </c>
      <c r="E1713" s="2" t="s">
        <v>262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89</v>
      </c>
      <c r="L1713" s="6" t="s">
        <v>141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1852</v>
      </c>
      <c r="R1713" s="2">
        <v>4702380.9519999996</v>
      </c>
      <c r="S1713" s="2">
        <v>0</v>
      </c>
      <c r="T1713" s="2" t="s">
        <v>83</v>
      </c>
      <c r="U1713" s="2" t="s">
        <v>84</v>
      </c>
      <c r="V1713" s="2" t="s">
        <v>56</v>
      </c>
      <c r="W1713" s="2" t="s">
        <v>83</v>
      </c>
      <c r="X1713" s="2" t="s">
        <v>85</v>
      </c>
      <c r="Y1713" s="2">
        <v>2.2251689281535199</v>
      </c>
      <c r="Z1713" s="2">
        <v>2225.16892815352</v>
      </c>
      <c r="AA1713" s="2">
        <v>4.71035</v>
      </c>
      <c r="AB1713" s="2">
        <v>-74.030416666666696</v>
      </c>
      <c r="AC1713" s="2">
        <v>2570</v>
      </c>
      <c r="AD1713" s="2">
        <v>10</v>
      </c>
      <c r="AE1713" s="2" t="s">
        <v>59</v>
      </c>
      <c r="AF1713" s="2" t="s">
        <v>86</v>
      </c>
      <c r="AG1713" s="2" t="s">
        <v>61</v>
      </c>
      <c r="AH1713" s="2" t="s">
        <v>62</v>
      </c>
      <c r="AI1713" s="2" t="s">
        <v>87</v>
      </c>
      <c r="AJ1713" s="2">
        <v>1.51307285134285</v>
      </c>
      <c r="AK1713" s="2">
        <v>1.6180152980431399</v>
      </c>
      <c r="AL1713" s="2">
        <v>0.55957807723693498</v>
      </c>
      <c r="AM1713" s="2">
        <v>0.28317972052481499</v>
      </c>
      <c r="AN1713" s="2">
        <v>1.69893617206664</v>
      </c>
      <c r="AO1713" s="2">
        <v>6.4073812474183894E-2</v>
      </c>
      <c r="AP1713" s="2">
        <v>6.4073812474183894E-2</v>
      </c>
      <c r="AQ1713" s="2">
        <v>0</v>
      </c>
      <c r="AR1713" s="2">
        <v>0</v>
      </c>
      <c r="AS1713" s="2">
        <v>0</v>
      </c>
      <c r="AT1713" s="2">
        <v>0</v>
      </c>
      <c r="AU1713" s="2">
        <v>1</v>
      </c>
      <c r="AV1713" s="2">
        <v>7</v>
      </c>
      <c r="AW1713" s="2">
        <v>0</v>
      </c>
      <c r="AX1713" s="2">
        <v>0</v>
      </c>
      <c r="AY1713" s="2">
        <v>15.5</v>
      </c>
      <c r="AZ1713" s="2">
        <v>2.4</v>
      </c>
      <c r="BA1713" s="2">
        <v>10.9</v>
      </c>
      <c r="BB1713" s="2">
        <v>564</v>
      </c>
      <c r="BC1713" s="2">
        <v>68</v>
      </c>
      <c r="BD1713" s="2">
        <v>1.5</v>
      </c>
      <c r="BE1713" s="2">
        <v>135</v>
      </c>
      <c r="BF1713" s="2">
        <v>0</v>
      </c>
      <c r="BG1713" s="2">
        <v>162</v>
      </c>
      <c r="BH1713" s="2">
        <v>9.1</v>
      </c>
      <c r="BI1713" s="2">
        <v>9.1999999999999993</v>
      </c>
      <c r="BJ1713" s="2">
        <v>18.3</v>
      </c>
      <c r="BK1713" s="2">
        <v>0.34</v>
      </c>
      <c r="BL1713" s="2">
        <v>7.3</v>
      </c>
      <c r="BM1713" s="2">
        <v>0.9</v>
      </c>
      <c r="BN1713" s="2">
        <v>7.5</v>
      </c>
      <c r="BO1713" s="2">
        <v>2.9</v>
      </c>
      <c r="BP1713" s="2">
        <f t="shared" si="52"/>
        <v>2.1496883441224801</v>
      </c>
      <c r="BQ1713" s="2">
        <f t="shared" si="53"/>
        <v>10.333166132490625</v>
      </c>
    </row>
    <row r="1714" spans="1:69" x14ac:dyDescent="0.2">
      <c r="A1714" s="2" t="s">
        <v>186</v>
      </c>
      <c r="B1714" s="2" t="s">
        <v>47</v>
      </c>
      <c r="C1714" s="2" t="s">
        <v>48</v>
      </c>
      <c r="D1714" s="2" t="s">
        <v>49</v>
      </c>
      <c r="E1714" s="2" t="s">
        <v>52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89</v>
      </c>
      <c r="L1714" s="6" t="s">
        <v>103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187</v>
      </c>
      <c r="R1714" s="2">
        <v>10131108.460000001</v>
      </c>
      <c r="S1714" s="2">
        <v>0</v>
      </c>
      <c r="T1714" s="2" t="s">
        <v>83</v>
      </c>
      <c r="U1714" s="2" t="s">
        <v>84</v>
      </c>
      <c r="V1714" s="2" t="s">
        <v>56</v>
      </c>
      <c r="W1714" s="2" t="s">
        <v>83</v>
      </c>
      <c r="X1714" s="2" t="s">
        <v>85</v>
      </c>
      <c r="Y1714" s="2">
        <v>2.1543713053432101</v>
      </c>
      <c r="Z1714" s="2">
        <v>2154.3713053432102</v>
      </c>
      <c r="AA1714" s="2">
        <v>4.71035</v>
      </c>
      <c r="AB1714" s="2">
        <v>-74.030416666666696</v>
      </c>
      <c r="AC1714" s="2">
        <v>2570</v>
      </c>
      <c r="AD1714" s="2">
        <v>10</v>
      </c>
      <c r="AE1714" s="2" t="s">
        <v>59</v>
      </c>
      <c r="AF1714" s="2" t="s">
        <v>86</v>
      </c>
      <c r="AG1714" s="2" t="s">
        <v>61</v>
      </c>
      <c r="AH1714" s="2" t="s">
        <v>62</v>
      </c>
      <c r="AI1714" s="2" t="s">
        <v>87</v>
      </c>
      <c r="AJ1714" s="2">
        <v>0.54906053604962701</v>
      </c>
      <c r="AK1714" s="2">
        <v>2.74860068256534</v>
      </c>
      <c r="AL1714" s="2">
        <v>1.8914453331297101</v>
      </c>
      <c r="AM1714" s="2">
        <v>0.20344870071073301</v>
      </c>
      <c r="AN1714" s="2">
        <v>4.2889978414835896</v>
      </c>
      <c r="AO1714" s="2">
        <v>0.196661375402607</v>
      </c>
      <c r="AP1714" s="2">
        <v>0.196661375402607</v>
      </c>
      <c r="AQ1714" s="2">
        <v>0</v>
      </c>
      <c r="AR1714" s="2">
        <v>2</v>
      </c>
      <c r="AS1714" s="2">
        <v>0</v>
      </c>
      <c r="AT1714" s="2">
        <v>0</v>
      </c>
      <c r="AU1714" s="2">
        <v>0</v>
      </c>
      <c r="AV1714" s="2">
        <v>100</v>
      </c>
      <c r="AW1714" s="2">
        <v>0</v>
      </c>
      <c r="AX1714" s="2">
        <v>0</v>
      </c>
      <c r="AY1714" s="2">
        <v>15.5</v>
      </c>
      <c r="AZ1714" s="2">
        <v>2.4</v>
      </c>
      <c r="BA1714" s="2">
        <v>10.9</v>
      </c>
      <c r="BB1714" s="2">
        <v>564</v>
      </c>
      <c r="BC1714" s="2">
        <v>68</v>
      </c>
      <c r="BD1714" s="2">
        <v>1.5</v>
      </c>
      <c r="BE1714" s="2">
        <v>135</v>
      </c>
      <c r="BF1714" s="2">
        <v>0</v>
      </c>
      <c r="BG1714" s="2">
        <v>162</v>
      </c>
      <c r="BH1714" s="2">
        <v>9.1</v>
      </c>
      <c r="BI1714" s="2">
        <v>9.1999999999999993</v>
      </c>
      <c r="BJ1714" s="2">
        <v>18.3</v>
      </c>
      <c r="BK1714" s="2">
        <v>0.34</v>
      </c>
      <c r="BL1714" s="2">
        <v>7.3</v>
      </c>
      <c r="BM1714" s="2">
        <v>0.9</v>
      </c>
      <c r="BN1714" s="2">
        <v>7.5</v>
      </c>
      <c r="BO1714" s="2">
        <v>2.9</v>
      </c>
      <c r="BP1714" s="2">
        <f t="shared" si="52"/>
        <v>2.1572351049588199</v>
      </c>
      <c r="BQ1714" s="2">
        <f t="shared" si="53"/>
        <v>10.350738583674934</v>
      </c>
    </row>
    <row r="1715" spans="1:69" x14ac:dyDescent="0.2">
      <c r="A1715" s="2" t="s">
        <v>750</v>
      </c>
      <c r="B1715" s="2" t="s">
        <v>47</v>
      </c>
      <c r="C1715" s="2" t="s">
        <v>48</v>
      </c>
      <c r="D1715" s="2" t="s">
        <v>49</v>
      </c>
      <c r="E1715" s="2" t="s">
        <v>751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89</v>
      </c>
      <c r="L1715" s="6" t="s">
        <v>141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752</v>
      </c>
      <c r="R1715" s="2">
        <v>5180722.892</v>
      </c>
      <c r="S1715" s="2">
        <v>0</v>
      </c>
      <c r="T1715" s="2" t="s">
        <v>83</v>
      </c>
      <c r="U1715" s="2" t="s">
        <v>84</v>
      </c>
      <c r="V1715" s="2" t="s">
        <v>56</v>
      </c>
      <c r="W1715" s="2" t="s">
        <v>83</v>
      </c>
      <c r="X1715" s="2" t="s">
        <v>85</v>
      </c>
      <c r="Y1715" s="2">
        <v>1.21472098314703</v>
      </c>
      <c r="Z1715" s="2">
        <v>1214.72098314703</v>
      </c>
      <c r="AA1715" s="2">
        <v>4.71035</v>
      </c>
      <c r="AB1715" s="2">
        <v>-74.030416666666696</v>
      </c>
      <c r="AC1715" s="2">
        <v>2570</v>
      </c>
      <c r="AD1715" s="2">
        <v>10</v>
      </c>
      <c r="AE1715" s="2" t="s">
        <v>59</v>
      </c>
      <c r="AF1715" s="2" t="s">
        <v>86</v>
      </c>
      <c r="AG1715" s="2" t="s">
        <v>61</v>
      </c>
      <c r="AH1715" s="2" t="s">
        <v>62</v>
      </c>
      <c r="AI1715" s="2" t="s">
        <v>87</v>
      </c>
      <c r="AJ1715" s="2">
        <v>1.9318979393339399</v>
      </c>
      <c r="AK1715" s="2">
        <v>1.16734783633649</v>
      </c>
      <c r="AL1715" s="2">
        <v>1.10351702467297</v>
      </c>
      <c r="AM1715" s="2">
        <v>0.19590994815735699</v>
      </c>
      <c r="AN1715" s="2">
        <v>2.44682815067193</v>
      </c>
      <c r="AO1715" s="2">
        <v>9.8374094684001503E-3</v>
      </c>
      <c r="AP1715" s="2">
        <v>9.8374094684001503E-3</v>
      </c>
      <c r="AQ1715" s="2">
        <v>0</v>
      </c>
      <c r="AR1715" s="2">
        <v>0</v>
      </c>
      <c r="AS1715" s="2">
        <v>0</v>
      </c>
      <c r="AT1715" s="2">
        <v>0</v>
      </c>
      <c r="AU1715" s="2">
        <v>0</v>
      </c>
      <c r="AV1715" s="2">
        <v>45</v>
      </c>
      <c r="AW1715" s="2">
        <v>0</v>
      </c>
      <c r="AX1715" s="2">
        <v>0</v>
      </c>
      <c r="AY1715" s="2">
        <v>15.5</v>
      </c>
      <c r="AZ1715" s="2">
        <v>2.4</v>
      </c>
      <c r="BA1715" s="2">
        <v>10.9</v>
      </c>
      <c r="BB1715" s="2">
        <v>564</v>
      </c>
      <c r="BC1715" s="2">
        <v>68</v>
      </c>
      <c r="BD1715" s="2">
        <v>1.5</v>
      </c>
      <c r="BE1715" s="2">
        <v>135</v>
      </c>
      <c r="BF1715" s="2">
        <v>0</v>
      </c>
      <c r="BG1715" s="2">
        <v>162</v>
      </c>
      <c r="BH1715" s="2">
        <v>9.1</v>
      </c>
      <c r="BI1715" s="2">
        <v>9.1999999999999993</v>
      </c>
      <c r="BJ1715" s="2">
        <v>18.3</v>
      </c>
      <c r="BK1715" s="2">
        <v>0.34</v>
      </c>
      <c r="BL1715" s="2">
        <v>7.3</v>
      </c>
      <c r="BM1715" s="2">
        <v>0.9</v>
      </c>
      <c r="BN1715" s="2">
        <v>7.5</v>
      </c>
      <c r="BO1715" s="2">
        <v>2.9</v>
      </c>
      <c r="BP1715" s="2">
        <f t="shared" si="52"/>
        <v>2.2599440327058824</v>
      </c>
      <c r="BQ1715" s="2">
        <f t="shared" si="53"/>
        <v>10.586816341263679</v>
      </c>
    </row>
    <row r="1716" spans="1:69" x14ac:dyDescent="0.2">
      <c r="A1716" s="2" t="s">
        <v>1055</v>
      </c>
      <c r="B1716" s="2" t="s">
        <v>47</v>
      </c>
      <c r="C1716" s="2" t="s">
        <v>48</v>
      </c>
      <c r="D1716" s="2" t="s">
        <v>49</v>
      </c>
      <c r="E1716" s="2" t="s">
        <v>166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89</v>
      </c>
      <c r="L1716" s="6" t="s">
        <v>94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1056</v>
      </c>
      <c r="R1716" s="2">
        <v>11147461.529999999</v>
      </c>
      <c r="S1716" s="2">
        <v>0</v>
      </c>
      <c r="T1716" s="2" t="s">
        <v>83</v>
      </c>
      <c r="U1716" s="2" t="s">
        <v>84</v>
      </c>
      <c r="V1716" s="2" t="s">
        <v>56</v>
      </c>
      <c r="W1716" s="2" t="s">
        <v>83</v>
      </c>
      <c r="X1716" s="2" t="s">
        <v>85</v>
      </c>
      <c r="Y1716" s="2">
        <v>4.4777834455575096</v>
      </c>
      <c r="Z1716" s="2">
        <v>4477.7834455575103</v>
      </c>
      <c r="AA1716" s="2">
        <v>4.71035</v>
      </c>
      <c r="AB1716" s="2">
        <v>-74.030416666666696</v>
      </c>
      <c r="AC1716" s="2">
        <v>2570</v>
      </c>
      <c r="AD1716" s="2">
        <v>10</v>
      </c>
      <c r="AE1716" s="2" t="s">
        <v>59</v>
      </c>
      <c r="AF1716" s="2" t="s">
        <v>86</v>
      </c>
      <c r="AG1716" s="2" t="s">
        <v>61</v>
      </c>
      <c r="AH1716" s="2" t="s">
        <v>62</v>
      </c>
      <c r="AI1716" s="2" t="s">
        <v>109</v>
      </c>
      <c r="AJ1716" s="2">
        <v>1.8048523301614501</v>
      </c>
      <c r="AK1716" s="2">
        <v>0.395130297236577</v>
      </c>
      <c r="AL1716" s="2">
        <v>1.20676835615079</v>
      </c>
      <c r="AM1716" s="2">
        <v>0.40002901448099998</v>
      </c>
      <c r="AN1716" s="2">
        <v>3.7764751986199898</v>
      </c>
      <c r="AO1716" s="2">
        <v>0.90959075573493198</v>
      </c>
      <c r="AP1716" s="2">
        <v>0.90959075573493198</v>
      </c>
      <c r="AQ1716" s="2">
        <v>0</v>
      </c>
      <c r="AR1716" s="2">
        <v>0</v>
      </c>
      <c r="AS1716" s="2">
        <v>12</v>
      </c>
      <c r="AT1716" s="2">
        <v>30</v>
      </c>
      <c r="AU1716" s="2">
        <v>0</v>
      </c>
      <c r="AV1716" s="2">
        <v>38</v>
      </c>
      <c r="AW1716" s="2">
        <v>0</v>
      </c>
      <c r="AX1716" s="2">
        <v>0</v>
      </c>
      <c r="AY1716" s="2">
        <v>15.5</v>
      </c>
      <c r="AZ1716" s="2">
        <v>2.4</v>
      </c>
      <c r="BA1716" s="2">
        <v>10.9</v>
      </c>
      <c r="BB1716" s="2">
        <v>564</v>
      </c>
      <c r="BC1716" s="2">
        <v>68</v>
      </c>
      <c r="BD1716" s="2">
        <v>1.5</v>
      </c>
      <c r="BE1716" s="2">
        <v>135</v>
      </c>
      <c r="BF1716" s="2">
        <v>0</v>
      </c>
      <c r="BG1716" s="2">
        <v>162</v>
      </c>
      <c r="BH1716" s="2">
        <v>9.1</v>
      </c>
      <c r="BI1716" s="2">
        <v>9.1999999999999993</v>
      </c>
      <c r="BJ1716" s="2">
        <v>18.3</v>
      </c>
      <c r="BK1716" s="2">
        <v>0.34</v>
      </c>
      <c r="BL1716" s="2">
        <v>7.3</v>
      </c>
      <c r="BM1716" s="2">
        <v>0.9</v>
      </c>
      <c r="BN1716" s="2">
        <v>7.5</v>
      </c>
      <c r="BO1716" s="2">
        <v>2.9</v>
      </c>
      <c r="BP1716" s="2">
        <f t="shared" si="52"/>
        <v>1.9228692215866823</v>
      </c>
      <c r="BQ1716" s="2">
        <f t="shared" si="53"/>
        <v>9.7893590696742194</v>
      </c>
    </row>
    <row r="1717" spans="1:69" x14ac:dyDescent="0.2">
      <c r="A1717" s="2" t="s">
        <v>4070</v>
      </c>
      <c r="B1717" s="2" t="s">
        <v>47</v>
      </c>
      <c r="C1717" s="2" t="s">
        <v>3273</v>
      </c>
      <c r="D1717" s="2" t="s">
        <v>49</v>
      </c>
      <c r="E1717" s="2" t="s">
        <v>111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89</v>
      </c>
      <c r="L1717" s="6" t="s">
        <v>141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4071</v>
      </c>
      <c r="R1717" s="2">
        <v>10853658.539999999</v>
      </c>
      <c r="S1717" s="2">
        <v>0</v>
      </c>
      <c r="T1717" s="2" t="s">
        <v>83</v>
      </c>
      <c r="U1717" s="2" t="s">
        <v>84</v>
      </c>
      <c r="V1717" s="2" t="s">
        <v>56</v>
      </c>
      <c r="W1717" s="2" t="s">
        <v>83</v>
      </c>
      <c r="X1717" s="2" t="s">
        <v>85</v>
      </c>
      <c r="Y1717" s="2">
        <v>4.4778694681211402</v>
      </c>
      <c r="Z1717" s="2">
        <v>4477.86946812114</v>
      </c>
      <c r="AA1717" s="2">
        <v>4.71035</v>
      </c>
      <c r="AB1717" s="2">
        <v>-74.030416666666696</v>
      </c>
      <c r="AC1717" s="2">
        <v>2570</v>
      </c>
      <c r="AD1717" s="2">
        <v>10</v>
      </c>
      <c r="AE1717" s="2" t="s">
        <v>59</v>
      </c>
      <c r="AF1717" s="2" t="s">
        <v>86</v>
      </c>
      <c r="AG1717" s="2" t="s">
        <v>61</v>
      </c>
      <c r="AH1717" s="2" t="s">
        <v>62</v>
      </c>
      <c r="AI1717" s="2" t="s">
        <v>109</v>
      </c>
      <c r="AJ1717" s="2">
        <v>1.80457068310657</v>
      </c>
      <c r="AK1717" s="2">
        <v>0.39517305639239098</v>
      </c>
      <c r="AL1717" s="2">
        <v>1.20691208619532</v>
      </c>
      <c r="AM1717" s="2">
        <v>0.40016226560937901</v>
      </c>
      <c r="AN1717" s="2">
        <v>3.7763514832080598</v>
      </c>
      <c r="AO1717" s="2">
        <v>0.90938528985109801</v>
      </c>
      <c r="AP1717" s="2">
        <v>0.90938528985109801</v>
      </c>
      <c r="AQ1717" s="2">
        <v>0</v>
      </c>
      <c r="AR1717" s="2">
        <v>0</v>
      </c>
      <c r="AS1717" s="2">
        <v>12</v>
      </c>
      <c r="AT1717" s="2">
        <v>30</v>
      </c>
      <c r="AU1717" s="2">
        <v>0</v>
      </c>
      <c r="AV1717" s="2">
        <v>38</v>
      </c>
      <c r="AW1717" s="2">
        <v>0</v>
      </c>
      <c r="AX1717" s="2">
        <v>0</v>
      </c>
      <c r="AY1717" s="2">
        <v>15.5</v>
      </c>
      <c r="AZ1717" s="2">
        <v>2.4</v>
      </c>
      <c r="BA1717" s="2">
        <v>10.9</v>
      </c>
      <c r="BB1717" s="2">
        <v>564</v>
      </c>
      <c r="BC1717" s="2">
        <v>68</v>
      </c>
      <c r="BD1717" s="2">
        <v>1.5</v>
      </c>
      <c r="BE1717" s="2">
        <v>135</v>
      </c>
      <c r="BF1717" s="2">
        <v>0</v>
      </c>
      <c r="BG1717" s="2">
        <v>162</v>
      </c>
      <c r="BH1717" s="2">
        <v>9.1</v>
      </c>
      <c r="BI1717" s="2">
        <v>9.1999999999999993</v>
      </c>
      <c r="BJ1717" s="2">
        <v>18.3</v>
      </c>
      <c r="BK1717" s="2">
        <v>0.34</v>
      </c>
      <c r="BL1717" s="2">
        <v>7.3</v>
      </c>
      <c r="BM1717" s="2">
        <v>0.9</v>
      </c>
      <c r="BN1717" s="2">
        <v>7.5</v>
      </c>
      <c r="BO1717" s="2">
        <v>2.9</v>
      </c>
      <c r="BP1717" s="2">
        <f t="shared" si="52"/>
        <v>1.9228610338021863</v>
      </c>
      <c r="BQ1717" s="2">
        <f t="shared" si="53"/>
        <v>9.7893388591567589</v>
      </c>
    </row>
    <row r="1718" spans="1:69" x14ac:dyDescent="0.2">
      <c r="A1718" s="2" t="s">
        <v>901</v>
      </c>
      <c r="B1718" s="2" t="s">
        <v>47</v>
      </c>
      <c r="C1718" s="2" t="s">
        <v>48</v>
      </c>
      <c r="D1718" s="2" t="s">
        <v>49</v>
      </c>
      <c r="E1718" s="2" t="s">
        <v>902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89</v>
      </c>
      <c r="L1718" s="6" t="s">
        <v>103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903</v>
      </c>
      <c r="R1718" s="2">
        <v>7439024.3899999997</v>
      </c>
      <c r="S1718" s="2">
        <v>0</v>
      </c>
      <c r="T1718" s="2" t="s">
        <v>83</v>
      </c>
      <c r="U1718" s="2" t="s">
        <v>84</v>
      </c>
      <c r="V1718" s="2" t="s">
        <v>56</v>
      </c>
      <c r="W1718" s="2" t="s">
        <v>83</v>
      </c>
      <c r="X1718" s="2" t="s">
        <v>85</v>
      </c>
      <c r="Y1718" s="2">
        <v>2.7066412809916001</v>
      </c>
      <c r="Z1718" s="2">
        <v>2706.6412809916001</v>
      </c>
      <c r="AA1718" s="2">
        <v>4.71035</v>
      </c>
      <c r="AB1718" s="2">
        <v>-74.030416666666696</v>
      </c>
      <c r="AC1718" s="2">
        <v>2570</v>
      </c>
      <c r="AD1718" s="2">
        <v>10</v>
      </c>
      <c r="AE1718" s="2" t="s">
        <v>59</v>
      </c>
      <c r="AF1718" s="2" t="s">
        <v>86</v>
      </c>
      <c r="AG1718" s="2" t="s">
        <v>61</v>
      </c>
      <c r="AH1718" s="2" t="s">
        <v>62</v>
      </c>
      <c r="AI1718" s="2" t="s">
        <v>87</v>
      </c>
      <c r="AJ1718" s="2">
        <v>1.2036582747678199</v>
      </c>
      <c r="AK1718" s="2">
        <v>1.8250592975445601</v>
      </c>
      <c r="AL1718" s="2">
        <v>0.175766767817122</v>
      </c>
      <c r="AM1718" s="2">
        <v>0.37513594120706001</v>
      </c>
      <c r="AN1718" s="2">
        <v>1.5852793394915701</v>
      </c>
      <c r="AO1718" s="2">
        <v>0.20925653368352401</v>
      </c>
      <c r="AP1718" s="2">
        <v>0.20925653368352401</v>
      </c>
      <c r="AQ1718" s="2">
        <v>0</v>
      </c>
      <c r="AR1718" s="2">
        <v>0</v>
      </c>
      <c r="AS1718" s="2">
        <v>0</v>
      </c>
      <c r="AT1718" s="2">
        <v>0</v>
      </c>
      <c r="AU1718" s="2">
        <v>1</v>
      </c>
      <c r="AV1718" s="2">
        <v>19</v>
      </c>
      <c r="AW1718" s="2">
        <v>0</v>
      </c>
      <c r="AX1718" s="2">
        <v>0</v>
      </c>
      <c r="AY1718" s="2">
        <v>15.5</v>
      </c>
      <c r="AZ1718" s="2">
        <v>2.4</v>
      </c>
      <c r="BA1718" s="2">
        <v>10.9</v>
      </c>
      <c r="BB1718" s="2">
        <v>564</v>
      </c>
      <c r="BC1718" s="2">
        <v>68</v>
      </c>
      <c r="BD1718" s="2">
        <v>1.5</v>
      </c>
      <c r="BE1718" s="2">
        <v>135</v>
      </c>
      <c r="BF1718" s="2">
        <v>0</v>
      </c>
      <c r="BG1718" s="2">
        <v>162</v>
      </c>
      <c r="BH1718" s="2">
        <v>9.1</v>
      </c>
      <c r="BI1718" s="2">
        <v>9.1999999999999993</v>
      </c>
      <c r="BJ1718" s="2">
        <v>18.3</v>
      </c>
      <c r="BK1718" s="2">
        <v>0.34</v>
      </c>
      <c r="BL1718" s="2">
        <v>7.3</v>
      </c>
      <c r="BM1718" s="2">
        <v>0.9</v>
      </c>
      <c r="BN1718" s="2">
        <v>7.5</v>
      </c>
      <c r="BO1718" s="2">
        <v>2.9</v>
      </c>
      <c r="BP1718" s="2">
        <f t="shared" si="52"/>
        <v>2.0990607734499509</v>
      </c>
      <c r="BQ1718" s="2">
        <f t="shared" si="53"/>
        <v>10.214450143614268</v>
      </c>
    </row>
    <row r="1719" spans="1:69" x14ac:dyDescent="0.2">
      <c r="A1719" s="2" t="s">
        <v>746</v>
      </c>
      <c r="B1719" s="2" t="s">
        <v>47</v>
      </c>
      <c r="C1719" s="2" t="s">
        <v>48</v>
      </c>
      <c r="D1719" s="2" t="s">
        <v>49</v>
      </c>
      <c r="E1719" s="2" t="s">
        <v>447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89</v>
      </c>
      <c r="L1719" s="6" t="s">
        <v>103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747</v>
      </c>
      <c r="R1719" s="2">
        <v>9796718.0989999995</v>
      </c>
      <c r="S1719" s="2">
        <v>0</v>
      </c>
      <c r="T1719" s="2" t="s">
        <v>83</v>
      </c>
      <c r="U1719" s="2" t="s">
        <v>84</v>
      </c>
      <c r="V1719" s="2" t="s">
        <v>56</v>
      </c>
      <c r="W1719" s="2" t="s">
        <v>83</v>
      </c>
      <c r="X1719" s="2" t="s">
        <v>85</v>
      </c>
      <c r="Y1719" s="2">
        <v>3.1052050429505602</v>
      </c>
      <c r="Z1719" s="2">
        <v>3105.2050429505598</v>
      </c>
      <c r="AA1719" s="2">
        <v>4.71035</v>
      </c>
      <c r="AB1719" s="2">
        <v>-74.030416666666696</v>
      </c>
      <c r="AC1719" s="2">
        <v>2570</v>
      </c>
      <c r="AD1719" s="2">
        <v>10</v>
      </c>
      <c r="AE1719" s="2" t="s">
        <v>59</v>
      </c>
      <c r="AF1719" s="2" t="s">
        <v>86</v>
      </c>
      <c r="AG1719" s="2" t="s">
        <v>61</v>
      </c>
      <c r="AH1719" s="2" t="s">
        <v>62</v>
      </c>
      <c r="AI1719" s="2" t="s">
        <v>87</v>
      </c>
      <c r="AJ1719" s="2">
        <v>0.75437722868725099</v>
      </c>
      <c r="AK1719" s="2">
        <v>1.9956067403818101</v>
      </c>
      <c r="AL1719" s="2">
        <v>0.262708504998036</v>
      </c>
      <c r="AM1719" s="2">
        <v>0.15001771543525499</v>
      </c>
      <c r="AN1719" s="2">
        <v>3.9855658379896801</v>
      </c>
      <c r="AO1719" s="2">
        <v>0.19916123768553701</v>
      </c>
      <c r="AP1719" s="2">
        <v>0.19916123768553701</v>
      </c>
      <c r="AQ1719" s="2">
        <v>0</v>
      </c>
      <c r="AR1719" s="2">
        <v>1</v>
      </c>
      <c r="AS1719" s="2">
        <v>0</v>
      </c>
      <c r="AT1719" s="2">
        <v>0</v>
      </c>
      <c r="AU1719" s="2">
        <v>5</v>
      </c>
      <c r="AV1719" s="2">
        <v>167</v>
      </c>
      <c r="AW1719" s="2">
        <v>0</v>
      </c>
      <c r="AX1719" s="2">
        <v>0</v>
      </c>
      <c r="AY1719" s="2">
        <v>15.5</v>
      </c>
      <c r="AZ1719" s="2">
        <v>2.4</v>
      </c>
      <c r="BA1719" s="2">
        <v>10.9</v>
      </c>
      <c r="BB1719" s="2">
        <v>564</v>
      </c>
      <c r="BC1719" s="2">
        <v>68</v>
      </c>
      <c r="BD1719" s="2">
        <v>1.5</v>
      </c>
      <c r="BE1719" s="2">
        <v>135</v>
      </c>
      <c r="BF1719" s="2">
        <v>0</v>
      </c>
      <c r="BG1719" s="2">
        <v>162</v>
      </c>
      <c r="BH1719" s="2">
        <v>9.1</v>
      </c>
      <c r="BI1719" s="2">
        <v>9.1999999999999993</v>
      </c>
      <c r="BJ1719" s="2">
        <v>18.3</v>
      </c>
      <c r="BK1719" s="2">
        <v>0.34</v>
      </c>
      <c r="BL1719" s="2">
        <v>7.3</v>
      </c>
      <c r="BM1719" s="2">
        <v>0.9</v>
      </c>
      <c r="BN1719" s="2">
        <v>7.5</v>
      </c>
      <c r="BO1719" s="2">
        <v>2.9</v>
      </c>
      <c r="BP1719" s="2">
        <f t="shared" si="52"/>
        <v>2.0580544354702206</v>
      </c>
      <c r="BQ1719" s="2">
        <f t="shared" si="53"/>
        <v>10.117209332815678</v>
      </c>
    </row>
    <row r="1720" spans="1:69" x14ac:dyDescent="0.2">
      <c r="A1720" s="2" t="s">
        <v>4377</v>
      </c>
      <c r="B1720" s="2" t="s">
        <v>47</v>
      </c>
      <c r="C1720" s="2" t="s">
        <v>3273</v>
      </c>
      <c r="D1720" s="2" t="s">
        <v>49</v>
      </c>
      <c r="E1720" s="2" t="s">
        <v>208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89</v>
      </c>
      <c r="L1720" s="6" t="s">
        <v>141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4378</v>
      </c>
      <c r="R1720" s="2">
        <v>8092202.0599999996</v>
      </c>
      <c r="S1720" s="2">
        <v>0</v>
      </c>
      <c r="T1720" s="2" t="s">
        <v>83</v>
      </c>
      <c r="U1720" s="2" t="s">
        <v>84</v>
      </c>
      <c r="V1720" s="2" t="s">
        <v>56</v>
      </c>
      <c r="W1720" s="2" t="s">
        <v>83</v>
      </c>
      <c r="X1720" s="2" t="s">
        <v>85</v>
      </c>
      <c r="Y1720" s="2">
        <v>4.3196108789472101</v>
      </c>
      <c r="Z1720" s="2">
        <v>4319.61087894721</v>
      </c>
      <c r="AA1720" s="2">
        <v>4.71035</v>
      </c>
      <c r="AB1720" s="2">
        <v>-74.030416666666696</v>
      </c>
      <c r="AC1720" s="2">
        <v>2570</v>
      </c>
      <c r="AD1720" s="2">
        <v>10</v>
      </c>
      <c r="AE1720" s="2" t="s">
        <v>59</v>
      </c>
      <c r="AF1720" s="2" t="s">
        <v>86</v>
      </c>
      <c r="AG1720" s="2" t="s">
        <v>61</v>
      </c>
      <c r="AH1720" s="2" t="s">
        <v>62</v>
      </c>
      <c r="AI1720" s="2" t="s">
        <v>109</v>
      </c>
      <c r="AJ1720" s="2">
        <v>1.1453456949590499</v>
      </c>
      <c r="AK1720" s="2">
        <v>1.03816565238674</v>
      </c>
      <c r="AL1720" s="2">
        <v>1.12983192355895</v>
      </c>
      <c r="AM1720" s="2">
        <v>0.10367604174046099</v>
      </c>
      <c r="AN1720" s="2">
        <v>3.68668017820145</v>
      </c>
      <c r="AO1720" s="2">
        <v>1.0569623305118301</v>
      </c>
      <c r="AP1720" s="2">
        <v>1.0569623305118301</v>
      </c>
      <c r="AQ1720" s="2">
        <v>0</v>
      </c>
      <c r="AR1720" s="2">
        <v>0</v>
      </c>
      <c r="AS1720" s="2">
        <v>0</v>
      </c>
      <c r="AT1720" s="2">
        <v>0</v>
      </c>
      <c r="AU1720" s="2">
        <v>0</v>
      </c>
      <c r="AV1720" s="2">
        <v>121</v>
      </c>
      <c r="AW1720" s="2">
        <v>0</v>
      </c>
      <c r="AX1720" s="2">
        <v>0</v>
      </c>
      <c r="AY1720" s="2">
        <v>15.5</v>
      </c>
      <c r="AZ1720" s="2">
        <v>2.4</v>
      </c>
      <c r="BA1720" s="2">
        <v>10.9</v>
      </c>
      <c r="BB1720" s="2">
        <v>564</v>
      </c>
      <c r="BC1720" s="2">
        <v>68</v>
      </c>
      <c r="BD1720" s="2">
        <v>1.5</v>
      </c>
      <c r="BE1720" s="2">
        <v>135</v>
      </c>
      <c r="BF1720" s="2">
        <v>0</v>
      </c>
      <c r="BG1720" s="2">
        <v>162</v>
      </c>
      <c r="BH1720" s="2">
        <v>9.1</v>
      </c>
      <c r="BI1720" s="2">
        <v>9.1999999999999993</v>
      </c>
      <c r="BJ1720" s="2">
        <v>18.3</v>
      </c>
      <c r="BK1720" s="2">
        <v>0.34</v>
      </c>
      <c r="BL1720" s="2">
        <v>7.3</v>
      </c>
      <c r="BM1720" s="2">
        <v>0.9</v>
      </c>
      <c r="BN1720" s="2">
        <v>7.5</v>
      </c>
      <c r="BO1720" s="2">
        <v>2.9</v>
      </c>
      <c r="BP1720" s="2">
        <f t="shared" si="52"/>
        <v>1.937983498731727</v>
      </c>
      <c r="BQ1720" s="2">
        <f t="shared" si="53"/>
        <v>9.8265914879164953</v>
      </c>
    </row>
    <row r="1721" spans="1:69" x14ac:dyDescent="0.2">
      <c r="A1721" s="2" t="s">
        <v>1896</v>
      </c>
      <c r="B1721" s="2" t="s">
        <v>47</v>
      </c>
      <c r="C1721" s="2" t="s">
        <v>48</v>
      </c>
      <c r="D1721" s="2" t="s">
        <v>49</v>
      </c>
      <c r="E1721" s="2" t="s">
        <v>447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89</v>
      </c>
      <c r="L1721" s="6" t="s">
        <v>112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1897</v>
      </c>
      <c r="R1721" s="2">
        <v>9875000</v>
      </c>
      <c r="S1721" s="2">
        <v>0</v>
      </c>
      <c r="T1721" s="2" t="s">
        <v>83</v>
      </c>
      <c r="U1721" s="2" t="s">
        <v>84</v>
      </c>
      <c r="V1721" s="2" t="s">
        <v>56</v>
      </c>
      <c r="W1721" s="2" t="s">
        <v>83</v>
      </c>
      <c r="X1721" s="2" t="s">
        <v>85</v>
      </c>
      <c r="Y1721" s="2">
        <v>3.0927214191458101</v>
      </c>
      <c r="Z1721" s="2">
        <v>3092.7214191458102</v>
      </c>
      <c r="AA1721" s="2">
        <v>4.71035</v>
      </c>
      <c r="AB1721" s="2">
        <v>-74.030416666666696</v>
      </c>
      <c r="AC1721" s="2">
        <v>2570</v>
      </c>
      <c r="AD1721" s="2">
        <v>10</v>
      </c>
      <c r="AE1721" s="2" t="s">
        <v>59</v>
      </c>
      <c r="AF1721" s="2" t="s">
        <v>86</v>
      </c>
      <c r="AG1721" s="2" t="s">
        <v>61</v>
      </c>
      <c r="AH1721" s="2" t="s">
        <v>62</v>
      </c>
      <c r="AI1721" s="2" t="s">
        <v>87</v>
      </c>
      <c r="AJ1721" s="2">
        <v>1.07526440315779</v>
      </c>
      <c r="AK1721" s="2">
        <v>1.6662068080055401</v>
      </c>
      <c r="AL1721" s="2">
        <v>0.35501544528700302</v>
      </c>
      <c r="AM1721" s="2">
        <v>8.1231071843779392E-3</v>
      </c>
      <c r="AN1721" s="2">
        <v>4.1306189886603901</v>
      </c>
      <c r="AO1721" s="2">
        <v>0.28060741260778299</v>
      </c>
      <c r="AP1721" s="2">
        <v>0.28060741260778299</v>
      </c>
      <c r="AQ1721" s="2">
        <v>0</v>
      </c>
      <c r="AR1721" s="2">
        <v>0</v>
      </c>
      <c r="AS1721" s="2">
        <v>0</v>
      </c>
      <c r="AT1721" s="2">
        <v>0</v>
      </c>
      <c r="AU1721" s="2">
        <v>5</v>
      </c>
      <c r="AV1721" s="2">
        <v>126</v>
      </c>
      <c r="AW1721" s="2">
        <v>0</v>
      </c>
      <c r="AX1721" s="2">
        <v>0</v>
      </c>
      <c r="AY1721" s="2">
        <v>15.5</v>
      </c>
      <c r="AZ1721" s="2">
        <v>2.4</v>
      </c>
      <c r="BA1721" s="2">
        <v>10.9</v>
      </c>
      <c r="BB1721" s="2">
        <v>564</v>
      </c>
      <c r="BC1721" s="2">
        <v>68</v>
      </c>
      <c r="BD1721" s="2">
        <v>1.5</v>
      </c>
      <c r="BE1721" s="2">
        <v>135</v>
      </c>
      <c r="BF1721" s="2">
        <v>0</v>
      </c>
      <c r="BG1721" s="2">
        <v>162</v>
      </c>
      <c r="BH1721" s="2">
        <v>9.1</v>
      </c>
      <c r="BI1721" s="2">
        <v>9.1999999999999993</v>
      </c>
      <c r="BJ1721" s="2">
        <v>18.3</v>
      </c>
      <c r="BK1721" s="2">
        <v>0.34</v>
      </c>
      <c r="BL1721" s="2">
        <v>7.3</v>
      </c>
      <c r="BM1721" s="2">
        <v>0.9</v>
      </c>
      <c r="BN1721" s="2">
        <v>7.5</v>
      </c>
      <c r="BO1721" s="2">
        <v>2.9</v>
      </c>
      <c r="BP1721" s="2">
        <f t="shared" si="52"/>
        <v>2.0593265813626953</v>
      </c>
      <c r="BQ1721" s="2">
        <f t="shared" si="53"/>
        <v>10.120240973389681</v>
      </c>
    </row>
    <row r="1722" spans="1:69" x14ac:dyDescent="0.2">
      <c r="A1722" s="2" t="s">
        <v>1882</v>
      </c>
      <c r="B1722" s="2" t="s">
        <v>47</v>
      </c>
      <c r="C1722" s="2" t="s">
        <v>48</v>
      </c>
      <c r="D1722" s="2" t="s">
        <v>49</v>
      </c>
      <c r="E1722" s="2" t="s">
        <v>81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89</v>
      </c>
      <c r="L1722" s="6" t="s">
        <v>90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1883</v>
      </c>
      <c r="R1722" s="2">
        <v>11600000</v>
      </c>
      <c r="S1722" s="2">
        <v>0</v>
      </c>
      <c r="T1722" s="2" t="s">
        <v>83</v>
      </c>
      <c r="U1722" s="2" t="s">
        <v>84</v>
      </c>
      <c r="V1722" s="2" t="s">
        <v>56</v>
      </c>
      <c r="W1722" s="2" t="s">
        <v>83</v>
      </c>
      <c r="X1722" s="2" t="s">
        <v>85</v>
      </c>
      <c r="Y1722" s="2">
        <v>2.1118305127202999</v>
      </c>
      <c r="Z1722" s="2">
        <v>2111.8305127202998</v>
      </c>
      <c r="AA1722" s="2">
        <v>4.71035</v>
      </c>
      <c r="AB1722" s="2">
        <v>-74.030416666666696</v>
      </c>
      <c r="AC1722" s="2">
        <v>2570</v>
      </c>
      <c r="AD1722" s="2">
        <v>10</v>
      </c>
      <c r="AE1722" s="2" t="s">
        <v>59</v>
      </c>
      <c r="AF1722" s="2" t="s">
        <v>86</v>
      </c>
      <c r="AG1722" s="2" t="s">
        <v>61</v>
      </c>
      <c r="AH1722" s="2" t="s">
        <v>62</v>
      </c>
      <c r="AI1722" s="2" t="s">
        <v>87</v>
      </c>
      <c r="AJ1722" s="2">
        <v>0.91378262870558002</v>
      </c>
      <c r="AK1722" s="2">
        <v>2.33999377711873</v>
      </c>
      <c r="AL1722" s="2">
        <v>0.89769759461134202</v>
      </c>
      <c r="AM1722" s="2">
        <v>0.11936753501660601</v>
      </c>
      <c r="AN1722" s="2">
        <v>4.8952122557690698</v>
      </c>
      <c r="AO1722" s="2">
        <v>5.9118437846452002E-2</v>
      </c>
      <c r="AP1722" s="2">
        <v>5.9118437846452002E-2</v>
      </c>
      <c r="AQ1722" s="2">
        <v>0</v>
      </c>
      <c r="AR1722" s="2">
        <v>2</v>
      </c>
      <c r="AS1722" s="2">
        <v>0</v>
      </c>
      <c r="AT1722" s="2">
        <v>0</v>
      </c>
      <c r="AU1722" s="2">
        <v>1</v>
      </c>
      <c r="AV1722" s="2">
        <v>187</v>
      </c>
      <c r="AW1722" s="2">
        <v>0</v>
      </c>
      <c r="AX1722" s="2">
        <v>0</v>
      </c>
      <c r="AY1722" s="2">
        <v>15.5</v>
      </c>
      <c r="AZ1722" s="2">
        <v>2.4</v>
      </c>
      <c r="BA1722" s="2">
        <v>10.9</v>
      </c>
      <c r="BB1722" s="2">
        <v>564</v>
      </c>
      <c r="BC1722" s="2">
        <v>68</v>
      </c>
      <c r="BD1722" s="2">
        <v>1.5</v>
      </c>
      <c r="BE1722" s="2">
        <v>135</v>
      </c>
      <c r="BF1722" s="2">
        <v>0</v>
      </c>
      <c r="BG1722" s="2">
        <v>162</v>
      </c>
      <c r="BH1722" s="2">
        <v>9.1</v>
      </c>
      <c r="BI1722" s="2">
        <v>9.1999999999999993</v>
      </c>
      <c r="BJ1722" s="2">
        <v>18.3</v>
      </c>
      <c r="BK1722" s="2">
        <v>0.34</v>
      </c>
      <c r="BL1722" s="2">
        <v>7.3</v>
      </c>
      <c r="BM1722" s="2">
        <v>0.9</v>
      </c>
      <c r="BN1722" s="2">
        <v>7.5</v>
      </c>
      <c r="BO1722" s="2">
        <v>2.9</v>
      </c>
      <c r="BP1722" s="2">
        <f t="shared" si="52"/>
        <v>2.1617825305091833</v>
      </c>
      <c r="BQ1722" s="2">
        <f t="shared" si="53"/>
        <v>10.361311867272818</v>
      </c>
    </row>
    <row r="1723" spans="1:69" x14ac:dyDescent="0.2">
      <c r="A1723" s="2" t="s">
        <v>449</v>
      </c>
      <c r="B1723" s="2" t="s">
        <v>47</v>
      </c>
      <c r="C1723" s="2" t="s">
        <v>48</v>
      </c>
      <c r="D1723" s="2" t="s">
        <v>49</v>
      </c>
      <c r="E1723" s="2" t="s">
        <v>450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89</v>
      </c>
      <c r="L1723" s="6" t="s">
        <v>141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451</v>
      </c>
      <c r="R1723" s="2">
        <v>4810126.5820000004</v>
      </c>
      <c r="S1723" s="2">
        <v>0</v>
      </c>
      <c r="T1723" s="2" t="s">
        <v>83</v>
      </c>
      <c r="U1723" s="2" t="s">
        <v>84</v>
      </c>
      <c r="V1723" s="2" t="s">
        <v>56</v>
      </c>
      <c r="W1723" s="2" t="s">
        <v>83</v>
      </c>
      <c r="X1723" s="2" t="s">
        <v>85</v>
      </c>
      <c r="Y1723" s="2">
        <v>3.6420227489458301</v>
      </c>
      <c r="Z1723" s="2">
        <v>3642.0227489458298</v>
      </c>
      <c r="AA1723" s="2">
        <v>4.71035</v>
      </c>
      <c r="AB1723" s="2">
        <v>-74.030416666666696</v>
      </c>
      <c r="AC1723" s="2">
        <v>2570</v>
      </c>
      <c r="AD1723" s="2">
        <v>10</v>
      </c>
      <c r="AE1723" s="2" t="s">
        <v>59</v>
      </c>
      <c r="AF1723" s="2" t="s">
        <v>86</v>
      </c>
      <c r="AG1723" s="2" t="s">
        <v>61</v>
      </c>
      <c r="AH1723" s="2" t="s">
        <v>62</v>
      </c>
      <c r="AI1723" s="2" t="s">
        <v>100</v>
      </c>
      <c r="AJ1723" s="2">
        <v>0.75756888975998804</v>
      </c>
      <c r="AK1723" s="2">
        <v>3.7202487128067099</v>
      </c>
      <c r="AL1723" s="2">
        <v>0.92340850872952396</v>
      </c>
      <c r="AM1723" s="2">
        <v>0.307749617967711</v>
      </c>
      <c r="AN1723" s="2">
        <v>3.6992325887858302</v>
      </c>
      <c r="AO1723" s="2">
        <v>5.18520084881786E-2</v>
      </c>
      <c r="AP1723" s="2">
        <v>5.18520084881786E-2</v>
      </c>
      <c r="AQ1723" s="2">
        <v>0</v>
      </c>
      <c r="AR1723" s="2">
        <v>4</v>
      </c>
      <c r="AS1723" s="2">
        <v>0</v>
      </c>
      <c r="AT1723" s="2">
        <v>0</v>
      </c>
      <c r="AU1723" s="2">
        <v>1</v>
      </c>
      <c r="AV1723" s="2">
        <v>61</v>
      </c>
      <c r="AW1723" s="2">
        <v>0</v>
      </c>
      <c r="AX1723" s="2">
        <v>0</v>
      </c>
      <c r="AY1723" s="2">
        <v>15.5</v>
      </c>
      <c r="AZ1723" s="2">
        <v>2.4</v>
      </c>
      <c r="BA1723" s="2">
        <v>10.9</v>
      </c>
      <c r="BB1723" s="2">
        <v>564</v>
      </c>
      <c r="BC1723" s="2">
        <v>68</v>
      </c>
      <c r="BD1723" s="2">
        <v>1.5</v>
      </c>
      <c r="BE1723" s="2">
        <v>135</v>
      </c>
      <c r="BF1723" s="2">
        <v>0</v>
      </c>
      <c r="BG1723" s="2">
        <v>162</v>
      </c>
      <c r="BH1723" s="2">
        <v>9.1</v>
      </c>
      <c r="BI1723" s="2">
        <v>9.1999999999999993</v>
      </c>
      <c r="BJ1723" s="2">
        <v>18.3</v>
      </c>
      <c r="BK1723" s="2">
        <v>0.34</v>
      </c>
      <c r="BL1723" s="2">
        <v>7.3</v>
      </c>
      <c r="BM1723" s="2">
        <v>0.9</v>
      </c>
      <c r="BN1723" s="2">
        <v>7.5</v>
      </c>
      <c r="BO1723" s="2">
        <v>2.9</v>
      </c>
      <c r="BP1723" s="2">
        <f t="shared" si="52"/>
        <v>2.0040870317189552</v>
      </c>
      <c r="BQ1723" s="2">
        <f t="shared" si="53"/>
        <v>9.9876990745119372</v>
      </c>
    </row>
    <row r="1724" spans="1:69" x14ac:dyDescent="0.2">
      <c r="A1724" s="2" t="s">
        <v>3301</v>
      </c>
      <c r="B1724" s="2" t="s">
        <v>47</v>
      </c>
      <c r="C1724" s="2" t="s">
        <v>3273</v>
      </c>
      <c r="D1724" s="2" t="s">
        <v>49</v>
      </c>
      <c r="E1724" s="2" t="s">
        <v>111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89</v>
      </c>
      <c r="L1724" s="6" t="s">
        <v>90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3302</v>
      </c>
      <c r="R1724" s="2">
        <v>15128205.130000001</v>
      </c>
      <c r="S1724" s="2">
        <v>0</v>
      </c>
      <c r="T1724" s="2" t="s">
        <v>83</v>
      </c>
      <c r="U1724" s="2" t="s">
        <v>84</v>
      </c>
      <c r="V1724" s="2" t="s">
        <v>56</v>
      </c>
      <c r="W1724" s="2" t="s">
        <v>83</v>
      </c>
      <c r="X1724" s="2" t="s">
        <v>85</v>
      </c>
      <c r="Y1724" s="2">
        <v>3.9047467942215799</v>
      </c>
      <c r="Z1724" s="2">
        <v>3904.7467942215799</v>
      </c>
      <c r="AA1724" s="2">
        <v>4.71035</v>
      </c>
      <c r="AB1724" s="2">
        <v>-74.030416666666696</v>
      </c>
      <c r="AC1724" s="2">
        <v>2570</v>
      </c>
      <c r="AD1724" s="2">
        <v>10</v>
      </c>
      <c r="AE1724" s="2" t="s">
        <v>59</v>
      </c>
      <c r="AF1724" s="2" t="s">
        <v>86</v>
      </c>
      <c r="AG1724" s="2" t="s">
        <v>61</v>
      </c>
      <c r="AH1724" s="2" t="s">
        <v>62</v>
      </c>
      <c r="AI1724" s="2" t="s">
        <v>109</v>
      </c>
      <c r="AJ1724" s="2">
        <v>0.413497516819401</v>
      </c>
      <c r="AK1724" s="2">
        <v>1.97054084136958</v>
      </c>
      <c r="AL1724" s="2">
        <v>0.20741324272460401</v>
      </c>
      <c r="AM1724" s="2">
        <v>0.137227636179684</v>
      </c>
      <c r="AN1724" s="2">
        <v>3.3000618224040301</v>
      </c>
      <c r="AO1724" s="2">
        <v>0.47280760637686697</v>
      </c>
      <c r="AP1724" s="2">
        <v>0.47280760637686697</v>
      </c>
      <c r="AQ1724" s="2">
        <v>1</v>
      </c>
      <c r="AR1724" s="2">
        <v>2</v>
      </c>
      <c r="AS1724" s="2">
        <v>0</v>
      </c>
      <c r="AT1724" s="2">
        <v>0</v>
      </c>
      <c r="AU1724" s="2">
        <v>4</v>
      </c>
      <c r="AV1724" s="2">
        <v>261</v>
      </c>
      <c r="AW1724" s="2">
        <v>0</v>
      </c>
      <c r="AX1724" s="2">
        <v>0</v>
      </c>
      <c r="AY1724" s="2">
        <v>15.5</v>
      </c>
      <c r="AZ1724" s="2">
        <v>2.4</v>
      </c>
      <c r="BA1724" s="2">
        <v>10.9</v>
      </c>
      <c r="BB1724" s="2">
        <v>564</v>
      </c>
      <c r="BC1724" s="2">
        <v>68</v>
      </c>
      <c r="BD1724" s="2">
        <v>1.5</v>
      </c>
      <c r="BE1724" s="2">
        <v>135</v>
      </c>
      <c r="BF1724" s="2">
        <v>0</v>
      </c>
      <c r="BG1724" s="2">
        <v>162</v>
      </c>
      <c r="BH1724" s="2">
        <v>9.1</v>
      </c>
      <c r="BI1724" s="2">
        <v>9.1999999999999993</v>
      </c>
      <c r="BJ1724" s="2">
        <v>18.3</v>
      </c>
      <c r="BK1724" s="2">
        <v>0.34</v>
      </c>
      <c r="BL1724" s="2">
        <v>7.3</v>
      </c>
      <c r="BM1724" s="2">
        <v>0.9</v>
      </c>
      <c r="BN1724" s="2">
        <v>7.5</v>
      </c>
      <c r="BO1724" s="2">
        <v>2.9</v>
      </c>
      <c r="BP1724" s="2">
        <f t="shared" si="52"/>
        <v>1.9781929392556417</v>
      </c>
      <c r="BQ1724" s="2">
        <f t="shared" si="53"/>
        <v>9.9249209933496836</v>
      </c>
    </row>
    <row r="1725" spans="1:69" x14ac:dyDescent="0.2">
      <c r="A1725" s="2" t="s">
        <v>4258</v>
      </c>
      <c r="B1725" s="2" t="s">
        <v>47</v>
      </c>
      <c r="C1725" s="2" t="s">
        <v>3273</v>
      </c>
      <c r="D1725" s="2" t="s">
        <v>49</v>
      </c>
      <c r="E1725" s="2" t="s">
        <v>192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89</v>
      </c>
      <c r="L1725" s="6" t="s">
        <v>103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4259</v>
      </c>
      <c r="R1725" s="2">
        <v>8974358.9739999995</v>
      </c>
      <c r="S1725" s="2">
        <v>0</v>
      </c>
      <c r="T1725" s="2" t="s">
        <v>83</v>
      </c>
      <c r="U1725" s="2" t="s">
        <v>84</v>
      </c>
      <c r="V1725" s="2" t="s">
        <v>56</v>
      </c>
      <c r="W1725" s="2" t="s">
        <v>83</v>
      </c>
      <c r="X1725" s="2" t="s">
        <v>85</v>
      </c>
      <c r="Y1725" s="2">
        <v>1.73747912514823</v>
      </c>
      <c r="Z1725" s="2">
        <v>1737.47912514823</v>
      </c>
      <c r="AA1725" s="2">
        <v>4.71035</v>
      </c>
      <c r="AB1725" s="2">
        <v>-74.030416666666696</v>
      </c>
      <c r="AC1725" s="2">
        <v>2570</v>
      </c>
      <c r="AD1725" s="2">
        <v>10</v>
      </c>
      <c r="AE1725" s="2" t="s">
        <v>59</v>
      </c>
      <c r="AF1725" s="2" t="s">
        <v>86</v>
      </c>
      <c r="AG1725" s="2" t="s">
        <v>61</v>
      </c>
      <c r="AH1725" s="2" t="s">
        <v>62</v>
      </c>
      <c r="AI1725" s="2" t="s">
        <v>87</v>
      </c>
      <c r="AJ1725" s="2">
        <v>1.7470750877980601</v>
      </c>
      <c r="AK1725" s="2">
        <v>1.5177654035499</v>
      </c>
      <c r="AL1725" s="2">
        <v>0.88430257242613197</v>
      </c>
      <c r="AM1725" s="2">
        <v>2.5822837559881E-2</v>
      </c>
      <c r="AN1725" s="2">
        <v>5.0513656312494204</v>
      </c>
      <c r="AO1725" s="2">
        <v>3.8004743448727903E-2</v>
      </c>
      <c r="AP1725" s="2">
        <v>3.8004743448727903E-2</v>
      </c>
      <c r="AQ1725" s="2">
        <v>0</v>
      </c>
      <c r="AR1725" s="2">
        <v>0</v>
      </c>
      <c r="AS1725" s="2">
        <v>0</v>
      </c>
      <c r="AT1725" s="2">
        <v>0</v>
      </c>
      <c r="AU1725" s="2">
        <v>1</v>
      </c>
      <c r="AV1725" s="2">
        <v>155</v>
      </c>
      <c r="AW1725" s="2">
        <v>0</v>
      </c>
      <c r="AX1725" s="2">
        <v>0</v>
      </c>
      <c r="AY1725" s="2">
        <v>15.5</v>
      </c>
      <c r="AZ1725" s="2">
        <v>2.4</v>
      </c>
      <c r="BA1725" s="2">
        <v>10.9</v>
      </c>
      <c r="BB1725" s="2">
        <v>564</v>
      </c>
      <c r="BC1725" s="2">
        <v>68</v>
      </c>
      <c r="BD1725" s="2">
        <v>1.5</v>
      </c>
      <c r="BE1725" s="2">
        <v>135</v>
      </c>
      <c r="BF1725" s="2">
        <v>0</v>
      </c>
      <c r="BG1725" s="2">
        <v>162</v>
      </c>
      <c r="BH1725" s="2">
        <v>9.1</v>
      </c>
      <c r="BI1725" s="2">
        <v>9.1999999999999993</v>
      </c>
      <c r="BJ1725" s="2">
        <v>18.3</v>
      </c>
      <c r="BK1725" s="2">
        <v>0.34</v>
      </c>
      <c r="BL1725" s="2">
        <v>7.3</v>
      </c>
      <c r="BM1725" s="2">
        <v>0.9</v>
      </c>
      <c r="BN1725" s="2">
        <v>7.5</v>
      </c>
      <c r="BO1725" s="2">
        <v>2.9</v>
      </c>
      <c r="BP1725" s="2">
        <f t="shared" si="52"/>
        <v>2.2022146666165145</v>
      </c>
      <c r="BQ1725" s="2">
        <f t="shared" si="53"/>
        <v>10.454821820622444</v>
      </c>
    </row>
    <row r="1726" spans="1:69" x14ac:dyDescent="0.2">
      <c r="A1726" s="2" t="s">
        <v>2599</v>
      </c>
      <c r="B1726" s="2" t="s">
        <v>47</v>
      </c>
      <c r="C1726" s="2" t="s">
        <v>1935</v>
      </c>
      <c r="D1726" s="2" t="s">
        <v>49</v>
      </c>
      <c r="E1726" s="2" t="s">
        <v>184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89</v>
      </c>
      <c r="L1726" s="6" t="s">
        <v>141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2600</v>
      </c>
      <c r="R1726" s="2">
        <v>7299270.0729999999</v>
      </c>
      <c r="S1726" s="2">
        <v>0</v>
      </c>
      <c r="T1726" s="2" t="s">
        <v>83</v>
      </c>
      <c r="U1726" s="2" t="s">
        <v>84</v>
      </c>
      <c r="V1726" s="2" t="s">
        <v>56</v>
      </c>
      <c r="W1726" s="2" t="s">
        <v>83</v>
      </c>
      <c r="X1726" s="2" t="s">
        <v>85</v>
      </c>
      <c r="Y1726" s="2">
        <v>1.3069471378923301</v>
      </c>
      <c r="Z1726" s="2">
        <v>1306.9471378923299</v>
      </c>
      <c r="AA1726" s="2">
        <v>4.71035</v>
      </c>
      <c r="AB1726" s="2">
        <v>-74.030416666666696</v>
      </c>
      <c r="AC1726" s="2">
        <v>2570</v>
      </c>
      <c r="AD1726" s="2">
        <v>10</v>
      </c>
      <c r="AE1726" s="2" t="s">
        <v>59</v>
      </c>
      <c r="AF1726" s="2" t="s">
        <v>86</v>
      </c>
      <c r="AG1726" s="2" t="s">
        <v>61</v>
      </c>
      <c r="AH1726" s="2" t="s">
        <v>62</v>
      </c>
      <c r="AI1726" s="2" t="s">
        <v>87</v>
      </c>
      <c r="AJ1726" s="2">
        <v>1.87694957910909</v>
      </c>
      <c r="AK1726" s="2">
        <v>1.2249210093904399</v>
      </c>
      <c r="AL1726" s="2">
        <v>1.18960595646759</v>
      </c>
      <c r="AM1726" s="2">
        <v>0.27125593277607102</v>
      </c>
      <c r="AN1726" s="2">
        <v>2.3885413955565902</v>
      </c>
      <c r="AO1726" s="2">
        <v>6.3080856097725305E-2</v>
      </c>
      <c r="AP1726" s="2">
        <v>6.3080856097725305E-2</v>
      </c>
      <c r="AQ1726" s="2">
        <v>0</v>
      </c>
      <c r="AR1726" s="2">
        <v>0</v>
      </c>
      <c r="AS1726" s="2">
        <v>0</v>
      </c>
      <c r="AT1726" s="2">
        <v>0</v>
      </c>
      <c r="AU1726" s="2">
        <v>0</v>
      </c>
      <c r="AV1726" s="2">
        <v>45</v>
      </c>
      <c r="AW1726" s="2">
        <v>0</v>
      </c>
      <c r="AX1726" s="2">
        <v>0</v>
      </c>
      <c r="AY1726" s="2">
        <v>15.5</v>
      </c>
      <c r="AZ1726" s="2">
        <v>2.4</v>
      </c>
      <c r="BA1726" s="2">
        <v>10.9</v>
      </c>
      <c r="BB1726" s="2">
        <v>564</v>
      </c>
      <c r="BC1726" s="2">
        <v>68</v>
      </c>
      <c r="BD1726" s="2">
        <v>1.5</v>
      </c>
      <c r="BE1726" s="2">
        <v>135</v>
      </c>
      <c r="BF1726" s="2">
        <v>0</v>
      </c>
      <c r="BG1726" s="2">
        <v>162</v>
      </c>
      <c r="BH1726" s="2">
        <v>9.1</v>
      </c>
      <c r="BI1726" s="2">
        <v>9.1999999999999993</v>
      </c>
      <c r="BJ1726" s="2">
        <v>18.3</v>
      </c>
      <c r="BK1726" s="2">
        <v>0.34</v>
      </c>
      <c r="BL1726" s="2">
        <v>7.3</v>
      </c>
      <c r="BM1726" s="2">
        <v>0.9</v>
      </c>
      <c r="BN1726" s="2">
        <v>7.5</v>
      </c>
      <c r="BO1726" s="2">
        <v>2.9</v>
      </c>
      <c r="BP1726" s="2">
        <f t="shared" si="52"/>
        <v>2.249650462229956</v>
      </c>
      <c r="BQ1726" s="2">
        <f t="shared" si="53"/>
        <v>10.563409103243279</v>
      </c>
    </row>
    <row r="1727" spans="1:69" x14ac:dyDescent="0.2">
      <c r="A1727" s="2" t="s">
        <v>1240</v>
      </c>
      <c r="B1727" s="2" t="s">
        <v>47</v>
      </c>
      <c r="C1727" s="2" t="s">
        <v>48</v>
      </c>
      <c r="D1727" s="2" t="s">
        <v>49</v>
      </c>
      <c r="E1727" s="2" t="s">
        <v>1241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89</v>
      </c>
      <c r="L1727" s="6" t="s">
        <v>141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1242</v>
      </c>
      <c r="R1727" s="2">
        <v>6800000</v>
      </c>
      <c r="S1727" s="2">
        <v>0</v>
      </c>
      <c r="T1727" s="2" t="s">
        <v>83</v>
      </c>
      <c r="U1727" s="2" t="s">
        <v>84</v>
      </c>
      <c r="V1727" s="2" t="s">
        <v>56</v>
      </c>
      <c r="W1727" s="2" t="s">
        <v>83</v>
      </c>
      <c r="X1727" s="2" t="s">
        <v>85</v>
      </c>
      <c r="Y1727" s="2">
        <v>2.7534646722752099</v>
      </c>
      <c r="Z1727" s="2">
        <v>2753.46467227521</v>
      </c>
      <c r="AA1727" s="2">
        <v>4.71035</v>
      </c>
      <c r="AB1727" s="2">
        <v>-74.030416666666696</v>
      </c>
      <c r="AC1727" s="2">
        <v>2570</v>
      </c>
      <c r="AD1727" s="2">
        <v>10</v>
      </c>
      <c r="AE1727" s="2" t="s">
        <v>59</v>
      </c>
      <c r="AF1727" s="2" t="s">
        <v>86</v>
      </c>
      <c r="AG1727" s="2" t="s">
        <v>61</v>
      </c>
      <c r="AH1727" s="2" t="s">
        <v>62</v>
      </c>
      <c r="AI1727" s="2" t="s">
        <v>87</v>
      </c>
      <c r="AJ1727" s="2">
        <v>1.3804201810441801</v>
      </c>
      <c r="AK1727" s="2">
        <v>1.64839574587613</v>
      </c>
      <c r="AL1727" s="2">
        <v>0.38514079960139902</v>
      </c>
      <c r="AM1727" s="2">
        <v>0.57548988742636598</v>
      </c>
      <c r="AN1727" s="2">
        <v>1.3741175726967301</v>
      </c>
      <c r="AO1727" s="2">
        <v>0.38249973547104898</v>
      </c>
      <c r="AP1727" s="2">
        <v>0.38249973547104898</v>
      </c>
      <c r="AQ1727" s="2">
        <v>0</v>
      </c>
      <c r="AR1727" s="2">
        <v>0</v>
      </c>
      <c r="AS1727" s="2">
        <v>0</v>
      </c>
      <c r="AT1727" s="2">
        <v>0</v>
      </c>
      <c r="AU1727" s="2">
        <v>1</v>
      </c>
      <c r="AV1727" s="2">
        <v>19</v>
      </c>
      <c r="AW1727" s="2">
        <v>0</v>
      </c>
      <c r="AX1727" s="2">
        <v>0</v>
      </c>
      <c r="AY1727" s="2">
        <v>15.5</v>
      </c>
      <c r="AZ1727" s="2">
        <v>2.4</v>
      </c>
      <c r="BA1727" s="2">
        <v>10.9</v>
      </c>
      <c r="BB1727" s="2">
        <v>564</v>
      </c>
      <c r="BC1727" s="2">
        <v>68</v>
      </c>
      <c r="BD1727" s="2">
        <v>1.5</v>
      </c>
      <c r="BE1727" s="2">
        <v>135</v>
      </c>
      <c r="BF1727" s="2">
        <v>0</v>
      </c>
      <c r="BG1727" s="2">
        <v>162</v>
      </c>
      <c r="BH1727" s="2">
        <v>9.1</v>
      </c>
      <c r="BI1727" s="2">
        <v>9.1999999999999993</v>
      </c>
      <c r="BJ1727" s="2">
        <v>18.3</v>
      </c>
      <c r="BK1727" s="2">
        <v>0.34</v>
      </c>
      <c r="BL1727" s="2">
        <v>7.3</v>
      </c>
      <c r="BM1727" s="2">
        <v>0.9</v>
      </c>
      <c r="BN1727" s="2">
        <v>7.5</v>
      </c>
      <c r="BO1727" s="2">
        <v>2.9</v>
      </c>
      <c r="BP1727" s="2">
        <f t="shared" si="52"/>
        <v>2.0942012925512197</v>
      </c>
      <c r="BQ1727" s="2">
        <f t="shared" si="53"/>
        <v>10.202977986105685</v>
      </c>
    </row>
    <row r="1728" spans="1:69" x14ac:dyDescent="0.2">
      <c r="A1728" s="2" t="s">
        <v>3843</v>
      </c>
      <c r="B1728" s="2" t="s">
        <v>47</v>
      </c>
      <c r="C1728" s="2" t="s">
        <v>3273</v>
      </c>
      <c r="D1728" s="2" t="s">
        <v>49</v>
      </c>
      <c r="E1728" s="2" t="s">
        <v>870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89</v>
      </c>
      <c r="L1728" s="6" t="s">
        <v>103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3844</v>
      </c>
      <c r="R1728" s="2">
        <v>11800992.359999999</v>
      </c>
      <c r="S1728" s="2">
        <v>0</v>
      </c>
      <c r="T1728" s="2" t="s">
        <v>83</v>
      </c>
      <c r="U1728" s="2" t="s">
        <v>84</v>
      </c>
      <c r="V1728" s="2" t="s">
        <v>56</v>
      </c>
      <c r="W1728" s="2" t="s">
        <v>83</v>
      </c>
      <c r="X1728" s="2" t="s">
        <v>85</v>
      </c>
      <c r="Y1728" s="2">
        <v>3.85427897624806</v>
      </c>
      <c r="Z1728" s="2">
        <v>3854.2789762480602</v>
      </c>
      <c r="AA1728" s="2">
        <v>4.71035</v>
      </c>
      <c r="AB1728" s="2">
        <v>-74.030416666666696</v>
      </c>
      <c r="AC1728" s="2">
        <v>2570</v>
      </c>
      <c r="AD1728" s="2">
        <v>10</v>
      </c>
      <c r="AE1728" s="2" t="s">
        <v>59</v>
      </c>
      <c r="AF1728" s="2" t="s">
        <v>86</v>
      </c>
      <c r="AG1728" s="2" t="s">
        <v>61</v>
      </c>
      <c r="AH1728" s="2" t="s">
        <v>62</v>
      </c>
      <c r="AI1728" s="2" t="s">
        <v>109</v>
      </c>
      <c r="AJ1728" s="2">
        <v>1.8263909464158401</v>
      </c>
      <c r="AK1728" s="2">
        <v>0.521924925078871</v>
      </c>
      <c r="AL1728" s="2">
        <v>0.61338488226806398</v>
      </c>
      <c r="AM1728" s="2">
        <v>0.17738460847531901</v>
      </c>
      <c r="AN1728" s="2">
        <v>4.3797377516993903</v>
      </c>
      <c r="AO1728" s="2">
        <v>1.05281598216896</v>
      </c>
      <c r="AP1728" s="2">
        <v>1.05281598216896</v>
      </c>
      <c r="AQ1728" s="2">
        <v>0</v>
      </c>
      <c r="AR1728" s="2">
        <v>0</v>
      </c>
      <c r="AS1728" s="2">
        <v>0</v>
      </c>
      <c r="AT1728" s="2">
        <v>8</v>
      </c>
      <c r="AU1728" s="2">
        <v>3</v>
      </c>
      <c r="AV1728" s="2">
        <v>73</v>
      </c>
      <c r="AW1728" s="2">
        <v>0</v>
      </c>
      <c r="AX1728" s="2">
        <v>0</v>
      </c>
      <c r="AY1728" s="2">
        <v>15.5</v>
      </c>
      <c r="AZ1728" s="2">
        <v>2.4</v>
      </c>
      <c r="BA1728" s="2">
        <v>10.9</v>
      </c>
      <c r="BB1728" s="2">
        <v>564</v>
      </c>
      <c r="BC1728" s="2">
        <v>68</v>
      </c>
      <c r="BD1728" s="2">
        <v>1.5</v>
      </c>
      <c r="BE1728" s="2">
        <v>135</v>
      </c>
      <c r="BF1728" s="2">
        <v>0</v>
      </c>
      <c r="BG1728" s="2">
        <v>162</v>
      </c>
      <c r="BH1728" s="2">
        <v>9.1</v>
      </c>
      <c r="BI1728" s="2">
        <v>9.1999999999999993</v>
      </c>
      <c r="BJ1728" s="2">
        <v>18.3</v>
      </c>
      <c r="BK1728" s="2">
        <v>0.34</v>
      </c>
      <c r="BL1728" s="2">
        <v>7.3</v>
      </c>
      <c r="BM1728" s="2">
        <v>0.9</v>
      </c>
      <c r="BN1728" s="2">
        <v>7.5</v>
      </c>
      <c r="BO1728" s="2">
        <v>2.9</v>
      </c>
      <c r="BP1728" s="2">
        <f t="shared" si="52"/>
        <v>1.983140953658888</v>
      </c>
      <c r="BQ1728" s="2">
        <f t="shared" si="53"/>
        <v>9.9369496151248971</v>
      </c>
    </row>
    <row r="1729" spans="1:69" x14ac:dyDescent="0.2">
      <c r="A1729" s="2" t="s">
        <v>1074</v>
      </c>
      <c r="B1729" s="2" t="s">
        <v>47</v>
      </c>
      <c r="C1729" s="2" t="s">
        <v>48</v>
      </c>
      <c r="D1729" s="2" t="s">
        <v>49</v>
      </c>
      <c r="E1729" s="2" t="s">
        <v>189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51</v>
      </c>
      <c r="L1729" s="6" t="s">
        <v>52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1075</v>
      </c>
      <c r="R1729" s="2">
        <v>19014503.550000001</v>
      </c>
      <c r="S1729" s="2">
        <v>0</v>
      </c>
      <c r="T1729" s="2" t="s">
        <v>83</v>
      </c>
      <c r="U1729" s="2" t="s">
        <v>84</v>
      </c>
      <c r="V1729" s="2" t="s">
        <v>56</v>
      </c>
      <c r="W1729" s="2" t="s">
        <v>83</v>
      </c>
      <c r="X1729" s="2" t="s">
        <v>85</v>
      </c>
      <c r="Y1729" s="2">
        <v>2.8164312341552802</v>
      </c>
      <c r="Z1729" s="2">
        <v>2816.43123415528</v>
      </c>
      <c r="AA1729" s="2">
        <v>4.71035</v>
      </c>
      <c r="AB1729" s="2">
        <v>-74.030416666666696</v>
      </c>
      <c r="AC1729" s="2">
        <v>2570</v>
      </c>
      <c r="AD1729" s="2">
        <v>10</v>
      </c>
      <c r="AE1729" s="2" t="s">
        <v>59</v>
      </c>
      <c r="AF1729" s="2" t="s">
        <v>86</v>
      </c>
      <c r="AG1729" s="2" t="s">
        <v>61</v>
      </c>
      <c r="AH1729" s="2" t="s">
        <v>62</v>
      </c>
      <c r="AI1729" s="2" t="s">
        <v>87</v>
      </c>
      <c r="AJ1729" s="2">
        <v>0.3704520231708</v>
      </c>
      <c r="AK1729" s="2">
        <v>2.7029258595346799</v>
      </c>
      <c r="AL1729" s="2">
        <v>0.497922585731226</v>
      </c>
      <c r="AM1729" s="2">
        <v>0.183439943781117</v>
      </c>
      <c r="AN1729" s="2">
        <v>4.1912385891044197</v>
      </c>
      <c r="AO1729" s="2">
        <v>0.29890318697298801</v>
      </c>
      <c r="AP1729" s="2">
        <v>0.29890318697298801</v>
      </c>
      <c r="AQ1729" s="2">
        <v>1</v>
      </c>
      <c r="AR1729" s="2">
        <v>3</v>
      </c>
      <c r="AS1729" s="2">
        <v>0</v>
      </c>
      <c r="AT1729" s="2">
        <v>0</v>
      </c>
      <c r="AU1729" s="2">
        <v>1</v>
      </c>
      <c r="AV1729" s="2">
        <v>157</v>
      </c>
      <c r="AW1729" s="2">
        <v>0</v>
      </c>
      <c r="AX1729" s="2">
        <v>0</v>
      </c>
      <c r="AY1729" s="2">
        <v>15.5</v>
      </c>
      <c r="AZ1729" s="2">
        <v>2.4</v>
      </c>
      <c r="BA1729" s="2">
        <v>10.9</v>
      </c>
      <c r="BB1729" s="2">
        <v>564</v>
      </c>
      <c r="BC1729" s="2">
        <v>68</v>
      </c>
      <c r="BD1729" s="2">
        <v>1.5</v>
      </c>
      <c r="BE1729" s="2">
        <v>135</v>
      </c>
      <c r="BF1729" s="2">
        <v>0</v>
      </c>
      <c r="BG1729" s="2">
        <v>162</v>
      </c>
      <c r="BH1729" s="2">
        <v>9.1</v>
      </c>
      <c r="BI1729" s="2">
        <v>9.1999999999999993</v>
      </c>
      <c r="BJ1729" s="2">
        <v>18.3</v>
      </c>
      <c r="BK1729" s="2">
        <v>0.34</v>
      </c>
      <c r="BL1729" s="2">
        <v>7.3</v>
      </c>
      <c r="BM1729" s="2">
        <v>0.9</v>
      </c>
      <c r="BN1729" s="2">
        <v>7.5</v>
      </c>
      <c r="BO1729" s="2">
        <v>2.9</v>
      </c>
      <c r="BP1729" s="2">
        <f t="shared" si="52"/>
        <v>2.0876841538460198</v>
      </c>
      <c r="BQ1729" s="2">
        <f t="shared" si="53"/>
        <v>10.187570915927299</v>
      </c>
    </row>
    <row r="1730" spans="1:69" x14ac:dyDescent="0.2">
      <c r="A1730" s="2" t="s">
        <v>1581</v>
      </c>
      <c r="B1730" s="2" t="s">
        <v>47</v>
      </c>
      <c r="C1730" s="2" t="s">
        <v>48</v>
      </c>
      <c r="D1730" s="2" t="s">
        <v>49</v>
      </c>
      <c r="E1730" s="2" t="s">
        <v>1582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89</v>
      </c>
      <c r="L1730" s="6" t="s">
        <v>141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1583</v>
      </c>
      <c r="R1730" s="2">
        <v>6657420.25</v>
      </c>
      <c r="S1730" s="2">
        <v>0</v>
      </c>
      <c r="T1730" s="2" t="s">
        <v>83</v>
      </c>
      <c r="U1730" s="2" t="s">
        <v>84</v>
      </c>
      <c r="V1730" s="2" t="s">
        <v>56</v>
      </c>
      <c r="W1730" s="2" t="s">
        <v>83</v>
      </c>
      <c r="X1730" s="2" t="s">
        <v>85</v>
      </c>
      <c r="Y1730" s="2">
        <v>2.4507822999455602</v>
      </c>
      <c r="Z1730" s="2">
        <v>2450.7822999455602</v>
      </c>
      <c r="AA1730" s="2">
        <v>4.71035</v>
      </c>
      <c r="AB1730" s="2">
        <v>-74.030416666666696</v>
      </c>
      <c r="AC1730" s="2">
        <v>2570</v>
      </c>
      <c r="AD1730" s="2">
        <v>10</v>
      </c>
      <c r="AE1730" s="2" t="s">
        <v>59</v>
      </c>
      <c r="AF1730" s="2" t="s">
        <v>86</v>
      </c>
      <c r="AG1730" s="2" t="s">
        <v>61</v>
      </c>
      <c r="AH1730" s="2" t="s">
        <v>62</v>
      </c>
      <c r="AI1730" s="2" t="s">
        <v>87</v>
      </c>
      <c r="AJ1730" s="2">
        <v>1.3663881364033601</v>
      </c>
      <c r="AK1730" s="2">
        <v>1.7107189569304799</v>
      </c>
      <c r="AL1730" s="2">
        <v>0.34132476541290901</v>
      </c>
      <c r="AM1730" s="2">
        <v>0.51465440535250895</v>
      </c>
      <c r="AN1730" s="2">
        <v>1.6373595223902799</v>
      </c>
      <c r="AO1730" s="2">
        <v>5.2260444008099899E-2</v>
      </c>
      <c r="AP1730" s="2">
        <v>5.2260444008099899E-2</v>
      </c>
      <c r="AQ1730" s="2">
        <v>0</v>
      </c>
      <c r="AR1730" s="2">
        <v>0</v>
      </c>
      <c r="AS1730" s="2">
        <v>0</v>
      </c>
      <c r="AT1730" s="2">
        <v>0</v>
      </c>
      <c r="AU1730" s="2">
        <v>1</v>
      </c>
      <c r="AV1730" s="2">
        <v>13</v>
      </c>
      <c r="AW1730" s="2">
        <v>0</v>
      </c>
      <c r="AX1730" s="2">
        <v>0</v>
      </c>
      <c r="AY1730" s="2">
        <v>15.5</v>
      </c>
      <c r="AZ1730" s="2">
        <v>2.4</v>
      </c>
      <c r="BA1730" s="2">
        <v>10.9</v>
      </c>
      <c r="BB1730" s="2">
        <v>564</v>
      </c>
      <c r="BC1730" s="2">
        <v>68</v>
      </c>
      <c r="BD1730" s="2">
        <v>1.5</v>
      </c>
      <c r="BE1730" s="2">
        <v>135</v>
      </c>
      <c r="BF1730" s="2">
        <v>0</v>
      </c>
      <c r="BG1730" s="2">
        <v>162</v>
      </c>
      <c r="BH1730" s="2">
        <v>9.1</v>
      </c>
      <c r="BI1730" s="2">
        <v>9.1999999999999993</v>
      </c>
      <c r="BJ1730" s="2">
        <v>18.3</v>
      </c>
      <c r="BK1730" s="2">
        <v>0.34</v>
      </c>
      <c r="BL1730" s="2">
        <v>7.3</v>
      </c>
      <c r="BM1730" s="2">
        <v>0.9</v>
      </c>
      <c r="BN1730" s="2">
        <v>7.5</v>
      </c>
      <c r="BO1730" s="2">
        <v>2.9</v>
      </c>
      <c r="BP1730" s="2">
        <f t="shared" ref="BP1730:BP1793" si="54">+AZ1730*EXP(-0.0495*Y1730)</f>
        <v>2.1258144797005816</v>
      </c>
      <c r="BQ1730" s="2">
        <f t="shared" ref="BQ1730:BQ1793" si="55">+BA1730*EXP(-0.024*Y1730)</f>
        <v>10.277366128690376</v>
      </c>
    </row>
    <row r="1731" spans="1:69" x14ac:dyDescent="0.2">
      <c r="A1731" s="2" t="s">
        <v>3105</v>
      </c>
      <c r="B1731" s="2" t="s">
        <v>47</v>
      </c>
      <c r="C1731" s="2" t="s">
        <v>1935</v>
      </c>
      <c r="D1731" s="2" t="s">
        <v>49</v>
      </c>
      <c r="E1731" s="2" t="s">
        <v>1543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89</v>
      </c>
      <c r="L1731" s="6" t="s">
        <v>112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3106</v>
      </c>
      <c r="R1731" s="2">
        <v>8333333.3329999996</v>
      </c>
      <c r="S1731" s="2">
        <v>0</v>
      </c>
      <c r="T1731" s="2" t="s">
        <v>83</v>
      </c>
      <c r="U1731" s="2" t="s">
        <v>84</v>
      </c>
      <c r="V1731" s="2" t="s">
        <v>56</v>
      </c>
      <c r="W1731" s="2" t="s">
        <v>83</v>
      </c>
      <c r="X1731" s="2" t="s">
        <v>85</v>
      </c>
      <c r="Y1731" s="2">
        <v>2.80135758631247</v>
      </c>
      <c r="Z1731" s="2">
        <v>2801.3575863124702</v>
      </c>
      <c r="AA1731" s="2">
        <v>4.71035</v>
      </c>
      <c r="AB1731" s="2">
        <v>-74.030416666666696</v>
      </c>
      <c r="AC1731" s="2">
        <v>2570</v>
      </c>
      <c r="AD1731" s="2">
        <v>10</v>
      </c>
      <c r="AE1731" s="2" t="s">
        <v>59</v>
      </c>
      <c r="AF1731" s="2" t="s">
        <v>86</v>
      </c>
      <c r="AG1731" s="2" t="s">
        <v>61</v>
      </c>
      <c r="AH1731" s="2" t="s">
        <v>62</v>
      </c>
      <c r="AI1731" s="2" t="s">
        <v>87</v>
      </c>
      <c r="AJ1731" s="2">
        <v>2.41892388082056</v>
      </c>
      <c r="AK1731" s="2">
        <v>0.64615338548579904</v>
      </c>
      <c r="AL1731" s="2">
        <v>1.3220921752402099</v>
      </c>
      <c r="AM1731" s="2">
        <v>0.26642327471710697</v>
      </c>
      <c r="AN1731" s="2">
        <v>0.69014610800879705</v>
      </c>
      <c r="AO1731" s="2">
        <v>4.4920693773464998E-2</v>
      </c>
      <c r="AP1731" s="2">
        <v>4.4920693773464998E-2</v>
      </c>
      <c r="AQ1731" s="2">
        <v>0</v>
      </c>
      <c r="AR1731" s="2">
        <v>0</v>
      </c>
      <c r="AS1731" s="2">
        <v>0</v>
      </c>
      <c r="AT1731" s="2">
        <v>10</v>
      </c>
      <c r="AU1731" s="2">
        <v>0</v>
      </c>
      <c r="AV1731" s="2">
        <v>12</v>
      </c>
      <c r="AW1731" s="2">
        <v>1</v>
      </c>
      <c r="AX1731" s="2">
        <v>0</v>
      </c>
      <c r="AY1731" s="2">
        <v>15.5</v>
      </c>
      <c r="AZ1731" s="2">
        <v>2.4</v>
      </c>
      <c r="BA1731" s="2">
        <v>10.9</v>
      </c>
      <c r="BB1731" s="2">
        <v>564</v>
      </c>
      <c r="BC1731" s="2">
        <v>68</v>
      </c>
      <c r="BD1731" s="2">
        <v>1.5</v>
      </c>
      <c r="BE1731" s="2">
        <v>135</v>
      </c>
      <c r="BF1731" s="2">
        <v>0</v>
      </c>
      <c r="BG1731" s="2">
        <v>162</v>
      </c>
      <c r="BH1731" s="2">
        <v>9.1</v>
      </c>
      <c r="BI1731" s="2">
        <v>9.1999999999999993</v>
      </c>
      <c r="BJ1731" s="2">
        <v>18.3</v>
      </c>
      <c r="BK1731" s="2">
        <v>0.34</v>
      </c>
      <c r="BL1731" s="2">
        <v>7.3</v>
      </c>
      <c r="BM1731" s="2">
        <v>0.9</v>
      </c>
      <c r="BN1731" s="2">
        <v>7.5</v>
      </c>
      <c r="BO1731" s="2">
        <v>2.9</v>
      </c>
      <c r="BP1731" s="2">
        <f t="shared" si="54"/>
        <v>2.0892424514113679</v>
      </c>
      <c r="BQ1731" s="2">
        <f t="shared" si="55"/>
        <v>10.191257115213384</v>
      </c>
    </row>
    <row r="1732" spans="1:69" x14ac:dyDescent="0.2">
      <c r="A1732" s="2" t="s">
        <v>1212</v>
      </c>
      <c r="B1732" s="2" t="s">
        <v>47</v>
      </c>
      <c r="C1732" s="2" t="s">
        <v>48</v>
      </c>
      <c r="D1732" s="2" t="s">
        <v>49</v>
      </c>
      <c r="E1732" s="2" t="s">
        <v>262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89</v>
      </c>
      <c r="L1732" s="6" t="s">
        <v>141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1213</v>
      </c>
      <c r="R1732" s="2">
        <v>5416666.6670000004</v>
      </c>
      <c r="S1732" s="2">
        <v>0</v>
      </c>
      <c r="T1732" s="2" t="s">
        <v>83</v>
      </c>
      <c r="U1732" s="2" t="s">
        <v>84</v>
      </c>
      <c r="V1732" s="2" t="s">
        <v>56</v>
      </c>
      <c r="W1732" s="2" t="s">
        <v>83</v>
      </c>
      <c r="X1732" s="2" t="s">
        <v>85</v>
      </c>
      <c r="Y1732" s="2">
        <v>1.7997424908579001</v>
      </c>
      <c r="Z1732" s="2">
        <v>1799.7424908579001</v>
      </c>
      <c r="AA1732" s="2">
        <v>4.71035</v>
      </c>
      <c r="AB1732" s="2">
        <v>-74.030416666666696</v>
      </c>
      <c r="AC1732" s="2">
        <v>2570</v>
      </c>
      <c r="AD1732" s="2">
        <v>10</v>
      </c>
      <c r="AE1732" s="2" t="s">
        <v>59</v>
      </c>
      <c r="AF1732" s="2" t="s">
        <v>86</v>
      </c>
      <c r="AG1732" s="2" t="s">
        <v>61</v>
      </c>
      <c r="AH1732" s="2" t="s">
        <v>62</v>
      </c>
      <c r="AI1732" s="2" t="s">
        <v>87</v>
      </c>
      <c r="AJ1732" s="2">
        <v>1.74521847645453</v>
      </c>
      <c r="AK1732" s="2">
        <v>1.4189637426474699</v>
      </c>
      <c r="AL1732" s="2">
        <v>0.96054613443186998</v>
      </c>
      <c r="AM1732" s="2">
        <v>0.169270743703125</v>
      </c>
      <c r="AN1732" s="2">
        <v>1.94354075349366</v>
      </c>
      <c r="AO1732" s="2">
        <v>2.7045982394045501E-2</v>
      </c>
      <c r="AP1732" s="2">
        <v>2.7045982394045501E-2</v>
      </c>
      <c r="AQ1732" s="2">
        <v>0</v>
      </c>
      <c r="AR1732" s="2">
        <v>0</v>
      </c>
      <c r="AS1732" s="2">
        <v>0</v>
      </c>
      <c r="AT1732" s="2">
        <v>0</v>
      </c>
      <c r="AU1732" s="2">
        <v>1</v>
      </c>
      <c r="AV1732" s="2">
        <v>11</v>
      </c>
      <c r="AW1732" s="2">
        <v>0</v>
      </c>
      <c r="AX1732" s="2">
        <v>0</v>
      </c>
      <c r="AY1732" s="2">
        <v>15.5</v>
      </c>
      <c r="AZ1732" s="2">
        <v>2.4</v>
      </c>
      <c r="BA1732" s="2">
        <v>10.9</v>
      </c>
      <c r="BB1732" s="2">
        <v>564</v>
      </c>
      <c r="BC1732" s="2">
        <v>68</v>
      </c>
      <c r="BD1732" s="2">
        <v>1.5</v>
      </c>
      <c r="BE1732" s="2">
        <v>135</v>
      </c>
      <c r="BF1732" s="2">
        <v>0</v>
      </c>
      <c r="BG1732" s="2">
        <v>162</v>
      </c>
      <c r="BH1732" s="2">
        <v>9.1</v>
      </c>
      <c r="BI1732" s="2">
        <v>9.1999999999999993</v>
      </c>
      <c r="BJ1732" s="2">
        <v>18.3</v>
      </c>
      <c r="BK1732" s="2">
        <v>0.34</v>
      </c>
      <c r="BL1732" s="2">
        <v>7.3</v>
      </c>
      <c r="BM1732" s="2">
        <v>0.9</v>
      </c>
      <c r="BN1732" s="2">
        <v>7.5</v>
      </c>
      <c r="BO1732" s="2">
        <v>2.9</v>
      </c>
      <c r="BP1732" s="2">
        <f t="shared" si="54"/>
        <v>2.1954378090331366</v>
      </c>
      <c r="BQ1732" s="2">
        <f t="shared" si="55"/>
        <v>10.439210630123853</v>
      </c>
    </row>
    <row r="1733" spans="1:69" x14ac:dyDescent="0.2">
      <c r="A1733" s="2" t="s">
        <v>3395</v>
      </c>
      <c r="B1733" s="2" t="s">
        <v>47</v>
      </c>
      <c r="C1733" s="2" t="s">
        <v>3273</v>
      </c>
      <c r="D1733" s="2" t="s">
        <v>49</v>
      </c>
      <c r="E1733" s="2" t="s">
        <v>421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89</v>
      </c>
      <c r="L1733" s="6" t="s">
        <v>90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3396</v>
      </c>
      <c r="R1733" s="2">
        <v>8819444.4440000001</v>
      </c>
      <c r="S1733" s="2">
        <v>0</v>
      </c>
      <c r="T1733" s="2" t="s">
        <v>83</v>
      </c>
      <c r="U1733" s="2" t="s">
        <v>84</v>
      </c>
      <c r="V1733" s="2" t="s">
        <v>56</v>
      </c>
      <c r="W1733" s="2" t="s">
        <v>83</v>
      </c>
      <c r="X1733" s="2" t="s">
        <v>85</v>
      </c>
      <c r="Y1733" s="2">
        <v>1.5501725098713299</v>
      </c>
      <c r="Z1733" s="2">
        <v>1550.17250987133</v>
      </c>
      <c r="AA1733" s="2">
        <v>4.71035</v>
      </c>
      <c r="AB1733" s="2">
        <v>-74.030416666666696</v>
      </c>
      <c r="AC1733" s="2">
        <v>2570</v>
      </c>
      <c r="AD1733" s="2">
        <v>10</v>
      </c>
      <c r="AE1733" s="2" t="s">
        <v>59</v>
      </c>
      <c r="AF1733" s="2" t="s">
        <v>86</v>
      </c>
      <c r="AG1733" s="2" t="s">
        <v>61</v>
      </c>
      <c r="AH1733" s="2" t="s">
        <v>62</v>
      </c>
      <c r="AI1733" s="2" t="s">
        <v>87</v>
      </c>
      <c r="AJ1733" s="2">
        <v>1.09008123382068</v>
      </c>
      <c r="AK1733" s="2">
        <v>2.0257726136212102</v>
      </c>
      <c r="AL1733" s="2">
        <v>1.3058629073512</v>
      </c>
      <c r="AM1733" s="2">
        <v>0.110950991271987</v>
      </c>
      <c r="AN1733" s="2">
        <v>3.1321933887218099</v>
      </c>
      <c r="AO1733" s="2">
        <v>0.40065625403189897</v>
      </c>
      <c r="AP1733" s="2">
        <v>0.40065625403189897</v>
      </c>
      <c r="AQ1733" s="2">
        <v>0</v>
      </c>
      <c r="AR1733" s="2">
        <v>0</v>
      </c>
      <c r="AS1733" s="2">
        <v>0</v>
      </c>
      <c r="AT1733" s="2">
        <v>0</v>
      </c>
      <c r="AU1733" s="2">
        <v>0</v>
      </c>
      <c r="AV1733" s="2">
        <v>35</v>
      </c>
      <c r="AW1733" s="2">
        <v>0</v>
      </c>
      <c r="AX1733" s="2">
        <v>0</v>
      </c>
      <c r="AY1733" s="2">
        <v>15.5</v>
      </c>
      <c r="AZ1733" s="2">
        <v>2.4</v>
      </c>
      <c r="BA1733" s="2">
        <v>10.9</v>
      </c>
      <c r="BB1733" s="2">
        <v>564</v>
      </c>
      <c r="BC1733" s="2">
        <v>68</v>
      </c>
      <c r="BD1733" s="2">
        <v>1.5</v>
      </c>
      <c r="BE1733" s="2">
        <v>135</v>
      </c>
      <c r="BF1733" s="2">
        <v>0</v>
      </c>
      <c r="BG1733" s="2">
        <v>162</v>
      </c>
      <c r="BH1733" s="2">
        <v>9.1</v>
      </c>
      <c r="BI1733" s="2">
        <v>9.1999999999999993</v>
      </c>
      <c r="BJ1733" s="2">
        <v>18.3</v>
      </c>
      <c r="BK1733" s="2">
        <v>0.34</v>
      </c>
      <c r="BL1733" s="2">
        <v>7.3</v>
      </c>
      <c r="BM1733" s="2">
        <v>0.9</v>
      </c>
      <c r="BN1733" s="2">
        <v>7.5</v>
      </c>
      <c r="BO1733" s="2">
        <v>2.9</v>
      </c>
      <c r="BP1733" s="2">
        <f t="shared" si="54"/>
        <v>2.2227278395067036</v>
      </c>
      <c r="BQ1733" s="2">
        <f t="shared" si="55"/>
        <v>10.501925790846199</v>
      </c>
    </row>
    <row r="1734" spans="1:69" x14ac:dyDescent="0.2">
      <c r="A1734" s="2" t="s">
        <v>385</v>
      </c>
      <c r="B1734" s="2" t="s">
        <v>47</v>
      </c>
      <c r="C1734" s="2" t="s">
        <v>48</v>
      </c>
      <c r="D1734" s="2" t="s">
        <v>49</v>
      </c>
      <c r="E1734" s="2" t="s">
        <v>386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89</v>
      </c>
      <c r="L1734" s="6" t="s">
        <v>141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387</v>
      </c>
      <c r="R1734" s="2">
        <v>5192982.4560000002</v>
      </c>
      <c r="S1734" s="2">
        <v>0</v>
      </c>
      <c r="T1734" s="2" t="s">
        <v>83</v>
      </c>
      <c r="U1734" s="2" t="s">
        <v>84</v>
      </c>
      <c r="V1734" s="2" t="s">
        <v>56</v>
      </c>
      <c r="W1734" s="2" t="s">
        <v>83</v>
      </c>
      <c r="X1734" s="2" t="s">
        <v>85</v>
      </c>
      <c r="Y1734" s="2">
        <v>2.40537754573299</v>
      </c>
      <c r="Z1734" s="2">
        <v>2405.3775457329898</v>
      </c>
      <c r="AA1734" s="2">
        <v>4.71035</v>
      </c>
      <c r="AB1734" s="2">
        <v>-74.030416666666696</v>
      </c>
      <c r="AC1734" s="2">
        <v>2570</v>
      </c>
      <c r="AD1734" s="2">
        <v>10</v>
      </c>
      <c r="AE1734" s="2" t="s">
        <v>59</v>
      </c>
      <c r="AF1734" s="2" t="s">
        <v>86</v>
      </c>
      <c r="AG1734" s="2" t="s">
        <v>61</v>
      </c>
      <c r="AH1734" s="2" t="s">
        <v>62</v>
      </c>
      <c r="AI1734" s="2" t="s">
        <v>87</v>
      </c>
      <c r="AJ1734" s="2">
        <v>1.70800167669043</v>
      </c>
      <c r="AK1734" s="2">
        <v>1.3472200689554099</v>
      </c>
      <c r="AL1734" s="2">
        <v>0.66500117734785802</v>
      </c>
      <c r="AM1734" s="2">
        <v>0.4681795969368</v>
      </c>
      <c r="AN1734" s="2">
        <v>1.36509703912242</v>
      </c>
      <c r="AO1734" s="2">
        <v>0.23914461847830801</v>
      </c>
      <c r="AP1734" s="2">
        <v>0.23914461847830801</v>
      </c>
      <c r="AQ1734" s="2">
        <v>0</v>
      </c>
      <c r="AR1734" s="2">
        <v>0</v>
      </c>
      <c r="AS1734" s="2">
        <v>0</v>
      </c>
      <c r="AT1734" s="2">
        <v>0</v>
      </c>
      <c r="AU1734" s="2">
        <v>1</v>
      </c>
      <c r="AV1734" s="2">
        <v>9</v>
      </c>
      <c r="AW1734" s="2">
        <v>0</v>
      </c>
      <c r="AX1734" s="2">
        <v>0</v>
      </c>
      <c r="AY1734" s="2">
        <v>15.5</v>
      </c>
      <c r="AZ1734" s="2">
        <v>2.4</v>
      </c>
      <c r="BA1734" s="2">
        <v>10.9</v>
      </c>
      <c r="BB1734" s="2">
        <v>564</v>
      </c>
      <c r="BC1734" s="2">
        <v>68</v>
      </c>
      <c r="BD1734" s="2">
        <v>1.5</v>
      </c>
      <c r="BE1734" s="2">
        <v>135</v>
      </c>
      <c r="BF1734" s="2">
        <v>0</v>
      </c>
      <c r="BG1734" s="2">
        <v>162</v>
      </c>
      <c r="BH1734" s="2">
        <v>9.1</v>
      </c>
      <c r="BI1734" s="2">
        <v>9.1999999999999993</v>
      </c>
      <c r="BJ1734" s="2">
        <v>18.3</v>
      </c>
      <c r="BK1734" s="2">
        <v>0.34</v>
      </c>
      <c r="BL1734" s="2">
        <v>7.3</v>
      </c>
      <c r="BM1734" s="2">
        <v>0.9</v>
      </c>
      <c r="BN1734" s="2">
        <v>7.5</v>
      </c>
      <c r="BO1734" s="2">
        <v>2.9</v>
      </c>
      <c r="BP1734" s="2">
        <f t="shared" si="54"/>
        <v>2.1305976960666166</v>
      </c>
      <c r="BQ1734" s="2">
        <f t="shared" si="55"/>
        <v>10.288571623767139</v>
      </c>
    </row>
    <row r="1735" spans="1:69" x14ac:dyDescent="0.2">
      <c r="A1735" s="2" t="s">
        <v>632</v>
      </c>
      <c r="B1735" s="2" t="s">
        <v>47</v>
      </c>
      <c r="C1735" s="2" t="s">
        <v>48</v>
      </c>
      <c r="D1735" s="2" t="s">
        <v>49</v>
      </c>
      <c r="E1735" s="2" t="s">
        <v>633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89</v>
      </c>
      <c r="L1735" s="6" t="s">
        <v>90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634</v>
      </c>
      <c r="R1735" s="2">
        <v>9765072.1769999992</v>
      </c>
      <c r="S1735" s="2">
        <v>0</v>
      </c>
      <c r="T1735" s="2" t="s">
        <v>83</v>
      </c>
      <c r="U1735" s="2" t="s">
        <v>84</v>
      </c>
      <c r="V1735" s="2" t="s">
        <v>56</v>
      </c>
      <c r="W1735" s="2" t="s">
        <v>83</v>
      </c>
      <c r="X1735" s="2" t="s">
        <v>85</v>
      </c>
      <c r="Y1735" s="2">
        <v>0.91014241160763598</v>
      </c>
      <c r="Z1735" s="2">
        <v>910.14241160763595</v>
      </c>
      <c r="AA1735" s="2">
        <v>4.71035</v>
      </c>
      <c r="AB1735" s="2">
        <v>-74.030416666666696</v>
      </c>
      <c r="AC1735" s="2">
        <v>2570</v>
      </c>
      <c r="AD1735" s="2">
        <v>10</v>
      </c>
      <c r="AE1735" s="2" t="s">
        <v>59</v>
      </c>
      <c r="AF1735" s="2" t="s">
        <v>86</v>
      </c>
      <c r="AG1735" s="2" t="s">
        <v>61</v>
      </c>
      <c r="AH1735" s="2" t="s">
        <v>62</v>
      </c>
      <c r="AI1735" s="2" t="s">
        <v>87</v>
      </c>
      <c r="AJ1735" s="2">
        <v>2.4837609804411298</v>
      </c>
      <c r="AK1735" s="2">
        <v>0.70687567813085705</v>
      </c>
      <c r="AL1735" s="2">
        <v>0.123037313107957</v>
      </c>
      <c r="AM1735" s="2">
        <v>0.1129704373448</v>
      </c>
      <c r="AN1735" s="2">
        <v>4.37264058617155</v>
      </c>
      <c r="AO1735" s="2">
        <v>0.42451931823592198</v>
      </c>
      <c r="AP1735" s="2">
        <v>0.42451931823592198</v>
      </c>
      <c r="AQ1735" s="2">
        <v>0</v>
      </c>
      <c r="AR1735" s="2">
        <v>0</v>
      </c>
      <c r="AS1735" s="2">
        <v>0</v>
      </c>
      <c r="AT1735" s="2">
        <v>17</v>
      </c>
      <c r="AU1735" s="2">
        <v>3</v>
      </c>
      <c r="AV1735" s="2">
        <v>140</v>
      </c>
      <c r="AW1735" s="2">
        <v>0</v>
      </c>
      <c r="AX1735" s="2">
        <v>0</v>
      </c>
      <c r="AY1735" s="2">
        <v>15.5</v>
      </c>
      <c r="AZ1735" s="2">
        <v>2.4</v>
      </c>
      <c r="BA1735" s="2">
        <v>10.9</v>
      </c>
      <c r="BB1735" s="2">
        <v>564</v>
      </c>
      <c r="BC1735" s="2">
        <v>68</v>
      </c>
      <c r="BD1735" s="2">
        <v>1.5</v>
      </c>
      <c r="BE1735" s="2">
        <v>135</v>
      </c>
      <c r="BF1735" s="2">
        <v>0</v>
      </c>
      <c r="BG1735" s="2">
        <v>162</v>
      </c>
      <c r="BH1735" s="2">
        <v>9.1</v>
      </c>
      <c r="BI1735" s="2">
        <v>9.1999999999999993</v>
      </c>
      <c r="BJ1735" s="2">
        <v>18.3</v>
      </c>
      <c r="BK1735" s="2">
        <v>0.34</v>
      </c>
      <c r="BL1735" s="2">
        <v>7.3</v>
      </c>
      <c r="BM1735" s="2">
        <v>0.9</v>
      </c>
      <c r="BN1735" s="2">
        <v>7.5</v>
      </c>
      <c r="BO1735" s="2">
        <v>2.9</v>
      </c>
      <c r="BP1735" s="2">
        <f t="shared" si="54"/>
        <v>2.2942745377368339</v>
      </c>
      <c r="BQ1735" s="2">
        <f t="shared" si="55"/>
        <v>10.664488299531024</v>
      </c>
    </row>
    <row r="1736" spans="1:69" x14ac:dyDescent="0.2">
      <c r="A1736" s="2" t="s">
        <v>1243</v>
      </c>
      <c r="B1736" s="2" t="s">
        <v>47</v>
      </c>
      <c r="C1736" s="2" t="s">
        <v>48</v>
      </c>
      <c r="D1736" s="2" t="s">
        <v>49</v>
      </c>
      <c r="E1736" s="2" t="s">
        <v>205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89</v>
      </c>
      <c r="L1736" s="6" t="s">
        <v>112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1244</v>
      </c>
      <c r="R1736" s="2">
        <v>9857142.8570000008</v>
      </c>
      <c r="S1736" s="2">
        <v>0</v>
      </c>
      <c r="T1736" s="2" t="s">
        <v>83</v>
      </c>
      <c r="U1736" s="2" t="s">
        <v>84</v>
      </c>
      <c r="V1736" s="2" t="s">
        <v>56</v>
      </c>
      <c r="W1736" s="2" t="s">
        <v>83</v>
      </c>
      <c r="X1736" s="2" t="s">
        <v>85</v>
      </c>
      <c r="Y1736" s="2">
        <v>2.6078081007118099</v>
      </c>
      <c r="Z1736" s="2">
        <v>2607.8081007118099</v>
      </c>
      <c r="AA1736" s="2">
        <v>4.71035</v>
      </c>
      <c r="AB1736" s="2">
        <v>-74.030416666666696</v>
      </c>
      <c r="AC1736" s="2">
        <v>2570</v>
      </c>
      <c r="AD1736" s="2">
        <v>10</v>
      </c>
      <c r="AE1736" s="2" t="s">
        <v>59</v>
      </c>
      <c r="AF1736" s="2" t="s">
        <v>86</v>
      </c>
      <c r="AG1736" s="2" t="s">
        <v>61</v>
      </c>
      <c r="AH1736" s="2" t="s">
        <v>62</v>
      </c>
      <c r="AI1736" s="2" t="s">
        <v>87</v>
      </c>
      <c r="AJ1736" s="2">
        <v>1.40693795339193</v>
      </c>
      <c r="AK1736" s="2">
        <v>1.5905931700017899</v>
      </c>
      <c r="AL1736" s="2">
        <v>0.733163402484585</v>
      </c>
      <c r="AM1736" s="2">
        <v>4.7622235811161803E-2</v>
      </c>
      <c r="AN1736" s="2">
        <v>4.64275557344261</v>
      </c>
      <c r="AO1736" s="2">
        <v>0.15666174552138701</v>
      </c>
      <c r="AP1736" s="2">
        <v>0.15666174552138701</v>
      </c>
      <c r="AQ1736" s="2">
        <v>0</v>
      </c>
      <c r="AR1736" s="2">
        <v>0</v>
      </c>
      <c r="AS1736" s="2">
        <v>0</v>
      </c>
      <c r="AT1736" s="2">
        <v>0</v>
      </c>
      <c r="AU1736" s="2">
        <v>4</v>
      </c>
      <c r="AV1736" s="2">
        <v>105</v>
      </c>
      <c r="AW1736" s="2">
        <v>0</v>
      </c>
      <c r="AX1736" s="2">
        <v>0</v>
      </c>
      <c r="AY1736" s="2">
        <v>15.5</v>
      </c>
      <c r="AZ1736" s="2">
        <v>2.4</v>
      </c>
      <c r="BA1736" s="2">
        <v>10.9</v>
      </c>
      <c r="BB1736" s="2">
        <v>564</v>
      </c>
      <c r="BC1736" s="2">
        <v>68</v>
      </c>
      <c r="BD1736" s="2">
        <v>1.5</v>
      </c>
      <c r="BE1736" s="2">
        <v>135</v>
      </c>
      <c r="BF1736" s="2">
        <v>0</v>
      </c>
      <c r="BG1736" s="2">
        <v>162</v>
      </c>
      <c r="BH1736" s="2">
        <v>9.1</v>
      </c>
      <c r="BI1736" s="2">
        <v>9.1999999999999993</v>
      </c>
      <c r="BJ1736" s="2">
        <v>18.3</v>
      </c>
      <c r="BK1736" s="2">
        <v>0.34</v>
      </c>
      <c r="BL1736" s="2">
        <v>7.3</v>
      </c>
      <c r="BM1736" s="2">
        <v>0.9</v>
      </c>
      <c r="BN1736" s="2">
        <v>7.5</v>
      </c>
      <c r="BO1736" s="2">
        <v>2.9</v>
      </c>
      <c r="BP1736" s="2">
        <f t="shared" si="54"/>
        <v>2.1093550481277585</v>
      </c>
      <c r="BQ1736" s="2">
        <f t="shared" si="55"/>
        <v>10.238707539688109</v>
      </c>
    </row>
    <row r="1737" spans="1:69" x14ac:dyDescent="0.2">
      <c r="A1737" s="2" t="s">
        <v>4588</v>
      </c>
      <c r="B1737" s="2" t="s">
        <v>47</v>
      </c>
      <c r="C1737" s="2" t="s">
        <v>3273</v>
      </c>
      <c r="D1737" s="2" t="s">
        <v>49</v>
      </c>
      <c r="E1737" s="2" t="s">
        <v>172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89</v>
      </c>
      <c r="L1737" s="6" t="s">
        <v>90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4589</v>
      </c>
      <c r="R1737" s="2">
        <v>9420289.8550000004</v>
      </c>
      <c r="S1737" s="2">
        <v>0</v>
      </c>
      <c r="T1737" s="2" t="s">
        <v>83</v>
      </c>
      <c r="U1737" s="2" t="s">
        <v>84</v>
      </c>
      <c r="V1737" s="2" t="s">
        <v>56</v>
      </c>
      <c r="W1737" s="2" t="s">
        <v>83</v>
      </c>
      <c r="X1737" s="2" t="s">
        <v>85</v>
      </c>
      <c r="Y1737" s="2">
        <v>1.1410899577981799</v>
      </c>
      <c r="Z1737" s="2">
        <v>1141.08995779818</v>
      </c>
      <c r="AA1737" s="2">
        <v>4.71035</v>
      </c>
      <c r="AB1737" s="2">
        <v>-74.030416666666696</v>
      </c>
      <c r="AC1737" s="2">
        <v>2570</v>
      </c>
      <c r="AD1737" s="2">
        <v>10</v>
      </c>
      <c r="AE1737" s="2" t="s">
        <v>59</v>
      </c>
      <c r="AF1737" s="2" t="s">
        <v>86</v>
      </c>
      <c r="AG1737" s="2" t="s">
        <v>61</v>
      </c>
      <c r="AH1737" s="2" t="s">
        <v>62</v>
      </c>
      <c r="AI1737" s="2" t="s">
        <v>87</v>
      </c>
      <c r="AJ1737" s="2">
        <v>2.6006983265293999</v>
      </c>
      <c r="AK1737" s="2">
        <v>0.60001674882111</v>
      </c>
      <c r="AL1737" s="2">
        <v>0.19293446033520401</v>
      </c>
      <c r="AM1737" s="2">
        <v>2.3457528056725602E-2</v>
      </c>
      <c r="AN1737" s="2">
        <v>4.6028156615021798</v>
      </c>
      <c r="AO1737" s="2">
        <v>0.45199537179007498</v>
      </c>
      <c r="AP1737" s="2">
        <v>0.45199537179007498</v>
      </c>
      <c r="AQ1737" s="2">
        <v>0</v>
      </c>
      <c r="AR1737" s="2">
        <v>0</v>
      </c>
      <c r="AS1737" s="2">
        <v>0</v>
      </c>
      <c r="AT1737" s="2">
        <v>22</v>
      </c>
      <c r="AU1737" s="2">
        <v>2</v>
      </c>
      <c r="AV1737" s="2">
        <v>127</v>
      </c>
      <c r="AW1737" s="2">
        <v>0</v>
      </c>
      <c r="AX1737" s="2">
        <v>0</v>
      </c>
      <c r="AY1737" s="2">
        <v>15.5</v>
      </c>
      <c r="AZ1737" s="2">
        <v>2.4</v>
      </c>
      <c r="BA1737" s="2">
        <v>10.9</v>
      </c>
      <c r="BB1737" s="2">
        <v>564</v>
      </c>
      <c r="BC1737" s="2">
        <v>68</v>
      </c>
      <c r="BD1737" s="2">
        <v>1.5</v>
      </c>
      <c r="BE1737" s="2">
        <v>135</v>
      </c>
      <c r="BF1737" s="2">
        <v>0</v>
      </c>
      <c r="BG1737" s="2">
        <v>162</v>
      </c>
      <c r="BH1737" s="2">
        <v>9.1</v>
      </c>
      <c r="BI1737" s="2">
        <v>9.1999999999999993</v>
      </c>
      <c r="BJ1737" s="2">
        <v>18.3</v>
      </c>
      <c r="BK1737" s="2">
        <v>0.34</v>
      </c>
      <c r="BL1737" s="2">
        <v>7.3</v>
      </c>
      <c r="BM1737" s="2">
        <v>0.9</v>
      </c>
      <c r="BN1737" s="2">
        <v>7.5</v>
      </c>
      <c r="BO1737" s="2">
        <v>2.9</v>
      </c>
      <c r="BP1737" s="2">
        <f t="shared" si="54"/>
        <v>2.2681959604387374</v>
      </c>
      <c r="BQ1737" s="2">
        <f t="shared" si="55"/>
        <v>10.605541316677781</v>
      </c>
    </row>
    <row r="1738" spans="1:69" x14ac:dyDescent="0.2">
      <c r="A1738" s="2" t="s">
        <v>4040</v>
      </c>
      <c r="B1738" s="2" t="s">
        <v>47</v>
      </c>
      <c r="C1738" s="2" t="s">
        <v>3273</v>
      </c>
      <c r="D1738" s="2" t="s">
        <v>49</v>
      </c>
      <c r="E1738" s="2" t="s">
        <v>175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89</v>
      </c>
      <c r="L1738" s="6" t="s">
        <v>103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4041</v>
      </c>
      <c r="R1738" s="2">
        <v>11470588.24</v>
      </c>
      <c r="S1738" s="2">
        <v>0</v>
      </c>
      <c r="T1738" s="2" t="s">
        <v>83</v>
      </c>
      <c r="U1738" s="2" t="s">
        <v>84</v>
      </c>
      <c r="V1738" s="2" t="s">
        <v>56</v>
      </c>
      <c r="W1738" s="2" t="s">
        <v>83</v>
      </c>
      <c r="X1738" s="2" t="s">
        <v>85</v>
      </c>
      <c r="Y1738" s="2">
        <v>3.4959324970911898</v>
      </c>
      <c r="Z1738" s="2">
        <v>3495.9324970911898</v>
      </c>
      <c r="AA1738" s="2">
        <v>4.71035</v>
      </c>
      <c r="AB1738" s="2">
        <v>-74.030416666666696</v>
      </c>
      <c r="AC1738" s="2">
        <v>2570</v>
      </c>
      <c r="AD1738" s="2">
        <v>10</v>
      </c>
      <c r="AE1738" s="2" t="s">
        <v>59</v>
      </c>
      <c r="AF1738" s="2" t="s">
        <v>86</v>
      </c>
      <c r="AG1738" s="2" t="s">
        <v>61</v>
      </c>
      <c r="AH1738" s="2" t="s">
        <v>62</v>
      </c>
      <c r="AI1738" s="2" t="s">
        <v>109</v>
      </c>
      <c r="AJ1738" s="2">
        <v>1.69552976259352</v>
      </c>
      <c r="AK1738" s="2">
        <v>0.75843293498101105</v>
      </c>
      <c r="AL1738" s="2">
        <v>0.39205278633423302</v>
      </c>
      <c r="AM1738" s="2">
        <v>7.0116424271965697E-2</v>
      </c>
      <c r="AN1738" s="2">
        <v>4.4298696837898701</v>
      </c>
      <c r="AO1738" s="2">
        <v>0.71412153392205202</v>
      </c>
      <c r="AP1738" s="2">
        <v>0.71412153392205202</v>
      </c>
      <c r="AQ1738" s="2">
        <v>0</v>
      </c>
      <c r="AR1738" s="2">
        <v>0</v>
      </c>
      <c r="AS1738" s="2">
        <v>0</v>
      </c>
      <c r="AT1738" s="2">
        <v>1</v>
      </c>
      <c r="AU1738" s="2">
        <v>3</v>
      </c>
      <c r="AV1738" s="2">
        <v>84</v>
      </c>
      <c r="AW1738" s="2">
        <v>0</v>
      </c>
      <c r="AX1738" s="2">
        <v>0</v>
      </c>
      <c r="AY1738" s="2">
        <v>15.5</v>
      </c>
      <c r="AZ1738" s="2">
        <v>2.4</v>
      </c>
      <c r="BA1738" s="2">
        <v>10.9</v>
      </c>
      <c r="BB1738" s="2">
        <v>564</v>
      </c>
      <c r="BC1738" s="2">
        <v>68</v>
      </c>
      <c r="BD1738" s="2">
        <v>1.5</v>
      </c>
      <c r="BE1738" s="2">
        <v>135</v>
      </c>
      <c r="BF1738" s="2">
        <v>0</v>
      </c>
      <c r="BG1738" s="2">
        <v>162</v>
      </c>
      <c r="BH1738" s="2">
        <v>9.1</v>
      </c>
      <c r="BI1738" s="2">
        <v>9.1999999999999993</v>
      </c>
      <c r="BJ1738" s="2">
        <v>18.3</v>
      </c>
      <c r="BK1738" s="2">
        <v>0.34</v>
      </c>
      <c r="BL1738" s="2">
        <v>7.3</v>
      </c>
      <c r="BM1738" s="2">
        <v>0.9</v>
      </c>
      <c r="BN1738" s="2">
        <v>7.5</v>
      </c>
      <c r="BO1738" s="2">
        <v>2.9</v>
      </c>
      <c r="BP1738" s="2">
        <f t="shared" si="54"/>
        <v>2.0186320494157601</v>
      </c>
      <c r="BQ1738" s="2">
        <f t="shared" si="55"/>
        <v>10.022779068073815</v>
      </c>
    </row>
    <row r="1739" spans="1:69" x14ac:dyDescent="0.2">
      <c r="A1739" s="2" t="s">
        <v>637</v>
      </c>
      <c r="B1739" s="2" t="s">
        <v>47</v>
      </c>
      <c r="C1739" s="2" t="s">
        <v>48</v>
      </c>
      <c r="D1739" s="2" t="s">
        <v>49</v>
      </c>
      <c r="E1739" s="2" t="s">
        <v>158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89</v>
      </c>
      <c r="L1739" s="6" t="s">
        <v>103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638</v>
      </c>
      <c r="R1739" s="2">
        <v>13909440.66</v>
      </c>
      <c r="S1739" s="2">
        <v>0</v>
      </c>
      <c r="T1739" s="2" t="s">
        <v>83</v>
      </c>
      <c r="U1739" s="2" t="s">
        <v>84</v>
      </c>
      <c r="V1739" s="2" t="s">
        <v>56</v>
      </c>
      <c r="W1739" s="2" t="s">
        <v>83</v>
      </c>
      <c r="X1739" s="2" t="s">
        <v>85</v>
      </c>
      <c r="Y1739" s="2">
        <v>3.7007353514620598</v>
      </c>
      <c r="Z1739" s="2">
        <v>3700.73535146206</v>
      </c>
      <c r="AA1739" s="2">
        <v>4.71035</v>
      </c>
      <c r="AB1739" s="2">
        <v>-74.030416666666696</v>
      </c>
      <c r="AC1739" s="2">
        <v>2570</v>
      </c>
      <c r="AD1739" s="2">
        <v>10</v>
      </c>
      <c r="AE1739" s="2" t="s">
        <v>59</v>
      </c>
      <c r="AF1739" s="2" t="s">
        <v>86</v>
      </c>
      <c r="AG1739" s="2" t="s">
        <v>61</v>
      </c>
      <c r="AH1739" s="2" t="s">
        <v>62</v>
      </c>
      <c r="AI1739" s="2" t="s">
        <v>109</v>
      </c>
      <c r="AJ1739" s="2">
        <v>2.0087653542858801</v>
      </c>
      <c r="AK1739" s="2">
        <v>0.39594206325509501</v>
      </c>
      <c r="AL1739" s="2">
        <v>0.43685361322014798</v>
      </c>
      <c r="AM1739" s="2">
        <v>7.9160411310383705E-2</v>
      </c>
      <c r="AN1739" s="2">
        <v>4.5514424609485102</v>
      </c>
      <c r="AO1739" s="2">
        <v>0.87628157374841897</v>
      </c>
      <c r="AP1739" s="2">
        <v>0.87628157374841897</v>
      </c>
      <c r="AQ1739" s="2">
        <v>0</v>
      </c>
      <c r="AR1739" s="2">
        <v>0</v>
      </c>
      <c r="AS1739" s="2">
        <v>1</v>
      </c>
      <c r="AT1739" s="2">
        <v>8</v>
      </c>
      <c r="AU1739" s="2">
        <v>3</v>
      </c>
      <c r="AV1739" s="2">
        <v>47</v>
      </c>
      <c r="AW1739" s="2">
        <v>0</v>
      </c>
      <c r="AX1739" s="2">
        <v>0</v>
      </c>
      <c r="AY1739" s="2">
        <v>15.5</v>
      </c>
      <c r="AZ1739" s="2">
        <v>2.4</v>
      </c>
      <c r="BA1739" s="2">
        <v>10.9</v>
      </c>
      <c r="BB1739" s="2">
        <v>564</v>
      </c>
      <c r="BC1739" s="2">
        <v>68</v>
      </c>
      <c r="BD1739" s="2">
        <v>1.5</v>
      </c>
      <c r="BE1739" s="2">
        <v>135</v>
      </c>
      <c r="BF1739" s="2">
        <v>0</v>
      </c>
      <c r="BG1739" s="2">
        <v>162</v>
      </c>
      <c r="BH1739" s="2">
        <v>9.1</v>
      </c>
      <c r="BI1739" s="2">
        <v>9.1999999999999993</v>
      </c>
      <c r="BJ1739" s="2">
        <v>18.3</v>
      </c>
      <c r="BK1739" s="2">
        <v>0.34</v>
      </c>
      <c r="BL1739" s="2">
        <v>7.3</v>
      </c>
      <c r="BM1739" s="2">
        <v>0.9</v>
      </c>
      <c r="BN1739" s="2">
        <v>7.5</v>
      </c>
      <c r="BO1739" s="2">
        <v>2.9</v>
      </c>
      <c r="BP1739" s="2">
        <f t="shared" si="54"/>
        <v>1.9982710615311847</v>
      </c>
      <c r="BQ1739" s="2">
        <f t="shared" si="55"/>
        <v>9.9736352941532171</v>
      </c>
    </row>
    <row r="1740" spans="1:69" x14ac:dyDescent="0.2">
      <c r="A1740" s="2" t="s">
        <v>4613</v>
      </c>
      <c r="B1740" s="2" t="s">
        <v>47</v>
      </c>
      <c r="C1740" s="2" t="s">
        <v>3273</v>
      </c>
      <c r="D1740" s="2" t="s">
        <v>49</v>
      </c>
      <c r="E1740" s="2" t="s">
        <v>189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89</v>
      </c>
      <c r="L1740" s="6" t="s">
        <v>103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4614</v>
      </c>
      <c r="R1740" s="2">
        <v>8208955.2240000004</v>
      </c>
      <c r="S1740" s="2">
        <v>0</v>
      </c>
      <c r="T1740" s="2" t="s">
        <v>83</v>
      </c>
      <c r="U1740" s="2" t="s">
        <v>84</v>
      </c>
      <c r="V1740" s="2" t="s">
        <v>56</v>
      </c>
      <c r="W1740" s="2" t="s">
        <v>83</v>
      </c>
      <c r="X1740" s="2" t="s">
        <v>85</v>
      </c>
      <c r="Y1740" s="2">
        <v>2.8882730942418502</v>
      </c>
      <c r="Z1740" s="2">
        <v>2888.2730942418498</v>
      </c>
      <c r="AA1740" s="2">
        <v>4.71035</v>
      </c>
      <c r="AB1740" s="2">
        <v>-74.030416666666696</v>
      </c>
      <c r="AC1740" s="2">
        <v>2570</v>
      </c>
      <c r="AD1740" s="2">
        <v>10</v>
      </c>
      <c r="AE1740" s="2" t="s">
        <v>59</v>
      </c>
      <c r="AF1740" s="2" t="s">
        <v>86</v>
      </c>
      <c r="AG1740" s="2" t="s">
        <v>61</v>
      </c>
      <c r="AH1740" s="2" t="s">
        <v>62</v>
      </c>
      <c r="AI1740" s="2" t="s">
        <v>87</v>
      </c>
      <c r="AJ1740" s="2">
        <v>0.78876433369708698</v>
      </c>
      <c r="AK1740" s="2">
        <v>2.07853900495379</v>
      </c>
      <c r="AL1740" s="2">
        <v>0.138938450766359</v>
      </c>
      <c r="AM1740" s="2">
        <v>3.8534205259644197E-2</v>
      </c>
      <c r="AN1740" s="2">
        <v>4.16670432297198</v>
      </c>
      <c r="AO1740" s="2">
        <v>3.2435433803562001E-2</v>
      </c>
      <c r="AP1740" s="2">
        <v>3.2435433803562001E-2</v>
      </c>
      <c r="AQ1740" s="2">
        <v>0</v>
      </c>
      <c r="AR1740" s="2">
        <v>2</v>
      </c>
      <c r="AS1740" s="2">
        <v>0</v>
      </c>
      <c r="AT1740" s="2">
        <v>0</v>
      </c>
      <c r="AU1740" s="2">
        <v>5</v>
      </c>
      <c r="AV1740" s="2">
        <v>158</v>
      </c>
      <c r="AW1740" s="2">
        <v>0</v>
      </c>
      <c r="AX1740" s="2">
        <v>0</v>
      </c>
      <c r="AY1740" s="2">
        <v>15.5</v>
      </c>
      <c r="AZ1740" s="2">
        <v>2.4</v>
      </c>
      <c r="BA1740" s="2">
        <v>10.9</v>
      </c>
      <c r="BB1740" s="2">
        <v>564</v>
      </c>
      <c r="BC1740" s="2">
        <v>68</v>
      </c>
      <c r="BD1740" s="2">
        <v>1.5</v>
      </c>
      <c r="BE1740" s="2">
        <v>135</v>
      </c>
      <c r="BF1740" s="2">
        <v>0</v>
      </c>
      <c r="BG1740" s="2">
        <v>162</v>
      </c>
      <c r="BH1740" s="2">
        <v>9.1</v>
      </c>
      <c r="BI1740" s="2">
        <v>9.1999999999999993</v>
      </c>
      <c r="BJ1740" s="2">
        <v>18.3</v>
      </c>
      <c r="BK1740" s="2">
        <v>0.34</v>
      </c>
      <c r="BL1740" s="2">
        <v>7.3</v>
      </c>
      <c r="BM1740" s="2">
        <v>0.9</v>
      </c>
      <c r="BN1740" s="2">
        <v>7.5</v>
      </c>
      <c r="BO1740" s="2">
        <v>2.9</v>
      </c>
      <c r="BP1740" s="2">
        <f t="shared" si="54"/>
        <v>2.0802731749264805</v>
      </c>
      <c r="BQ1740" s="2">
        <f t="shared" si="55"/>
        <v>10.17002059338428</v>
      </c>
    </row>
    <row r="1741" spans="1:69" x14ac:dyDescent="0.2">
      <c r="A1741" s="2" t="s">
        <v>3925</v>
      </c>
      <c r="B1741" s="2" t="s">
        <v>47</v>
      </c>
      <c r="C1741" s="2" t="s">
        <v>3273</v>
      </c>
      <c r="D1741" s="2" t="s">
        <v>49</v>
      </c>
      <c r="E1741" s="2" t="s">
        <v>172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89</v>
      </c>
      <c r="L1741" s="6" t="s">
        <v>112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3926</v>
      </c>
      <c r="R1741" s="2">
        <v>8955223.8809999991</v>
      </c>
      <c r="S1741" s="2">
        <v>0</v>
      </c>
      <c r="T1741" s="2" t="s">
        <v>83</v>
      </c>
      <c r="U1741" s="2" t="s">
        <v>84</v>
      </c>
      <c r="V1741" s="2" t="s">
        <v>56</v>
      </c>
      <c r="W1741" s="2" t="s">
        <v>83</v>
      </c>
      <c r="X1741" s="2" t="s">
        <v>85</v>
      </c>
      <c r="Y1741" s="2">
        <v>1.15231580755547</v>
      </c>
      <c r="Z1741" s="2">
        <v>1152.31580755547</v>
      </c>
      <c r="AA1741" s="2">
        <v>4.71035</v>
      </c>
      <c r="AB1741" s="2">
        <v>-74.030416666666696</v>
      </c>
      <c r="AC1741" s="2">
        <v>2570</v>
      </c>
      <c r="AD1741" s="2">
        <v>10</v>
      </c>
      <c r="AE1741" s="2" t="s">
        <v>59</v>
      </c>
      <c r="AF1741" s="2" t="s">
        <v>86</v>
      </c>
      <c r="AG1741" s="2" t="s">
        <v>61</v>
      </c>
      <c r="AH1741" s="2" t="s">
        <v>62</v>
      </c>
      <c r="AI1741" s="2" t="s">
        <v>87</v>
      </c>
      <c r="AJ1741" s="2">
        <v>2.6571679032110298</v>
      </c>
      <c r="AK1741" s="2">
        <v>0.54409728465528395</v>
      </c>
      <c r="AL1741" s="2">
        <v>0.243851179917209</v>
      </c>
      <c r="AM1741" s="2">
        <v>6.3976932393585801E-3</v>
      </c>
      <c r="AN1741" s="2">
        <v>4.6111844563104301</v>
      </c>
      <c r="AO1741" s="2">
        <v>0.475018715437038</v>
      </c>
      <c r="AP1741" s="2">
        <v>0.475018715437038</v>
      </c>
      <c r="AQ1741" s="2">
        <v>0</v>
      </c>
      <c r="AR1741" s="2">
        <v>0</v>
      </c>
      <c r="AS1741" s="2">
        <v>0</v>
      </c>
      <c r="AT1741" s="2">
        <v>22</v>
      </c>
      <c r="AU1741" s="2">
        <v>2</v>
      </c>
      <c r="AV1741" s="2">
        <v>125</v>
      </c>
      <c r="AW1741" s="2">
        <v>0</v>
      </c>
      <c r="AX1741" s="2">
        <v>0</v>
      </c>
      <c r="AY1741" s="2">
        <v>15.5</v>
      </c>
      <c r="AZ1741" s="2">
        <v>2.4</v>
      </c>
      <c r="BA1741" s="2">
        <v>10.9</v>
      </c>
      <c r="BB1741" s="2">
        <v>564</v>
      </c>
      <c r="BC1741" s="2">
        <v>68</v>
      </c>
      <c r="BD1741" s="2">
        <v>1.5</v>
      </c>
      <c r="BE1741" s="2">
        <v>135</v>
      </c>
      <c r="BF1741" s="2">
        <v>0</v>
      </c>
      <c r="BG1741" s="2">
        <v>162</v>
      </c>
      <c r="BH1741" s="2">
        <v>9.1</v>
      </c>
      <c r="BI1741" s="2">
        <v>9.1999999999999993</v>
      </c>
      <c r="BJ1741" s="2">
        <v>18.3</v>
      </c>
      <c r="BK1741" s="2">
        <v>0.34</v>
      </c>
      <c r="BL1741" s="2">
        <v>7.3</v>
      </c>
      <c r="BM1741" s="2">
        <v>0.9</v>
      </c>
      <c r="BN1741" s="2">
        <v>7.5</v>
      </c>
      <c r="BO1741" s="2">
        <v>2.9</v>
      </c>
      <c r="BP1741" s="2">
        <f t="shared" si="54"/>
        <v>2.266935920420341</v>
      </c>
      <c r="BQ1741" s="2">
        <f t="shared" si="55"/>
        <v>10.602684352435302</v>
      </c>
    </row>
    <row r="1742" spans="1:69" x14ac:dyDescent="0.2">
      <c r="A1742" s="2" t="s">
        <v>4357</v>
      </c>
      <c r="B1742" s="2" t="s">
        <v>47</v>
      </c>
      <c r="C1742" s="2" t="s">
        <v>3273</v>
      </c>
      <c r="D1742" s="2" t="s">
        <v>49</v>
      </c>
      <c r="E1742" s="2" t="s">
        <v>539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89</v>
      </c>
      <c r="L1742" s="6" t="s">
        <v>112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4358</v>
      </c>
      <c r="R1742" s="2">
        <v>7761194.0300000003</v>
      </c>
      <c r="S1742" s="2">
        <v>0</v>
      </c>
      <c r="T1742" s="2" t="s">
        <v>83</v>
      </c>
      <c r="U1742" s="2" t="s">
        <v>84</v>
      </c>
      <c r="V1742" s="2" t="s">
        <v>56</v>
      </c>
      <c r="W1742" s="2" t="s">
        <v>83</v>
      </c>
      <c r="X1742" s="2" t="s">
        <v>85</v>
      </c>
      <c r="Y1742" s="2">
        <v>0.71821177829871996</v>
      </c>
      <c r="Z1742" s="2">
        <v>718.21177829871999</v>
      </c>
      <c r="AA1742" s="2">
        <v>4.71035</v>
      </c>
      <c r="AB1742" s="2">
        <v>-74.030416666666696</v>
      </c>
      <c r="AC1742" s="2">
        <v>2570</v>
      </c>
      <c r="AD1742" s="2">
        <v>10</v>
      </c>
      <c r="AE1742" s="2" t="s">
        <v>59</v>
      </c>
      <c r="AF1742" s="2" t="s">
        <v>86</v>
      </c>
      <c r="AG1742" s="2" t="s">
        <v>61</v>
      </c>
      <c r="AH1742" s="2" t="s">
        <v>62</v>
      </c>
      <c r="AI1742" s="2" t="s">
        <v>87</v>
      </c>
      <c r="AJ1742" s="2">
        <v>1.86462703552869</v>
      </c>
      <c r="AK1742" s="2">
        <v>1.2366562386327999</v>
      </c>
      <c r="AL1742" s="2">
        <v>0.48863967474381798</v>
      </c>
      <c r="AM1742" s="2">
        <v>9.5902332109238805E-2</v>
      </c>
      <c r="AN1742" s="2">
        <v>3.20248155313292</v>
      </c>
      <c r="AO1742" s="2">
        <v>0.12524929220726599</v>
      </c>
      <c r="AP1742" s="2">
        <v>0.12524929220726599</v>
      </c>
      <c r="AQ1742" s="2">
        <v>0</v>
      </c>
      <c r="AR1742" s="2">
        <v>0</v>
      </c>
      <c r="AS1742" s="2">
        <v>0</v>
      </c>
      <c r="AT1742" s="2">
        <v>0</v>
      </c>
      <c r="AU1742" s="2">
        <v>1</v>
      </c>
      <c r="AV1742" s="2">
        <v>75</v>
      </c>
      <c r="AW1742" s="2">
        <v>0</v>
      </c>
      <c r="AX1742" s="2">
        <v>0</v>
      </c>
      <c r="AY1742" s="2">
        <v>15.5</v>
      </c>
      <c r="AZ1742" s="2">
        <v>2.4</v>
      </c>
      <c r="BA1742" s="2">
        <v>10.9</v>
      </c>
      <c r="BB1742" s="2">
        <v>564</v>
      </c>
      <c r="BC1742" s="2">
        <v>68</v>
      </c>
      <c r="BD1742" s="2">
        <v>1.5</v>
      </c>
      <c r="BE1742" s="2">
        <v>135</v>
      </c>
      <c r="BF1742" s="2">
        <v>0</v>
      </c>
      <c r="BG1742" s="2">
        <v>162</v>
      </c>
      <c r="BH1742" s="2">
        <v>9.1</v>
      </c>
      <c r="BI1742" s="2">
        <v>9.1999999999999993</v>
      </c>
      <c r="BJ1742" s="2">
        <v>18.3</v>
      </c>
      <c r="BK1742" s="2">
        <v>0.34</v>
      </c>
      <c r="BL1742" s="2">
        <v>7.3</v>
      </c>
      <c r="BM1742" s="2">
        <v>0.9</v>
      </c>
      <c r="BN1742" s="2">
        <v>7.5</v>
      </c>
      <c r="BO1742" s="2">
        <v>2.9</v>
      </c>
      <c r="BP1742" s="2">
        <f t="shared" si="54"/>
        <v>2.3161753153689473</v>
      </c>
      <c r="BQ1742" s="2">
        <f t="shared" si="55"/>
        <v>10.713725822575213</v>
      </c>
    </row>
    <row r="1743" spans="1:69" x14ac:dyDescent="0.2">
      <c r="A1743" s="2" t="s">
        <v>970</v>
      </c>
      <c r="B1743" s="2" t="s">
        <v>47</v>
      </c>
      <c r="C1743" s="2" t="s">
        <v>48</v>
      </c>
      <c r="D1743" s="2" t="s">
        <v>49</v>
      </c>
      <c r="E1743" s="2" t="s">
        <v>971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89</v>
      </c>
      <c r="L1743" s="6" t="s">
        <v>112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972</v>
      </c>
      <c r="R1743" s="2">
        <v>7985074.6270000003</v>
      </c>
      <c r="S1743" s="2">
        <v>0</v>
      </c>
      <c r="T1743" s="2" t="s">
        <v>83</v>
      </c>
      <c r="U1743" s="2" t="s">
        <v>84</v>
      </c>
      <c r="V1743" s="2" t="s">
        <v>56</v>
      </c>
      <c r="W1743" s="2" t="s">
        <v>83</v>
      </c>
      <c r="X1743" s="2" t="s">
        <v>85</v>
      </c>
      <c r="Y1743" s="2">
        <v>0.24026603738066099</v>
      </c>
      <c r="Z1743" s="2">
        <v>240.266037380661</v>
      </c>
      <c r="AA1743" s="2">
        <v>4.71035</v>
      </c>
      <c r="AB1743" s="2">
        <v>-74.030416666666696</v>
      </c>
      <c r="AC1743" s="2">
        <v>2570</v>
      </c>
      <c r="AD1743" s="2">
        <v>10</v>
      </c>
      <c r="AE1743" s="2" t="s">
        <v>59</v>
      </c>
      <c r="AF1743" s="2" t="s">
        <v>86</v>
      </c>
      <c r="AG1743" s="2" t="s">
        <v>61</v>
      </c>
      <c r="AH1743" s="2" t="s">
        <v>62</v>
      </c>
      <c r="AI1743" s="2" t="s">
        <v>87</v>
      </c>
      <c r="AJ1743" s="2">
        <v>2.5986998823663701</v>
      </c>
      <c r="AK1743" s="2">
        <v>0.55524256855285403</v>
      </c>
      <c r="AL1743" s="2">
        <v>0.41563471778544198</v>
      </c>
      <c r="AM1743" s="2">
        <v>0.31783408245766298</v>
      </c>
      <c r="AN1743" s="2">
        <v>3.6978675335583899</v>
      </c>
      <c r="AO1743" s="2">
        <v>0.35232688347004998</v>
      </c>
      <c r="AP1743" s="2">
        <v>0.35232688347004998</v>
      </c>
      <c r="AQ1743" s="2">
        <v>0</v>
      </c>
      <c r="AR1743" s="2">
        <v>0</v>
      </c>
      <c r="AS1743" s="2">
        <v>0</v>
      </c>
      <c r="AT1743" s="2">
        <v>29</v>
      </c>
      <c r="AU1743" s="2">
        <v>2</v>
      </c>
      <c r="AV1743" s="2">
        <v>101</v>
      </c>
      <c r="AW1743" s="2">
        <v>0</v>
      </c>
      <c r="AX1743" s="2">
        <v>0</v>
      </c>
      <c r="AY1743" s="2">
        <v>15.5</v>
      </c>
      <c r="AZ1743" s="2">
        <v>2.4</v>
      </c>
      <c r="BA1743" s="2">
        <v>10.9</v>
      </c>
      <c r="BB1743" s="2">
        <v>564</v>
      </c>
      <c r="BC1743" s="2">
        <v>68</v>
      </c>
      <c r="BD1743" s="2">
        <v>1.5</v>
      </c>
      <c r="BE1743" s="2">
        <v>135</v>
      </c>
      <c r="BF1743" s="2">
        <v>0</v>
      </c>
      <c r="BG1743" s="2">
        <v>162</v>
      </c>
      <c r="BH1743" s="2">
        <v>9.1</v>
      </c>
      <c r="BI1743" s="2">
        <v>9.1999999999999993</v>
      </c>
      <c r="BJ1743" s="2">
        <v>18.3</v>
      </c>
      <c r="BK1743" s="2">
        <v>0.34</v>
      </c>
      <c r="BL1743" s="2">
        <v>7.3</v>
      </c>
      <c r="BM1743" s="2">
        <v>0.9</v>
      </c>
      <c r="BN1743" s="2">
        <v>7.5</v>
      </c>
      <c r="BO1743" s="2">
        <v>2.9</v>
      </c>
      <c r="BP1743" s="2">
        <f t="shared" si="54"/>
        <v>2.3716254608100944</v>
      </c>
      <c r="BQ1743" s="2">
        <f t="shared" si="55"/>
        <v>10.837327275808159</v>
      </c>
    </row>
    <row r="1744" spans="1:69" x14ac:dyDescent="0.2">
      <c r="A1744" s="2" t="s">
        <v>3685</v>
      </c>
      <c r="B1744" s="2" t="s">
        <v>47</v>
      </c>
      <c r="C1744" s="2" t="s">
        <v>3273</v>
      </c>
      <c r="D1744" s="2" t="s">
        <v>49</v>
      </c>
      <c r="E1744" s="2" t="s">
        <v>316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89</v>
      </c>
      <c r="L1744" s="6" t="s">
        <v>112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3686</v>
      </c>
      <c r="R1744" s="2">
        <v>9749060.6060000006</v>
      </c>
      <c r="S1744" s="2">
        <v>0</v>
      </c>
      <c r="T1744" s="2" t="s">
        <v>83</v>
      </c>
      <c r="U1744" s="2" t="s">
        <v>84</v>
      </c>
      <c r="V1744" s="2" t="s">
        <v>56</v>
      </c>
      <c r="W1744" s="2" t="s">
        <v>83</v>
      </c>
      <c r="X1744" s="2" t="s">
        <v>85</v>
      </c>
      <c r="Y1744" s="2">
        <v>1.9687954027387899</v>
      </c>
      <c r="Z1744" s="2">
        <v>1968.79540273879</v>
      </c>
      <c r="AA1744" s="2">
        <v>4.71035</v>
      </c>
      <c r="AB1744" s="2">
        <v>-74.030416666666696</v>
      </c>
      <c r="AC1744" s="2">
        <v>2570</v>
      </c>
      <c r="AD1744" s="2">
        <v>10</v>
      </c>
      <c r="AE1744" s="2" t="s">
        <v>59</v>
      </c>
      <c r="AF1744" s="2" t="s">
        <v>86</v>
      </c>
      <c r="AG1744" s="2" t="s">
        <v>61</v>
      </c>
      <c r="AH1744" s="2" t="s">
        <v>62</v>
      </c>
      <c r="AI1744" s="2" t="s">
        <v>87</v>
      </c>
      <c r="AJ1744" s="2">
        <v>0.93345180573924602</v>
      </c>
      <c r="AK1744" s="2">
        <v>2.27436423353865</v>
      </c>
      <c r="AL1744" s="2">
        <v>1.0656232721188601</v>
      </c>
      <c r="AM1744" s="2">
        <v>8.8323844737440496E-2</v>
      </c>
      <c r="AN1744" s="2">
        <v>4.8520000430376404</v>
      </c>
      <c r="AO1744" s="2">
        <v>0.10064725515641</v>
      </c>
      <c r="AP1744" s="2">
        <v>0.10064725515641</v>
      </c>
      <c r="AQ1744" s="2">
        <v>0</v>
      </c>
      <c r="AR1744" s="2">
        <v>1</v>
      </c>
      <c r="AS1744" s="2">
        <v>0</v>
      </c>
      <c r="AT1744" s="2">
        <v>0</v>
      </c>
      <c r="AU1744" s="2">
        <v>0</v>
      </c>
      <c r="AV1744" s="2">
        <v>178</v>
      </c>
      <c r="AW1744" s="2">
        <v>0</v>
      </c>
      <c r="AX1744" s="2">
        <v>0</v>
      </c>
      <c r="AY1744" s="2">
        <v>15.5</v>
      </c>
      <c r="AZ1744" s="2">
        <v>2.4</v>
      </c>
      <c r="BA1744" s="2">
        <v>10.9</v>
      </c>
      <c r="BB1744" s="2">
        <v>564</v>
      </c>
      <c r="BC1744" s="2">
        <v>68</v>
      </c>
      <c r="BD1744" s="2">
        <v>1.5</v>
      </c>
      <c r="BE1744" s="2">
        <v>135</v>
      </c>
      <c r="BF1744" s="2">
        <v>0</v>
      </c>
      <c r="BG1744" s="2">
        <v>162</v>
      </c>
      <c r="BH1744" s="2">
        <v>9.1</v>
      </c>
      <c r="BI1744" s="2">
        <v>9.1999999999999993</v>
      </c>
      <c r="BJ1744" s="2">
        <v>18.3</v>
      </c>
      <c r="BK1744" s="2">
        <v>0.34</v>
      </c>
      <c r="BL1744" s="2">
        <v>7.3</v>
      </c>
      <c r="BM1744" s="2">
        <v>0.9</v>
      </c>
      <c r="BN1744" s="2">
        <v>7.5</v>
      </c>
      <c r="BO1744" s="2">
        <v>2.9</v>
      </c>
      <c r="BP1744" s="2">
        <f t="shared" si="54"/>
        <v>2.1771427781455412</v>
      </c>
      <c r="BQ1744" s="2">
        <f t="shared" si="55"/>
        <v>10.396941741338257</v>
      </c>
    </row>
    <row r="1745" spans="1:69" x14ac:dyDescent="0.2">
      <c r="A1745" s="2" t="s">
        <v>4047</v>
      </c>
      <c r="B1745" s="2" t="s">
        <v>47</v>
      </c>
      <c r="C1745" s="2" t="s">
        <v>3273</v>
      </c>
      <c r="D1745" s="2" t="s">
        <v>49</v>
      </c>
      <c r="E1745" s="2" t="s">
        <v>192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89</v>
      </c>
      <c r="L1745" s="6" t="s">
        <v>103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4048</v>
      </c>
      <c r="R1745" s="2">
        <v>8075757.5760000004</v>
      </c>
      <c r="S1745" s="2">
        <v>0</v>
      </c>
      <c r="T1745" s="2" t="s">
        <v>83</v>
      </c>
      <c r="U1745" s="2" t="s">
        <v>84</v>
      </c>
      <c r="V1745" s="2" t="s">
        <v>56</v>
      </c>
      <c r="W1745" s="2" t="s">
        <v>83</v>
      </c>
      <c r="X1745" s="2" t="s">
        <v>85</v>
      </c>
      <c r="Y1745" s="2">
        <v>1.76392752602729</v>
      </c>
      <c r="Z1745" s="2">
        <v>1763.92752602729</v>
      </c>
      <c r="AA1745" s="2">
        <v>4.71035</v>
      </c>
      <c r="AB1745" s="2">
        <v>-74.030416666666696</v>
      </c>
      <c r="AC1745" s="2">
        <v>2570</v>
      </c>
      <c r="AD1745" s="2">
        <v>10</v>
      </c>
      <c r="AE1745" s="2" t="s">
        <v>59</v>
      </c>
      <c r="AF1745" s="2" t="s">
        <v>86</v>
      </c>
      <c r="AG1745" s="2" t="s">
        <v>61</v>
      </c>
      <c r="AH1745" s="2" t="s">
        <v>62</v>
      </c>
      <c r="AI1745" s="2" t="s">
        <v>87</v>
      </c>
      <c r="AJ1745" s="2">
        <v>1.9441012921835701</v>
      </c>
      <c r="AK1745" s="2">
        <v>1.3366211406371</v>
      </c>
      <c r="AL1745" s="2">
        <v>0.81350709715824299</v>
      </c>
      <c r="AM1745" s="2">
        <v>6.0867358754098697E-2</v>
      </c>
      <c r="AN1745" s="2">
        <v>5.1439362534745499</v>
      </c>
      <c r="AO1745" s="2">
        <v>0.23312500943747999</v>
      </c>
      <c r="AP1745" s="2">
        <v>0.23312500943747999</v>
      </c>
      <c r="AQ1745" s="2">
        <v>0</v>
      </c>
      <c r="AR1745" s="2">
        <v>0</v>
      </c>
      <c r="AS1745" s="2">
        <v>0</v>
      </c>
      <c r="AT1745" s="2">
        <v>0</v>
      </c>
      <c r="AU1745" s="2">
        <v>2</v>
      </c>
      <c r="AV1745" s="2">
        <v>158</v>
      </c>
      <c r="AW1745" s="2">
        <v>0</v>
      </c>
      <c r="AX1745" s="2">
        <v>0</v>
      </c>
      <c r="AY1745" s="2">
        <v>15.5</v>
      </c>
      <c r="AZ1745" s="2">
        <v>2.4</v>
      </c>
      <c r="BA1745" s="2">
        <v>10.9</v>
      </c>
      <c r="BB1745" s="2">
        <v>564</v>
      </c>
      <c r="BC1745" s="2">
        <v>68</v>
      </c>
      <c r="BD1745" s="2">
        <v>1.5</v>
      </c>
      <c r="BE1745" s="2">
        <v>135</v>
      </c>
      <c r="BF1745" s="2">
        <v>0</v>
      </c>
      <c r="BG1745" s="2">
        <v>162</v>
      </c>
      <c r="BH1745" s="2">
        <v>9.1</v>
      </c>
      <c r="BI1745" s="2">
        <v>9.1999999999999993</v>
      </c>
      <c r="BJ1745" s="2">
        <v>18.3</v>
      </c>
      <c r="BK1745" s="2">
        <v>0.34</v>
      </c>
      <c r="BL1745" s="2">
        <v>7.3</v>
      </c>
      <c r="BM1745" s="2">
        <v>0.9</v>
      </c>
      <c r="BN1745" s="2">
        <v>7.5</v>
      </c>
      <c r="BO1745" s="2">
        <v>2.9</v>
      </c>
      <c r="BP1745" s="2">
        <f t="shared" si="54"/>
        <v>2.1993334227962089</v>
      </c>
      <c r="BQ1745" s="2">
        <f t="shared" si="55"/>
        <v>10.448187606770226</v>
      </c>
    </row>
    <row r="1746" spans="1:69" x14ac:dyDescent="0.2">
      <c r="A1746" s="2" t="s">
        <v>3851</v>
      </c>
      <c r="B1746" s="2" t="s">
        <v>47</v>
      </c>
      <c r="C1746" s="2" t="s">
        <v>3273</v>
      </c>
      <c r="D1746" s="2" t="s">
        <v>49</v>
      </c>
      <c r="E1746" s="2" t="s">
        <v>192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89</v>
      </c>
      <c r="L1746" s="6" t="s">
        <v>103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3852</v>
      </c>
      <c r="R1746" s="2">
        <v>8075757.5760000004</v>
      </c>
      <c r="S1746" s="2">
        <v>0</v>
      </c>
      <c r="T1746" s="2" t="s">
        <v>83</v>
      </c>
      <c r="U1746" s="2" t="s">
        <v>84</v>
      </c>
      <c r="V1746" s="2" t="s">
        <v>56</v>
      </c>
      <c r="W1746" s="2" t="s">
        <v>83</v>
      </c>
      <c r="X1746" s="2" t="s">
        <v>85</v>
      </c>
      <c r="Y1746" s="2">
        <v>1.7637389775560599</v>
      </c>
      <c r="Z1746" s="2">
        <v>1763.73897755606</v>
      </c>
      <c r="AA1746" s="2">
        <v>4.71035</v>
      </c>
      <c r="AB1746" s="2">
        <v>-74.030416666666696</v>
      </c>
      <c r="AC1746" s="2">
        <v>2570</v>
      </c>
      <c r="AD1746" s="2">
        <v>10</v>
      </c>
      <c r="AE1746" s="2" t="s">
        <v>59</v>
      </c>
      <c r="AF1746" s="2" t="s">
        <v>86</v>
      </c>
      <c r="AG1746" s="2" t="s">
        <v>61</v>
      </c>
      <c r="AH1746" s="2" t="s">
        <v>62</v>
      </c>
      <c r="AI1746" s="2" t="s">
        <v>87</v>
      </c>
      <c r="AJ1746" s="2">
        <v>1.94447384042542</v>
      </c>
      <c r="AK1746" s="2">
        <v>1.3362457420078999</v>
      </c>
      <c r="AL1746" s="2">
        <v>0.81322104319488797</v>
      </c>
      <c r="AM1746" s="2">
        <v>6.0877623542385503E-2</v>
      </c>
      <c r="AN1746" s="2">
        <v>5.1438325551473998</v>
      </c>
      <c r="AO1746" s="2">
        <v>0.23349968541764901</v>
      </c>
      <c r="AP1746" s="2">
        <v>0.23349968541764901</v>
      </c>
      <c r="AQ1746" s="2">
        <v>0</v>
      </c>
      <c r="AR1746" s="2">
        <v>0</v>
      </c>
      <c r="AS1746" s="2">
        <v>0</v>
      </c>
      <c r="AT1746" s="2">
        <v>0</v>
      </c>
      <c r="AU1746" s="2">
        <v>2</v>
      </c>
      <c r="AV1746" s="2">
        <v>158</v>
      </c>
      <c r="AW1746" s="2">
        <v>0</v>
      </c>
      <c r="AX1746" s="2">
        <v>0</v>
      </c>
      <c r="AY1746" s="2">
        <v>15.5</v>
      </c>
      <c r="AZ1746" s="2">
        <v>2.4</v>
      </c>
      <c r="BA1746" s="2">
        <v>10.9</v>
      </c>
      <c r="BB1746" s="2">
        <v>564</v>
      </c>
      <c r="BC1746" s="2">
        <v>68</v>
      </c>
      <c r="BD1746" s="2">
        <v>1.5</v>
      </c>
      <c r="BE1746" s="2">
        <v>135</v>
      </c>
      <c r="BF1746" s="2">
        <v>0</v>
      </c>
      <c r="BG1746" s="2">
        <v>162</v>
      </c>
      <c r="BH1746" s="2">
        <v>9.1</v>
      </c>
      <c r="BI1746" s="2">
        <v>9.1999999999999993</v>
      </c>
      <c r="BJ1746" s="2">
        <v>18.3</v>
      </c>
      <c r="BK1746" s="2">
        <v>0.34</v>
      </c>
      <c r="BL1746" s="2">
        <v>7.3</v>
      </c>
      <c r="BM1746" s="2">
        <v>0.9</v>
      </c>
      <c r="BN1746" s="2">
        <v>7.5</v>
      </c>
      <c r="BO1746" s="2">
        <v>2.9</v>
      </c>
      <c r="BP1746" s="2">
        <f t="shared" si="54"/>
        <v>2.1993539495992511</v>
      </c>
      <c r="BQ1746" s="2">
        <f t="shared" si="55"/>
        <v>10.448234886632411</v>
      </c>
    </row>
    <row r="1747" spans="1:69" x14ac:dyDescent="0.2">
      <c r="A1747" s="2" t="s">
        <v>3857</v>
      </c>
      <c r="B1747" s="2" t="s">
        <v>47</v>
      </c>
      <c r="C1747" s="2" t="s">
        <v>3273</v>
      </c>
      <c r="D1747" s="2" t="s">
        <v>49</v>
      </c>
      <c r="E1747" s="2" t="s">
        <v>184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89</v>
      </c>
      <c r="L1747" s="6" t="s">
        <v>90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3858</v>
      </c>
      <c r="R1747" s="2">
        <v>9621212.1209999993</v>
      </c>
      <c r="S1747" s="2">
        <v>0</v>
      </c>
      <c r="T1747" s="2" t="s">
        <v>83</v>
      </c>
      <c r="U1747" s="2" t="s">
        <v>84</v>
      </c>
      <c r="V1747" s="2" t="s">
        <v>56</v>
      </c>
      <c r="W1747" s="2" t="s">
        <v>83</v>
      </c>
      <c r="X1747" s="2" t="s">
        <v>85</v>
      </c>
      <c r="Y1747" s="2">
        <v>1.5297073647939501</v>
      </c>
      <c r="Z1747" s="2">
        <v>1529.7073647939501</v>
      </c>
      <c r="AA1747" s="2">
        <v>4.71035</v>
      </c>
      <c r="AB1747" s="2">
        <v>-74.030416666666696</v>
      </c>
      <c r="AC1747" s="2">
        <v>2570</v>
      </c>
      <c r="AD1747" s="2">
        <v>10</v>
      </c>
      <c r="AE1747" s="2" t="s">
        <v>59</v>
      </c>
      <c r="AF1747" s="2" t="s">
        <v>86</v>
      </c>
      <c r="AG1747" s="2" t="s">
        <v>61</v>
      </c>
      <c r="AH1747" s="2" t="s">
        <v>62</v>
      </c>
      <c r="AI1747" s="2" t="s">
        <v>87</v>
      </c>
      <c r="AJ1747" s="2">
        <v>1.24953262448724</v>
      </c>
      <c r="AK1747" s="2">
        <v>1.8511674586558</v>
      </c>
      <c r="AL1747" s="2">
        <v>1.3149838317954099</v>
      </c>
      <c r="AM1747" s="2">
        <v>8.6400997184623393E-2</v>
      </c>
      <c r="AN1747" s="2">
        <v>2.81437867601035</v>
      </c>
      <c r="AO1747" s="2">
        <v>9.7196787423361505E-2</v>
      </c>
      <c r="AP1747" s="2">
        <v>9.7196787423361505E-2</v>
      </c>
      <c r="AQ1747" s="2">
        <v>0</v>
      </c>
      <c r="AR1747" s="2">
        <v>0</v>
      </c>
      <c r="AS1747" s="2">
        <v>0</v>
      </c>
      <c r="AT1747" s="2">
        <v>0</v>
      </c>
      <c r="AU1747" s="2">
        <v>0</v>
      </c>
      <c r="AV1747" s="2">
        <v>33</v>
      </c>
      <c r="AW1747" s="2">
        <v>0</v>
      </c>
      <c r="AX1747" s="2">
        <v>0</v>
      </c>
      <c r="AY1747" s="2">
        <v>15.5</v>
      </c>
      <c r="AZ1747" s="2">
        <v>2.4</v>
      </c>
      <c r="BA1747" s="2">
        <v>10.9</v>
      </c>
      <c r="BB1747" s="2">
        <v>564</v>
      </c>
      <c r="BC1747" s="2">
        <v>68</v>
      </c>
      <c r="BD1747" s="2">
        <v>1.5</v>
      </c>
      <c r="BE1747" s="2">
        <v>135</v>
      </c>
      <c r="BF1747" s="2">
        <v>0</v>
      </c>
      <c r="BG1747" s="2">
        <v>162</v>
      </c>
      <c r="BH1747" s="2">
        <v>9.1</v>
      </c>
      <c r="BI1747" s="2">
        <v>9.1999999999999993</v>
      </c>
      <c r="BJ1747" s="2">
        <v>18.3</v>
      </c>
      <c r="BK1747" s="2">
        <v>0.34</v>
      </c>
      <c r="BL1747" s="2">
        <v>7.3</v>
      </c>
      <c r="BM1747" s="2">
        <v>0.9</v>
      </c>
      <c r="BN1747" s="2">
        <v>7.5</v>
      </c>
      <c r="BO1747" s="2">
        <v>2.9</v>
      </c>
      <c r="BP1747" s="2">
        <f t="shared" si="54"/>
        <v>2.2249806585559968</v>
      </c>
      <c r="BQ1747" s="2">
        <f t="shared" si="55"/>
        <v>10.507085220241768</v>
      </c>
    </row>
    <row r="1748" spans="1:69" x14ac:dyDescent="0.2">
      <c r="A1748" s="2" t="s">
        <v>4006</v>
      </c>
      <c r="B1748" s="2" t="s">
        <v>47</v>
      </c>
      <c r="C1748" s="2" t="s">
        <v>3273</v>
      </c>
      <c r="D1748" s="2" t="s">
        <v>49</v>
      </c>
      <c r="E1748" s="2" t="s">
        <v>81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89</v>
      </c>
      <c r="L1748" s="6" t="s">
        <v>103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4007</v>
      </c>
      <c r="R1748" s="2">
        <v>11369230.77</v>
      </c>
      <c r="S1748" s="2">
        <v>0</v>
      </c>
      <c r="T1748" s="2" t="s">
        <v>83</v>
      </c>
      <c r="U1748" s="2" t="s">
        <v>84</v>
      </c>
      <c r="V1748" s="2" t="s">
        <v>56</v>
      </c>
      <c r="W1748" s="2" t="s">
        <v>83</v>
      </c>
      <c r="X1748" s="2" t="s">
        <v>85</v>
      </c>
      <c r="Y1748" s="2">
        <v>2.57362796515454</v>
      </c>
      <c r="Z1748" s="2">
        <v>2573.6279651545401</v>
      </c>
      <c r="AA1748" s="2">
        <v>4.71035</v>
      </c>
      <c r="AB1748" s="2">
        <v>-74.030416666666696</v>
      </c>
      <c r="AC1748" s="2">
        <v>2570</v>
      </c>
      <c r="AD1748" s="2">
        <v>10</v>
      </c>
      <c r="AE1748" s="2" t="s">
        <v>59</v>
      </c>
      <c r="AF1748" s="2" t="s">
        <v>86</v>
      </c>
      <c r="AG1748" s="2" t="s">
        <v>61</v>
      </c>
      <c r="AH1748" s="2" t="s">
        <v>62</v>
      </c>
      <c r="AI1748" s="2" t="s">
        <v>87</v>
      </c>
      <c r="AJ1748" s="2">
        <v>0.219309359001226</v>
      </c>
      <c r="AK1748" s="2">
        <v>2.9985093506326899</v>
      </c>
      <c r="AL1748" s="2">
        <v>1.1715054106638001</v>
      </c>
      <c r="AM1748" s="2">
        <v>0.111010394283763</v>
      </c>
      <c r="AN1748" s="2">
        <v>4.6182104897953504</v>
      </c>
      <c r="AO1748" s="2">
        <v>0.128236234686469</v>
      </c>
      <c r="AP1748" s="2">
        <v>0.128236234686469</v>
      </c>
      <c r="AQ1748" s="2">
        <v>1</v>
      </c>
      <c r="AR1748" s="2">
        <v>2</v>
      </c>
      <c r="AS1748" s="2">
        <v>0</v>
      </c>
      <c r="AT1748" s="2">
        <v>0</v>
      </c>
      <c r="AU1748" s="2">
        <v>0</v>
      </c>
      <c r="AV1748" s="2">
        <v>145</v>
      </c>
      <c r="AW1748" s="2">
        <v>0</v>
      </c>
      <c r="AX1748" s="2">
        <v>0</v>
      </c>
      <c r="AY1748" s="2">
        <v>15.5</v>
      </c>
      <c r="AZ1748" s="2">
        <v>2.4</v>
      </c>
      <c r="BA1748" s="2">
        <v>10.9</v>
      </c>
      <c r="BB1748" s="2">
        <v>564</v>
      </c>
      <c r="BC1748" s="2">
        <v>68</v>
      </c>
      <c r="BD1748" s="2">
        <v>1.5</v>
      </c>
      <c r="BE1748" s="2">
        <v>135</v>
      </c>
      <c r="BF1748" s="2">
        <v>0</v>
      </c>
      <c r="BG1748" s="2">
        <v>162</v>
      </c>
      <c r="BH1748" s="2">
        <v>9.1</v>
      </c>
      <c r="BI1748" s="2">
        <v>9.1999999999999993</v>
      </c>
      <c r="BJ1748" s="2">
        <v>18.3</v>
      </c>
      <c r="BK1748" s="2">
        <v>0.34</v>
      </c>
      <c r="BL1748" s="2">
        <v>7.3</v>
      </c>
      <c r="BM1748" s="2">
        <v>0.9</v>
      </c>
      <c r="BN1748" s="2">
        <v>7.5</v>
      </c>
      <c r="BO1748" s="2">
        <v>2.9</v>
      </c>
      <c r="BP1748" s="2">
        <f t="shared" si="54"/>
        <v>2.1129269219856561</v>
      </c>
      <c r="BQ1748" s="2">
        <f t="shared" si="55"/>
        <v>10.247110035477567</v>
      </c>
    </row>
    <row r="1749" spans="1:69" x14ac:dyDescent="0.2">
      <c r="A1749" s="2" t="s">
        <v>4293</v>
      </c>
      <c r="B1749" s="2" t="s">
        <v>47</v>
      </c>
      <c r="C1749" s="2" t="s">
        <v>3273</v>
      </c>
      <c r="D1749" s="2" t="s">
        <v>49</v>
      </c>
      <c r="E1749" s="2" t="s">
        <v>81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89</v>
      </c>
      <c r="L1749" s="6" t="s">
        <v>141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4294</v>
      </c>
      <c r="R1749" s="2">
        <v>7076923.0769999996</v>
      </c>
      <c r="S1749" s="2">
        <v>0</v>
      </c>
      <c r="T1749" s="2" t="s">
        <v>83</v>
      </c>
      <c r="U1749" s="2" t="s">
        <v>84</v>
      </c>
      <c r="V1749" s="2" t="s">
        <v>56</v>
      </c>
      <c r="W1749" s="2" t="s">
        <v>83</v>
      </c>
      <c r="X1749" s="2" t="s">
        <v>85</v>
      </c>
      <c r="Y1749" s="2">
        <v>1.6736038457183999</v>
      </c>
      <c r="Z1749" s="2">
        <v>1673.6038457184</v>
      </c>
      <c r="AA1749" s="2">
        <v>4.71035</v>
      </c>
      <c r="AB1749" s="2">
        <v>-74.030416666666696</v>
      </c>
      <c r="AC1749" s="2">
        <v>2570</v>
      </c>
      <c r="AD1749" s="2">
        <v>10</v>
      </c>
      <c r="AE1749" s="2" t="s">
        <v>59</v>
      </c>
      <c r="AF1749" s="2" t="s">
        <v>86</v>
      </c>
      <c r="AG1749" s="2" t="s">
        <v>61</v>
      </c>
      <c r="AH1749" s="2" t="s">
        <v>62</v>
      </c>
      <c r="AI1749" s="2" t="s">
        <v>87</v>
      </c>
      <c r="AJ1749" s="2">
        <v>2.1047781836941102</v>
      </c>
      <c r="AK1749" s="2">
        <v>1.1719589284048899</v>
      </c>
      <c r="AL1749" s="2">
        <v>0.68528921011659805</v>
      </c>
      <c r="AM1749" s="2">
        <v>0.165946810946942</v>
      </c>
      <c r="AN1749" s="2">
        <v>5.0861641515978198</v>
      </c>
      <c r="AO1749" s="2">
        <v>0.15993812693321199</v>
      </c>
      <c r="AP1749" s="2">
        <v>0.15993812693321199</v>
      </c>
      <c r="AQ1749" s="2">
        <v>0</v>
      </c>
      <c r="AR1749" s="2">
        <v>0</v>
      </c>
      <c r="AS1749" s="2">
        <v>0</v>
      </c>
      <c r="AT1749" s="2">
        <v>0</v>
      </c>
      <c r="AU1749" s="2">
        <v>2</v>
      </c>
      <c r="AV1749" s="2">
        <v>150</v>
      </c>
      <c r="AW1749" s="2">
        <v>0</v>
      </c>
      <c r="AX1749" s="2">
        <v>0</v>
      </c>
      <c r="AY1749" s="2">
        <v>15.5</v>
      </c>
      <c r="AZ1749" s="2">
        <v>2.4</v>
      </c>
      <c r="BA1749" s="2">
        <v>10.9</v>
      </c>
      <c r="BB1749" s="2">
        <v>564</v>
      </c>
      <c r="BC1749" s="2">
        <v>68</v>
      </c>
      <c r="BD1749" s="2">
        <v>1.5</v>
      </c>
      <c r="BE1749" s="2">
        <v>135</v>
      </c>
      <c r="BF1749" s="2">
        <v>0</v>
      </c>
      <c r="BG1749" s="2">
        <v>162</v>
      </c>
      <c r="BH1749" s="2">
        <v>9.1</v>
      </c>
      <c r="BI1749" s="2">
        <v>9.1999999999999993</v>
      </c>
      <c r="BJ1749" s="2">
        <v>18.3</v>
      </c>
      <c r="BK1749" s="2">
        <v>0.34</v>
      </c>
      <c r="BL1749" s="2">
        <v>7.3</v>
      </c>
      <c r="BM1749" s="2">
        <v>0.9</v>
      </c>
      <c r="BN1749" s="2">
        <v>7.5</v>
      </c>
      <c r="BO1749" s="2">
        <v>2.9</v>
      </c>
      <c r="BP1749" s="2">
        <f t="shared" si="54"/>
        <v>2.2091887064790452</v>
      </c>
      <c r="BQ1749" s="2">
        <f t="shared" si="55"/>
        <v>10.470861423855222</v>
      </c>
    </row>
    <row r="1750" spans="1:69" x14ac:dyDescent="0.2">
      <c r="A1750" s="2" t="s">
        <v>372</v>
      </c>
      <c r="B1750" s="2" t="s">
        <v>47</v>
      </c>
      <c r="C1750" s="2" t="s">
        <v>48</v>
      </c>
      <c r="D1750" s="2" t="s">
        <v>49</v>
      </c>
      <c r="E1750" s="2" t="s">
        <v>373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89</v>
      </c>
      <c r="L1750" s="6" t="s">
        <v>112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374</v>
      </c>
      <c r="R1750" s="2">
        <v>9712509.7129999995</v>
      </c>
      <c r="S1750" s="2">
        <v>0</v>
      </c>
      <c r="T1750" s="2" t="s">
        <v>83</v>
      </c>
      <c r="U1750" s="2" t="s">
        <v>84</v>
      </c>
      <c r="V1750" s="2" t="s">
        <v>56</v>
      </c>
      <c r="W1750" s="2" t="s">
        <v>83</v>
      </c>
      <c r="X1750" s="2" t="s">
        <v>85</v>
      </c>
      <c r="Y1750" s="2">
        <v>1.40407550130124</v>
      </c>
      <c r="Z1750" s="2">
        <v>1404.0755013012399</v>
      </c>
      <c r="AA1750" s="2">
        <v>4.71035</v>
      </c>
      <c r="AB1750" s="2">
        <v>-74.030416666666696</v>
      </c>
      <c r="AC1750" s="2">
        <v>2570</v>
      </c>
      <c r="AD1750" s="2">
        <v>10</v>
      </c>
      <c r="AE1750" s="2" t="s">
        <v>59</v>
      </c>
      <c r="AF1750" s="2" t="s">
        <v>86</v>
      </c>
      <c r="AG1750" s="2" t="s">
        <v>61</v>
      </c>
      <c r="AH1750" s="2" t="s">
        <v>62</v>
      </c>
      <c r="AI1750" s="2" t="s">
        <v>87</v>
      </c>
      <c r="AJ1750" s="2">
        <v>2.0004533369717401</v>
      </c>
      <c r="AK1750" s="2">
        <v>1.09136033558659</v>
      </c>
      <c r="AL1750" s="2">
        <v>1.32275695328287</v>
      </c>
      <c r="AM1750" s="2">
        <v>0.23642437616838499</v>
      </c>
      <c r="AN1750" s="2">
        <v>2.1914844582696298</v>
      </c>
      <c r="AO1750" s="2">
        <v>9.7099978888481701E-3</v>
      </c>
      <c r="AP1750" s="2">
        <v>9.7099978888481701E-3</v>
      </c>
      <c r="AQ1750" s="2">
        <v>0</v>
      </c>
      <c r="AR1750" s="2">
        <v>0</v>
      </c>
      <c r="AS1750" s="2">
        <v>0</v>
      </c>
      <c r="AT1750" s="2">
        <v>0</v>
      </c>
      <c r="AU1750" s="2">
        <v>0</v>
      </c>
      <c r="AV1750" s="2">
        <v>43</v>
      </c>
      <c r="AW1750" s="2">
        <v>0</v>
      </c>
      <c r="AX1750" s="2">
        <v>0</v>
      </c>
      <c r="AY1750" s="2">
        <v>15.5</v>
      </c>
      <c r="AZ1750" s="2">
        <v>2.4</v>
      </c>
      <c r="BA1750" s="2">
        <v>10.9</v>
      </c>
      <c r="BB1750" s="2">
        <v>564</v>
      </c>
      <c r="BC1750" s="2">
        <v>68</v>
      </c>
      <c r="BD1750" s="2">
        <v>1.5</v>
      </c>
      <c r="BE1750" s="2">
        <v>135</v>
      </c>
      <c r="BF1750" s="2">
        <v>0</v>
      </c>
      <c r="BG1750" s="2">
        <v>162</v>
      </c>
      <c r="BH1750" s="2">
        <v>9.1</v>
      </c>
      <c r="BI1750" s="2">
        <v>9.1999999999999993</v>
      </c>
      <c r="BJ1750" s="2">
        <v>18.3</v>
      </c>
      <c r="BK1750" s="2">
        <v>0.34</v>
      </c>
      <c r="BL1750" s="2">
        <v>7.3</v>
      </c>
      <c r="BM1750" s="2">
        <v>0.9</v>
      </c>
      <c r="BN1750" s="2">
        <v>7.5</v>
      </c>
      <c r="BO1750" s="2">
        <v>2.9</v>
      </c>
      <c r="BP1750" s="2">
        <f t="shared" si="54"/>
        <v>2.2388604305150648</v>
      </c>
      <c r="BQ1750" s="2">
        <f t="shared" si="55"/>
        <v>10.538813622089579</v>
      </c>
    </row>
    <row r="1751" spans="1:69" x14ac:dyDescent="0.2">
      <c r="A1751" s="2" t="s">
        <v>3808</v>
      </c>
      <c r="B1751" s="2" t="s">
        <v>47</v>
      </c>
      <c r="C1751" s="2" t="s">
        <v>3273</v>
      </c>
      <c r="D1751" s="2" t="s">
        <v>49</v>
      </c>
      <c r="E1751" s="2" t="s">
        <v>447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89</v>
      </c>
      <c r="L1751" s="6" t="s">
        <v>112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3809</v>
      </c>
      <c r="R1751" s="2">
        <v>10156250</v>
      </c>
      <c r="S1751" s="2">
        <v>0</v>
      </c>
      <c r="T1751" s="2" t="s">
        <v>83</v>
      </c>
      <c r="U1751" s="2" t="s">
        <v>84</v>
      </c>
      <c r="V1751" s="2" t="s">
        <v>56</v>
      </c>
      <c r="W1751" s="2" t="s">
        <v>83</v>
      </c>
      <c r="X1751" s="2" t="s">
        <v>85</v>
      </c>
      <c r="Y1751" s="2">
        <v>3.78243250256349</v>
      </c>
      <c r="Z1751" s="2">
        <v>3782.4325025634898</v>
      </c>
      <c r="AA1751" s="2">
        <v>4.71035</v>
      </c>
      <c r="AB1751" s="2">
        <v>-74.030416666666696</v>
      </c>
      <c r="AC1751" s="2">
        <v>2570</v>
      </c>
      <c r="AD1751" s="2">
        <v>10</v>
      </c>
      <c r="AE1751" s="2" t="s">
        <v>59</v>
      </c>
      <c r="AF1751" s="2" t="s">
        <v>86</v>
      </c>
      <c r="AG1751" s="2" t="s">
        <v>61</v>
      </c>
      <c r="AH1751" s="2" t="s">
        <v>62</v>
      </c>
      <c r="AI1751" s="2" t="s">
        <v>87</v>
      </c>
      <c r="AJ1751" s="2">
        <v>0.50264639446748405</v>
      </c>
      <c r="AK1751" s="2">
        <v>2.44251531614182</v>
      </c>
      <c r="AL1751" s="2">
        <v>0.481202234828355</v>
      </c>
      <c r="AM1751" s="2">
        <v>9.3501132057014005E-3</v>
      </c>
      <c r="AN1751" s="2">
        <v>3.2503345256038201</v>
      </c>
      <c r="AO1751" s="2">
        <v>0.55523347444754301</v>
      </c>
      <c r="AP1751" s="2">
        <v>0.55523347444754301</v>
      </c>
      <c r="AQ1751" s="2">
        <v>0</v>
      </c>
      <c r="AR1751" s="2">
        <v>4</v>
      </c>
      <c r="AS1751" s="2">
        <v>0</v>
      </c>
      <c r="AT1751" s="2">
        <v>0</v>
      </c>
      <c r="AU1751" s="2">
        <v>5</v>
      </c>
      <c r="AV1751" s="2">
        <v>207</v>
      </c>
      <c r="AW1751" s="2">
        <v>0</v>
      </c>
      <c r="AX1751" s="2">
        <v>0</v>
      </c>
      <c r="AY1751" s="2">
        <v>15.5</v>
      </c>
      <c r="AZ1751" s="2">
        <v>2.4</v>
      </c>
      <c r="BA1751" s="2">
        <v>10.9</v>
      </c>
      <c r="BB1751" s="2">
        <v>564</v>
      </c>
      <c r="BC1751" s="2">
        <v>68</v>
      </c>
      <c r="BD1751" s="2">
        <v>1.5</v>
      </c>
      <c r="BE1751" s="2">
        <v>135</v>
      </c>
      <c r="BF1751" s="2">
        <v>0</v>
      </c>
      <c r="BG1751" s="2">
        <v>162</v>
      </c>
      <c r="BH1751" s="2">
        <v>9.1</v>
      </c>
      <c r="BI1751" s="2">
        <v>9.1999999999999993</v>
      </c>
      <c r="BJ1751" s="2">
        <v>18.3</v>
      </c>
      <c r="BK1751" s="2">
        <v>0.34</v>
      </c>
      <c r="BL1751" s="2">
        <v>7.3</v>
      </c>
      <c r="BM1751" s="2">
        <v>0.9</v>
      </c>
      <c r="BN1751" s="2">
        <v>7.5</v>
      </c>
      <c r="BO1751" s="2">
        <v>2.9</v>
      </c>
      <c r="BP1751" s="2">
        <f t="shared" si="54"/>
        <v>1.9902063532819803</v>
      </c>
      <c r="BQ1751" s="2">
        <f t="shared" si="55"/>
        <v>9.9540988311408398</v>
      </c>
    </row>
    <row r="1752" spans="1:69" x14ac:dyDescent="0.2">
      <c r="A1752" s="2" t="s">
        <v>3309</v>
      </c>
      <c r="B1752" s="2" t="s">
        <v>47</v>
      </c>
      <c r="C1752" s="2" t="s">
        <v>3273</v>
      </c>
      <c r="D1752" s="2" t="s">
        <v>49</v>
      </c>
      <c r="E1752" s="2" t="s">
        <v>447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89</v>
      </c>
      <c r="L1752" s="6" t="s">
        <v>103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3310</v>
      </c>
      <c r="R1752" s="2">
        <v>10000000</v>
      </c>
      <c r="S1752" s="2">
        <v>0</v>
      </c>
      <c r="T1752" s="2" t="s">
        <v>83</v>
      </c>
      <c r="U1752" s="2" t="s">
        <v>84</v>
      </c>
      <c r="V1752" s="2" t="s">
        <v>56</v>
      </c>
      <c r="W1752" s="2" t="s">
        <v>83</v>
      </c>
      <c r="X1752" s="2" t="s">
        <v>85</v>
      </c>
      <c r="Y1752" s="2">
        <v>3.5525109557693102</v>
      </c>
      <c r="Z1752" s="2">
        <v>3552.5109557693099</v>
      </c>
      <c r="AA1752" s="2">
        <v>4.71035</v>
      </c>
      <c r="AB1752" s="2">
        <v>-74.030416666666696</v>
      </c>
      <c r="AC1752" s="2">
        <v>2570</v>
      </c>
      <c r="AD1752" s="2">
        <v>10</v>
      </c>
      <c r="AE1752" s="2" t="s">
        <v>59</v>
      </c>
      <c r="AF1752" s="2" t="s">
        <v>86</v>
      </c>
      <c r="AG1752" s="2" t="s">
        <v>61</v>
      </c>
      <c r="AH1752" s="2" t="s">
        <v>62</v>
      </c>
      <c r="AI1752" s="2" t="s">
        <v>87</v>
      </c>
      <c r="AJ1752" s="2">
        <v>0.62997516436339596</v>
      </c>
      <c r="AK1752" s="2">
        <v>2.1526907022691901</v>
      </c>
      <c r="AL1752" s="2">
        <v>0.26009314089255098</v>
      </c>
      <c r="AM1752" s="2">
        <v>7.8407789626115401E-2</v>
      </c>
      <c r="AN1752" s="2">
        <v>3.53390296401493</v>
      </c>
      <c r="AO1752" s="2">
        <v>0.56104207029264297</v>
      </c>
      <c r="AP1752" s="2">
        <v>0.56104207029264297</v>
      </c>
      <c r="AQ1752" s="2">
        <v>0</v>
      </c>
      <c r="AR1752" s="2">
        <v>2</v>
      </c>
      <c r="AS1752" s="2">
        <v>0</v>
      </c>
      <c r="AT1752" s="2">
        <v>0</v>
      </c>
      <c r="AU1752" s="2">
        <v>5</v>
      </c>
      <c r="AV1752" s="2">
        <v>229</v>
      </c>
      <c r="AW1752" s="2">
        <v>0</v>
      </c>
      <c r="AX1752" s="2">
        <v>0</v>
      </c>
      <c r="AY1752" s="2">
        <v>15.5</v>
      </c>
      <c r="AZ1752" s="2">
        <v>2.4</v>
      </c>
      <c r="BA1752" s="2">
        <v>10.9</v>
      </c>
      <c r="BB1752" s="2">
        <v>564</v>
      </c>
      <c r="BC1752" s="2">
        <v>68</v>
      </c>
      <c r="BD1752" s="2">
        <v>1.5</v>
      </c>
      <c r="BE1752" s="2">
        <v>135</v>
      </c>
      <c r="BF1752" s="2">
        <v>0</v>
      </c>
      <c r="BG1752" s="2">
        <v>162</v>
      </c>
      <c r="BH1752" s="2">
        <v>9.1</v>
      </c>
      <c r="BI1752" s="2">
        <v>9.1999999999999993</v>
      </c>
      <c r="BJ1752" s="2">
        <v>18.3</v>
      </c>
      <c r="BK1752" s="2">
        <v>0.34</v>
      </c>
      <c r="BL1752" s="2">
        <v>7.3</v>
      </c>
      <c r="BM1752" s="2">
        <v>0.9</v>
      </c>
      <c r="BN1752" s="2">
        <v>7.5</v>
      </c>
      <c r="BO1752" s="2">
        <v>2.9</v>
      </c>
      <c r="BP1752" s="2">
        <f t="shared" si="54"/>
        <v>2.0129865096955464</v>
      </c>
      <c r="BQ1752" s="2">
        <f t="shared" si="55"/>
        <v>10.009178542732489</v>
      </c>
    </row>
    <row r="1753" spans="1:69" x14ac:dyDescent="0.2">
      <c r="A1753" s="2" t="s">
        <v>4428</v>
      </c>
      <c r="B1753" s="2" t="s">
        <v>47</v>
      </c>
      <c r="C1753" s="2" t="s">
        <v>3273</v>
      </c>
      <c r="D1753" s="2" t="s">
        <v>49</v>
      </c>
      <c r="E1753" s="2" t="s">
        <v>1011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89</v>
      </c>
      <c r="L1753" s="6" t="s">
        <v>90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4429</v>
      </c>
      <c r="R1753" s="2">
        <v>8906250</v>
      </c>
      <c r="S1753" s="2">
        <v>0</v>
      </c>
      <c r="T1753" s="2" t="s">
        <v>83</v>
      </c>
      <c r="U1753" s="2" t="s">
        <v>84</v>
      </c>
      <c r="V1753" s="2" t="s">
        <v>56</v>
      </c>
      <c r="W1753" s="2" t="s">
        <v>83</v>
      </c>
      <c r="X1753" s="2" t="s">
        <v>85</v>
      </c>
      <c r="Y1753" s="2">
        <v>2.4384032250499401</v>
      </c>
      <c r="Z1753" s="2">
        <v>2438.4032250499399</v>
      </c>
      <c r="AA1753" s="2">
        <v>4.71035</v>
      </c>
      <c r="AB1753" s="2">
        <v>-74.030416666666696</v>
      </c>
      <c r="AC1753" s="2">
        <v>2570</v>
      </c>
      <c r="AD1753" s="2">
        <v>10</v>
      </c>
      <c r="AE1753" s="2" t="s">
        <v>59</v>
      </c>
      <c r="AF1753" s="2" t="s">
        <v>86</v>
      </c>
      <c r="AG1753" s="2" t="s">
        <v>61</v>
      </c>
      <c r="AH1753" s="2" t="s">
        <v>62</v>
      </c>
      <c r="AI1753" s="2" t="s">
        <v>87</v>
      </c>
      <c r="AJ1753" s="2">
        <v>0.45115127747047001</v>
      </c>
      <c r="AK1753" s="2">
        <v>2.7136473914754502</v>
      </c>
      <c r="AL1753" s="2">
        <v>1.3075688856596901</v>
      </c>
      <c r="AM1753" s="2">
        <v>0.129621914528147</v>
      </c>
      <c r="AN1753" s="2">
        <v>3.0297767032846998</v>
      </c>
      <c r="AO1753" s="2">
        <v>5.00283951342059E-2</v>
      </c>
      <c r="AP1753" s="2">
        <v>5.00283951342059E-2</v>
      </c>
      <c r="AQ1753" s="2">
        <v>1</v>
      </c>
      <c r="AR1753" s="2">
        <v>3</v>
      </c>
      <c r="AS1753" s="2">
        <v>0</v>
      </c>
      <c r="AT1753" s="2">
        <v>0</v>
      </c>
      <c r="AU1753" s="2">
        <v>0</v>
      </c>
      <c r="AV1753" s="2">
        <v>43</v>
      </c>
      <c r="AW1753" s="2">
        <v>0</v>
      </c>
      <c r="AX1753" s="2">
        <v>0</v>
      </c>
      <c r="AY1753" s="2">
        <v>15.5</v>
      </c>
      <c r="AZ1753" s="2">
        <v>2.4</v>
      </c>
      <c r="BA1753" s="2">
        <v>10.9</v>
      </c>
      <c r="BB1753" s="2">
        <v>564</v>
      </c>
      <c r="BC1753" s="2">
        <v>68</v>
      </c>
      <c r="BD1753" s="2">
        <v>1.5</v>
      </c>
      <c r="BE1753" s="2">
        <v>135</v>
      </c>
      <c r="BF1753" s="2">
        <v>0</v>
      </c>
      <c r="BG1753" s="2">
        <v>162</v>
      </c>
      <c r="BH1753" s="2">
        <v>9.1</v>
      </c>
      <c r="BI1753" s="2">
        <v>9.1999999999999993</v>
      </c>
      <c r="BJ1753" s="2">
        <v>18.3</v>
      </c>
      <c r="BK1753" s="2">
        <v>0.34</v>
      </c>
      <c r="BL1753" s="2">
        <v>7.3</v>
      </c>
      <c r="BM1753" s="2">
        <v>0.9</v>
      </c>
      <c r="BN1753" s="2">
        <v>7.5</v>
      </c>
      <c r="BO1753" s="2">
        <v>2.9</v>
      </c>
      <c r="BP1753" s="2">
        <f t="shared" si="54"/>
        <v>2.1271175019070863</v>
      </c>
      <c r="BQ1753" s="2">
        <f t="shared" si="55"/>
        <v>10.28041996515284</v>
      </c>
    </row>
    <row r="1754" spans="1:69" x14ac:dyDescent="0.2">
      <c r="A1754" s="2" t="s">
        <v>792</v>
      </c>
      <c r="B1754" s="2" t="s">
        <v>47</v>
      </c>
      <c r="C1754" s="2" t="s">
        <v>48</v>
      </c>
      <c r="D1754" s="2" t="s">
        <v>49</v>
      </c>
      <c r="E1754" s="2" t="s">
        <v>311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89</v>
      </c>
      <c r="L1754" s="6" t="s">
        <v>103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793</v>
      </c>
      <c r="R1754" s="2">
        <v>6171875</v>
      </c>
      <c r="S1754" s="2">
        <v>0</v>
      </c>
      <c r="T1754" s="2" t="s">
        <v>83</v>
      </c>
      <c r="U1754" s="2" t="s">
        <v>84</v>
      </c>
      <c r="V1754" s="2" t="s">
        <v>56</v>
      </c>
      <c r="W1754" s="2" t="s">
        <v>83</v>
      </c>
      <c r="X1754" s="2" t="s">
        <v>85</v>
      </c>
      <c r="Y1754" s="2">
        <v>1.9929391332712201</v>
      </c>
      <c r="Z1754" s="2">
        <v>1992.93913327122</v>
      </c>
      <c r="AA1754" s="2">
        <v>4.71035</v>
      </c>
      <c r="AB1754" s="2">
        <v>-74.030416666666696</v>
      </c>
      <c r="AC1754" s="2">
        <v>2570</v>
      </c>
      <c r="AD1754" s="2">
        <v>10</v>
      </c>
      <c r="AE1754" s="2" t="s">
        <v>59</v>
      </c>
      <c r="AF1754" s="2" t="s">
        <v>86</v>
      </c>
      <c r="AG1754" s="2" t="s">
        <v>61</v>
      </c>
      <c r="AH1754" s="2" t="s">
        <v>62</v>
      </c>
      <c r="AI1754" s="2" t="s">
        <v>87</v>
      </c>
      <c r="AJ1754" s="2">
        <v>2.4670544301298598</v>
      </c>
      <c r="AK1754" s="2">
        <v>0.70382183496654205</v>
      </c>
      <c r="AL1754" s="2">
        <v>1.4574793744129999</v>
      </c>
      <c r="AM1754" s="2">
        <v>0.35990075588348502</v>
      </c>
      <c r="AN1754" s="2">
        <v>1.49435070585066</v>
      </c>
      <c r="AO1754" s="2">
        <v>0.20911356941301701</v>
      </c>
      <c r="AP1754" s="2">
        <v>0.20911356941301701</v>
      </c>
      <c r="AQ1754" s="2">
        <v>0</v>
      </c>
      <c r="AR1754" s="2">
        <v>0</v>
      </c>
      <c r="AS1754" s="2">
        <v>0</v>
      </c>
      <c r="AT1754" s="2">
        <v>23</v>
      </c>
      <c r="AU1754" s="2">
        <v>0</v>
      </c>
      <c r="AV1754" s="2">
        <v>8</v>
      </c>
      <c r="AW1754" s="2">
        <v>0</v>
      </c>
      <c r="AX1754" s="2">
        <v>0</v>
      </c>
      <c r="AY1754" s="2">
        <v>15.5</v>
      </c>
      <c r="AZ1754" s="2">
        <v>2.4</v>
      </c>
      <c r="BA1754" s="2">
        <v>10.9</v>
      </c>
      <c r="BB1754" s="2">
        <v>564</v>
      </c>
      <c r="BC1754" s="2">
        <v>68</v>
      </c>
      <c r="BD1754" s="2">
        <v>1.5</v>
      </c>
      <c r="BE1754" s="2">
        <v>135</v>
      </c>
      <c r="BF1754" s="2">
        <v>0</v>
      </c>
      <c r="BG1754" s="2">
        <v>162</v>
      </c>
      <c r="BH1754" s="2">
        <v>9.1</v>
      </c>
      <c r="BI1754" s="2">
        <v>9.1999999999999993</v>
      </c>
      <c r="BJ1754" s="2">
        <v>18.3</v>
      </c>
      <c r="BK1754" s="2">
        <v>0.34</v>
      </c>
      <c r="BL1754" s="2">
        <v>7.3</v>
      </c>
      <c r="BM1754" s="2">
        <v>0.9</v>
      </c>
      <c r="BN1754" s="2">
        <v>7.5</v>
      </c>
      <c r="BO1754" s="2">
        <v>2.9</v>
      </c>
      <c r="BP1754" s="2">
        <f t="shared" si="54"/>
        <v>2.1745423970777953</v>
      </c>
      <c r="BQ1754" s="2">
        <f t="shared" si="55"/>
        <v>10.390918983414565</v>
      </c>
    </row>
    <row r="1755" spans="1:69" x14ac:dyDescent="0.2">
      <c r="A1755" s="2" t="s">
        <v>1894</v>
      </c>
      <c r="B1755" s="2" t="s">
        <v>47</v>
      </c>
      <c r="C1755" s="2" t="s">
        <v>48</v>
      </c>
      <c r="D1755" s="2" t="s">
        <v>49</v>
      </c>
      <c r="E1755" s="2" t="s">
        <v>971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89</v>
      </c>
      <c r="L1755" s="6" t="s">
        <v>141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1895</v>
      </c>
      <c r="R1755" s="2">
        <v>6531250</v>
      </c>
      <c r="S1755" s="2">
        <v>0</v>
      </c>
      <c r="T1755" s="2" t="s">
        <v>83</v>
      </c>
      <c r="U1755" s="2" t="s">
        <v>84</v>
      </c>
      <c r="V1755" s="2" t="s">
        <v>56</v>
      </c>
      <c r="W1755" s="2" t="s">
        <v>83</v>
      </c>
      <c r="X1755" s="2" t="s">
        <v>85</v>
      </c>
      <c r="Y1755" s="2">
        <v>0.280960108704219</v>
      </c>
      <c r="Z1755" s="2">
        <v>280.96010870421901</v>
      </c>
      <c r="AA1755" s="2">
        <v>4.71035</v>
      </c>
      <c r="AB1755" s="2">
        <v>-74.030416666666696</v>
      </c>
      <c r="AC1755" s="2">
        <v>2570</v>
      </c>
      <c r="AD1755" s="2">
        <v>10</v>
      </c>
      <c r="AE1755" s="2" t="s">
        <v>59</v>
      </c>
      <c r="AF1755" s="2" t="s">
        <v>86</v>
      </c>
      <c r="AG1755" s="2" t="s">
        <v>61</v>
      </c>
      <c r="AH1755" s="2" t="s">
        <v>62</v>
      </c>
      <c r="AI1755" s="2" t="s">
        <v>87</v>
      </c>
      <c r="AJ1755" s="2">
        <v>2.3706857918812201</v>
      </c>
      <c r="AK1755" s="2">
        <v>0.780216593205453</v>
      </c>
      <c r="AL1755" s="2">
        <v>0.26685352829366299</v>
      </c>
      <c r="AM1755" s="2">
        <v>0.22316809955991401</v>
      </c>
      <c r="AN1755" s="2">
        <v>3.70567577957581</v>
      </c>
      <c r="AO1755" s="2">
        <v>0.174531668758103</v>
      </c>
      <c r="AP1755" s="2">
        <v>0.174531668758103</v>
      </c>
      <c r="AQ1755" s="2">
        <v>0</v>
      </c>
      <c r="AR1755" s="2">
        <v>0</v>
      </c>
      <c r="AS1755" s="2">
        <v>0</v>
      </c>
      <c r="AT1755" s="2">
        <v>15</v>
      </c>
      <c r="AU1755" s="2">
        <v>2</v>
      </c>
      <c r="AV1755" s="2">
        <v>104</v>
      </c>
      <c r="AW1755" s="2">
        <v>0</v>
      </c>
      <c r="AX1755" s="2">
        <v>0</v>
      </c>
      <c r="AY1755" s="2">
        <v>15.5</v>
      </c>
      <c r="AZ1755" s="2">
        <v>2.4</v>
      </c>
      <c r="BA1755" s="2">
        <v>10.9</v>
      </c>
      <c r="BB1755" s="2">
        <v>564</v>
      </c>
      <c r="BC1755" s="2">
        <v>68</v>
      </c>
      <c r="BD1755" s="2">
        <v>1.5</v>
      </c>
      <c r="BE1755" s="2">
        <v>135</v>
      </c>
      <c r="BF1755" s="2">
        <v>0</v>
      </c>
      <c r="BG1755" s="2">
        <v>162</v>
      </c>
      <c r="BH1755" s="2">
        <v>9.1</v>
      </c>
      <c r="BI1755" s="2">
        <v>9.1999999999999993</v>
      </c>
      <c r="BJ1755" s="2">
        <v>18.3</v>
      </c>
      <c r="BK1755" s="2">
        <v>0.34</v>
      </c>
      <c r="BL1755" s="2">
        <v>7.3</v>
      </c>
      <c r="BM1755" s="2">
        <v>0.9</v>
      </c>
      <c r="BN1755" s="2">
        <v>7.5</v>
      </c>
      <c r="BO1755" s="2">
        <v>2.9</v>
      </c>
      <c r="BP1755" s="2">
        <f t="shared" si="54"/>
        <v>2.3668529699380016</v>
      </c>
      <c r="BQ1755" s="2">
        <f t="shared" si="55"/>
        <v>10.826748083515106</v>
      </c>
    </row>
    <row r="1756" spans="1:69" x14ac:dyDescent="0.2">
      <c r="A1756" s="2" t="s">
        <v>420</v>
      </c>
      <c r="B1756" s="2" t="s">
        <v>47</v>
      </c>
      <c r="C1756" s="2" t="s">
        <v>48</v>
      </c>
      <c r="D1756" s="2" t="s">
        <v>49</v>
      </c>
      <c r="E1756" s="2" t="s">
        <v>421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89</v>
      </c>
      <c r="L1756" s="6" t="s">
        <v>112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422</v>
      </c>
      <c r="R1756" s="2">
        <v>8888888.8890000004</v>
      </c>
      <c r="S1756" s="2">
        <v>0</v>
      </c>
      <c r="T1756" s="2" t="s">
        <v>83</v>
      </c>
      <c r="U1756" s="2" t="s">
        <v>84</v>
      </c>
      <c r="V1756" s="2" t="s">
        <v>56</v>
      </c>
      <c r="W1756" s="2" t="s">
        <v>83</v>
      </c>
      <c r="X1756" s="2" t="s">
        <v>85</v>
      </c>
      <c r="Y1756" s="2">
        <v>1.4009886102518501</v>
      </c>
      <c r="Z1756" s="2">
        <v>1400.9886102518501</v>
      </c>
      <c r="AA1756" s="2">
        <v>4.71035</v>
      </c>
      <c r="AB1756" s="2">
        <v>-74.030416666666696</v>
      </c>
      <c r="AC1756" s="2">
        <v>2570</v>
      </c>
      <c r="AD1756" s="2">
        <v>10</v>
      </c>
      <c r="AE1756" s="2" t="s">
        <v>59</v>
      </c>
      <c r="AF1756" s="2" t="s">
        <v>86</v>
      </c>
      <c r="AG1756" s="2" t="s">
        <v>61</v>
      </c>
      <c r="AH1756" s="2" t="s">
        <v>62</v>
      </c>
      <c r="AI1756" s="2" t="s">
        <v>87</v>
      </c>
      <c r="AJ1756" s="2">
        <v>1.2580654351190901</v>
      </c>
      <c r="AK1756" s="2">
        <v>1.8562545453772601</v>
      </c>
      <c r="AL1756" s="2">
        <v>1.1652340890930499</v>
      </c>
      <c r="AM1756" s="2">
        <v>0.24906873933819301</v>
      </c>
      <c r="AN1756" s="2">
        <v>3.0477357211354899</v>
      </c>
      <c r="AO1756" s="2">
        <v>0.34157867666839598</v>
      </c>
      <c r="AP1756" s="2">
        <v>0.34157867666839598</v>
      </c>
      <c r="AQ1756" s="2">
        <v>0</v>
      </c>
      <c r="AR1756" s="2">
        <v>0</v>
      </c>
      <c r="AS1756" s="2">
        <v>0</v>
      </c>
      <c r="AT1756" s="2">
        <v>0</v>
      </c>
      <c r="AU1756" s="2">
        <v>0</v>
      </c>
      <c r="AV1756" s="2">
        <v>46</v>
      </c>
      <c r="AW1756" s="2">
        <v>0</v>
      </c>
      <c r="AX1756" s="2">
        <v>0</v>
      </c>
      <c r="AY1756" s="2">
        <v>15.5</v>
      </c>
      <c r="AZ1756" s="2">
        <v>2.4</v>
      </c>
      <c r="BA1756" s="2">
        <v>10.9</v>
      </c>
      <c r="BB1756" s="2">
        <v>564</v>
      </c>
      <c r="BC1756" s="2">
        <v>68</v>
      </c>
      <c r="BD1756" s="2">
        <v>1.5</v>
      </c>
      <c r="BE1756" s="2">
        <v>135</v>
      </c>
      <c r="BF1756" s="2">
        <v>0</v>
      </c>
      <c r="BG1756" s="2">
        <v>162</v>
      </c>
      <c r="BH1756" s="2">
        <v>9.1</v>
      </c>
      <c r="BI1756" s="2">
        <v>9.1999999999999993</v>
      </c>
      <c r="BJ1756" s="2">
        <v>18.3</v>
      </c>
      <c r="BK1756" s="2">
        <v>0.34</v>
      </c>
      <c r="BL1756" s="2">
        <v>7.3</v>
      </c>
      <c r="BM1756" s="2">
        <v>0.9</v>
      </c>
      <c r="BN1756" s="2">
        <v>7.5</v>
      </c>
      <c r="BO1756" s="2">
        <v>2.9</v>
      </c>
      <c r="BP1756" s="2">
        <f t="shared" si="54"/>
        <v>2.2392025570051297</v>
      </c>
      <c r="BQ1756" s="2">
        <f t="shared" si="55"/>
        <v>10.539594423078782</v>
      </c>
    </row>
    <row r="1757" spans="1:69" x14ac:dyDescent="0.2">
      <c r="A1757" s="2" t="s">
        <v>4284</v>
      </c>
      <c r="B1757" s="2" t="s">
        <v>47</v>
      </c>
      <c r="C1757" s="2" t="s">
        <v>3273</v>
      </c>
      <c r="D1757" s="2" t="s">
        <v>49</v>
      </c>
      <c r="E1757" s="2" t="s">
        <v>214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89</v>
      </c>
      <c r="L1757" s="6" t="s">
        <v>103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4285</v>
      </c>
      <c r="R1757" s="2">
        <v>7500000</v>
      </c>
      <c r="S1757" s="2">
        <v>0</v>
      </c>
      <c r="T1757" s="2" t="s">
        <v>83</v>
      </c>
      <c r="U1757" s="2" t="s">
        <v>84</v>
      </c>
      <c r="V1757" s="2" t="s">
        <v>56</v>
      </c>
      <c r="W1757" s="2" t="s">
        <v>83</v>
      </c>
      <c r="X1757" s="2" t="s">
        <v>85</v>
      </c>
      <c r="Y1757" s="2">
        <v>1.25517287540246</v>
      </c>
      <c r="Z1757" s="2">
        <v>1255.17287540246</v>
      </c>
      <c r="AA1757" s="2">
        <v>4.71035</v>
      </c>
      <c r="AB1757" s="2">
        <v>-74.030416666666696</v>
      </c>
      <c r="AC1757" s="2">
        <v>2570</v>
      </c>
      <c r="AD1757" s="2">
        <v>10</v>
      </c>
      <c r="AE1757" s="2" t="s">
        <v>59</v>
      </c>
      <c r="AF1757" s="2" t="s">
        <v>86</v>
      </c>
      <c r="AG1757" s="2" t="s">
        <v>61</v>
      </c>
      <c r="AH1757" s="2" t="s">
        <v>62</v>
      </c>
      <c r="AI1757" s="2" t="s">
        <v>87</v>
      </c>
      <c r="AJ1757" s="2">
        <v>1.4765106054858399</v>
      </c>
      <c r="AK1757" s="2">
        <v>1.7755446049766199</v>
      </c>
      <c r="AL1757" s="2">
        <v>1.0307541173691099</v>
      </c>
      <c r="AM1757" s="2">
        <v>0.115674055818224</v>
      </c>
      <c r="AN1757" s="2">
        <v>4.1894188307290099</v>
      </c>
      <c r="AO1757" s="2">
        <v>0.22367940653292001</v>
      </c>
      <c r="AP1757" s="2">
        <v>0.22367940653292001</v>
      </c>
      <c r="AQ1757" s="2">
        <v>0</v>
      </c>
      <c r="AR1757" s="2">
        <v>0</v>
      </c>
      <c r="AS1757" s="2">
        <v>0</v>
      </c>
      <c r="AT1757" s="2">
        <v>0</v>
      </c>
      <c r="AU1757" s="2">
        <v>0</v>
      </c>
      <c r="AV1757" s="2">
        <v>75</v>
      </c>
      <c r="AW1757" s="2">
        <v>0</v>
      </c>
      <c r="AX1757" s="2">
        <v>0</v>
      </c>
      <c r="AY1757" s="2">
        <v>15.5</v>
      </c>
      <c r="AZ1757" s="2">
        <v>2.4</v>
      </c>
      <c r="BA1757" s="2">
        <v>10.9</v>
      </c>
      <c r="BB1757" s="2">
        <v>564</v>
      </c>
      <c r="BC1757" s="2">
        <v>68</v>
      </c>
      <c r="BD1757" s="2">
        <v>1.5</v>
      </c>
      <c r="BE1757" s="2">
        <v>135</v>
      </c>
      <c r="BF1757" s="2">
        <v>0</v>
      </c>
      <c r="BG1757" s="2">
        <v>162</v>
      </c>
      <c r="BH1757" s="2">
        <v>9.1</v>
      </c>
      <c r="BI1757" s="2">
        <v>9.1999999999999993</v>
      </c>
      <c r="BJ1757" s="2">
        <v>18.3</v>
      </c>
      <c r="BK1757" s="2">
        <v>0.34</v>
      </c>
      <c r="BL1757" s="2">
        <v>7.3</v>
      </c>
      <c r="BM1757" s="2">
        <v>0.9</v>
      </c>
      <c r="BN1757" s="2">
        <v>7.5</v>
      </c>
      <c r="BO1757" s="2">
        <v>2.9</v>
      </c>
      <c r="BP1757" s="2">
        <f t="shared" si="54"/>
        <v>2.2554233191644726</v>
      </c>
      <c r="BQ1757" s="2">
        <f t="shared" si="55"/>
        <v>10.576543166807584</v>
      </c>
    </row>
    <row r="1758" spans="1:69" x14ac:dyDescent="0.2">
      <c r="A1758" s="2" t="s">
        <v>4280</v>
      </c>
      <c r="B1758" s="2" t="s">
        <v>47</v>
      </c>
      <c r="C1758" s="2" t="s">
        <v>3273</v>
      </c>
      <c r="D1758" s="2" t="s">
        <v>49</v>
      </c>
      <c r="E1758" s="2" t="s">
        <v>189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89</v>
      </c>
      <c r="L1758" s="6" t="s">
        <v>90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4281</v>
      </c>
      <c r="R1758" s="2">
        <v>11000000</v>
      </c>
      <c r="S1758" s="2">
        <v>0</v>
      </c>
      <c r="T1758" s="2" t="s">
        <v>83</v>
      </c>
      <c r="U1758" s="2" t="s">
        <v>84</v>
      </c>
      <c r="V1758" s="2" t="s">
        <v>56</v>
      </c>
      <c r="W1758" s="2" t="s">
        <v>83</v>
      </c>
      <c r="X1758" s="2" t="s">
        <v>85</v>
      </c>
      <c r="Y1758" s="2">
        <v>2.8474329906596099</v>
      </c>
      <c r="Z1758" s="2">
        <v>2847.4329906596099</v>
      </c>
      <c r="AA1758" s="2">
        <v>4.71035</v>
      </c>
      <c r="AB1758" s="2">
        <v>-74.030416666666696</v>
      </c>
      <c r="AC1758" s="2">
        <v>2570</v>
      </c>
      <c r="AD1758" s="2">
        <v>10</v>
      </c>
      <c r="AE1758" s="2" t="s">
        <v>59</v>
      </c>
      <c r="AF1758" s="2" t="s">
        <v>86</v>
      </c>
      <c r="AG1758" s="2" t="s">
        <v>61</v>
      </c>
      <c r="AH1758" s="2" t="s">
        <v>62</v>
      </c>
      <c r="AI1758" s="2" t="s">
        <v>87</v>
      </c>
      <c r="AJ1758" s="2">
        <v>0.332799032929046</v>
      </c>
      <c r="AK1758" s="2">
        <v>2.73085405645431</v>
      </c>
      <c r="AL1758" s="2">
        <v>0.52104123698244398</v>
      </c>
      <c r="AM1758" s="2">
        <v>0.22187603289503299</v>
      </c>
      <c r="AN1758" s="2">
        <v>4.1633089769206304</v>
      </c>
      <c r="AO1758" s="2">
        <v>0.32687301100944799</v>
      </c>
      <c r="AP1758" s="2">
        <v>0.32687301100944799</v>
      </c>
      <c r="AQ1758" s="2">
        <v>1</v>
      </c>
      <c r="AR1758" s="2">
        <v>3</v>
      </c>
      <c r="AS1758" s="2">
        <v>0</v>
      </c>
      <c r="AT1758" s="2">
        <v>0</v>
      </c>
      <c r="AU1758" s="2">
        <v>1</v>
      </c>
      <c r="AV1758" s="2">
        <v>157</v>
      </c>
      <c r="AW1758" s="2">
        <v>0</v>
      </c>
      <c r="AX1758" s="2">
        <v>0</v>
      </c>
      <c r="AY1758" s="2">
        <v>15.5</v>
      </c>
      <c r="AZ1758" s="2">
        <v>2.4</v>
      </c>
      <c r="BA1758" s="2">
        <v>10.9</v>
      </c>
      <c r="BB1758" s="2">
        <v>564</v>
      </c>
      <c r="BC1758" s="2">
        <v>68</v>
      </c>
      <c r="BD1758" s="2">
        <v>1.5</v>
      </c>
      <c r="BE1758" s="2">
        <v>135</v>
      </c>
      <c r="BF1758" s="2">
        <v>0</v>
      </c>
      <c r="BG1758" s="2">
        <v>162</v>
      </c>
      <c r="BH1758" s="2">
        <v>9.1</v>
      </c>
      <c r="BI1758" s="2">
        <v>9.1999999999999993</v>
      </c>
      <c r="BJ1758" s="2">
        <v>18.3</v>
      </c>
      <c r="BK1758" s="2">
        <v>0.34</v>
      </c>
      <c r="BL1758" s="2">
        <v>7.3</v>
      </c>
      <c r="BM1758" s="2">
        <v>0.9</v>
      </c>
      <c r="BN1758" s="2">
        <v>7.5</v>
      </c>
      <c r="BO1758" s="2">
        <v>2.9</v>
      </c>
      <c r="BP1758" s="2">
        <f t="shared" si="54"/>
        <v>2.0844828779404914</v>
      </c>
      <c r="BQ1758" s="2">
        <f t="shared" si="55"/>
        <v>10.179993752911464</v>
      </c>
    </row>
    <row r="1759" spans="1:69" x14ac:dyDescent="0.2">
      <c r="A1759" s="2" t="s">
        <v>3730</v>
      </c>
      <c r="B1759" s="2" t="s">
        <v>47</v>
      </c>
      <c r="C1759" s="2" t="s">
        <v>3273</v>
      </c>
      <c r="D1759" s="2" t="s">
        <v>49</v>
      </c>
      <c r="E1759" s="2" t="s">
        <v>251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89</v>
      </c>
      <c r="L1759" s="6" t="s">
        <v>90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3731</v>
      </c>
      <c r="R1759" s="2">
        <v>18683333.329999998</v>
      </c>
      <c r="S1759" s="2">
        <v>0</v>
      </c>
      <c r="T1759" s="2" t="s">
        <v>83</v>
      </c>
      <c r="U1759" s="2" t="s">
        <v>84</v>
      </c>
      <c r="V1759" s="2" t="s">
        <v>56</v>
      </c>
      <c r="W1759" s="2" t="s">
        <v>83</v>
      </c>
      <c r="X1759" s="2" t="s">
        <v>85</v>
      </c>
      <c r="Y1759" s="2">
        <v>2.5020393675807799</v>
      </c>
      <c r="Z1759" s="2">
        <v>2502.03936758078</v>
      </c>
      <c r="AA1759" s="2">
        <v>4.71035</v>
      </c>
      <c r="AB1759" s="2">
        <v>-74.030416666666696</v>
      </c>
      <c r="AC1759" s="2">
        <v>2570</v>
      </c>
      <c r="AD1759" s="2">
        <v>10</v>
      </c>
      <c r="AE1759" s="2" t="s">
        <v>59</v>
      </c>
      <c r="AF1759" s="2" t="s">
        <v>86</v>
      </c>
      <c r="AG1759" s="2" t="s">
        <v>61</v>
      </c>
      <c r="AH1759" s="2" t="s">
        <v>62</v>
      </c>
      <c r="AI1759" s="2" t="s">
        <v>87</v>
      </c>
      <c r="AJ1759" s="2">
        <v>2.5273530526547798</v>
      </c>
      <c r="AK1759" s="2">
        <v>0.83064884828922003</v>
      </c>
      <c r="AL1759" s="2">
        <v>0.83488423526992495</v>
      </c>
      <c r="AM1759" s="2">
        <v>0.29053019912184902</v>
      </c>
      <c r="AN1759" s="2">
        <v>5.5484118290668896</v>
      </c>
      <c r="AO1759" s="2">
        <v>0.38616598419004899</v>
      </c>
      <c r="AP1759" s="2">
        <v>0.38616598419004899</v>
      </c>
      <c r="AQ1759" s="2">
        <v>0</v>
      </c>
      <c r="AR1759" s="2">
        <v>0</v>
      </c>
      <c r="AS1759" s="2">
        <v>0</v>
      </c>
      <c r="AT1759" s="2">
        <v>18</v>
      </c>
      <c r="AU1759" s="2">
        <v>4</v>
      </c>
      <c r="AV1759" s="2">
        <v>74</v>
      </c>
      <c r="AW1759" s="2">
        <v>0</v>
      </c>
      <c r="AX1759" s="2">
        <v>0</v>
      </c>
      <c r="AY1759" s="2">
        <v>15.5</v>
      </c>
      <c r="AZ1759" s="2">
        <v>2.4</v>
      </c>
      <c r="BA1759" s="2">
        <v>10.9</v>
      </c>
      <c r="BB1759" s="2">
        <v>564</v>
      </c>
      <c r="BC1759" s="2">
        <v>68</v>
      </c>
      <c r="BD1759" s="2">
        <v>1.5</v>
      </c>
      <c r="BE1759" s="2">
        <v>135</v>
      </c>
      <c r="BF1759" s="2">
        <v>0</v>
      </c>
      <c r="BG1759" s="2">
        <v>162</v>
      </c>
      <c r="BH1759" s="2">
        <v>9.1</v>
      </c>
      <c r="BI1759" s="2">
        <v>9.1999999999999993</v>
      </c>
      <c r="BJ1759" s="2">
        <v>18.3</v>
      </c>
      <c r="BK1759" s="2">
        <v>0.34</v>
      </c>
      <c r="BL1759" s="2">
        <v>7.3</v>
      </c>
      <c r="BM1759" s="2">
        <v>0.9</v>
      </c>
      <c r="BN1759" s="2">
        <v>7.5</v>
      </c>
      <c r="BO1759" s="2">
        <v>2.9</v>
      </c>
      <c r="BP1759" s="2">
        <f t="shared" si="54"/>
        <v>2.1204276470731802</v>
      </c>
      <c r="BQ1759" s="2">
        <f t="shared" si="55"/>
        <v>10.264730998342076</v>
      </c>
    </row>
    <row r="1760" spans="1:69" x14ac:dyDescent="0.2">
      <c r="A1760" s="2" t="s">
        <v>3535</v>
      </c>
      <c r="B1760" s="2" t="s">
        <v>47</v>
      </c>
      <c r="C1760" s="2" t="s">
        <v>3273</v>
      </c>
      <c r="D1760" s="2" t="s">
        <v>49</v>
      </c>
      <c r="E1760" s="2" t="s">
        <v>727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89</v>
      </c>
      <c r="L1760" s="6" t="s">
        <v>112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3536</v>
      </c>
      <c r="R1760" s="2">
        <v>9288333.3330000006</v>
      </c>
      <c r="S1760" s="2">
        <v>0</v>
      </c>
      <c r="T1760" s="2" t="s">
        <v>83</v>
      </c>
      <c r="U1760" s="2" t="s">
        <v>84</v>
      </c>
      <c r="V1760" s="2" t="s">
        <v>56</v>
      </c>
      <c r="W1760" s="2" t="s">
        <v>83</v>
      </c>
      <c r="X1760" s="2" t="s">
        <v>85</v>
      </c>
      <c r="Y1760" s="2">
        <v>2.2872133490276298</v>
      </c>
      <c r="Z1760" s="2">
        <v>2287.2133490276301</v>
      </c>
      <c r="AA1760" s="2">
        <v>4.71035</v>
      </c>
      <c r="AB1760" s="2">
        <v>-74.030416666666696</v>
      </c>
      <c r="AC1760" s="2">
        <v>2570</v>
      </c>
      <c r="AD1760" s="2">
        <v>10</v>
      </c>
      <c r="AE1760" s="2" t="s">
        <v>59</v>
      </c>
      <c r="AF1760" s="2" t="s">
        <v>86</v>
      </c>
      <c r="AG1760" s="2" t="s">
        <v>61</v>
      </c>
      <c r="AH1760" s="2" t="s">
        <v>62</v>
      </c>
      <c r="AI1760" s="2" t="s">
        <v>87</v>
      </c>
      <c r="AJ1760" s="2">
        <v>1.4218495185350499</v>
      </c>
      <c r="AK1760" s="2">
        <v>1.84291297765823</v>
      </c>
      <c r="AL1760" s="2">
        <v>0.753498910489655</v>
      </c>
      <c r="AM1760" s="2">
        <v>0.194233346174919</v>
      </c>
      <c r="AN1760" s="2">
        <v>4.84966994222669</v>
      </c>
      <c r="AO1760" s="2">
        <v>0.25817009153130099</v>
      </c>
      <c r="AP1760" s="2">
        <v>0.25817009153130099</v>
      </c>
      <c r="AQ1760" s="2">
        <v>0</v>
      </c>
      <c r="AR1760" s="2">
        <v>0</v>
      </c>
      <c r="AS1760" s="2">
        <v>0</v>
      </c>
      <c r="AT1760" s="2">
        <v>0</v>
      </c>
      <c r="AU1760" s="2">
        <v>1</v>
      </c>
      <c r="AV1760" s="2">
        <v>122</v>
      </c>
      <c r="AW1760" s="2">
        <v>0</v>
      </c>
      <c r="AX1760" s="2">
        <v>0</v>
      </c>
      <c r="AY1760" s="2">
        <v>15.5</v>
      </c>
      <c r="AZ1760" s="2">
        <v>2.4</v>
      </c>
      <c r="BA1760" s="2">
        <v>10.9</v>
      </c>
      <c r="BB1760" s="2">
        <v>564</v>
      </c>
      <c r="BC1760" s="2">
        <v>68</v>
      </c>
      <c r="BD1760" s="2">
        <v>1.5</v>
      </c>
      <c r="BE1760" s="2">
        <v>135</v>
      </c>
      <c r="BF1760" s="2">
        <v>0</v>
      </c>
      <c r="BG1760" s="2">
        <v>162</v>
      </c>
      <c r="BH1760" s="2">
        <v>9.1</v>
      </c>
      <c r="BI1760" s="2">
        <v>9.1999999999999993</v>
      </c>
      <c r="BJ1760" s="2">
        <v>18.3</v>
      </c>
      <c r="BK1760" s="2">
        <v>0.34</v>
      </c>
      <c r="BL1760" s="2">
        <v>7.3</v>
      </c>
      <c r="BM1760" s="2">
        <v>0.9</v>
      </c>
      <c r="BN1760" s="2">
        <v>7.5</v>
      </c>
      <c r="BO1760" s="2">
        <v>2.9</v>
      </c>
      <c r="BP1760" s="2">
        <f t="shared" si="54"/>
        <v>2.1430963516293966</v>
      </c>
      <c r="BQ1760" s="2">
        <f t="shared" si="55"/>
        <v>10.317790815359716</v>
      </c>
    </row>
    <row r="1761" spans="1:69" x14ac:dyDescent="0.2">
      <c r="A1761" s="2" t="s">
        <v>4371</v>
      </c>
      <c r="B1761" s="2" t="s">
        <v>47</v>
      </c>
      <c r="C1761" s="2" t="s">
        <v>3273</v>
      </c>
      <c r="D1761" s="2" t="s">
        <v>49</v>
      </c>
      <c r="E1761" s="2" t="s">
        <v>316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89</v>
      </c>
      <c r="L1761" s="6" t="s">
        <v>90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4372</v>
      </c>
      <c r="R1761" s="2">
        <v>10333333.33</v>
      </c>
      <c r="S1761" s="2">
        <v>0</v>
      </c>
      <c r="T1761" s="2" t="s">
        <v>83</v>
      </c>
      <c r="U1761" s="2" t="s">
        <v>84</v>
      </c>
      <c r="V1761" s="2" t="s">
        <v>56</v>
      </c>
      <c r="W1761" s="2" t="s">
        <v>83</v>
      </c>
      <c r="X1761" s="2" t="s">
        <v>85</v>
      </c>
      <c r="Y1761" s="2">
        <v>1.7034892644716999</v>
      </c>
      <c r="Z1761" s="2">
        <v>1703.4892644716999</v>
      </c>
      <c r="AA1761" s="2">
        <v>4.71035</v>
      </c>
      <c r="AB1761" s="2">
        <v>-74.030416666666696</v>
      </c>
      <c r="AC1761" s="2">
        <v>2570</v>
      </c>
      <c r="AD1761" s="2">
        <v>10</v>
      </c>
      <c r="AE1761" s="2" t="s">
        <v>59</v>
      </c>
      <c r="AF1761" s="2" t="s">
        <v>86</v>
      </c>
      <c r="AG1761" s="2" t="s">
        <v>61</v>
      </c>
      <c r="AH1761" s="2" t="s">
        <v>62</v>
      </c>
      <c r="AI1761" s="2" t="s">
        <v>87</v>
      </c>
      <c r="AJ1761" s="2">
        <v>1.1995650787648</v>
      </c>
      <c r="AK1761" s="2">
        <v>1.9996994467623299</v>
      </c>
      <c r="AL1761" s="2">
        <v>1.2327155257029101</v>
      </c>
      <c r="AM1761" s="2">
        <v>6.5673594944654107E-2</v>
      </c>
      <c r="AN1761" s="2">
        <v>4.6998456805268001</v>
      </c>
      <c r="AO1761" s="2">
        <v>0.18313005572417099</v>
      </c>
      <c r="AP1761" s="2">
        <v>0.18313005572417099</v>
      </c>
      <c r="AQ1761" s="2">
        <v>0</v>
      </c>
      <c r="AR1761" s="2">
        <v>0</v>
      </c>
      <c r="AS1761" s="2">
        <v>0</v>
      </c>
      <c r="AT1761" s="2">
        <v>0</v>
      </c>
      <c r="AU1761" s="2">
        <v>0</v>
      </c>
      <c r="AV1761" s="2">
        <v>142</v>
      </c>
      <c r="AW1761" s="2">
        <v>0</v>
      </c>
      <c r="AX1761" s="2">
        <v>0</v>
      </c>
      <c r="AY1761" s="2">
        <v>15.5</v>
      </c>
      <c r="AZ1761" s="2">
        <v>2.4</v>
      </c>
      <c r="BA1761" s="2">
        <v>10.9</v>
      </c>
      <c r="BB1761" s="2">
        <v>564</v>
      </c>
      <c r="BC1761" s="2">
        <v>68</v>
      </c>
      <c r="BD1761" s="2">
        <v>1.5</v>
      </c>
      <c r="BE1761" s="2">
        <v>135</v>
      </c>
      <c r="BF1761" s="2">
        <v>0</v>
      </c>
      <c r="BG1761" s="2">
        <v>162</v>
      </c>
      <c r="BH1761" s="2">
        <v>9.1</v>
      </c>
      <c r="BI1761" s="2">
        <v>9.1999999999999993</v>
      </c>
      <c r="BJ1761" s="2">
        <v>18.3</v>
      </c>
      <c r="BK1761" s="2">
        <v>0.34</v>
      </c>
      <c r="BL1761" s="2">
        <v>7.3</v>
      </c>
      <c r="BM1761" s="2">
        <v>0.9</v>
      </c>
      <c r="BN1761" s="2">
        <v>7.5</v>
      </c>
      <c r="BO1761" s="2">
        <v>2.9</v>
      </c>
      <c r="BP1761" s="2">
        <f t="shared" si="54"/>
        <v>2.2059230073799241</v>
      </c>
      <c r="BQ1761" s="2">
        <f t="shared" si="55"/>
        <v>10.463353890685713</v>
      </c>
    </row>
    <row r="1762" spans="1:69" x14ac:dyDescent="0.2">
      <c r="A1762" s="2" t="s">
        <v>4514</v>
      </c>
      <c r="B1762" s="2" t="s">
        <v>47</v>
      </c>
      <c r="C1762" s="2" t="s">
        <v>3273</v>
      </c>
      <c r="D1762" s="2" t="s">
        <v>49</v>
      </c>
      <c r="E1762" s="2" t="s">
        <v>184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89</v>
      </c>
      <c r="L1762" s="6" t="s">
        <v>112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4515</v>
      </c>
      <c r="R1762" s="2">
        <v>7000000</v>
      </c>
      <c r="S1762" s="2">
        <v>0</v>
      </c>
      <c r="T1762" s="2" t="s">
        <v>83</v>
      </c>
      <c r="U1762" s="2" t="s">
        <v>84</v>
      </c>
      <c r="V1762" s="2" t="s">
        <v>56</v>
      </c>
      <c r="W1762" s="2" t="s">
        <v>83</v>
      </c>
      <c r="X1762" s="2" t="s">
        <v>85</v>
      </c>
      <c r="Y1762" s="2">
        <v>1.3106454614154099</v>
      </c>
      <c r="Z1762" s="2">
        <v>1310.64546141541</v>
      </c>
      <c r="AA1762" s="2">
        <v>4.71035</v>
      </c>
      <c r="AB1762" s="2">
        <v>-74.030416666666696</v>
      </c>
      <c r="AC1762" s="2">
        <v>2570</v>
      </c>
      <c r="AD1762" s="2">
        <v>10</v>
      </c>
      <c r="AE1762" s="2" t="s">
        <v>59</v>
      </c>
      <c r="AF1762" s="2" t="s">
        <v>86</v>
      </c>
      <c r="AG1762" s="2" t="s">
        <v>61</v>
      </c>
      <c r="AH1762" s="2" t="s">
        <v>62</v>
      </c>
      <c r="AI1762" s="2" t="s">
        <v>87</v>
      </c>
      <c r="AJ1762" s="2">
        <v>1.8745869526194701</v>
      </c>
      <c r="AK1762" s="2">
        <v>1.2267465932736501</v>
      </c>
      <c r="AL1762" s="2">
        <v>1.1931997034161299</v>
      </c>
      <c r="AM1762" s="2">
        <v>0.27471290415582</v>
      </c>
      <c r="AN1762" s="2">
        <v>2.3858245533301101</v>
      </c>
      <c r="AO1762" s="2">
        <v>6.5677896025963106E-2</v>
      </c>
      <c r="AP1762" s="2">
        <v>6.5677896025963106E-2</v>
      </c>
      <c r="AQ1762" s="2">
        <v>0</v>
      </c>
      <c r="AR1762" s="2">
        <v>0</v>
      </c>
      <c r="AS1762" s="2">
        <v>0</v>
      </c>
      <c r="AT1762" s="2">
        <v>0</v>
      </c>
      <c r="AU1762" s="2">
        <v>0</v>
      </c>
      <c r="AV1762" s="2">
        <v>45</v>
      </c>
      <c r="AW1762" s="2">
        <v>0</v>
      </c>
      <c r="AX1762" s="2">
        <v>0</v>
      </c>
      <c r="AY1762" s="2">
        <v>15.5</v>
      </c>
      <c r="AZ1762" s="2">
        <v>2.4</v>
      </c>
      <c r="BA1762" s="2">
        <v>10.9</v>
      </c>
      <c r="BB1762" s="2">
        <v>564</v>
      </c>
      <c r="BC1762" s="2">
        <v>68</v>
      </c>
      <c r="BD1762" s="2">
        <v>1.5</v>
      </c>
      <c r="BE1762" s="2">
        <v>135</v>
      </c>
      <c r="BF1762" s="2">
        <v>0</v>
      </c>
      <c r="BG1762" s="2">
        <v>162</v>
      </c>
      <c r="BH1762" s="2">
        <v>9.1</v>
      </c>
      <c r="BI1762" s="2">
        <v>9.1999999999999993</v>
      </c>
      <c r="BJ1762" s="2">
        <v>18.3</v>
      </c>
      <c r="BK1762" s="2">
        <v>0.34</v>
      </c>
      <c r="BL1762" s="2">
        <v>7.3</v>
      </c>
      <c r="BM1762" s="2">
        <v>0.9</v>
      </c>
      <c r="BN1762" s="2">
        <v>7.5</v>
      </c>
      <c r="BO1762" s="2">
        <v>2.9</v>
      </c>
      <c r="BP1762" s="2">
        <f t="shared" si="54"/>
        <v>2.2492386631309751</v>
      </c>
      <c r="BQ1762" s="2">
        <f t="shared" si="55"/>
        <v>10.562471539147987</v>
      </c>
    </row>
    <row r="1763" spans="1:69" x14ac:dyDescent="0.2">
      <c r="A1763" s="2" t="s">
        <v>1061</v>
      </c>
      <c r="B1763" s="2" t="s">
        <v>47</v>
      </c>
      <c r="C1763" s="2" t="s">
        <v>48</v>
      </c>
      <c r="D1763" s="2" t="s">
        <v>49</v>
      </c>
      <c r="E1763" s="2" t="s">
        <v>1062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89</v>
      </c>
      <c r="L1763" s="6" t="s">
        <v>141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1063</v>
      </c>
      <c r="R1763" s="2">
        <v>5166666.6670000004</v>
      </c>
      <c r="S1763" s="2">
        <v>0</v>
      </c>
      <c r="T1763" s="2" t="s">
        <v>83</v>
      </c>
      <c r="U1763" s="2" t="s">
        <v>84</v>
      </c>
      <c r="V1763" s="2" t="s">
        <v>56</v>
      </c>
      <c r="W1763" s="2" t="s">
        <v>83</v>
      </c>
      <c r="X1763" s="2" t="s">
        <v>85</v>
      </c>
      <c r="Y1763" s="2">
        <v>0.96657262975876401</v>
      </c>
      <c r="Z1763" s="2">
        <v>966.57262975876404</v>
      </c>
      <c r="AA1763" s="2">
        <v>4.71035</v>
      </c>
      <c r="AB1763" s="2">
        <v>-74.030416666666696</v>
      </c>
      <c r="AC1763" s="2">
        <v>2570</v>
      </c>
      <c r="AD1763" s="2">
        <v>10</v>
      </c>
      <c r="AE1763" s="2" t="s">
        <v>59</v>
      </c>
      <c r="AF1763" s="2" t="s">
        <v>86</v>
      </c>
      <c r="AG1763" s="2" t="s">
        <v>61</v>
      </c>
      <c r="AH1763" s="2" t="s">
        <v>62</v>
      </c>
      <c r="AI1763" s="2" t="s">
        <v>87</v>
      </c>
      <c r="AJ1763" s="2">
        <v>3.3997224702412998</v>
      </c>
      <c r="AK1763" s="2">
        <v>7.7195044546456398E-2</v>
      </c>
      <c r="AL1763" s="2">
        <v>1.10715054919475</v>
      </c>
      <c r="AM1763" s="2">
        <v>0.67282175735336702</v>
      </c>
      <c r="AN1763" s="2">
        <v>4.0192427891594198</v>
      </c>
      <c r="AO1763" s="2">
        <v>4.3492534179177499E-2</v>
      </c>
      <c r="AP1763" s="2">
        <v>4.3492534179177499E-2</v>
      </c>
      <c r="AQ1763" s="2">
        <v>0</v>
      </c>
      <c r="AR1763" s="2">
        <v>0</v>
      </c>
      <c r="AS1763" s="2">
        <v>19</v>
      </c>
      <c r="AT1763" s="2">
        <v>38</v>
      </c>
      <c r="AU1763" s="2">
        <v>0</v>
      </c>
      <c r="AV1763" s="2">
        <v>39</v>
      </c>
      <c r="AW1763" s="2">
        <v>0</v>
      </c>
      <c r="AX1763" s="2">
        <v>0</v>
      </c>
      <c r="AY1763" s="2">
        <v>15.5</v>
      </c>
      <c r="AZ1763" s="2">
        <v>2.4</v>
      </c>
      <c r="BA1763" s="2">
        <v>10.9</v>
      </c>
      <c r="BB1763" s="2">
        <v>564</v>
      </c>
      <c r="BC1763" s="2">
        <v>68</v>
      </c>
      <c r="BD1763" s="2">
        <v>1.5</v>
      </c>
      <c r="BE1763" s="2">
        <v>135</v>
      </c>
      <c r="BF1763" s="2">
        <v>0</v>
      </c>
      <c r="BG1763" s="2">
        <v>162</v>
      </c>
      <c r="BH1763" s="2">
        <v>9.1</v>
      </c>
      <c r="BI1763" s="2">
        <v>9.1999999999999993</v>
      </c>
      <c r="BJ1763" s="2">
        <v>18.3</v>
      </c>
      <c r="BK1763" s="2">
        <v>0.34</v>
      </c>
      <c r="BL1763" s="2">
        <v>7.3</v>
      </c>
      <c r="BM1763" s="2">
        <v>0.9</v>
      </c>
      <c r="BN1763" s="2">
        <v>7.5</v>
      </c>
      <c r="BO1763" s="2">
        <v>2.9</v>
      </c>
      <c r="BP1763" s="2">
        <f t="shared" si="54"/>
        <v>2.2878748925221597</v>
      </c>
      <c r="BQ1763" s="2">
        <f t="shared" si="55"/>
        <v>10.65005488987353</v>
      </c>
    </row>
    <row r="1764" spans="1:69" x14ac:dyDescent="0.2">
      <c r="A1764" s="2" t="s">
        <v>218</v>
      </c>
      <c r="B1764" s="2" t="s">
        <v>47</v>
      </c>
      <c r="C1764" s="2" t="s">
        <v>48</v>
      </c>
      <c r="D1764" s="2" t="s">
        <v>49</v>
      </c>
      <c r="E1764" s="2" t="s">
        <v>158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89</v>
      </c>
      <c r="L1764" s="6" t="s">
        <v>112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219</v>
      </c>
      <c r="R1764" s="2">
        <v>16840687.100000001</v>
      </c>
      <c r="S1764" s="2">
        <v>0</v>
      </c>
      <c r="T1764" s="2" t="s">
        <v>83</v>
      </c>
      <c r="U1764" s="2" t="s">
        <v>84</v>
      </c>
      <c r="V1764" s="2" t="s">
        <v>56</v>
      </c>
      <c r="W1764" s="2" t="s">
        <v>83</v>
      </c>
      <c r="X1764" s="2" t="s">
        <v>85</v>
      </c>
      <c r="Y1764" s="2">
        <v>3.7548815455014601</v>
      </c>
      <c r="Z1764" s="2">
        <v>3754.8815455014601</v>
      </c>
      <c r="AA1764" s="2">
        <v>4.71035</v>
      </c>
      <c r="AB1764" s="2">
        <v>-74.030416666666696</v>
      </c>
      <c r="AC1764" s="2">
        <v>2570</v>
      </c>
      <c r="AD1764" s="2">
        <v>10</v>
      </c>
      <c r="AE1764" s="2" t="s">
        <v>59</v>
      </c>
      <c r="AF1764" s="2" t="s">
        <v>86</v>
      </c>
      <c r="AG1764" s="2" t="s">
        <v>61</v>
      </c>
      <c r="AH1764" s="2" t="s">
        <v>62</v>
      </c>
      <c r="AI1764" s="2" t="s">
        <v>109</v>
      </c>
      <c r="AJ1764" s="2">
        <v>1.7610738727125299</v>
      </c>
      <c r="AK1764" s="2">
        <v>0.62654957370189701</v>
      </c>
      <c r="AL1764" s="2">
        <v>0.54127183066032203</v>
      </c>
      <c r="AM1764" s="2">
        <v>0.17343089123179001</v>
      </c>
      <c r="AN1764" s="2">
        <v>4.3842511318674999</v>
      </c>
      <c r="AO1764" s="2">
        <v>0.96151579662007902</v>
      </c>
      <c r="AP1764" s="2">
        <v>0.96151579662007902</v>
      </c>
      <c r="AQ1764" s="2">
        <v>0</v>
      </c>
      <c r="AR1764" s="2">
        <v>0</v>
      </c>
      <c r="AS1764" s="2">
        <v>0</v>
      </c>
      <c r="AT1764" s="2">
        <v>7</v>
      </c>
      <c r="AU1764" s="2">
        <v>3</v>
      </c>
      <c r="AV1764" s="2">
        <v>78</v>
      </c>
      <c r="AW1764" s="2">
        <v>0</v>
      </c>
      <c r="AX1764" s="2">
        <v>0</v>
      </c>
      <c r="AY1764" s="2">
        <v>15.5</v>
      </c>
      <c r="AZ1764" s="2">
        <v>2.4</v>
      </c>
      <c r="BA1764" s="2">
        <v>10.9</v>
      </c>
      <c r="BB1764" s="2">
        <v>564</v>
      </c>
      <c r="BC1764" s="2">
        <v>68</v>
      </c>
      <c r="BD1764" s="2">
        <v>1.5</v>
      </c>
      <c r="BE1764" s="2">
        <v>135</v>
      </c>
      <c r="BF1764" s="2">
        <v>0</v>
      </c>
      <c r="BG1764" s="2">
        <v>162</v>
      </c>
      <c r="BH1764" s="2">
        <v>9.1</v>
      </c>
      <c r="BI1764" s="2">
        <v>9.1999999999999993</v>
      </c>
      <c r="BJ1764" s="2">
        <v>18.3</v>
      </c>
      <c r="BK1764" s="2">
        <v>0.34</v>
      </c>
      <c r="BL1764" s="2">
        <v>7.3</v>
      </c>
      <c r="BM1764" s="2">
        <v>0.9</v>
      </c>
      <c r="BN1764" s="2">
        <v>7.5</v>
      </c>
      <c r="BO1764" s="2">
        <v>2.9</v>
      </c>
      <c r="BP1764" s="2">
        <f t="shared" si="54"/>
        <v>1.9929223933355196</v>
      </c>
      <c r="BQ1764" s="2">
        <f t="shared" si="55"/>
        <v>9.9606828864529664</v>
      </c>
    </row>
    <row r="1765" spans="1:69" x14ac:dyDescent="0.2">
      <c r="A1765" s="2" t="s">
        <v>3332</v>
      </c>
      <c r="B1765" s="2" t="s">
        <v>47</v>
      </c>
      <c r="C1765" s="2" t="s">
        <v>3273</v>
      </c>
      <c r="D1765" s="2" t="s">
        <v>49</v>
      </c>
      <c r="E1765" s="2" t="s">
        <v>81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89</v>
      </c>
      <c r="L1765" s="6" t="s">
        <v>103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3333</v>
      </c>
      <c r="R1765" s="2">
        <v>8983050.8469999991</v>
      </c>
      <c r="S1765" s="2">
        <v>0</v>
      </c>
      <c r="T1765" s="2" t="s">
        <v>83</v>
      </c>
      <c r="U1765" s="2" t="s">
        <v>84</v>
      </c>
      <c r="V1765" s="2" t="s">
        <v>56</v>
      </c>
      <c r="W1765" s="2" t="s">
        <v>83</v>
      </c>
      <c r="X1765" s="2" t="s">
        <v>85</v>
      </c>
      <c r="Y1765" s="2">
        <v>1.66139616873459</v>
      </c>
      <c r="Z1765" s="2">
        <v>1661.39616873459</v>
      </c>
      <c r="AA1765" s="2">
        <v>4.71035</v>
      </c>
      <c r="AB1765" s="2">
        <v>-74.030416666666696</v>
      </c>
      <c r="AC1765" s="2">
        <v>2570</v>
      </c>
      <c r="AD1765" s="2">
        <v>10</v>
      </c>
      <c r="AE1765" s="2" t="s">
        <v>59</v>
      </c>
      <c r="AF1765" s="2" t="s">
        <v>86</v>
      </c>
      <c r="AG1765" s="2" t="s">
        <v>61</v>
      </c>
      <c r="AH1765" s="2" t="s">
        <v>62</v>
      </c>
      <c r="AI1765" s="2" t="s">
        <v>87</v>
      </c>
      <c r="AJ1765" s="2">
        <v>1.20293302629863</v>
      </c>
      <c r="AK1765" s="2">
        <v>1.98894183409812</v>
      </c>
      <c r="AL1765" s="2">
        <v>1.2373919431556299</v>
      </c>
      <c r="AM1765" s="2">
        <v>4.0090907953289803E-2</v>
      </c>
      <c r="AN1765" s="2">
        <v>4.6393654158970996</v>
      </c>
      <c r="AO1765" s="2">
        <v>0.244581916173295</v>
      </c>
      <c r="AP1765" s="2">
        <v>0.244581916173295</v>
      </c>
      <c r="AQ1765" s="2">
        <v>0</v>
      </c>
      <c r="AR1765" s="2">
        <v>0</v>
      </c>
      <c r="AS1765" s="2">
        <v>0</v>
      </c>
      <c r="AT1765" s="2">
        <v>0</v>
      </c>
      <c r="AU1765" s="2">
        <v>0</v>
      </c>
      <c r="AV1765" s="2">
        <v>139</v>
      </c>
      <c r="AW1765" s="2">
        <v>0</v>
      </c>
      <c r="AX1765" s="2">
        <v>0</v>
      </c>
      <c r="AY1765" s="2">
        <v>15.5</v>
      </c>
      <c r="AZ1765" s="2">
        <v>2.4</v>
      </c>
      <c r="BA1765" s="2">
        <v>10.9</v>
      </c>
      <c r="BB1765" s="2">
        <v>564</v>
      </c>
      <c r="BC1765" s="2">
        <v>68</v>
      </c>
      <c r="BD1765" s="2">
        <v>1.5</v>
      </c>
      <c r="BE1765" s="2">
        <v>135</v>
      </c>
      <c r="BF1765" s="2">
        <v>0</v>
      </c>
      <c r="BG1765" s="2">
        <v>162</v>
      </c>
      <c r="BH1765" s="2">
        <v>9.1</v>
      </c>
      <c r="BI1765" s="2">
        <v>9.1999999999999993</v>
      </c>
      <c r="BJ1765" s="2">
        <v>18.3</v>
      </c>
      <c r="BK1765" s="2">
        <v>0.34</v>
      </c>
      <c r="BL1765" s="2">
        <v>7.3</v>
      </c>
      <c r="BM1765" s="2">
        <v>0.9</v>
      </c>
      <c r="BN1765" s="2">
        <v>7.5</v>
      </c>
      <c r="BO1765" s="2">
        <v>2.9</v>
      </c>
      <c r="BP1765" s="2">
        <f t="shared" si="54"/>
        <v>2.2105240784829014</v>
      </c>
      <c r="BQ1765" s="2">
        <f t="shared" si="55"/>
        <v>10.473929670763392</v>
      </c>
    </row>
    <row r="1766" spans="1:69" x14ac:dyDescent="0.2">
      <c r="A1766" s="2" t="s">
        <v>3635</v>
      </c>
      <c r="B1766" s="2" t="s">
        <v>47</v>
      </c>
      <c r="C1766" s="2" t="s">
        <v>3273</v>
      </c>
      <c r="D1766" s="2" t="s">
        <v>49</v>
      </c>
      <c r="E1766" s="2" t="s">
        <v>208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89</v>
      </c>
      <c r="L1766" s="6" t="s">
        <v>90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3636</v>
      </c>
      <c r="R1766" s="2">
        <v>14071144.16</v>
      </c>
      <c r="S1766" s="2">
        <v>0</v>
      </c>
      <c r="T1766" s="2" t="s">
        <v>83</v>
      </c>
      <c r="U1766" s="2" t="s">
        <v>84</v>
      </c>
      <c r="V1766" s="2" t="s">
        <v>56</v>
      </c>
      <c r="W1766" s="2" t="s">
        <v>83</v>
      </c>
      <c r="X1766" s="2" t="s">
        <v>85</v>
      </c>
      <c r="Y1766" s="2">
        <v>3.90617731145369</v>
      </c>
      <c r="Z1766" s="2">
        <v>3906.17731145369</v>
      </c>
      <c r="AA1766" s="2">
        <v>4.71035</v>
      </c>
      <c r="AB1766" s="2">
        <v>-74.030416666666696</v>
      </c>
      <c r="AC1766" s="2">
        <v>2570</v>
      </c>
      <c r="AD1766" s="2">
        <v>10</v>
      </c>
      <c r="AE1766" s="2" t="s">
        <v>59</v>
      </c>
      <c r="AF1766" s="2" t="s">
        <v>86</v>
      </c>
      <c r="AG1766" s="2" t="s">
        <v>61</v>
      </c>
      <c r="AH1766" s="2" t="s">
        <v>62</v>
      </c>
      <c r="AI1766" s="2" t="s">
        <v>109</v>
      </c>
      <c r="AJ1766" s="2">
        <v>0.39759296503921499</v>
      </c>
      <c r="AK1766" s="2">
        <v>1.9930279803633999</v>
      </c>
      <c r="AL1766" s="2">
        <v>0.20909573825494099</v>
      </c>
      <c r="AM1766" s="2">
        <v>0.115576375562105</v>
      </c>
      <c r="AN1766" s="2">
        <v>3.28851391371545</v>
      </c>
      <c r="AO1766" s="2">
        <v>0.45794393133286898</v>
      </c>
      <c r="AP1766" s="2">
        <v>0.45794393133286898</v>
      </c>
      <c r="AQ1766" s="2">
        <v>1</v>
      </c>
      <c r="AR1766" s="2">
        <v>2</v>
      </c>
      <c r="AS1766" s="2">
        <v>0</v>
      </c>
      <c r="AT1766" s="2">
        <v>0</v>
      </c>
      <c r="AU1766" s="2">
        <v>4</v>
      </c>
      <c r="AV1766" s="2">
        <v>263</v>
      </c>
      <c r="AW1766" s="2">
        <v>0</v>
      </c>
      <c r="AX1766" s="2">
        <v>0</v>
      </c>
      <c r="AY1766" s="2">
        <v>15.5</v>
      </c>
      <c r="AZ1766" s="2">
        <v>2.4</v>
      </c>
      <c r="BA1766" s="2">
        <v>10.9</v>
      </c>
      <c r="BB1766" s="2">
        <v>564</v>
      </c>
      <c r="BC1766" s="2">
        <v>68</v>
      </c>
      <c r="BD1766" s="2">
        <v>1.5</v>
      </c>
      <c r="BE1766" s="2">
        <v>135</v>
      </c>
      <c r="BF1766" s="2">
        <v>0</v>
      </c>
      <c r="BG1766" s="2">
        <v>162</v>
      </c>
      <c r="BH1766" s="2">
        <v>9.1</v>
      </c>
      <c r="BI1766" s="2">
        <v>9.1999999999999993</v>
      </c>
      <c r="BJ1766" s="2">
        <v>18.3</v>
      </c>
      <c r="BK1766" s="2">
        <v>0.34</v>
      </c>
      <c r="BL1766" s="2">
        <v>7.3</v>
      </c>
      <c r="BM1766" s="2">
        <v>0.9</v>
      </c>
      <c r="BN1766" s="2">
        <v>7.5</v>
      </c>
      <c r="BO1766" s="2">
        <v>2.9</v>
      </c>
      <c r="BP1766" s="2">
        <f t="shared" si="54"/>
        <v>1.9780528671801361</v>
      </c>
      <c r="BQ1766" s="2">
        <f t="shared" si="55"/>
        <v>9.9245802527067415</v>
      </c>
    </row>
    <row r="1767" spans="1:69" x14ac:dyDescent="0.2">
      <c r="A1767" s="2" t="s">
        <v>3923</v>
      </c>
      <c r="B1767" s="2" t="s">
        <v>47</v>
      </c>
      <c r="C1767" s="2" t="s">
        <v>3273</v>
      </c>
      <c r="D1767" s="2" t="s">
        <v>49</v>
      </c>
      <c r="E1767" s="2" t="s">
        <v>184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89</v>
      </c>
      <c r="L1767" s="6" t="s">
        <v>90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3924</v>
      </c>
      <c r="R1767" s="2">
        <v>8515358.3619999997</v>
      </c>
      <c r="S1767" s="2">
        <v>0</v>
      </c>
      <c r="T1767" s="2" t="s">
        <v>83</v>
      </c>
      <c r="U1767" s="2" t="s">
        <v>84</v>
      </c>
      <c r="V1767" s="2" t="s">
        <v>56</v>
      </c>
      <c r="W1767" s="2" t="s">
        <v>83</v>
      </c>
      <c r="X1767" s="2" t="s">
        <v>85</v>
      </c>
      <c r="Y1767" s="2">
        <v>1.28117274244429</v>
      </c>
      <c r="Z1767" s="2">
        <v>1281.17274244429</v>
      </c>
      <c r="AA1767" s="2">
        <v>4.71035</v>
      </c>
      <c r="AB1767" s="2">
        <v>-74.030416666666696</v>
      </c>
      <c r="AC1767" s="2">
        <v>2570</v>
      </c>
      <c r="AD1767" s="2">
        <v>10</v>
      </c>
      <c r="AE1767" s="2" t="s">
        <v>59</v>
      </c>
      <c r="AF1767" s="2" t="s">
        <v>86</v>
      </c>
      <c r="AG1767" s="2" t="s">
        <v>61</v>
      </c>
      <c r="AH1767" s="2" t="s">
        <v>62</v>
      </c>
      <c r="AI1767" s="2" t="s">
        <v>87</v>
      </c>
      <c r="AJ1767" s="2">
        <v>1.51734727359189</v>
      </c>
      <c r="AK1767" s="2">
        <v>1.59438704474847</v>
      </c>
      <c r="AL1767" s="2">
        <v>1.0850836816202001</v>
      </c>
      <c r="AM1767" s="2">
        <v>5.3425375415082299E-2</v>
      </c>
      <c r="AN1767" s="2">
        <v>2.7740289372943399</v>
      </c>
      <c r="AO1767" s="2">
        <v>8.9125596770770699E-2</v>
      </c>
      <c r="AP1767" s="2">
        <v>8.9125596770770699E-2</v>
      </c>
      <c r="AQ1767" s="2">
        <v>0</v>
      </c>
      <c r="AR1767" s="2">
        <v>0</v>
      </c>
      <c r="AS1767" s="2">
        <v>0</v>
      </c>
      <c r="AT1767" s="2">
        <v>0</v>
      </c>
      <c r="AU1767" s="2">
        <v>0</v>
      </c>
      <c r="AV1767" s="2">
        <v>61</v>
      </c>
      <c r="AW1767" s="2">
        <v>0</v>
      </c>
      <c r="AX1767" s="2">
        <v>0</v>
      </c>
      <c r="AY1767" s="2">
        <v>15.5</v>
      </c>
      <c r="AZ1767" s="2">
        <v>2.4</v>
      </c>
      <c r="BA1767" s="2">
        <v>10.9</v>
      </c>
      <c r="BB1767" s="2">
        <v>564</v>
      </c>
      <c r="BC1767" s="2">
        <v>68</v>
      </c>
      <c r="BD1767" s="2">
        <v>1.5</v>
      </c>
      <c r="BE1767" s="2">
        <v>135</v>
      </c>
      <c r="BF1767" s="2">
        <v>0</v>
      </c>
      <c r="BG1767" s="2">
        <v>162</v>
      </c>
      <c r="BH1767" s="2">
        <v>9.1</v>
      </c>
      <c r="BI1767" s="2">
        <v>9.1999999999999993</v>
      </c>
      <c r="BJ1767" s="2">
        <v>18.3</v>
      </c>
      <c r="BK1767" s="2">
        <v>0.34</v>
      </c>
      <c r="BL1767" s="2">
        <v>7.3</v>
      </c>
      <c r="BM1767" s="2">
        <v>0.9</v>
      </c>
      <c r="BN1767" s="2">
        <v>7.5</v>
      </c>
      <c r="BO1767" s="2">
        <v>2.9</v>
      </c>
      <c r="BP1767" s="2">
        <f t="shared" si="54"/>
        <v>2.2525224712830854</v>
      </c>
      <c r="BQ1767" s="2">
        <f t="shared" si="55"/>
        <v>10.569945496297956</v>
      </c>
    </row>
    <row r="1768" spans="1:69" x14ac:dyDescent="0.2">
      <c r="A1768" s="2" t="s">
        <v>3847</v>
      </c>
      <c r="B1768" s="2" t="s">
        <v>47</v>
      </c>
      <c r="C1768" s="2" t="s">
        <v>3273</v>
      </c>
      <c r="D1768" s="2" t="s">
        <v>49</v>
      </c>
      <c r="E1768" s="2" t="s">
        <v>111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89</v>
      </c>
      <c r="L1768" s="6" t="s">
        <v>90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3848</v>
      </c>
      <c r="R1768" s="2">
        <v>14188177.16</v>
      </c>
      <c r="S1768" s="2">
        <v>0</v>
      </c>
      <c r="T1768" s="2" t="s">
        <v>83</v>
      </c>
      <c r="U1768" s="2" t="s">
        <v>84</v>
      </c>
      <c r="V1768" s="2" t="s">
        <v>56</v>
      </c>
      <c r="W1768" s="2" t="s">
        <v>83</v>
      </c>
      <c r="X1768" s="2" t="s">
        <v>85</v>
      </c>
      <c r="Y1768" s="2">
        <v>3.88255096081466</v>
      </c>
      <c r="Z1768" s="2">
        <v>3882.5509608146599</v>
      </c>
      <c r="AA1768" s="2">
        <v>4.71035</v>
      </c>
      <c r="AB1768" s="2">
        <v>-74.030416666666696</v>
      </c>
      <c r="AC1768" s="2">
        <v>2570</v>
      </c>
      <c r="AD1768" s="2">
        <v>10</v>
      </c>
      <c r="AE1768" s="2" t="s">
        <v>59</v>
      </c>
      <c r="AF1768" s="2" t="s">
        <v>86</v>
      </c>
      <c r="AG1768" s="2" t="s">
        <v>61</v>
      </c>
      <c r="AH1768" s="2" t="s">
        <v>62</v>
      </c>
      <c r="AI1768" s="2" t="s">
        <v>109</v>
      </c>
      <c r="AJ1768" s="2">
        <v>0.415667521863894</v>
      </c>
      <c r="AK1768" s="2">
        <v>1.99038536765679</v>
      </c>
      <c r="AL1768" s="2">
        <v>0.18564880160038899</v>
      </c>
      <c r="AM1768" s="2">
        <v>0.111909818523976</v>
      </c>
      <c r="AN1768" s="2">
        <v>3.3093465283707202</v>
      </c>
      <c r="AO1768" s="2">
        <v>0.47686228605832598</v>
      </c>
      <c r="AP1768" s="2">
        <v>0.47686228605832598</v>
      </c>
      <c r="AQ1768" s="2">
        <v>1</v>
      </c>
      <c r="AR1768" s="2">
        <v>2</v>
      </c>
      <c r="AS1768" s="2">
        <v>0</v>
      </c>
      <c r="AT1768" s="2">
        <v>0</v>
      </c>
      <c r="AU1768" s="2">
        <v>4</v>
      </c>
      <c r="AV1768" s="2">
        <v>264</v>
      </c>
      <c r="AW1768" s="2">
        <v>0</v>
      </c>
      <c r="AX1768" s="2">
        <v>0</v>
      </c>
      <c r="AY1768" s="2">
        <v>15.5</v>
      </c>
      <c r="AZ1768" s="2">
        <v>2.4</v>
      </c>
      <c r="BA1768" s="2">
        <v>10.9</v>
      </c>
      <c r="BB1768" s="2">
        <v>564</v>
      </c>
      <c r="BC1768" s="2">
        <v>68</v>
      </c>
      <c r="BD1768" s="2">
        <v>1.5</v>
      </c>
      <c r="BE1768" s="2">
        <v>135</v>
      </c>
      <c r="BF1768" s="2">
        <v>0</v>
      </c>
      <c r="BG1768" s="2">
        <v>162</v>
      </c>
      <c r="BH1768" s="2">
        <v>9.1</v>
      </c>
      <c r="BI1768" s="2">
        <v>9.1999999999999993</v>
      </c>
      <c r="BJ1768" s="2">
        <v>18.3</v>
      </c>
      <c r="BK1768" s="2">
        <v>0.34</v>
      </c>
      <c r="BL1768" s="2">
        <v>7.3</v>
      </c>
      <c r="BM1768" s="2">
        <v>0.9</v>
      </c>
      <c r="BN1768" s="2">
        <v>7.5</v>
      </c>
      <c r="BO1768" s="2">
        <v>2.9</v>
      </c>
      <c r="BP1768" s="2">
        <f t="shared" si="54"/>
        <v>1.9803675618848973</v>
      </c>
      <c r="BQ1768" s="2">
        <f t="shared" si="55"/>
        <v>9.9302094072243516</v>
      </c>
    </row>
    <row r="1769" spans="1:69" x14ac:dyDescent="0.2">
      <c r="A1769" s="2" t="s">
        <v>3517</v>
      </c>
      <c r="B1769" s="2" t="s">
        <v>47</v>
      </c>
      <c r="C1769" s="2" t="s">
        <v>3273</v>
      </c>
      <c r="D1769" s="2" t="s">
        <v>49</v>
      </c>
      <c r="E1769" s="2" t="s">
        <v>111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89</v>
      </c>
      <c r="L1769" s="6" t="s">
        <v>90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3518</v>
      </c>
      <c r="R1769" s="2">
        <v>14257918.529999999</v>
      </c>
      <c r="S1769" s="2">
        <v>0</v>
      </c>
      <c r="T1769" s="2" t="s">
        <v>83</v>
      </c>
      <c r="U1769" s="2" t="s">
        <v>84</v>
      </c>
      <c r="V1769" s="2" t="s">
        <v>56</v>
      </c>
      <c r="W1769" s="2" t="s">
        <v>83</v>
      </c>
      <c r="X1769" s="2" t="s">
        <v>85</v>
      </c>
      <c r="Y1769" s="2">
        <v>3.8995484543052199</v>
      </c>
      <c r="Z1769" s="2">
        <v>3899.5484543052198</v>
      </c>
      <c r="AA1769" s="2">
        <v>4.71035</v>
      </c>
      <c r="AB1769" s="2">
        <v>-74.030416666666696</v>
      </c>
      <c r="AC1769" s="2">
        <v>2570</v>
      </c>
      <c r="AD1769" s="2">
        <v>10</v>
      </c>
      <c r="AE1769" s="2" t="s">
        <v>59</v>
      </c>
      <c r="AF1769" s="2" t="s">
        <v>86</v>
      </c>
      <c r="AG1769" s="2" t="s">
        <v>61</v>
      </c>
      <c r="AH1769" s="2" t="s">
        <v>62</v>
      </c>
      <c r="AI1769" s="2" t="s">
        <v>109</v>
      </c>
      <c r="AJ1769" s="2">
        <v>0.38706304438813999</v>
      </c>
      <c r="AK1769" s="2">
        <v>2.0174504722659199</v>
      </c>
      <c r="AL1769" s="2">
        <v>0.20565440530319301</v>
      </c>
      <c r="AM1769" s="2">
        <v>8.9192608910603904E-2</v>
      </c>
      <c r="AN1769" s="2">
        <v>3.28304517800037</v>
      </c>
      <c r="AO1769" s="2">
        <v>0.44883987910914802</v>
      </c>
      <c r="AP1769" s="2">
        <v>0.44883987910914802</v>
      </c>
      <c r="AQ1769" s="2">
        <v>1</v>
      </c>
      <c r="AR1769" s="2">
        <v>3</v>
      </c>
      <c r="AS1769" s="2">
        <v>0</v>
      </c>
      <c r="AT1769" s="2">
        <v>0</v>
      </c>
      <c r="AU1769" s="2">
        <v>4</v>
      </c>
      <c r="AV1769" s="2">
        <v>262</v>
      </c>
      <c r="AW1769" s="2">
        <v>0</v>
      </c>
      <c r="AX1769" s="2">
        <v>0</v>
      </c>
      <c r="AY1769" s="2">
        <v>15.5</v>
      </c>
      <c r="AZ1769" s="2">
        <v>2.4</v>
      </c>
      <c r="BA1769" s="2">
        <v>10.9</v>
      </c>
      <c r="BB1769" s="2">
        <v>564</v>
      </c>
      <c r="BC1769" s="2">
        <v>68</v>
      </c>
      <c r="BD1769" s="2">
        <v>1.5</v>
      </c>
      <c r="BE1769" s="2">
        <v>135</v>
      </c>
      <c r="BF1769" s="2">
        <v>0</v>
      </c>
      <c r="BG1769" s="2">
        <v>162</v>
      </c>
      <c r="BH1769" s="2">
        <v>9.1</v>
      </c>
      <c r="BI1769" s="2">
        <v>9.1999999999999993</v>
      </c>
      <c r="BJ1769" s="2">
        <v>18.3</v>
      </c>
      <c r="BK1769" s="2">
        <v>0.34</v>
      </c>
      <c r="BL1769" s="2">
        <v>7.3</v>
      </c>
      <c r="BM1769" s="2">
        <v>0.9</v>
      </c>
      <c r="BN1769" s="2">
        <v>7.5</v>
      </c>
      <c r="BO1769" s="2">
        <v>2.9</v>
      </c>
      <c r="BP1769" s="2">
        <f t="shared" si="54"/>
        <v>1.9787020290580337</v>
      </c>
      <c r="BQ1769" s="2">
        <f t="shared" si="55"/>
        <v>9.9261593053052692</v>
      </c>
    </row>
    <row r="1770" spans="1:69" x14ac:dyDescent="0.2">
      <c r="A1770" s="2" t="s">
        <v>3689</v>
      </c>
      <c r="B1770" s="2" t="s">
        <v>47</v>
      </c>
      <c r="C1770" s="2" t="s">
        <v>3273</v>
      </c>
      <c r="D1770" s="2" t="s">
        <v>49</v>
      </c>
      <c r="E1770" s="2" t="s">
        <v>208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89</v>
      </c>
      <c r="L1770" s="6" t="s">
        <v>90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3690</v>
      </c>
      <c r="R1770" s="2">
        <v>13793103.449999999</v>
      </c>
      <c r="S1770" s="2">
        <v>0</v>
      </c>
      <c r="T1770" s="2" t="s">
        <v>83</v>
      </c>
      <c r="U1770" s="2" t="s">
        <v>84</v>
      </c>
      <c r="V1770" s="2" t="s">
        <v>56</v>
      </c>
      <c r="W1770" s="2" t="s">
        <v>83</v>
      </c>
      <c r="X1770" s="2" t="s">
        <v>85</v>
      </c>
      <c r="Y1770" s="2">
        <v>3.8995484543052199</v>
      </c>
      <c r="Z1770" s="2">
        <v>3899.5484543052198</v>
      </c>
      <c r="AA1770" s="2">
        <v>4.71035</v>
      </c>
      <c r="AB1770" s="2">
        <v>-74.030416666666696</v>
      </c>
      <c r="AC1770" s="2">
        <v>2570</v>
      </c>
      <c r="AD1770" s="2">
        <v>10</v>
      </c>
      <c r="AE1770" s="2" t="s">
        <v>59</v>
      </c>
      <c r="AF1770" s="2" t="s">
        <v>86</v>
      </c>
      <c r="AG1770" s="2" t="s">
        <v>61</v>
      </c>
      <c r="AH1770" s="2" t="s">
        <v>62</v>
      </c>
      <c r="AI1770" s="2" t="s">
        <v>109</v>
      </c>
      <c r="AJ1770" s="2">
        <v>0.38706304438813999</v>
      </c>
      <c r="AK1770" s="2">
        <v>2.0174504722659199</v>
      </c>
      <c r="AL1770" s="2">
        <v>0.20565440530319301</v>
      </c>
      <c r="AM1770" s="2">
        <v>8.9192608910603904E-2</v>
      </c>
      <c r="AN1770" s="2">
        <v>3.28304517800037</v>
      </c>
      <c r="AO1770" s="2">
        <v>0.44883987910914802</v>
      </c>
      <c r="AP1770" s="2">
        <v>0.44883987910914802</v>
      </c>
      <c r="AQ1770" s="2">
        <v>1</v>
      </c>
      <c r="AR1770" s="2">
        <v>3</v>
      </c>
      <c r="AS1770" s="2">
        <v>0</v>
      </c>
      <c r="AT1770" s="2">
        <v>0</v>
      </c>
      <c r="AU1770" s="2">
        <v>4</v>
      </c>
      <c r="AV1770" s="2">
        <v>262</v>
      </c>
      <c r="AW1770" s="2">
        <v>0</v>
      </c>
      <c r="AX1770" s="2">
        <v>0</v>
      </c>
      <c r="AY1770" s="2">
        <v>15.5</v>
      </c>
      <c r="AZ1770" s="2">
        <v>2.4</v>
      </c>
      <c r="BA1770" s="2">
        <v>10.9</v>
      </c>
      <c r="BB1770" s="2">
        <v>564</v>
      </c>
      <c r="BC1770" s="2">
        <v>68</v>
      </c>
      <c r="BD1770" s="2">
        <v>1.5</v>
      </c>
      <c r="BE1770" s="2">
        <v>135</v>
      </c>
      <c r="BF1770" s="2">
        <v>0</v>
      </c>
      <c r="BG1770" s="2">
        <v>162</v>
      </c>
      <c r="BH1770" s="2">
        <v>9.1</v>
      </c>
      <c r="BI1770" s="2">
        <v>9.1999999999999993</v>
      </c>
      <c r="BJ1770" s="2">
        <v>18.3</v>
      </c>
      <c r="BK1770" s="2">
        <v>0.34</v>
      </c>
      <c r="BL1770" s="2">
        <v>7.3</v>
      </c>
      <c r="BM1770" s="2">
        <v>0.9</v>
      </c>
      <c r="BN1770" s="2">
        <v>7.5</v>
      </c>
      <c r="BO1770" s="2">
        <v>2.9</v>
      </c>
      <c r="BP1770" s="2">
        <f t="shared" si="54"/>
        <v>1.9787020290580337</v>
      </c>
      <c r="BQ1770" s="2">
        <f t="shared" si="55"/>
        <v>9.9261593053052692</v>
      </c>
    </row>
    <row r="1771" spans="1:69" x14ac:dyDescent="0.2">
      <c r="A1771" s="2" t="s">
        <v>3344</v>
      </c>
      <c r="B1771" s="2" t="s">
        <v>47</v>
      </c>
      <c r="C1771" s="2" t="s">
        <v>3273</v>
      </c>
      <c r="D1771" s="2" t="s">
        <v>49</v>
      </c>
      <c r="E1771" s="2" t="s">
        <v>111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89</v>
      </c>
      <c r="L1771" s="6" t="s">
        <v>90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3345</v>
      </c>
      <c r="R1771" s="2">
        <v>15517241.380000001</v>
      </c>
      <c r="S1771" s="2">
        <v>0</v>
      </c>
      <c r="T1771" s="2" t="s">
        <v>83</v>
      </c>
      <c r="U1771" s="2" t="s">
        <v>84</v>
      </c>
      <c r="V1771" s="2" t="s">
        <v>56</v>
      </c>
      <c r="W1771" s="2" t="s">
        <v>83</v>
      </c>
      <c r="X1771" s="2" t="s">
        <v>85</v>
      </c>
      <c r="Y1771" s="2">
        <v>3.898242083245</v>
      </c>
      <c r="Z1771" s="2">
        <v>3898.2420832449998</v>
      </c>
      <c r="AA1771" s="2">
        <v>4.71035</v>
      </c>
      <c r="AB1771" s="2">
        <v>-74.030416666666696</v>
      </c>
      <c r="AC1771" s="2">
        <v>2570</v>
      </c>
      <c r="AD1771" s="2">
        <v>10</v>
      </c>
      <c r="AE1771" s="2" t="s">
        <v>59</v>
      </c>
      <c r="AF1771" s="2" t="s">
        <v>86</v>
      </c>
      <c r="AG1771" s="2" t="s">
        <v>61</v>
      </c>
      <c r="AH1771" s="2" t="s">
        <v>62</v>
      </c>
      <c r="AI1771" s="2" t="s">
        <v>109</v>
      </c>
      <c r="AJ1771" s="2">
        <v>0.41356152206965502</v>
      </c>
      <c r="AK1771" s="2">
        <v>1.97679369903242</v>
      </c>
      <c r="AL1771" s="2">
        <v>0.200769062839533</v>
      </c>
      <c r="AM1771" s="2">
        <v>0.12905058399987099</v>
      </c>
      <c r="AN1771" s="2">
        <v>3.3025253466526601</v>
      </c>
      <c r="AO1771" s="2">
        <v>0.47348018995317098</v>
      </c>
      <c r="AP1771" s="2">
        <v>0.47348018995317098</v>
      </c>
      <c r="AQ1771" s="2">
        <v>1</v>
      </c>
      <c r="AR1771" s="2">
        <v>2</v>
      </c>
      <c r="AS1771" s="2">
        <v>0</v>
      </c>
      <c r="AT1771" s="2">
        <v>0</v>
      </c>
      <c r="AU1771" s="2">
        <v>4</v>
      </c>
      <c r="AV1771" s="2">
        <v>261</v>
      </c>
      <c r="AW1771" s="2">
        <v>0</v>
      </c>
      <c r="AX1771" s="2">
        <v>0</v>
      </c>
      <c r="AY1771" s="2">
        <v>15.5</v>
      </c>
      <c r="AZ1771" s="2">
        <v>2.4</v>
      </c>
      <c r="BA1771" s="2">
        <v>10.9</v>
      </c>
      <c r="BB1771" s="2">
        <v>564</v>
      </c>
      <c r="BC1771" s="2">
        <v>68</v>
      </c>
      <c r="BD1771" s="2">
        <v>1.5</v>
      </c>
      <c r="BE1771" s="2">
        <v>135</v>
      </c>
      <c r="BF1771" s="2">
        <v>0</v>
      </c>
      <c r="BG1771" s="2">
        <v>162</v>
      </c>
      <c r="BH1771" s="2">
        <v>9.1</v>
      </c>
      <c r="BI1771" s="2">
        <v>9.1999999999999993</v>
      </c>
      <c r="BJ1771" s="2">
        <v>18.3</v>
      </c>
      <c r="BK1771" s="2">
        <v>0.34</v>
      </c>
      <c r="BL1771" s="2">
        <v>7.3</v>
      </c>
      <c r="BM1771" s="2">
        <v>0.9</v>
      </c>
      <c r="BN1771" s="2">
        <v>7.5</v>
      </c>
      <c r="BO1771" s="2">
        <v>2.9</v>
      </c>
      <c r="BP1771" s="2">
        <f t="shared" si="54"/>
        <v>1.9788299866890471</v>
      </c>
      <c r="BQ1771" s="2">
        <f t="shared" si="55"/>
        <v>9.9264705241181854</v>
      </c>
    </row>
    <row r="1772" spans="1:69" x14ac:dyDescent="0.2">
      <c r="A1772" s="2" t="s">
        <v>4478</v>
      </c>
      <c r="B1772" s="2" t="s">
        <v>47</v>
      </c>
      <c r="C1772" s="2" t="s">
        <v>3273</v>
      </c>
      <c r="D1772" s="2" t="s">
        <v>49</v>
      </c>
      <c r="E1772" s="2" t="s">
        <v>208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89</v>
      </c>
      <c r="L1772" s="6" t="s">
        <v>90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4479</v>
      </c>
      <c r="R1772" s="2">
        <v>12931034.48</v>
      </c>
      <c r="S1772" s="2">
        <v>0</v>
      </c>
      <c r="T1772" s="2" t="s">
        <v>83</v>
      </c>
      <c r="U1772" s="2" t="s">
        <v>84</v>
      </c>
      <c r="V1772" s="2" t="s">
        <v>56</v>
      </c>
      <c r="W1772" s="2" t="s">
        <v>83</v>
      </c>
      <c r="X1772" s="2" t="s">
        <v>85</v>
      </c>
      <c r="Y1772" s="2">
        <v>3.6974300751556402</v>
      </c>
      <c r="Z1772" s="2">
        <v>3697.4300751556402</v>
      </c>
      <c r="AA1772" s="2">
        <v>4.71035</v>
      </c>
      <c r="AB1772" s="2">
        <v>-74.030416666666696</v>
      </c>
      <c r="AC1772" s="2">
        <v>2570</v>
      </c>
      <c r="AD1772" s="2">
        <v>10</v>
      </c>
      <c r="AE1772" s="2" t="s">
        <v>59</v>
      </c>
      <c r="AF1772" s="2" t="s">
        <v>86</v>
      </c>
      <c r="AG1772" s="2" t="s">
        <v>61</v>
      </c>
      <c r="AH1772" s="2" t="s">
        <v>62</v>
      </c>
      <c r="AI1772" s="2" t="s">
        <v>109</v>
      </c>
      <c r="AJ1772" s="2">
        <v>1.20019307229707</v>
      </c>
      <c r="AK1772" s="2">
        <v>1.18883715800353</v>
      </c>
      <c r="AL1772" s="2">
        <v>0.65498137780241705</v>
      </c>
      <c r="AM1772" s="2">
        <v>9.2125053842393195E-2</v>
      </c>
      <c r="AN1772" s="2">
        <v>3.9455166185888699</v>
      </c>
      <c r="AO1772" s="2">
        <v>0.92328563608887004</v>
      </c>
      <c r="AP1772" s="2">
        <v>0.92328563608887004</v>
      </c>
      <c r="AQ1772" s="2">
        <v>0</v>
      </c>
      <c r="AR1772" s="2">
        <v>0</v>
      </c>
      <c r="AS1772" s="2">
        <v>0</v>
      </c>
      <c r="AT1772" s="2">
        <v>0</v>
      </c>
      <c r="AU1772" s="2">
        <v>5</v>
      </c>
      <c r="AV1772" s="2">
        <v>127</v>
      </c>
      <c r="AW1772" s="2">
        <v>0</v>
      </c>
      <c r="AX1772" s="2">
        <v>0</v>
      </c>
      <c r="AY1772" s="2">
        <v>15.5</v>
      </c>
      <c r="AZ1772" s="2">
        <v>2.4</v>
      </c>
      <c r="BA1772" s="2">
        <v>10.9</v>
      </c>
      <c r="BB1772" s="2">
        <v>564</v>
      </c>
      <c r="BC1772" s="2">
        <v>68</v>
      </c>
      <c r="BD1772" s="2">
        <v>1.5</v>
      </c>
      <c r="BE1772" s="2">
        <v>135</v>
      </c>
      <c r="BF1772" s="2">
        <v>0</v>
      </c>
      <c r="BG1772" s="2">
        <v>162</v>
      </c>
      <c r="BH1772" s="2">
        <v>9.1</v>
      </c>
      <c r="BI1772" s="2">
        <v>9.1999999999999993</v>
      </c>
      <c r="BJ1772" s="2">
        <v>18.3</v>
      </c>
      <c r="BK1772" s="2">
        <v>0.34</v>
      </c>
      <c r="BL1772" s="2">
        <v>7.3</v>
      </c>
      <c r="BM1772" s="2">
        <v>0.9</v>
      </c>
      <c r="BN1772" s="2">
        <v>7.5</v>
      </c>
      <c r="BO1772" s="2">
        <v>2.9</v>
      </c>
      <c r="BP1772" s="2">
        <f t="shared" si="54"/>
        <v>1.9985980277587974</v>
      </c>
      <c r="BQ1772" s="2">
        <f t="shared" si="55"/>
        <v>9.9744265004249044</v>
      </c>
    </row>
    <row r="1773" spans="1:69" x14ac:dyDescent="0.2">
      <c r="A1773" s="2" t="s">
        <v>3867</v>
      </c>
      <c r="B1773" s="2" t="s">
        <v>47</v>
      </c>
      <c r="C1773" s="2" t="s">
        <v>3273</v>
      </c>
      <c r="D1773" s="2" t="s">
        <v>49</v>
      </c>
      <c r="E1773" s="2" t="s">
        <v>169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89</v>
      </c>
      <c r="L1773" s="6" t="s">
        <v>90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3868</v>
      </c>
      <c r="R1773" s="2">
        <v>10862068.970000001</v>
      </c>
      <c r="S1773" s="2">
        <v>0</v>
      </c>
      <c r="T1773" s="2" t="s">
        <v>83</v>
      </c>
      <c r="U1773" s="2" t="s">
        <v>84</v>
      </c>
      <c r="V1773" s="2" t="s">
        <v>56</v>
      </c>
      <c r="W1773" s="2" t="s">
        <v>83</v>
      </c>
      <c r="X1773" s="2" t="s">
        <v>85</v>
      </c>
      <c r="Y1773" s="2">
        <v>3.3065350486031599</v>
      </c>
      <c r="Z1773" s="2">
        <v>3306.5350486031598</v>
      </c>
      <c r="AA1773" s="2">
        <v>4.71035</v>
      </c>
      <c r="AB1773" s="2">
        <v>-74.030416666666696</v>
      </c>
      <c r="AC1773" s="2">
        <v>2570</v>
      </c>
      <c r="AD1773" s="2">
        <v>10</v>
      </c>
      <c r="AE1773" s="2" t="s">
        <v>59</v>
      </c>
      <c r="AF1773" s="2" t="s">
        <v>86</v>
      </c>
      <c r="AG1773" s="2" t="s">
        <v>61</v>
      </c>
      <c r="AH1773" s="2" t="s">
        <v>62</v>
      </c>
      <c r="AI1773" s="2" t="s">
        <v>87</v>
      </c>
      <c r="AJ1773" s="2">
        <v>1.22047390342675</v>
      </c>
      <c r="AK1773" s="2">
        <v>1.3963319308167601</v>
      </c>
      <c r="AL1773" s="2">
        <v>0.47692486086577601</v>
      </c>
      <c r="AM1773" s="2">
        <v>0.12464680248371</v>
      </c>
      <c r="AN1773" s="2">
        <v>4.0961856200613402</v>
      </c>
      <c r="AO1773" s="2">
        <v>0.53020068907777695</v>
      </c>
      <c r="AP1773" s="2">
        <v>0.53020068907777695</v>
      </c>
      <c r="AQ1773" s="2">
        <v>0</v>
      </c>
      <c r="AR1773" s="2">
        <v>0</v>
      </c>
      <c r="AS1773" s="2">
        <v>0</v>
      </c>
      <c r="AT1773" s="2">
        <v>0</v>
      </c>
      <c r="AU1773" s="2">
        <v>6</v>
      </c>
      <c r="AV1773" s="2">
        <v>133</v>
      </c>
      <c r="AW1773" s="2">
        <v>0</v>
      </c>
      <c r="AX1773" s="2">
        <v>0</v>
      </c>
      <c r="AY1773" s="2">
        <v>15.5</v>
      </c>
      <c r="AZ1773" s="2">
        <v>2.4</v>
      </c>
      <c r="BA1773" s="2">
        <v>10.9</v>
      </c>
      <c r="BB1773" s="2">
        <v>564</v>
      </c>
      <c r="BC1773" s="2">
        <v>68</v>
      </c>
      <c r="BD1773" s="2">
        <v>1.5</v>
      </c>
      <c r="BE1773" s="2">
        <v>135</v>
      </c>
      <c r="BF1773" s="2">
        <v>0</v>
      </c>
      <c r="BG1773" s="2">
        <v>162</v>
      </c>
      <c r="BH1773" s="2">
        <v>9.1</v>
      </c>
      <c r="BI1773" s="2">
        <v>9.1999999999999993</v>
      </c>
      <c r="BJ1773" s="2">
        <v>18.3</v>
      </c>
      <c r="BK1773" s="2">
        <v>0.34</v>
      </c>
      <c r="BL1773" s="2">
        <v>7.3</v>
      </c>
      <c r="BM1773" s="2">
        <v>0.9</v>
      </c>
      <c r="BN1773" s="2">
        <v>7.5</v>
      </c>
      <c r="BO1773" s="2">
        <v>2.9</v>
      </c>
      <c r="BP1773" s="2">
        <f t="shared" si="54"/>
        <v>2.0376460661025519</v>
      </c>
      <c r="BQ1773" s="2">
        <f t="shared" si="55"/>
        <v>10.06844170085844</v>
      </c>
    </row>
    <row r="1774" spans="1:69" x14ac:dyDescent="0.2">
      <c r="A1774" s="2" t="s">
        <v>3695</v>
      </c>
      <c r="B1774" s="2" t="s">
        <v>47</v>
      </c>
      <c r="C1774" s="2" t="s">
        <v>3273</v>
      </c>
      <c r="D1774" s="2" t="s">
        <v>49</v>
      </c>
      <c r="E1774" s="2" t="s">
        <v>81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89</v>
      </c>
      <c r="L1774" s="6" t="s">
        <v>90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3696</v>
      </c>
      <c r="R1774" s="2">
        <v>11596203.619999999</v>
      </c>
      <c r="S1774" s="2">
        <v>0</v>
      </c>
      <c r="T1774" s="2" t="s">
        <v>83</v>
      </c>
      <c r="U1774" s="2" t="s">
        <v>84</v>
      </c>
      <c r="V1774" s="2" t="s">
        <v>56</v>
      </c>
      <c r="W1774" s="2" t="s">
        <v>83</v>
      </c>
      <c r="X1774" s="2" t="s">
        <v>85</v>
      </c>
      <c r="Y1774" s="2">
        <v>2.15835507986688</v>
      </c>
      <c r="Z1774" s="2">
        <v>2158.3550798668798</v>
      </c>
      <c r="AA1774" s="2">
        <v>4.71035</v>
      </c>
      <c r="AB1774" s="2">
        <v>-74.030416666666696</v>
      </c>
      <c r="AC1774" s="2">
        <v>2570</v>
      </c>
      <c r="AD1774" s="2">
        <v>10</v>
      </c>
      <c r="AE1774" s="2" t="s">
        <v>59</v>
      </c>
      <c r="AF1774" s="2" t="s">
        <v>86</v>
      </c>
      <c r="AG1774" s="2" t="s">
        <v>61</v>
      </c>
      <c r="AH1774" s="2" t="s">
        <v>62</v>
      </c>
      <c r="AI1774" s="2" t="s">
        <v>87</v>
      </c>
      <c r="AJ1774" s="2">
        <v>0.94245533860353203</v>
      </c>
      <c r="AK1774" s="2">
        <v>2.3438666426082202</v>
      </c>
      <c r="AL1774" s="2">
        <v>0.82492945529386197</v>
      </c>
      <c r="AM1774" s="2">
        <v>8.2565042794526297E-2</v>
      </c>
      <c r="AN1774" s="2">
        <v>4.8425606954523097</v>
      </c>
      <c r="AO1774" s="2">
        <v>0.13438200619400001</v>
      </c>
      <c r="AP1774" s="2">
        <v>0.13438200619400001</v>
      </c>
      <c r="AQ1774" s="2">
        <v>0</v>
      </c>
      <c r="AR1774" s="2">
        <v>2</v>
      </c>
      <c r="AS1774" s="2">
        <v>0</v>
      </c>
      <c r="AT1774" s="2">
        <v>0</v>
      </c>
      <c r="AU1774" s="2">
        <v>1</v>
      </c>
      <c r="AV1774" s="2">
        <v>193</v>
      </c>
      <c r="AW1774" s="2">
        <v>0</v>
      </c>
      <c r="AX1774" s="2">
        <v>0</v>
      </c>
      <c r="AY1774" s="2">
        <v>15.5</v>
      </c>
      <c r="AZ1774" s="2">
        <v>2.4</v>
      </c>
      <c r="BA1774" s="2">
        <v>10.9</v>
      </c>
      <c r="BB1774" s="2">
        <v>564</v>
      </c>
      <c r="BC1774" s="2">
        <v>68</v>
      </c>
      <c r="BD1774" s="2">
        <v>1.5</v>
      </c>
      <c r="BE1774" s="2">
        <v>135</v>
      </c>
      <c r="BF1774" s="2">
        <v>0</v>
      </c>
      <c r="BG1774" s="2">
        <v>162</v>
      </c>
      <c r="BH1774" s="2">
        <v>9.1</v>
      </c>
      <c r="BI1774" s="2">
        <v>9.1999999999999993</v>
      </c>
      <c r="BJ1774" s="2">
        <v>18.3</v>
      </c>
      <c r="BK1774" s="2">
        <v>0.34</v>
      </c>
      <c r="BL1774" s="2">
        <v>7.3</v>
      </c>
      <c r="BM1774" s="2">
        <v>0.9</v>
      </c>
      <c r="BN1774" s="2">
        <v>7.5</v>
      </c>
      <c r="BO1774" s="2">
        <v>2.9</v>
      </c>
      <c r="BP1774" s="2">
        <f t="shared" si="54"/>
        <v>2.1568097469563163</v>
      </c>
      <c r="BQ1774" s="2">
        <f t="shared" si="55"/>
        <v>10.349748990775367</v>
      </c>
    </row>
    <row r="1775" spans="1:69" x14ac:dyDescent="0.2">
      <c r="A1775" s="2" t="s">
        <v>4317</v>
      </c>
      <c r="B1775" s="2" t="s">
        <v>47</v>
      </c>
      <c r="C1775" s="2" t="s">
        <v>3273</v>
      </c>
      <c r="D1775" s="2" t="s">
        <v>49</v>
      </c>
      <c r="E1775" s="2" t="s">
        <v>262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89</v>
      </c>
      <c r="L1775" s="6" t="s">
        <v>112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4318</v>
      </c>
      <c r="R1775" s="2">
        <v>6238086.9869999997</v>
      </c>
      <c r="S1775" s="2">
        <v>0</v>
      </c>
      <c r="T1775" s="2" t="s">
        <v>83</v>
      </c>
      <c r="U1775" s="2" t="s">
        <v>84</v>
      </c>
      <c r="V1775" s="2" t="s">
        <v>56</v>
      </c>
      <c r="W1775" s="2" t="s">
        <v>83</v>
      </c>
      <c r="X1775" s="2" t="s">
        <v>85</v>
      </c>
      <c r="Y1775" s="2">
        <v>1.7765291815497499</v>
      </c>
      <c r="Z1775" s="2">
        <v>1776.5291815497501</v>
      </c>
      <c r="AA1775" s="2">
        <v>4.71035</v>
      </c>
      <c r="AB1775" s="2">
        <v>-74.030416666666696</v>
      </c>
      <c r="AC1775" s="2">
        <v>2570</v>
      </c>
      <c r="AD1775" s="2">
        <v>10</v>
      </c>
      <c r="AE1775" s="2" t="s">
        <v>59</v>
      </c>
      <c r="AF1775" s="2" t="s">
        <v>86</v>
      </c>
      <c r="AG1775" s="2" t="s">
        <v>61</v>
      </c>
      <c r="AH1775" s="2" t="s">
        <v>62</v>
      </c>
      <c r="AI1775" s="2" t="s">
        <v>87</v>
      </c>
      <c r="AJ1775" s="2">
        <v>1.8104404314657601</v>
      </c>
      <c r="AK1775" s="2">
        <v>1.35872679542601</v>
      </c>
      <c r="AL1775" s="2">
        <v>1.0060860746575899</v>
      </c>
      <c r="AM1775" s="2">
        <v>0.183565978433581</v>
      </c>
      <c r="AN1775" s="2">
        <v>1.9208286611784999</v>
      </c>
      <c r="AO1775" s="2">
        <v>8.9655088915390202E-2</v>
      </c>
      <c r="AP1775" s="2">
        <v>8.9655088915390202E-2</v>
      </c>
      <c r="AQ1775" s="2">
        <v>0</v>
      </c>
      <c r="AR1775" s="2">
        <v>0</v>
      </c>
      <c r="AS1775" s="2">
        <v>0</v>
      </c>
      <c r="AT1775" s="2">
        <v>0</v>
      </c>
      <c r="AU1775" s="2">
        <v>0</v>
      </c>
      <c r="AV1775" s="2">
        <v>10</v>
      </c>
      <c r="AW1775" s="2">
        <v>0</v>
      </c>
      <c r="AX1775" s="2">
        <v>0</v>
      </c>
      <c r="AY1775" s="2">
        <v>15.5</v>
      </c>
      <c r="AZ1775" s="2">
        <v>2.4</v>
      </c>
      <c r="BA1775" s="2">
        <v>10.9</v>
      </c>
      <c r="BB1775" s="2">
        <v>564</v>
      </c>
      <c r="BC1775" s="2">
        <v>68</v>
      </c>
      <c r="BD1775" s="2">
        <v>1.5</v>
      </c>
      <c r="BE1775" s="2">
        <v>135</v>
      </c>
      <c r="BF1775" s="2">
        <v>0</v>
      </c>
      <c r="BG1775" s="2">
        <v>162</v>
      </c>
      <c r="BH1775" s="2">
        <v>9.1</v>
      </c>
      <c r="BI1775" s="2">
        <v>9.1999999999999993</v>
      </c>
      <c r="BJ1775" s="2">
        <v>18.3</v>
      </c>
      <c r="BK1775" s="2">
        <v>0.34</v>
      </c>
      <c r="BL1775" s="2">
        <v>7.3</v>
      </c>
      <c r="BM1775" s="2">
        <v>0.9</v>
      </c>
      <c r="BN1775" s="2">
        <v>7.5</v>
      </c>
      <c r="BO1775" s="2">
        <v>2.9</v>
      </c>
      <c r="BP1775" s="2">
        <f t="shared" si="54"/>
        <v>2.1979619461043121</v>
      </c>
      <c r="BQ1775" s="2">
        <f t="shared" si="55"/>
        <v>10.44502813750352</v>
      </c>
    </row>
    <row r="1776" spans="1:69" x14ac:dyDescent="0.2">
      <c r="A1776" s="2" t="s">
        <v>410</v>
      </c>
      <c r="B1776" s="2" t="s">
        <v>47</v>
      </c>
      <c r="C1776" s="2" t="s">
        <v>48</v>
      </c>
      <c r="D1776" s="2" t="s">
        <v>49</v>
      </c>
      <c r="E1776" s="2" t="s">
        <v>411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89</v>
      </c>
      <c r="L1776" s="6" t="s">
        <v>90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412</v>
      </c>
      <c r="R1776" s="2">
        <v>8688097.307</v>
      </c>
      <c r="S1776" s="2">
        <v>0</v>
      </c>
      <c r="T1776" s="2" t="s">
        <v>83</v>
      </c>
      <c r="U1776" s="2" t="s">
        <v>84</v>
      </c>
      <c r="V1776" s="2" t="s">
        <v>56</v>
      </c>
      <c r="W1776" s="2" t="s">
        <v>83</v>
      </c>
      <c r="X1776" s="2" t="s">
        <v>85</v>
      </c>
      <c r="Y1776" s="2">
        <v>3.4120821554732901</v>
      </c>
      <c r="Z1776" s="2">
        <v>3412.0821554732902</v>
      </c>
      <c r="AA1776" s="2">
        <v>4.71035</v>
      </c>
      <c r="AB1776" s="2">
        <v>-74.030416666666696</v>
      </c>
      <c r="AC1776" s="2">
        <v>2570</v>
      </c>
      <c r="AD1776" s="2">
        <v>10</v>
      </c>
      <c r="AE1776" s="2" t="s">
        <v>59</v>
      </c>
      <c r="AF1776" s="2" t="s">
        <v>86</v>
      </c>
      <c r="AG1776" s="2" t="s">
        <v>61</v>
      </c>
      <c r="AH1776" s="2" t="s">
        <v>62</v>
      </c>
      <c r="AI1776" s="2" t="s">
        <v>100</v>
      </c>
      <c r="AJ1776" s="2">
        <v>0.22574089525166099</v>
      </c>
      <c r="AK1776" s="2">
        <v>2.9154925192772199</v>
      </c>
      <c r="AL1776" s="2">
        <v>0.80742036155716301</v>
      </c>
      <c r="AM1776" s="2">
        <v>6.8384430877961505E-2</v>
      </c>
      <c r="AN1776" s="2">
        <v>3.6109413621720199</v>
      </c>
      <c r="AO1776" s="2">
        <v>7.2039601100171102E-2</v>
      </c>
      <c r="AP1776" s="2">
        <v>7.2039601100171102E-2</v>
      </c>
      <c r="AQ1776" s="2">
        <v>2</v>
      </c>
      <c r="AR1776" s="2">
        <v>2</v>
      </c>
      <c r="AS1776" s="2">
        <v>0</v>
      </c>
      <c r="AT1776" s="2">
        <v>0</v>
      </c>
      <c r="AU1776" s="2">
        <v>1</v>
      </c>
      <c r="AV1776" s="2">
        <v>151</v>
      </c>
      <c r="AW1776" s="2">
        <v>0</v>
      </c>
      <c r="AX1776" s="2">
        <v>0</v>
      </c>
      <c r="AY1776" s="2">
        <v>15.5</v>
      </c>
      <c r="AZ1776" s="2">
        <v>2.4</v>
      </c>
      <c r="BA1776" s="2">
        <v>10.9</v>
      </c>
      <c r="BB1776" s="2">
        <v>564</v>
      </c>
      <c r="BC1776" s="2">
        <v>68</v>
      </c>
      <c r="BD1776" s="2">
        <v>1.5</v>
      </c>
      <c r="BE1776" s="2">
        <v>135</v>
      </c>
      <c r="BF1776" s="2">
        <v>0</v>
      </c>
      <c r="BG1776" s="2">
        <v>162</v>
      </c>
      <c r="BH1776" s="2">
        <v>9.1</v>
      </c>
      <c r="BI1776" s="2">
        <v>9.1999999999999993</v>
      </c>
      <c r="BJ1776" s="2">
        <v>18.3</v>
      </c>
      <c r="BK1776" s="2">
        <v>0.34</v>
      </c>
      <c r="BL1776" s="2">
        <v>7.3</v>
      </c>
      <c r="BM1776" s="2">
        <v>0.9</v>
      </c>
      <c r="BN1776" s="2">
        <v>7.5</v>
      </c>
      <c r="BO1776" s="2">
        <v>2.9</v>
      </c>
      <c r="BP1776" s="2">
        <f t="shared" si="54"/>
        <v>2.027027979255398</v>
      </c>
      <c r="BQ1776" s="2">
        <f t="shared" si="55"/>
        <v>10.042969299525275</v>
      </c>
    </row>
    <row r="1777" spans="1:69" x14ac:dyDescent="0.2">
      <c r="A1777" s="2" t="s">
        <v>110</v>
      </c>
      <c r="B1777" s="2" t="s">
        <v>47</v>
      </c>
      <c r="C1777" s="2" t="s">
        <v>48</v>
      </c>
      <c r="D1777" s="2" t="s">
        <v>49</v>
      </c>
      <c r="E1777" s="2" t="s">
        <v>111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89</v>
      </c>
      <c r="L1777" s="6" t="s">
        <v>112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113</v>
      </c>
      <c r="R1777" s="2">
        <v>12807017.539999999</v>
      </c>
      <c r="S1777" s="2">
        <v>0</v>
      </c>
      <c r="T1777" s="2" t="s">
        <v>83</v>
      </c>
      <c r="U1777" s="2" t="s">
        <v>84</v>
      </c>
      <c r="V1777" s="2" t="s">
        <v>56</v>
      </c>
      <c r="W1777" s="2" t="s">
        <v>83</v>
      </c>
      <c r="X1777" s="2" t="s">
        <v>85</v>
      </c>
      <c r="Y1777" s="2">
        <v>3.9694002358084899</v>
      </c>
      <c r="Z1777" s="2">
        <v>3969.4002358084899</v>
      </c>
      <c r="AA1777" s="2">
        <v>4.71035</v>
      </c>
      <c r="AB1777" s="2">
        <v>-74.030416666666696</v>
      </c>
      <c r="AC1777" s="2">
        <v>2570</v>
      </c>
      <c r="AD1777" s="2">
        <v>10</v>
      </c>
      <c r="AE1777" s="2" t="s">
        <v>59</v>
      </c>
      <c r="AF1777" s="2" t="s">
        <v>86</v>
      </c>
      <c r="AG1777" s="2" t="s">
        <v>61</v>
      </c>
      <c r="AH1777" s="2" t="s">
        <v>62</v>
      </c>
      <c r="AI1777" s="2" t="s">
        <v>109</v>
      </c>
      <c r="AJ1777" s="2">
        <v>0.32930695294947299</v>
      </c>
      <c r="AK1777" s="2">
        <v>2.0339339348312202</v>
      </c>
      <c r="AL1777" s="2">
        <v>0.27521803993845501</v>
      </c>
      <c r="AM1777" s="2">
        <v>0.12097458372891901</v>
      </c>
      <c r="AN1777" s="2">
        <v>3.2180368637522401</v>
      </c>
      <c r="AO1777" s="2">
        <v>0.388601427526586</v>
      </c>
      <c r="AP1777" s="2">
        <v>0.388601427526586</v>
      </c>
      <c r="AQ1777" s="2">
        <v>1</v>
      </c>
      <c r="AR1777" s="2">
        <v>3</v>
      </c>
      <c r="AS1777" s="2">
        <v>0</v>
      </c>
      <c r="AT1777" s="2">
        <v>0</v>
      </c>
      <c r="AU1777" s="2">
        <v>5</v>
      </c>
      <c r="AV1777" s="2">
        <v>255</v>
      </c>
      <c r="AW1777" s="2">
        <v>0</v>
      </c>
      <c r="AX1777" s="2">
        <v>0</v>
      </c>
      <c r="AY1777" s="2">
        <v>15.5</v>
      </c>
      <c r="AZ1777" s="2">
        <v>2.4</v>
      </c>
      <c r="BA1777" s="2">
        <v>10.9</v>
      </c>
      <c r="BB1777" s="2">
        <v>564</v>
      </c>
      <c r="BC1777" s="2">
        <v>68</v>
      </c>
      <c r="BD1777" s="2">
        <v>1.5</v>
      </c>
      <c r="BE1777" s="2">
        <v>135</v>
      </c>
      <c r="BF1777" s="2">
        <v>0</v>
      </c>
      <c r="BG1777" s="2">
        <v>162</v>
      </c>
      <c r="BH1777" s="2">
        <v>9.1</v>
      </c>
      <c r="BI1777" s="2">
        <v>9.1999999999999993</v>
      </c>
      <c r="BJ1777" s="2">
        <v>18.3</v>
      </c>
      <c r="BK1777" s="2">
        <v>0.34</v>
      </c>
      <c r="BL1777" s="2">
        <v>7.3</v>
      </c>
      <c r="BM1777" s="2">
        <v>0.9</v>
      </c>
      <c r="BN1777" s="2">
        <v>7.5</v>
      </c>
      <c r="BO1777" s="2">
        <v>2.9</v>
      </c>
      <c r="BP1777" s="2">
        <f t="shared" si="54"/>
        <v>1.9718721583999079</v>
      </c>
      <c r="BQ1777" s="2">
        <f t="shared" si="55"/>
        <v>9.9095326081892345</v>
      </c>
    </row>
    <row r="1778" spans="1:69" x14ac:dyDescent="0.2">
      <c r="A1778" s="2" t="s">
        <v>4266</v>
      </c>
      <c r="B1778" s="2" t="s">
        <v>47</v>
      </c>
      <c r="C1778" s="2" t="s">
        <v>3273</v>
      </c>
      <c r="D1778" s="2" t="s">
        <v>49</v>
      </c>
      <c r="E1778" s="2" t="s">
        <v>1053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89</v>
      </c>
      <c r="L1778" s="6" t="s">
        <v>103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4267</v>
      </c>
      <c r="R1778" s="2">
        <v>9122807.0179999992</v>
      </c>
      <c r="S1778" s="2">
        <v>0</v>
      </c>
      <c r="T1778" s="2" t="s">
        <v>83</v>
      </c>
      <c r="U1778" s="2" t="s">
        <v>84</v>
      </c>
      <c r="V1778" s="2" t="s">
        <v>56</v>
      </c>
      <c r="W1778" s="2" t="s">
        <v>83</v>
      </c>
      <c r="X1778" s="2" t="s">
        <v>85</v>
      </c>
      <c r="Y1778" s="2">
        <v>3.9445859093920999</v>
      </c>
      <c r="Z1778" s="2">
        <v>3944.5859093920999</v>
      </c>
      <c r="AA1778" s="2">
        <v>4.71035</v>
      </c>
      <c r="AB1778" s="2">
        <v>-74.030416666666696</v>
      </c>
      <c r="AC1778" s="2">
        <v>2570</v>
      </c>
      <c r="AD1778" s="2">
        <v>10</v>
      </c>
      <c r="AE1778" s="2" t="s">
        <v>59</v>
      </c>
      <c r="AF1778" s="2" t="s">
        <v>86</v>
      </c>
      <c r="AG1778" s="2" t="s">
        <v>61</v>
      </c>
      <c r="AH1778" s="2" t="s">
        <v>62</v>
      </c>
      <c r="AI1778" s="2" t="s">
        <v>109</v>
      </c>
      <c r="AJ1778" s="2">
        <v>0.28604672927352398</v>
      </c>
      <c r="AK1778" s="2">
        <v>2.1566229115380202</v>
      </c>
      <c r="AL1778" s="2">
        <v>0.299051535238261</v>
      </c>
      <c r="AM1778" s="2">
        <v>7.8980258519558699E-2</v>
      </c>
      <c r="AN1778" s="2">
        <v>3.1874100342568301</v>
      </c>
      <c r="AO1778" s="2">
        <v>0.35169521121078201</v>
      </c>
      <c r="AP1778" s="2">
        <v>0.35169521121078201</v>
      </c>
      <c r="AQ1778" s="2">
        <v>1</v>
      </c>
      <c r="AR1778" s="2">
        <v>3</v>
      </c>
      <c r="AS1778" s="2">
        <v>0</v>
      </c>
      <c r="AT1778" s="2">
        <v>0</v>
      </c>
      <c r="AU1778" s="2">
        <v>5</v>
      </c>
      <c r="AV1778" s="2">
        <v>256</v>
      </c>
      <c r="AW1778" s="2">
        <v>0</v>
      </c>
      <c r="AX1778" s="2">
        <v>0</v>
      </c>
      <c r="AY1778" s="2">
        <v>15.5</v>
      </c>
      <c r="AZ1778" s="2">
        <v>2.4</v>
      </c>
      <c r="BA1778" s="2">
        <v>10.9</v>
      </c>
      <c r="BB1778" s="2">
        <v>564</v>
      </c>
      <c r="BC1778" s="2">
        <v>68</v>
      </c>
      <c r="BD1778" s="2">
        <v>1.5</v>
      </c>
      <c r="BE1778" s="2">
        <v>135</v>
      </c>
      <c r="BF1778" s="2">
        <v>0</v>
      </c>
      <c r="BG1778" s="2">
        <v>162</v>
      </c>
      <c r="BH1778" s="2">
        <v>9.1</v>
      </c>
      <c r="BI1778" s="2">
        <v>9.1999999999999993</v>
      </c>
      <c r="BJ1778" s="2">
        <v>18.3</v>
      </c>
      <c r="BK1778" s="2">
        <v>0.34</v>
      </c>
      <c r="BL1778" s="2">
        <v>7.3</v>
      </c>
      <c r="BM1778" s="2">
        <v>0.9</v>
      </c>
      <c r="BN1778" s="2">
        <v>7.5</v>
      </c>
      <c r="BO1778" s="2">
        <v>2.9</v>
      </c>
      <c r="BP1778" s="2">
        <f t="shared" si="54"/>
        <v>1.9742957151634821</v>
      </c>
      <c r="BQ1778" s="2">
        <f t="shared" si="55"/>
        <v>9.915435926899848</v>
      </c>
    </row>
    <row r="1779" spans="1:69" x14ac:dyDescent="0.2">
      <c r="A1779" s="2" t="s">
        <v>261</v>
      </c>
      <c r="B1779" s="2" t="s">
        <v>47</v>
      </c>
      <c r="C1779" s="2" t="s">
        <v>48</v>
      </c>
      <c r="D1779" s="2" t="s">
        <v>49</v>
      </c>
      <c r="E1779" s="2" t="s">
        <v>262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89</v>
      </c>
      <c r="L1779" s="6" t="s">
        <v>112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263</v>
      </c>
      <c r="R1779" s="2">
        <v>8719298.2459999993</v>
      </c>
      <c r="S1779" s="2">
        <v>0</v>
      </c>
      <c r="T1779" s="2" t="s">
        <v>83</v>
      </c>
      <c r="U1779" s="2" t="s">
        <v>84</v>
      </c>
      <c r="V1779" s="2" t="s">
        <v>56</v>
      </c>
      <c r="W1779" s="2" t="s">
        <v>83</v>
      </c>
      <c r="X1779" s="2" t="s">
        <v>85</v>
      </c>
      <c r="Y1779" s="2">
        <v>1.73234770022512</v>
      </c>
      <c r="Z1779" s="2">
        <v>1732.34770022512</v>
      </c>
      <c r="AA1779" s="2">
        <v>4.71035</v>
      </c>
      <c r="AB1779" s="2">
        <v>-74.030416666666696</v>
      </c>
      <c r="AC1779" s="2">
        <v>2570</v>
      </c>
      <c r="AD1779" s="2">
        <v>10</v>
      </c>
      <c r="AE1779" s="2" t="s">
        <v>59</v>
      </c>
      <c r="AF1779" s="2" t="s">
        <v>86</v>
      </c>
      <c r="AG1779" s="2" t="s">
        <v>61</v>
      </c>
      <c r="AH1779" s="2" t="s">
        <v>62</v>
      </c>
      <c r="AI1779" s="2" t="s">
        <v>87</v>
      </c>
      <c r="AJ1779" s="2">
        <v>1.97987960330599</v>
      </c>
      <c r="AK1779" s="2">
        <v>1.20284604492058</v>
      </c>
      <c r="AL1779" s="2">
        <v>1.1294683749113501</v>
      </c>
      <c r="AM1779" s="2">
        <v>0.29067485580582297</v>
      </c>
      <c r="AN1779" s="2">
        <v>1.8654018762292099</v>
      </c>
      <c r="AO1779" s="2">
        <v>0.24990711182787001</v>
      </c>
      <c r="AP1779" s="2">
        <v>0.24990711182787001</v>
      </c>
      <c r="AQ1779" s="2">
        <v>0</v>
      </c>
      <c r="AR1779" s="2">
        <v>0</v>
      </c>
      <c r="AS1779" s="2">
        <v>0</v>
      </c>
      <c r="AT1779" s="2">
        <v>0</v>
      </c>
      <c r="AU1779" s="2">
        <v>0</v>
      </c>
      <c r="AV1779" s="2">
        <v>11</v>
      </c>
      <c r="AW1779" s="2">
        <v>0</v>
      </c>
      <c r="AX1779" s="2">
        <v>0</v>
      </c>
      <c r="AY1779" s="2">
        <v>15.5</v>
      </c>
      <c r="AZ1779" s="2">
        <v>2.4</v>
      </c>
      <c r="BA1779" s="2">
        <v>10.9</v>
      </c>
      <c r="BB1779" s="2">
        <v>564</v>
      </c>
      <c r="BC1779" s="2">
        <v>68</v>
      </c>
      <c r="BD1779" s="2">
        <v>1.5</v>
      </c>
      <c r="BE1779" s="2">
        <v>135</v>
      </c>
      <c r="BF1779" s="2">
        <v>0</v>
      </c>
      <c r="BG1779" s="2">
        <v>162</v>
      </c>
      <c r="BH1779" s="2">
        <v>9.1</v>
      </c>
      <c r="BI1779" s="2">
        <v>9.1999999999999993</v>
      </c>
      <c r="BJ1779" s="2">
        <v>18.3</v>
      </c>
      <c r="BK1779" s="2">
        <v>0.34</v>
      </c>
      <c r="BL1779" s="2">
        <v>7.3</v>
      </c>
      <c r="BM1779" s="2">
        <v>0.9</v>
      </c>
      <c r="BN1779" s="2">
        <v>7.5</v>
      </c>
      <c r="BO1779" s="2">
        <v>2.9</v>
      </c>
      <c r="BP1779" s="2">
        <f t="shared" si="54"/>
        <v>2.2027741123763684</v>
      </c>
      <c r="BQ1779" s="2">
        <f t="shared" si="55"/>
        <v>10.456109455107782</v>
      </c>
    </row>
    <row r="1780" spans="1:69" x14ac:dyDescent="0.2">
      <c r="A1780" s="2" t="s">
        <v>3565</v>
      </c>
      <c r="B1780" s="2" t="s">
        <v>47</v>
      </c>
      <c r="C1780" s="2" t="s">
        <v>3273</v>
      </c>
      <c r="D1780" s="2" t="s">
        <v>49</v>
      </c>
      <c r="E1780" s="2" t="s">
        <v>316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89</v>
      </c>
      <c r="L1780" s="6" t="s">
        <v>112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3566</v>
      </c>
      <c r="R1780" s="2">
        <v>10877192.98</v>
      </c>
      <c r="S1780" s="2">
        <v>0</v>
      </c>
      <c r="T1780" s="2" t="s">
        <v>83</v>
      </c>
      <c r="U1780" s="2" t="s">
        <v>84</v>
      </c>
      <c r="V1780" s="2" t="s">
        <v>56</v>
      </c>
      <c r="W1780" s="2" t="s">
        <v>83</v>
      </c>
      <c r="X1780" s="2" t="s">
        <v>85</v>
      </c>
      <c r="Y1780" s="2">
        <v>1.6984465047617201</v>
      </c>
      <c r="Z1780" s="2">
        <v>1698.44650476172</v>
      </c>
      <c r="AA1780" s="2">
        <v>4.71035</v>
      </c>
      <c r="AB1780" s="2">
        <v>-74.030416666666696</v>
      </c>
      <c r="AC1780" s="2">
        <v>2570</v>
      </c>
      <c r="AD1780" s="2">
        <v>10</v>
      </c>
      <c r="AE1780" s="2" t="s">
        <v>59</v>
      </c>
      <c r="AF1780" s="2" t="s">
        <v>86</v>
      </c>
      <c r="AG1780" s="2" t="s">
        <v>61</v>
      </c>
      <c r="AH1780" s="2" t="s">
        <v>62</v>
      </c>
      <c r="AI1780" s="2" t="s">
        <v>87</v>
      </c>
      <c r="AJ1780" s="2">
        <v>1.20590221366853</v>
      </c>
      <c r="AK1780" s="2">
        <v>1.99335006952162</v>
      </c>
      <c r="AL1780" s="2">
        <v>1.2356561244448001</v>
      </c>
      <c r="AM1780" s="2">
        <v>6.07017459201094E-2</v>
      </c>
      <c r="AN1780" s="2">
        <v>4.6980161366539201</v>
      </c>
      <c r="AO1780" s="2">
        <v>0.183478951823453</v>
      </c>
      <c r="AP1780" s="2">
        <v>0.183478951823453</v>
      </c>
      <c r="AQ1780" s="2">
        <v>0</v>
      </c>
      <c r="AR1780" s="2">
        <v>0</v>
      </c>
      <c r="AS1780" s="2">
        <v>0</v>
      </c>
      <c r="AT1780" s="2">
        <v>0</v>
      </c>
      <c r="AU1780" s="2">
        <v>0</v>
      </c>
      <c r="AV1780" s="2">
        <v>142</v>
      </c>
      <c r="AW1780" s="2">
        <v>0</v>
      </c>
      <c r="AX1780" s="2">
        <v>0</v>
      </c>
      <c r="AY1780" s="2">
        <v>15.5</v>
      </c>
      <c r="AZ1780" s="2">
        <v>2.4</v>
      </c>
      <c r="BA1780" s="2">
        <v>10.9</v>
      </c>
      <c r="BB1780" s="2">
        <v>564</v>
      </c>
      <c r="BC1780" s="2">
        <v>68</v>
      </c>
      <c r="BD1780" s="2">
        <v>1.5</v>
      </c>
      <c r="BE1780" s="2">
        <v>135</v>
      </c>
      <c r="BF1780" s="2">
        <v>0</v>
      </c>
      <c r="BG1780" s="2">
        <v>162</v>
      </c>
      <c r="BH1780" s="2">
        <v>9.1</v>
      </c>
      <c r="BI1780" s="2">
        <v>9.1999999999999993</v>
      </c>
      <c r="BJ1780" s="2">
        <v>18.3</v>
      </c>
      <c r="BK1780" s="2">
        <v>0.34</v>
      </c>
      <c r="BL1780" s="2">
        <v>7.3</v>
      </c>
      <c r="BM1780" s="2">
        <v>0.9</v>
      </c>
      <c r="BN1780" s="2">
        <v>7.5</v>
      </c>
      <c r="BO1780" s="2">
        <v>2.9</v>
      </c>
      <c r="BP1780" s="2">
        <f t="shared" si="54"/>
        <v>2.2064737111228783</v>
      </c>
      <c r="BQ1780" s="2">
        <f t="shared" si="55"/>
        <v>10.464620307625353</v>
      </c>
    </row>
    <row r="1781" spans="1:69" x14ac:dyDescent="0.2">
      <c r="A1781" s="2" t="s">
        <v>1257</v>
      </c>
      <c r="B1781" s="2" t="s">
        <v>47</v>
      </c>
      <c r="C1781" s="2" t="s">
        <v>48</v>
      </c>
      <c r="D1781" s="2" t="s">
        <v>49</v>
      </c>
      <c r="E1781" s="2" t="s">
        <v>1258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89</v>
      </c>
      <c r="L1781" s="6" t="s">
        <v>141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1259</v>
      </c>
      <c r="R1781" s="2">
        <v>6987440.2970000003</v>
      </c>
      <c r="S1781" s="2">
        <v>0</v>
      </c>
      <c r="T1781" s="2" t="s">
        <v>83</v>
      </c>
      <c r="U1781" s="2" t="s">
        <v>84</v>
      </c>
      <c r="V1781" s="2" t="s">
        <v>56</v>
      </c>
      <c r="W1781" s="2" t="s">
        <v>83</v>
      </c>
      <c r="X1781" s="2" t="s">
        <v>85</v>
      </c>
      <c r="Y1781" s="2">
        <v>3.1339871377043802</v>
      </c>
      <c r="Z1781" s="2">
        <v>3133.9871377043801</v>
      </c>
      <c r="AA1781" s="2">
        <v>4.71035</v>
      </c>
      <c r="AB1781" s="2">
        <v>-74.030416666666696</v>
      </c>
      <c r="AC1781" s="2">
        <v>2570</v>
      </c>
      <c r="AD1781" s="2">
        <v>10</v>
      </c>
      <c r="AE1781" s="2" t="s">
        <v>59</v>
      </c>
      <c r="AF1781" s="2" t="s">
        <v>86</v>
      </c>
      <c r="AG1781" s="2" t="s">
        <v>61</v>
      </c>
      <c r="AH1781" s="2" t="s">
        <v>62</v>
      </c>
      <c r="AI1781" s="2" t="s">
        <v>100</v>
      </c>
      <c r="AJ1781" s="2">
        <v>0.41920970320144602</v>
      </c>
      <c r="AK1781" s="2">
        <v>3.5996305868306901</v>
      </c>
      <c r="AL1781" s="2">
        <v>1.46858178436496</v>
      </c>
      <c r="AM1781" s="2">
        <v>6.1522397246447702E-2</v>
      </c>
      <c r="AN1781" s="2">
        <v>4.2749508009725803</v>
      </c>
      <c r="AO1781" s="2">
        <v>7.6169065404529002E-2</v>
      </c>
      <c r="AP1781" s="2">
        <v>7.6169065404529002E-2</v>
      </c>
      <c r="AQ1781" s="2">
        <v>1</v>
      </c>
      <c r="AR1781" s="2">
        <v>2</v>
      </c>
      <c r="AS1781" s="2">
        <v>0</v>
      </c>
      <c r="AT1781" s="2">
        <v>0</v>
      </c>
      <c r="AU1781" s="2">
        <v>0</v>
      </c>
      <c r="AV1781" s="2">
        <v>116</v>
      </c>
      <c r="AW1781" s="2">
        <v>0</v>
      </c>
      <c r="AX1781" s="2">
        <v>0</v>
      </c>
      <c r="AY1781" s="2">
        <v>15.5</v>
      </c>
      <c r="AZ1781" s="2">
        <v>2.4</v>
      </c>
      <c r="BA1781" s="2">
        <v>10.9</v>
      </c>
      <c r="BB1781" s="2">
        <v>564</v>
      </c>
      <c r="BC1781" s="2">
        <v>68</v>
      </c>
      <c r="BD1781" s="2">
        <v>1.5</v>
      </c>
      <c r="BE1781" s="2">
        <v>135</v>
      </c>
      <c r="BF1781" s="2">
        <v>0</v>
      </c>
      <c r="BG1781" s="2">
        <v>162</v>
      </c>
      <c r="BH1781" s="2">
        <v>9.1</v>
      </c>
      <c r="BI1781" s="2">
        <v>9.1999999999999993</v>
      </c>
      <c r="BJ1781" s="2">
        <v>18.3</v>
      </c>
      <c r="BK1781" s="2">
        <v>0.34</v>
      </c>
      <c r="BL1781" s="2">
        <v>7.3</v>
      </c>
      <c r="BM1781" s="2">
        <v>0.9</v>
      </c>
      <c r="BN1781" s="2">
        <v>7.5</v>
      </c>
      <c r="BO1781" s="2">
        <v>2.9</v>
      </c>
      <c r="BP1781" s="2">
        <f t="shared" si="54"/>
        <v>2.0551243848778107</v>
      </c>
      <c r="BQ1781" s="2">
        <f t="shared" si="55"/>
        <v>10.110223078577981</v>
      </c>
    </row>
    <row r="1782" spans="1:69" x14ac:dyDescent="0.2">
      <c r="A1782" s="2" t="s">
        <v>4286</v>
      </c>
      <c r="B1782" s="2" t="s">
        <v>47</v>
      </c>
      <c r="C1782" s="2" t="s">
        <v>3273</v>
      </c>
      <c r="D1782" s="2" t="s">
        <v>49</v>
      </c>
      <c r="E1782" s="2" t="s">
        <v>4287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89</v>
      </c>
      <c r="L1782" s="6" t="s">
        <v>94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4288</v>
      </c>
      <c r="R1782" s="2">
        <v>6725663.7170000002</v>
      </c>
      <c r="S1782" s="2">
        <v>0</v>
      </c>
      <c r="T1782" s="2" t="s">
        <v>83</v>
      </c>
      <c r="U1782" s="2" t="s">
        <v>84</v>
      </c>
      <c r="V1782" s="2" t="s">
        <v>56</v>
      </c>
      <c r="W1782" s="2" t="s">
        <v>83</v>
      </c>
      <c r="X1782" s="2" t="s">
        <v>85</v>
      </c>
      <c r="Y1782" s="2">
        <v>3.24537462534385</v>
      </c>
      <c r="Z1782" s="2">
        <v>3245.3746253438499</v>
      </c>
      <c r="AA1782" s="2">
        <v>4.71035</v>
      </c>
      <c r="AB1782" s="2">
        <v>-74.030416666666696</v>
      </c>
      <c r="AC1782" s="2">
        <v>2570</v>
      </c>
      <c r="AD1782" s="2">
        <v>10</v>
      </c>
      <c r="AE1782" s="2" t="s">
        <v>59</v>
      </c>
      <c r="AF1782" s="2" t="s">
        <v>86</v>
      </c>
      <c r="AG1782" s="2" t="s">
        <v>61</v>
      </c>
      <c r="AH1782" s="2" t="s">
        <v>62</v>
      </c>
      <c r="AI1782" s="2" t="s">
        <v>100</v>
      </c>
      <c r="AJ1782" s="2">
        <v>0.36525187808116999</v>
      </c>
      <c r="AK1782" s="2">
        <v>3.3851227265229502</v>
      </c>
      <c r="AL1782" s="2">
        <v>1.17232229664438</v>
      </c>
      <c r="AM1782" s="2">
        <v>8.5828109131404096E-2</v>
      </c>
      <c r="AN1782" s="2">
        <v>3.9512204157473398</v>
      </c>
      <c r="AO1782" s="2">
        <v>0.17129541991710101</v>
      </c>
      <c r="AP1782" s="2">
        <v>0.17129541991710101</v>
      </c>
      <c r="AQ1782" s="2">
        <v>1</v>
      </c>
      <c r="AR1782" s="2">
        <v>3</v>
      </c>
      <c r="AS1782" s="2">
        <v>0</v>
      </c>
      <c r="AT1782" s="2">
        <v>0</v>
      </c>
      <c r="AU1782" s="2">
        <v>0</v>
      </c>
      <c r="AV1782" s="2">
        <v>110</v>
      </c>
      <c r="AW1782" s="2">
        <v>0</v>
      </c>
      <c r="AX1782" s="2">
        <v>0</v>
      </c>
      <c r="AY1782" s="2">
        <v>15.5</v>
      </c>
      <c r="AZ1782" s="2">
        <v>2.4</v>
      </c>
      <c r="BA1782" s="2">
        <v>10.9</v>
      </c>
      <c r="BB1782" s="2">
        <v>564</v>
      </c>
      <c r="BC1782" s="2">
        <v>68</v>
      </c>
      <c r="BD1782" s="2">
        <v>1.5</v>
      </c>
      <c r="BE1782" s="2">
        <v>135</v>
      </c>
      <c r="BF1782" s="2">
        <v>0</v>
      </c>
      <c r="BG1782" s="2">
        <v>162</v>
      </c>
      <c r="BH1782" s="2">
        <v>9.1</v>
      </c>
      <c r="BI1782" s="2">
        <v>9.1999999999999993</v>
      </c>
      <c r="BJ1782" s="2">
        <v>18.3</v>
      </c>
      <c r="BK1782" s="2">
        <v>0.34</v>
      </c>
      <c r="BL1782" s="2">
        <v>7.3</v>
      </c>
      <c r="BM1782" s="2">
        <v>0.9</v>
      </c>
      <c r="BN1782" s="2">
        <v>7.5</v>
      </c>
      <c r="BO1782" s="2">
        <v>2.9</v>
      </c>
      <c r="BP1782" s="2">
        <f t="shared" si="54"/>
        <v>2.0438242665971855</v>
      </c>
      <c r="BQ1782" s="2">
        <f t="shared" si="55"/>
        <v>10.083231516563277</v>
      </c>
    </row>
    <row r="1783" spans="1:69" x14ac:dyDescent="0.2">
      <c r="A1783" s="2" t="s">
        <v>4177</v>
      </c>
      <c r="B1783" s="2" t="s">
        <v>47</v>
      </c>
      <c r="C1783" s="2" t="s">
        <v>3273</v>
      </c>
      <c r="D1783" s="2" t="s">
        <v>49</v>
      </c>
      <c r="E1783" s="2" t="s">
        <v>184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89</v>
      </c>
      <c r="L1783" s="6" t="s">
        <v>112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4178</v>
      </c>
      <c r="R1783" s="2">
        <v>6633201.8640000001</v>
      </c>
      <c r="S1783" s="2">
        <v>0</v>
      </c>
      <c r="T1783" s="2" t="s">
        <v>83</v>
      </c>
      <c r="U1783" s="2" t="s">
        <v>84</v>
      </c>
      <c r="V1783" s="2" t="s">
        <v>56</v>
      </c>
      <c r="W1783" s="2" t="s">
        <v>83</v>
      </c>
      <c r="X1783" s="2" t="s">
        <v>85</v>
      </c>
      <c r="Y1783" s="2">
        <v>2.2761810726473799</v>
      </c>
      <c r="Z1783" s="2">
        <v>2276.18107264738</v>
      </c>
      <c r="AA1783" s="2">
        <v>4.71035</v>
      </c>
      <c r="AB1783" s="2">
        <v>-74.030416666666696</v>
      </c>
      <c r="AC1783" s="2">
        <v>2570</v>
      </c>
      <c r="AD1783" s="2">
        <v>10</v>
      </c>
      <c r="AE1783" s="2" t="s">
        <v>59</v>
      </c>
      <c r="AF1783" s="2" t="s">
        <v>86</v>
      </c>
      <c r="AG1783" s="2" t="s">
        <v>61</v>
      </c>
      <c r="AH1783" s="2" t="s">
        <v>62</v>
      </c>
      <c r="AI1783" s="2" t="s">
        <v>87</v>
      </c>
      <c r="AJ1783" s="2">
        <v>0.83281737260024602</v>
      </c>
      <c r="AK1783" s="2">
        <v>2.2819555636655902</v>
      </c>
      <c r="AL1783" s="2">
        <v>0.78129772241053397</v>
      </c>
      <c r="AM1783" s="2">
        <v>0.27918954791081901</v>
      </c>
      <c r="AN1783" s="2">
        <v>2.4524993232584502</v>
      </c>
      <c r="AO1783" s="2">
        <v>2.4906214470763999E-3</v>
      </c>
      <c r="AP1783" s="2">
        <v>2.4906214470763999E-3</v>
      </c>
      <c r="AQ1783" s="2">
        <v>0</v>
      </c>
      <c r="AR1783" s="2">
        <v>2</v>
      </c>
      <c r="AS1783" s="2">
        <v>0</v>
      </c>
      <c r="AT1783" s="2">
        <v>0</v>
      </c>
      <c r="AU1783" s="2">
        <v>1</v>
      </c>
      <c r="AV1783" s="2">
        <v>40</v>
      </c>
      <c r="AW1783" s="2">
        <v>0</v>
      </c>
      <c r="AX1783" s="2">
        <v>0</v>
      </c>
      <c r="AY1783" s="2">
        <v>15.5</v>
      </c>
      <c r="AZ1783" s="2">
        <v>2.4</v>
      </c>
      <c r="BA1783" s="2">
        <v>10.9</v>
      </c>
      <c r="BB1783" s="2">
        <v>564</v>
      </c>
      <c r="BC1783" s="2">
        <v>68</v>
      </c>
      <c r="BD1783" s="2">
        <v>1.5</v>
      </c>
      <c r="BE1783" s="2">
        <v>135</v>
      </c>
      <c r="BF1783" s="2">
        <v>0</v>
      </c>
      <c r="BG1783" s="2">
        <v>162</v>
      </c>
      <c r="BH1783" s="2">
        <v>9.1</v>
      </c>
      <c r="BI1783" s="2">
        <v>9.1999999999999993</v>
      </c>
      <c r="BJ1783" s="2">
        <v>18.3</v>
      </c>
      <c r="BK1783" s="2">
        <v>0.34</v>
      </c>
      <c r="BL1783" s="2">
        <v>7.3</v>
      </c>
      <c r="BM1783" s="2">
        <v>0.9</v>
      </c>
      <c r="BN1783" s="2">
        <v>7.5</v>
      </c>
      <c r="BO1783" s="2">
        <v>2.9</v>
      </c>
      <c r="BP1783" s="2">
        <f t="shared" si="54"/>
        <v>2.1442670111949442</v>
      </c>
      <c r="BQ1783" s="2">
        <f t="shared" si="55"/>
        <v>10.320523066336937</v>
      </c>
    </row>
    <row r="1784" spans="1:69" x14ac:dyDescent="0.2">
      <c r="A1784" s="2" t="s">
        <v>3914</v>
      </c>
      <c r="B1784" s="2" t="s">
        <v>47</v>
      </c>
      <c r="C1784" s="2" t="s">
        <v>3273</v>
      </c>
      <c r="D1784" s="2" t="s">
        <v>49</v>
      </c>
      <c r="E1784" s="2" t="s">
        <v>81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89</v>
      </c>
      <c r="L1784" s="6" t="s">
        <v>103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3915</v>
      </c>
      <c r="R1784" s="2">
        <v>7837837.8380000005</v>
      </c>
      <c r="S1784" s="2">
        <v>0</v>
      </c>
      <c r="T1784" s="2" t="s">
        <v>83</v>
      </c>
      <c r="U1784" s="2" t="s">
        <v>84</v>
      </c>
      <c r="V1784" s="2" t="s">
        <v>56</v>
      </c>
      <c r="W1784" s="2" t="s">
        <v>83</v>
      </c>
      <c r="X1784" s="2" t="s">
        <v>85</v>
      </c>
      <c r="Y1784" s="2">
        <v>2.0584110957435202</v>
      </c>
      <c r="Z1784" s="2">
        <v>2058.41109574352</v>
      </c>
      <c r="AA1784" s="2">
        <v>4.71035</v>
      </c>
      <c r="AB1784" s="2">
        <v>-74.030416666666696</v>
      </c>
      <c r="AC1784" s="2">
        <v>2570</v>
      </c>
      <c r="AD1784" s="2">
        <v>10</v>
      </c>
      <c r="AE1784" s="2" t="s">
        <v>59</v>
      </c>
      <c r="AF1784" s="2" t="s">
        <v>86</v>
      </c>
      <c r="AG1784" s="2" t="s">
        <v>61</v>
      </c>
      <c r="AH1784" s="2" t="s">
        <v>62</v>
      </c>
      <c r="AI1784" s="2" t="s">
        <v>87</v>
      </c>
      <c r="AJ1784" s="2">
        <v>1.2917407075684499</v>
      </c>
      <c r="AK1784" s="2">
        <v>1.97484871675882</v>
      </c>
      <c r="AL1784" s="2">
        <v>0.82224242100662903</v>
      </c>
      <c r="AM1784" s="2">
        <v>3.3410271298890501E-2</v>
      </c>
      <c r="AN1784" s="2">
        <v>4.9729423154581998</v>
      </c>
      <c r="AO1784" s="2">
        <v>0.18184304983631999</v>
      </c>
      <c r="AP1784" s="2">
        <v>0.18184304983631999</v>
      </c>
      <c r="AQ1784" s="2">
        <v>0</v>
      </c>
      <c r="AR1784" s="2">
        <v>0</v>
      </c>
      <c r="AS1784" s="2">
        <v>0</v>
      </c>
      <c r="AT1784" s="2">
        <v>0</v>
      </c>
      <c r="AU1784" s="2">
        <v>1</v>
      </c>
      <c r="AV1784" s="2">
        <v>127</v>
      </c>
      <c r="AW1784" s="2">
        <v>0</v>
      </c>
      <c r="AX1784" s="2">
        <v>0</v>
      </c>
      <c r="AY1784" s="2">
        <v>15.5</v>
      </c>
      <c r="AZ1784" s="2">
        <v>2.4</v>
      </c>
      <c r="BA1784" s="2">
        <v>10.9</v>
      </c>
      <c r="BB1784" s="2">
        <v>564</v>
      </c>
      <c r="BC1784" s="2">
        <v>68</v>
      </c>
      <c r="BD1784" s="2">
        <v>1.5</v>
      </c>
      <c r="BE1784" s="2">
        <v>135</v>
      </c>
      <c r="BF1784" s="2">
        <v>0</v>
      </c>
      <c r="BG1784" s="2">
        <v>162</v>
      </c>
      <c r="BH1784" s="2">
        <v>9.1</v>
      </c>
      <c r="BI1784" s="2">
        <v>9.1999999999999993</v>
      </c>
      <c r="BJ1784" s="2">
        <v>18.3</v>
      </c>
      <c r="BK1784" s="2">
        <v>0.34</v>
      </c>
      <c r="BL1784" s="2">
        <v>7.3</v>
      </c>
      <c r="BM1784" s="2">
        <v>0.9</v>
      </c>
      <c r="BN1784" s="2">
        <v>7.5</v>
      </c>
      <c r="BO1784" s="2">
        <v>2.9</v>
      </c>
      <c r="BP1784" s="2">
        <f t="shared" si="54"/>
        <v>2.1675064124325982</v>
      </c>
      <c r="BQ1784" s="2">
        <f t="shared" si="55"/>
        <v>10.374604272059809</v>
      </c>
    </row>
    <row r="1785" spans="1:69" x14ac:dyDescent="0.2">
      <c r="A1785" s="2" t="s">
        <v>338</v>
      </c>
      <c r="B1785" s="2" t="s">
        <v>47</v>
      </c>
      <c r="C1785" s="2" t="s">
        <v>48</v>
      </c>
      <c r="D1785" s="2" t="s">
        <v>49</v>
      </c>
      <c r="E1785" s="2" t="s">
        <v>339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89</v>
      </c>
      <c r="L1785" s="6" t="s">
        <v>141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340</v>
      </c>
      <c r="R1785" s="2">
        <v>5909090.909</v>
      </c>
      <c r="S1785" s="2">
        <v>0</v>
      </c>
      <c r="T1785" s="2" t="s">
        <v>83</v>
      </c>
      <c r="U1785" s="2" t="s">
        <v>84</v>
      </c>
      <c r="V1785" s="2" t="s">
        <v>56</v>
      </c>
      <c r="W1785" s="2" t="s">
        <v>83</v>
      </c>
      <c r="X1785" s="2" t="s">
        <v>85</v>
      </c>
      <c r="Y1785" s="2">
        <v>3.5256382900018202</v>
      </c>
      <c r="Z1785" s="2">
        <v>3525.6382900018202</v>
      </c>
      <c r="AA1785" s="2">
        <v>4.71035</v>
      </c>
      <c r="AB1785" s="2">
        <v>-74.030416666666696</v>
      </c>
      <c r="AC1785" s="2">
        <v>2570</v>
      </c>
      <c r="AD1785" s="2">
        <v>10</v>
      </c>
      <c r="AE1785" s="2" t="s">
        <v>59</v>
      </c>
      <c r="AF1785" s="2" t="s">
        <v>86</v>
      </c>
      <c r="AG1785" s="2" t="s">
        <v>61</v>
      </c>
      <c r="AH1785" s="2" t="s">
        <v>62</v>
      </c>
      <c r="AI1785" s="2" t="s">
        <v>87</v>
      </c>
      <c r="AJ1785" s="2">
        <v>1.30646388528121</v>
      </c>
      <c r="AK1785" s="2">
        <v>1.80433468581023</v>
      </c>
      <c r="AL1785" s="2">
        <v>0.98386959192159296</v>
      </c>
      <c r="AM1785" s="2">
        <v>0.17112734585049599</v>
      </c>
      <c r="AN1785" s="2">
        <v>1.0524323922421199</v>
      </c>
      <c r="AO1785" s="2">
        <v>2.2776780768544402E-2</v>
      </c>
      <c r="AP1785" s="2">
        <v>2.2776780768544402E-2</v>
      </c>
      <c r="AQ1785" s="2">
        <v>0</v>
      </c>
      <c r="AR1785" s="2">
        <v>0</v>
      </c>
      <c r="AS1785" s="2">
        <v>0</v>
      </c>
      <c r="AT1785" s="2">
        <v>0</v>
      </c>
      <c r="AU1785" s="2">
        <v>1</v>
      </c>
      <c r="AV1785" s="2">
        <v>23</v>
      </c>
      <c r="AW1785" s="2">
        <v>0</v>
      </c>
      <c r="AX1785" s="2">
        <v>0</v>
      </c>
      <c r="AY1785" s="2">
        <v>15.5</v>
      </c>
      <c r="AZ1785" s="2">
        <v>2.4</v>
      </c>
      <c r="BA1785" s="2">
        <v>10.9</v>
      </c>
      <c r="BB1785" s="2">
        <v>564</v>
      </c>
      <c r="BC1785" s="2">
        <v>68</v>
      </c>
      <c r="BD1785" s="2">
        <v>1.5</v>
      </c>
      <c r="BE1785" s="2">
        <v>135</v>
      </c>
      <c r="BF1785" s="2">
        <v>0</v>
      </c>
      <c r="BG1785" s="2">
        <v>162</v>
      </c>
      <c r="BH1785" s="2">
        <v>9.1</v>
      </c>
      <c r="BI1785" s="2">
        <v>9.1999999999999993</v>
      </c>
      <c r="BJ1785" s="2">
        <v>18.3</v>
      </c>
      <c r="BK1785" s="2">
        <v>0.34</v>
      </c>
      <c r="BL1785" s="2">
        <v>7.3</v>
      </c>
      <c r="BM1785" s="2">
        <v>0.9</v>
      </c>
      <c r="BN1785" s="2">
        <v>7.5</v>
      </c>
      <c r="BO1785" s="2">
        <v>2.9</v>
      </c>
      <c r="BP1785" s="2">
        <f t="shared" si="54"/>
        <v>2.0156659599253661</v>
      </c>
      <c r="BQ1785" s="2">
        <f t="shared" si="55"/>
        <v>10.015635984282742</v>
      </c>
    </row>
    <row r="1786" spans="1:69" x14ac:dyDescent="0.2">
      <c r="A1786" s="2" t="s">
        <v>4595</v>
      </c>
      <c r="B1786" s="2" t="s">
        <v>47</v>
      </c>
      <c r="C1786" s="2" t="s">
        <v>3273</v>
      </c>
      <c r="D1786" s="2" t="s">
        <v>49</v>
      </c>
      <c r="E1786" s="2" t="s">
        <v>447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89</v>
      </c>
      <c r="L1786" s="6" t="s">
        <v>112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4596</v>
      </c>
      <c r="R1786" s="2">
        <v>9636363.6359999999</v>
      </c>
      <c r="S1786" s="2">
        <v>0</v>
      </c>
      <c r="T1786" s="2" t="s">
        <v>83</v>
      </c>
      <c r="U1786" s="2" t="s">
        <v>84</v>
      </c>
      <c r="V1786" s="2" t="s">
        <v>56</v>
      </c>
      <c r="W1786" s="2" t="s">
        <v>83</v>
      </c>
      <c r="X1786" s="2" t="s">
        <v>85</v>
      </c>
      <c r="Y1786" s="2">
        <v>3.2419388029833902</v>
      </c>
      <c r="Z1786" s="2">
        <v>3241.9388029833899</v>
      </c>
      <c r="AA1786" s="2">
        <v>4.71035</v>
      </c>
      <c r="AB1786" s="2">
        <v>-74.030416666666696</v>
      </c>
      <c r="AC1786" s="2">
        <v>2570</v>
      </c>
      <c r="AD1786" s="2">
        <v>10</v>
      </c>
      <c r="AE1786" s="2" t="s">
        <v>59</v>
      </c>
      <c r="AF1786" s="2" t="s">
        <v>86</v>
      </c>
      <c r="AG1786" s="2" t="s">
        <v>61</v>
      </c>
      <c r="AH1786" s="2" t="s">
        <v>62</v>
      </c>
      <c r="AI1786" s="2" t="s">
        <v>87</v>
      </c>
      <c r="AJ1786" s="2">
        <v>0.24648149251923099</v>
      </c>
      <c r="AK1786" s="2">
        <v>2.5350756230651301</v>
      </c>
      <c r="AL1786" s="2">
        <v>0.45642799996129402</v>
      </c>
      <c r="AM1786" s="2">
        <v>4.5681595366116899E-2</v>
      </c>
      <c r="AN1786" s="2">
        <v>3.7569515658603301</v>
      </c>
      <c r="AO1786" s="2">
        <v>2.3526676891405699E-2</v>
      </c>
      <c r="AP1786" s="2">
        <v>2.3526676891405699E-2</v>
      </c>
      <c r="AQ1786" s="2">
        <v>1</v>
      </c>
      <c r="AR1786" s="2">
        <v>2</v>
      </c>
      <c r="AS1786" s="2">
        <v>0</v>
      </c>
      <c r="AT1786" s="2">
        <v>0</v>
      </c>
      <c r="AU1786" s="2">
        <v>5</v>
      </c>
      <c r="AV1786" s="2">
        <v>165</v>
      </c>
      <c r="AW1786" s="2">
        <v>0</v>
      </c>
      <c r="AX1786" s="2">
        <v>0</v>
      </c>
      <c r="AY1786" s="2">
        <v>15.5</v>
      </c>
      <c r="AZ1786" s="2">
        <v>2.4</v>
      </c>
      <c r="BA1786" s="2">
        <v>10.9</v>
      </c>
      <c r="BB1786" s="2">
        <v>564</v>
      </c>
      <c r="BC1786" s="2">
        <v>68</v>
      </c>
      <c r="BD1786" s="2">
        <v>1.5</v>
      </c>
      <c r="BE1786" s="2">
        <v>135</v>
      </c>
      <c r="BF1786" s="2">
        <v>0</v>
      </c>
      <c r="BG1786" s="2">
        <v>162</v>
      </c>
      <c r="BH1786" s="2">
        <v>9.1</v>
      </c>
      <c r="BI1786" s="2">
        <v>9.1999999999999993</v>
      </c>
      <c r="BJ1786" s="2">
        <v>18.3</v>
      </c>
      <c r="BK1786" s="2">
        <v>0.34</v>
      </c>
      <c r="BL1786" s="2">
        <v>7.3</v>
      </c>
      <c r="BM1786" s="2">
        <v>0.9</v>
      </c>
      <c r="BN1786" s="2">
        <v>7.5</v>
      </c>
      <c r="BO1786" s="2">
        <v>2.9</v>
      </c>
      <c r="BP1786" s="2">
        <f t="shared" si="54"/>
        <v>2.0441718959048063</v>
      </c>
      <c r="BQ1786" s="2">
        <f t="shared" si="55"/>
        <v>10.084063011460678</v>
      </c>
    </row>
    <row r="1787" spans="1:69" x14ac:dyDescent="0.2">
      <c r="A1787" s="2" t="s">
        <v>3814</v>
      </c>
      <c r="B1787" s="2" t="s">
        <v>47</v>
      </c>
      <c r="C1787" s="2" t="s">
        <v>3273</v>
      </c>
      <c r="D1787" s="2" t="s">
        <v>49</v>
      </c>
      <c r="E1787" s="2" t="s">
        <v>961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89</v>
      </c>
      <c r="L1787" s="6" t="s">
        <v>90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3815</v>
      </c>
      <c r="R1787" s="2">
        <v>6909090.909</v>
      </c>
      <c r="S1787" s="2">
        <v>0</v>
      </c>
      <c r="T1787" s="2" t="s">
        <v>83</v>
      </c>
      <c r="U1787" s="2" t="s">
        <v>84</v>
      </c>
      <c r="V1787" s="2" t="s">
        <v>56</v>
      </c>
      <c r="W1787" s="2" t="s">
        <v>83</v>
      </c>
      <c r="X1787" s="2" t="s">
        <v>85</v>
      </c>
      <c r="Y1787" s="2">
        <v>1.87763990334085</v>
      </c>
      <c r="Z1787" s="2">
        <v>1877.63990334085</v>
      </c>
      <c r="AA1787" s="2">
        <v>4.71035</v>
      </c>
      <c r="AB1787" s="2">
        <v>-74.030416666666696</v>
      </c>
      <c r="AC1787" s="2">
        <v>2570</v>
      </c>
      <c r="AD1787" s="2">
        <v>10</v>
      </c>
      <c r="AE1787" s="2" t="s">
        <v>59</v>
      </c>
      <c r="AF1787" s="2" t="s">
        <v>86</v>
      </c>
      <c r="AG1787" s="2" t="s">
        <v>61</v>
      </c>
      <c r="AH1787" s="2" t="s">
        <v>62</v>
      </c>
      <c r="AI1787" s="2" t="s">
        <v>87</v>
      </c>
      <c r="AJ1787" s="2">
        <v>0.65525895015229796</v>
      </c>
      <c r="AK1787" s="2">
        <v>2.4787471070805802</v>
      </c>
      <c r="AL1787" s="2">
        <v>1.6117533836331901</v>
      </c>
      <c r="AM1787" s="2">
        <v>0.48382243339257403</v>
      </c>
      <c r="AN1787" s="2">
        <v>3.98749973393365</v>
      </c>
      <c r="AO1787" s="2">
        <v>0.25067492803856101</v>
      </c>
      <c r="AP1787" s="2">
        <v>0.25067492803856101</v>
      </c>
      <c r="AQ1787" s="2">
        <v>0</v>
      </c>
      <c r="AR1787" s="2">
        <v>1</v>
      </c>
      <c r="AS1787" s="2">
        <v>0</v>
      </c>
      <c r="AT1787" s="2">
        <v>0</v>
      </c>
      <c r="AU1787" s="2">
        <v>0</v>
      </c>
      <c r="AV1787" s="2">
        <v>92</v>
      </c>
      <c r="AW1787" s="2">
        <v>0</v>
      </c>
      <c r="AX1787" s="2">
        <v>0</v>
      </c>
      <c r="AY1787" s="2">
        <v>15.5</v>
      </c>
      <c r="AZ1787" s="2">
        <v>2.4</v>
      </c>
      <c r="BA1787" s="2">
        <v>10.9</v>
      </c>
      <c r="BB1787" s="2">
        <v>564</v>
      </c>
      <c r="BC1787" s="2">
        <v>68</v>
      </c>
      <c r="BD1787" s="2">
        <v>1.5</v>
      </c>
      <c r="BE1787" s="2">
        <v>135</v>
      </c>
      <c r="BF1787" s="2">
        <v>0</v>
      </c>
      <c r="BG1787" s="2">
        <v>162</v>
      </c>
      <c r="BH1787" s="2">
        <v>9.1</v>
      </c>
      <c r="BI1787" s="2">
        <v>9.1999999999999993</v>
      </c>
      <c r="BJ1787" s="2">
        <v>18.3</v>
      </c>
      <c r="BK1787" s="2">
        <v>0.34</v>
      </c>
      <c r="BL1787" s="2">
        <v>7.3</v>
      </c>
      <c r="BM1787" s="2">
        <v>0.9</v>
      </c>
      <c r="BN1787" s="2">
        <v>7.5</v>
      </c>
      <c r="BO1787" s="2">
        <v>2.9</v>
      </c>
      <c r="BP1787" s="2">
        <f t="shared" si="54"/>
        <v>2.1869886723401391</v>
      </c>
      <c r="BQ1787" s="2">
        <f t="shared" si="55"/>
        <v>10.419712362263546</v>
      </c>
    </row>
    <row r="1788" spans="1:69" x14ac:dyDescent="0.2">
      <c r="A1788" s="2" t="s">
        <v>4154</v>
      </c>
      <c r="B1788" s="2" t="s">
        <v>47</v>
      </c>
      <c r="C1788" s="2" t="s">
        <v>3273</v>
      </c>
      <c r="D1788" s="2" t="s">
        <v>49</v>
      </c>
      <c r="E1788" s="2" t="s">
        <v>184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89</v>
      </c>
      <c r="L1788" s="6" t="s">
        <v>103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4155</v>
      </c>
      <c r="R1788" s="2">
        <v>7616076.3439999996</v>
      </c>
      <c r="S1788" s="2">
        <v>0</v>
      </c>
      <c r="T1788" s="2" t="s">
        <v>83</v>
      </c>
      <c r="U1788" s="2" t="s">
        <v>84</v>
      </c>
      <c r="V1788" s="2" t="s">
        <v>56</v>
      </c>
      <c r="W1788" s="2" t="s">
        <v>83</v>
      </c>
      <c r="X1788" s="2" t="s">
        <v>85</v>
      </c>
      <c r="Y1788" s="2">
        <v>2.2646450153055802</v>
      </c>
      <c r="Z1788" s="2">
        <v>2264.6450153055798</v>
      </c>
      <c r="AA1788" s="2">
        <v>4.71035</v>
      </c>
      <c r="AB1788" s="2">
        <v>-74.030416666666696</v>
      </c>
      <c r="AC1788" s="2">
        <v>2570</v>
      </c>
      <c r="AD1788" s="2">
        <v>10</v>
      </c>
      <c r="AE1788" s="2" t="s">
        <v>59</v>
      </c>
      <c r="AF1788" s="2" t="s">
        <v>86</v>
      </c>
      <c r="AG1788" s="2" t="s">
        <v>61</v>
      </c>
      <c r="AH1788" s="2" t="s">
        <v>62</v>
      </c>
      <c r="AI1788" s="2" t="s">
        <v>87</v>
      </c>
      <c r="AJ1788" s="2">
        <v>1.61890016999067</v>
      </c>
      <c r="AK1788" s="2">
        <v>1.49424875813122</v>
      </c>
      <c r="AL1788" s="2">
        <v>0.60808842125196405</v>
      </c>
      <c r="AM1788" s="2">
        <v>0.30163888274577999</v>
      </c>
      <c r="AN1788" s="2">
        <v>1.5747091849841699</v>
      </c>
      <c r="AO1788" s="2">
        <v>3.3899379930578899E-2</v>
      </c>
      <c r="AP1788" s="2">
        <v>3.3899379930578899E-2</v>
      </c>
      <c r="AQ1788" s="2">
        <v>0</v>
      </c>
      <c r="AR1788" s="2">
        <v>0</v>
      </c>
      <c r="AS1788" s="2">
        <v>0</v>
      </c>
      <c r="AT1788" s="2">
        <v>0</v>
      </c>
      <c r="AU1788" s="2">
        <v>1</v>
      </c>
      <c r="AV1788" s="2">
        <v>8</v>
      </c>
      <c r="AW1788" s="2">
        <v>0</v>
      </c>
      <c r="AX1788" s="2">
        <v>0</v>
      </c>
      <c r="AY1788" s="2">
        <v>15.5</v>
      </c>
      <c r="AZ1788" s="2">
        <v>2.4</v>
      </c>
      <c r="BA1788" s="2">
        <v>10.9</v>
      </c>
      <c r="BB1788" s="2">
        <v>564</v>
      </c>
      <c r="BC1788" s="2">
        <v>68</v>
      </c>
      <c r="BD1788" s="2">
        <v>1.5</v>
      </c>
      <c r="BE1788" s="2">
        <v>135</v>
      </c>
      <c r="BF1788" s="2">
        <v>0</v>
      </c>
      <c r="BG1788" s="2">
        <v>162</v>
      </c>
      <c r="BH1788" s="2">
        <v>9.1</v>
      </c>
      <c r="BI1788" s="2">
        <v>9.1999999999999993</v>
      </c>
      <c r="BJ1788" s="2">
        <v>18.3</v>
      </c>
      <c r="BK1788" s="2">
        <v>0.34</v>
      </c>
      <c r="BL1788" s="2">
        <v>7.3</v>
      </c>
      <c r="BM1788" s="2">
        <v>0.9</v>
      </c>
      <c r="BN1788" s="2">
        <v>7.5</v>
      </c>
      <c r="BO1788" s="2">
        <v>2.9</v>
      </c>
      <c r="BP1788" s="2">
        <f t="shared" si="54"/>
        <v>2.1454918120299009</v>
      </c>
      <c r="BQ1788" s="2">
        <f t="shared" si="55"/>
        <v>10.32338085743176</v>
      </c>
    </row>
    <row r="1789" spans="1:69" x14ac:dyDescent="0.2">
      <c r="A1789" s="2" t="s">
        <v>3418</v>
      </c>
      <c r="B1789" s="2" t="s">
        <v>47</v>
      </c>
      <c r="C1789" s="2" t="s">
        <v>3273</v>
      </c>
      <c r="D1789" s="2" t="s">
        <v>49</v>
      </c>
      <c r="E1789" s="2" t="s">
        <v>208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89</v>
      </c>
      <c r="L1789" s="6" t="s">
        <v>90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3419</v>
      </c>
      <c r="R1789" s="2">
        <v>15277093.720000001</v>
      </c>
      <c r="S1789" s="2">
        <v>0</v>
      </c>
      <c r="T1789" s="2" t="s">
        <v>83</v>
      </c>
      <c r="U1789" s="2" t="s">
        <v>84</v>
      </c>
      <c r="V1789" s="2" t="s">
        <v>56</v>
      </c>
      <c r="W1789" s="2" t="s">
        <v>83</v>
      </c>
      <c r="X1789" s="2" t="s">
        <v>85</v>
      </c>
      <c r="Y1789" s="2">
        <v>3.90617731145369</v>
      </c>
      <c r="Z1789" s="2">
        <v>3906.17731145369</v>
      </c>
      <c r="AA1789" s="2">
        <v>4.71035</v>
      </c>
      <c r="AB1789" s="2">
        <v>-74.030416666666696</v>
      </c>
      <c r="AC1789" s="2">
        <v>2570</v>
      </c>
      <c r="AD1789" s="2">
        <v>10</v>
      </c>
      <c r="AE1789" s="2" t="s">
        <v>59</v>
      </c>
      <c r="AF1789" s="2" t="s">
        <v>86</v>
      </c>
      <c r="AG1789" s="2" t="s">
        <v>61</v>
      </c>
      <c r="AH1789" s="2" t="s">
        <v>62</v>
      </c>
      <c r="AI1789" s="2" t="s">
        <v>109</v>
      </c>
      <c r="AJ1789" s="2">
        <v>0.39759296503921499</v>
      </c>
      <c r="AK1789" s="2">
        <v>1.9930279803633999</v>
      </c>
      <c r="AL1789" s="2">
        <v>0.20909573825494099</v>
      </c>
      <c r="AM1789" s="2">
        <v>0.115576375562105</v>
      </c>
      <c r="AN1789" s="2">
        <v>3.28851391371545</v>
      </c>
      <c r="AO1789" s="2">
        <v>0.45794393133286898</v>
      </c>
      <c r="AP1789" s="2">
        <v>0.45794393133286898</v>
      </c>
      <c r="AQ1789" s="2">
        <v>1</v>
      </c>
      <c r="AR1789" s="2">
        <v>2</v>
      </c>
      <c r="AS1789" s="2">
        <v>0</v>
      </c>
      <c r="AT1789" s="2">
        <v>0</v>
      </c>
      <c r="AU1789" s="2">
        <v>4</v>
      </c>
      <c r="AV1789" s="2">
        <v>263</v>
      </c>
      <c r="AW1789" s="2">
        <v>0</v>
      </c>
      <c r="AX1789" s="2">
        <v>0</v>
      </c>
      <c r="AY1789" s="2">
        <v>15.5</v>
      </c>
      <c r="AZ1789" s="2">
        <v>2.4</v>
      </c>
      <c r="BA1789" s="2">
        <v>10.9</v>
      </c>
      <c r="BB1789" s="2">
        <v>564</v>
      </c>
      <c r="BC1789" s="2">
        <v>68</v>
      </c>
      <c r="BD1789" s="2">
        <v>1.5</v>
      </c>
      <c r="BE1789" s="2">
        <v>135</v>
      </c>
      <c r="BF1789" s="2">
        <v>0</v>
      </c>
      <c r="BG1789" s="2">
        <v>162</v>
      </c>
      <c r="BH1789" s="2">
        <v>9.1</v>
      </c>
      <c r="BI1789" s="2">
        <v>9.1999999999999993</v>
      </c>
      <c r="BJ1789" s="2">
        <v>18.3</v>
      </c>
      <c r="BK1789" s="2">
        <v>0.34</v>
      </c>
      <c r="BL1789" s="2">
        <v>7.3</v>
      </c>
      <c r="BM1789" s="2">
        <v>0.9</v>
      </c>
      <c r="BN1789" s="2">
        <v>7.5</v>
      </c>
      <c r="BO1789" s="2">
        <v>2.9</v>
      </c>
      <c r="BP1789" s="2">
        <f t="shared" si="54"/>
        <v>1.9780528671801361</v>
      </c>
      <c r="BQ1789" s="2">
        <f t="shared" si="55"/>
        <v>9.9245802527067415</v>
      </c>
    </row>
    <row r="1790" spans="1:69" x14ac:dyDescent="0.2">
      <c r="A1790" s="2" t="s">
        <v>1432</v>
      </c>
      <c r="B1790" s="2" t="s">
        <v>47</v>
      </c>
      <c r="C1790" s="2" t="s">
        <v>48</v>
      </c>
      <c r="D1790" s="2" t="s">
        <v>49</v>
      </c>
      <c r="E1790" s="2" t="s">
        <v>1004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89</v>
      </c>
      <c r="L1790" s="6" t="s">
        <v>90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1433</v>
      </c>
      <c r="R1790" s="2">
        <v>6888888.8890000004</v>
      </c>
      <c r="S1790" s="2">
        <v>0</v>
      </c>
      <c r="T1790" s="2" t="s">
        <v>83</v>
      </c>
      <c r="U1790" s="2" t="s">
        <v>84</v>
      </c>
      <c r="V1790" s="2" t="s">
        <v>56</v>
      </c>
      <c r="W1790" s="2" t="s">
        <v>83</v>
      </c>
      <c r="X1790" s="2" t="s">
        <v>85</v>
      </c>
      <c r="Y1790" s="2">
        <v>4.1163697556817702</v>
      </c>
      <c r="Z1790" s="2">
        <v>4116.3697556817697</v>
      </c>
      <c r="AA1790" s="2">
        <v>4.71035</v>
      </c>
      <c r="AB1790" s="2">
        <v>-74.030416666666696</v>
      </c>
      <c r="AC1790" s="2">
        <v>2570</v>
      </c>
      <c r="AD1790" s="2">
        <v>10</v>
      </c>
      <c r="AE1790" s="2" t="s">
        <v>59</v>
      </c>
      <c r="AF1790" s="2" t="s">
        <v>86</v>
      </c>
      <c r="AG1790" s="2" t="s">
        <v>61</v>
      </c>
      <c r="AH1790" s="2" t="s">
        <v>62</v>
      </c>
      <c r="AI1790" s="2" t="s">
        <v>87</v>
      </c>
      <c r="AJ1790" s="2">
        <v>2.6338789860962</v>
      </c>
      <c r="AK1790" s="2">
        <v>0.42444877782194101</v>
      </c>
      <c r="AL1790" s="2">
        <v>0.41562887648425301</v>
      </c>
      <c r="AM1790" s="2">
        <v>0.50027122222223097</v>
      </c>
      <c r="AN1790" s="2">
        <v>0.67169544207848497</v>
      </c>
      <c r="AO1790" s="2">
        <v>0.39144339377048898</v>
      </c>
      <c r="AP1790" s="2">
        <v>0.39144339377048898</v>
      </c>
      <c r="AQ1790" s="2">
        <v>0</v>
      </c>
      <c r="AR1790" s="2">
        <v>0</v>
      </c>
      <c r="AS1790" s="2">
        <v>3</v>
      </c>
      <c r="AT1790" s="2">
        <v>40</v>
      </c>
      <c r="AU1790" s="2">
        <v>3</v>
      </c>
      <c r="AV1790" s="2">
        <v>5</v>
      </c>
      <c r="AW1790" s="2">
        <v>1</v>
      </c>
      <c r="AX1790" s="2">
        <v>0</v>
      </c>
      <c r="AY1790" s="2">
        <v>15.5</v>
      </c>
      <c r="AZ1790" s="2">
        <v>2.4</v>
      </c>
      <c r="BA1790" s="2">
        <v>10.9</v>
      </c>
      <c r="BB1790" s="2">
        <v>564</v>
      </c>
      <c r="BC1790" s="2">
        <v>68</v>
      </c>
      <c r="BD1790" s="2">
        <v>1.5</v>
      </c>
      <c r="BE1790" s="2">
        <v>135</v>
      </c>
      <c r="BF1790" s="2">
        <v>0</v>
      </c>
      <c r="BG1790" s="2">
        <v>162</v>
      </c>
      <c r="BH1790" s="2">
        <v>9.1</v>
      </c>
      <c r="BI1790" s="2">
        <v>9.1999999999999993</v>
      </c>
      <c r="BJ1790" s="2">
        <v>18.3</v>
      </c>
      <c r="BK1790" s="2">
        <v>0.34</v>
      </c>
      <c r="BL1790" s="2">
        <v>7.3</v>
      </c>
      <c r="BM1790" s="2">
        <v>0.9</v>
      </c>
      <c r="BN1790" s="2">
        <v>7.5</v>
      </c>
      <c r="BO1790" s="2">
        <v>2.9</v>
      </c>
      <c r="BP1790" s="2">
        <f t="shared" si="54"/>
        <v>1.9575788605816178</v>
      </c>
      <c r="BQ1790" s="2">
        <f t="shared" si="55"/>
        <v>9.8746405991169173</v>
      </c>
    </row>
    <row r="1791" spans="1:69" x14ac:dyDescent="0.2">
      <c r="A1791" s="2" t="s">
        <v>4055</v>
      </c>
      <c r="B1791" s="2" t="s">
        <v>47</v>
      </c>
      <c r="C1791" s="2" t="s">
        <v>3273</v>
      </c>
      <c r="D1791" s="2" t="s">
        <v>49</v>
      </c>
      <c r="E1791" s="2" t="s">
        <v>316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89</v>
      </c>
      <c r="L1791" s="6" t="s">
        <v>112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4056</v>
      </c>
      <c r="R1791" s="2">
        <v>12222222.220000001</v>
      </c>
      <c r="S1791" s="2">
        <v>0</v>
      </c>
      <c r="T1791" s="2" t="s">
        <v>83</v>
      </c>
      <c r="U1791" s="2" t="s">
        <v>84</v>
      </c>
      <c r="V1791" s="2" t="s">
        <v>56</v>
      </c>
      <c r="W1791" s="2" t="s">
        <v>83</v>
      </c>
      <c r="X1791" s="2" t="s">
        <v>85</v>
      </c>
      <c r="Y1791" s="2">
        <v>2.06990460378695</v>
      </c>
      <c r="Z1791" s="2">
        <v>2069.9046037869498</v>
      </c>
      <c r="AA1791" s="2">
        <v>4.71035</v>
      </c>
      <c r="AB1791" s="2">
        <v>-74.030416666666696</v>
      </c>
      <c r="AC1791" s="2">
        <v>2570</v>
      </c>
      <c r="AD1791" s="2">
        <v>10</v>
      </c>
      <c r="AE1791" s="2" t="s">
        <v>59</v>
      </c>
      <c r="AF1791" s="2" t="s">
        <v>86</v>
      </c>
      <c r="AG1791" s="2" t="s">
        <v>61</v>
      </c>
      <c r="AH1791" s="2" t="s">
        <v>62</v>
      </c>
      <c r="AI1791" s="2" t="s">
        <v>87</v>
      </c>
      <c r="AJ1791" s="2">
        <v>1.07790625122249</v>
      </c>
      <c r="AK1791" s="2">
        <v>2.2014734045409798</v>
      </c>
      <c r="AL1791" s="2">
        <v>0.84419192318640102</v>
      </c>
      <c r="AM1791" s="2">
        <v>6.4804154765243593E-2</v>
      </c>
      <c r="AN1791" s="2">
        <v>4.9247224714284297</v>
      </c>
      <c r="AO1791" s="2">
        <v>0.16266641859234199</v>
      </c>
      <c r="AP1791" s="2">
        <v>0.16266641859234199</v>
      </c>
      <c r="AQ1791" s="2">
        <v>0</v>
      </c>
      <c r="AR1791" s="2">
        <v>0</v>
      </c>
      <c r="AS1791" s="2">
        <v>0</v>
      </c>
      <c r="AT1791" s="2">
        <v>0</v>
      </c>
      <c r="AU1791" s="2">
        <v>1</v>
      </c>
      <c r="AV1791" s="2">
        <v>176</v>
      </c>
      <c r="AW1791" s="2">
        <v>0</v>
      </c>
      <c r="AX1791" s="2">
        <v>0</v>
      </c>
      <c r="AY1791" s="2">
        <v>15.5</v>
      </c>
      <c r="AZ1791" s="2">
        <v>2.4</v>
      </c>
      <c r="BA1791" s="2">
        <v>10.9</v>
      </c>
      <c r="BB1791" s="2">
        <v>564</v>
      </c>
      <c r="BC1791" s="2">
        <v>68</v>
      </c>
      <c r="BD1791" s="2">
        <v>1.5</v>
      </c>
      <c r="BE1791" s="2">
        <v>135</v>
      </c>
      <c r="BF1791" s="2">
        <v>0</v>
      </c>
      <c r="BG1791" s="2">
        <v>162</v>
      </c>
      <c r="BH1791" s="2">
        <v>9.1</v>
      </c>
      <c r="BI1791" s="2">
        <v>9.1999999999999993</v>
      </c>
      <c r="BJ1791" s="2">
        <v>18.3</v>
      </c>
      <c r="BK1791" s="2">
        <v>0.34</v>
      </c>
      <c r="BL1791" s="2">
        <v>7.3</v>
      </c>
      <c r="BM1791" s="2">
        <v>0.9</v>
      </c>
      <c r="BN1791" s="2">
        <v>7.5</v>
      </c>
      <c r="BO1791" s="2">
        <v>2.9</v>
      </c>
      <c r="BP1791" s="2">
        <f t="shared" si="54"/>
        <v>2.1662736066620298</v>
      </c>
      <c r="BQ1791" s="2">
        <f t="shared" si="55"/>
        <v>10.371742892381876</v>
      </c>
    </row>
    <row r="1792" spans="1:69" x14ac:dyDescent="0.2">
      <c r="A1792" s="2" t="s">
        <v>322</v>
      </c>
      <c r="B1792" s="2" t="s">
        <v>47</v>
      </c>
      <c r="C1792" s="2" t="s">
        <v>48</v>
      </c>
      <c r="D1792" s="2" t="s">
        <v>49</v>
      </c>
      <c r="E1792" s="2" t="s">
        <v>323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89</v>
      </c>
      <c r="L1792" s="6" t="s">
        <v>103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324</v>
      </c>
      <c r="R1792" s="2">
        <v>7508342.6030000001</v>
      </c>
      <c r="S1792" s="2">
        <v>0</v>
      </c>
      <c r="T1792" s="2" t="s">
        <v>83</v>
      </c>
      <c r="U1792" s="2" t="s">
        <v>84</v>
      </c>
      <c r="V1792" s="2" t="s">
        <v>56</v>
      </c>
      <c r="W1792" s="2" t="s">
        <v>83</v>
      </c>
      <c r="X1792" s="2" t="s">
        <v>85</v>
      </c>
      <c r="Y1792" s="2">
        <v>3.0818317499253101</v>
      </c>
      <c r="Z1792" s="2">
        <v>3081.8317499253099</v>
      </c>
      <c r="AA1792" s="2">
        <v>4.71035</v>
      </c>
      <c r="AB1792" s="2">
        <v>-74.030416666666696</v>
      </c>
      <c r="AC1792" s="2">
        <v>2570</v>
      </c>
      <c r="AD1792" s="2">
        <v>10</v>
      </c>
      <c r="AE1792" s="2" t="s">
        <v>59</v>
      </c>
      <c r="AF1792" s="2" t="s">
        <v>86</v>
      </c>
      <c r="AG1792" s="2" t="s">
        <v>61</v>
      </c>
      <c r="AH1792" s="2" t="s">
        <v>62</v>
      </c>
      <c r="AI1792" s="2" t="s">
        <v>100</v>
      </c>
      <c r="AJ1792" s="2">
        <v>0.38698363616152598</v>
      </c>
      <c r="AK1792" s="2">
        <v>3.4847628468408298</v>
      </c>
      <c r="AL1792" s="2">
        <v>1.3100383816312999</v>
      </c>
      <c r="AM1792" s="2">
        <v>0.12444063974017799</v>
      </c>
      <c r="AN1792" s="2">
        <v>4.2068731388664098</v>
      </c>
      <c r="AO1792" s="2">
        <v>7.3800210478213099E-2</v>
      </c>
      <c r="AP1792" s="2">
        <v>7.3800210478213099E-2</v>
      </c>
      <c r="AQ1792" s="2">
        <v>1</v>
      </c>
      <c r="AR1792" s="2">
        <v>2</v>
      </c>
      <c r="AS1792" s="2">
        <v>0</v>
      </c>
      <c r="AT1792" s="2">
        <v>0</v>
      </c>
      <c r="AU1792" s="2">
        <v>0</v>
      </c>
      <c r="AV1792" s="2">
        <v>134</v>
      </c>
      <c r="AW1792" s="2">
        <v>0</v>
      </c>
      <c r="AX1792" s="2">
        <v>0</v>
      </c>
      <c r="AY1792" s="2">
        <v>15.5</v>
      </c>
      <c r="AZ1792" s="2">
        <v>2.4</v>
      </c>
      <c r="BA1792" s="2">
        <v>10.9</v>
      </c>
      <c r="BB1792" s="2">
        <v>564</v>
      </c>
      <c r="BC1792" s="2">
        <v>68</v>
      </c>
      <c r="BD1792" s="2">
        <v>1.5</v>
      </c>
      <c r="BE1792" s="2">
        <v>135</v>
      </c>
      <c r="BF1792" s="2">
        <v>0</v>
      </c>
      <c r="BG1792" s="2">
        <v>162</v>
      </c>
      <c r="BH1792" s="2">
        <v>9.1</v>
      </c>
      <c r="BI1792" s="2">
        <v>9.1999999999999993</v>
      </c>
      <c r="BJ1792" s="2">
        <v>18.3</v>
      </c>
      <c r="BK1792" s="2">
        <v>0.34</v>
      </c>
      <c r="BL1792" s="2">
        <v>7.3</v>
      </c>
      <c r="BM1792" s="2">
        <v>0.9</v>
      </c>
      <c r="BN1792" s="2">
        <v>7.5</v>
      </c>
      <c r="BO1792" s="2">
        <v>2.9</v>
      </c>
      <c r="BP1792" s="2">
        <f t="shared" si="54"/>
        <v>2.060436937169901</v>
      </c>
      <c r="BQ1792" s="2">
        <f t="shared" si="55"/>
        <v>10.122886264889983</v>
      </c>
    </row>
    <row r="1793" spans="1:69" x14ac:dyDescent="0.2">
      <c r="A1793" s="2" t="s">
        <v>3521</v>
      </c>
      <c r="B1793" s="2" t="s">
        <v>47</v>
      </c>
      <c r="C1793" s="2" t="s">
        <v>3273</v>
      </c>
      <c r="D1793" s="2" t="s">
        <v>49</v>
      </c>
      <c r="E1793" s="2" t="s">
        <v>184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89</v>
      </c>
      <c r="L1793" s="6" t="s">
        <v>103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3522</v>
      </c>
      <c r="R1793" s="2">
        <v>8879374.5350000001</v>
      </c>
      <c r="S1793" s="2">
        <v>0</v>
      </c>
      <c r="T1793" s="2" t="s">
        <v>83</v>
      </c>
      <c r="U1793" s="2" t="s">
        <v>84</v>
      </c>
      <c r="V1793" s="2" t="s">
        <v>56</v>
      </c>
      <c r="W1793" s="2" t="s">
        <v>83</v>
      </c>
      <c r="X1793" s="2" t="s">
        <v>85</v>
      </c>
      <c r="Y1793" s="2">
        <v>0.82717945598397902</v>
      </c>
      <c r="Z1793" s="2">
        <v>827.17945598397898</v>
      </c>
      <c r="AA1793" s="2">
        <v>4.71035</v>
      </c>
      <c r="AB1793" s="2">
        <v>-74.030416666666696</v>
      </c>
      <c r="AC1793" s="2">
        <v>2570</v>
      </c>
      <c r="AD1793" s="2">
        <v>10</v>
      </c>
      <c r="AE1793" s="2" t="s">
        <v>59</v>
      </c>
      <c r="AF1793" s="2" t="s">
        <v>86</v>
      </c>
      <c r="AG1793" s="2" t="s">
        <v>61</v>
      </c>
      <c r="AH1793" s="2" t="s">
        <v>62</v>
      </c>
      <c r="AI1793" s="2" t="s">
        <v>87</v>
      </c>
      <c r="AJ1793" s="2">
        <v>2.37102343849473</v>
      </c>
      <c r="AK1793" s="2">
        <v>0.81925444144999904</v>
      </c>
      <c r="AL1793" s="2">
        <v>0.226122691627206</v>
      </c>
      <c r="AM1793" s="2">
        <v>0.17301662029551099</v>
      </c>
      <c r="AN1793" s="2">
        <v>4.2762831326541697</v>
      </c>
      <c r="AO1793" s="2">
        <v>0.420472686938556</v>
      </c>
      <c r="AP1793" s="2">
        <v>0.420472686938556</v>
      </c>
      <c r="AQ1793" s="2">
        <v>0</v>
      </c>
      <c r="AR1793" s="2">
        <v>0</v>
      </c>
      <c r="AS1793" s="2">
        <v>0</v>
      </c>
      <c r="AT1793" s="2">
        <v>13</v>
      </c>
      <c r="AU1793" s="2">
        <v>2</v>
      </c>
      <c r="AV1793" s="2">
        <v>148</v>
      </c>
      <c r="AW1793" s="2">
        <v>0</v>
      </c>
      <c r="AX1793" s="2">
        <v>0</v>
      </c>
      <c r="AY1793" s="2">
        <v>15.5</v>
      </c>
      <c r="AZ1793" s="2">
        <v>2.4</v>
      </c>
      <c r="BA1793" s="2">
        <v>10.9</v>
      </c>
      <c r="BB1793" s="2">
        <v>564</v>
      </c>
      <c r="BC1793" s="2">
        <v>68</v>
      </c>
      <c r="BD1793" s="2">
        <v>1.5</v>
      </c>
      <c r="BE1793" s="2">
        <v>135</v>
      </c>
      <c r="BF1793" s="2">
        <v>0</v>
      </c>
      <c r="BG1793" s="2">
        <v>162</v>
      </c>
      <c r="BH1793" s="2">
        <v>9.1</v>
      </c>
      <c r="BI1793" s="2">
        <v>9.1999999999999993</v>
      </c>
      <c r="BJ1793" s="2">
        <v>18.3</v>
      </c>
      <c r="BK1793" s="2">
        <v>0.34</v>
      </c>
      <c r="BL1793" s="2">
        <v>7.3</v>
      </c>
      <c r="BM1793" s="2">
        <v>0.9</v>
      </c>
      <c r="BN1793" s="2">
        <v>7.5</v>
      </c>
      <c r="BO1793" s="2">
        <v>2.9</v>
      </c>
      <c r="BP1793" s="2">
        <f t="shared" si="54"/>
        <v>2.3037157303167799</v>
      </c>
      <c r="BQ1793" s="2">
        <f t="shared" si="55"/>
        <v>10.685743632640877</v>
      </c>
    </row>
    <row r="1794" spans="1:69" x14ac:dyDescent="0.2">
      <c r="A1794" s="2" t="s">
        <v>3633</v>
      </c>
      <c r="B1794" s="2" t="s">
        <v>47</v>
      </c>
      <c r="C1794" s="2" t="s">
        <v>3273</v>
      </c>
      <c r="D1794" s="2" t="s">
        <v>49</v>
      </c>
      <c r="E1794" s="2" t="s">
        <v>863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89</v>
      </c>
      <c r="L1794" s="6" t="s">
        <v>90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3634</v>
      </c>
      <c r="R1794" s="2">
        <v>14068888.529999999</v>
      </c>
      <c r="S1794" s="2">
        <v>0</v>
      </c>
      <c r="T1794" s="2" t="s">
        <v>83</v>
      </c>
      <c r="U1794" s="2" t="s">
        <v>84</v>
      </c>
      <c r="V1794" s="2" t="s">
        <v>56</v>
      </c>
      <c r="W1794" s="2" t="s">
        <v>83</v>
      </c>
      <c r="X1794" s="2" t="s">
        <v>85</v>
      </c>
      <c r="Y1794" s="2">
        <v>3.9069255836321601</v>
      </c>
      <c r="Z1794" s="2">
        <v>3906.9255836321599</v>
      </c>
      <c r="AA1794" s="2">
        <v>4.71035</v>
      </c>
      <c r="AB1794" s="2">
        <v>-74.030416666666696</v>
      </c>
      <c r="AC1794" s="2">
        <v>2570</v>
      </c>
      <c r="AD1794" s="2">
        <v>10</v>
      </c>
      <c r="AE1794" s="2" t="s">
        <v>59</v>
      </c>
      <c r="AF1794" s="2" t="s">
        <v>86</v>
      </c>
      <c r="AG1794" s="2" t="s">
        <v>61</v>
      </c>
      <c r="AH1794" s="2" t="s">
        <v>62</v>
      </c>
      <c r="AI1794" s="2" t="s">
        <v>109</v>
      </c>
      <c r="AJ1794" s="2">
        <v>0.396494548136967</v>
      </c>
      <c r="AK1794" s="2">
        <v>1.99394191991905</v>
      </c>
      <c r="AL1794" s="2">
        <v>0.209891988319508</v>
      </c>
      <c r="AM1794" s="2">
        <v>0.114961030462697</v>
      </c>
      <c r="AN1794" s="2">
        <v>3.2874782622318302</v>
      </c>
      <c r="AO1794" s="2">
        <v>0.45685694650488401</v>
      </c>
      <c r="AP1794" s="2">
        <v>0.45685694650488401</v>
      </c>
      <c r="AQ1794" s="2">
        <v>1</v>
      </c>
      <c r="AR1794" s="2">
        <v>2</v>
      </c>
      <c r="AS1794" s="2">
        <v>0</v>
      </c>
      <c r="AT1794" s="2">
        <v>0</v>
      </c>
      <c r="AU1794" s="2">
        <v>4</v>
      </c>
      <c r="AV1794" s="2">
        <v>264</v>
      </c>
      <c r="AW1794" s="2">
        <v>0</v>
      </c>
      <c r="AX1794" s="2">
        <v>0</v>
      </c>
      <c r="AY1794" s="2">
        <v>15.5</v>
      </c>
      <c r="AZ1794" s="2">
        <v>2.4</v>
      </c>
      <c r="BA1794" s="2">
        <v>10.9</v>
      </c>
      <c r="BB1794" s="2">
        <v>564</v>
      </c>
      <c r="BC1794" s="2">
        <v>68</v>
      </c>
      <c r="BD1794" s="2">
        <v>1.5</v>
      </c>
      <c r="BE1794" s="2">
        <v>135</v>
      </c>
      <c r="BF1794" s="2">
        <v>0</v>
      </c>
      <c r="BG1794" s="2">
        <v>162</v>
      </c>
      <c r="BH1794" s="2">
        <v>9.1</v>
      </c>
      <c r="BI1794" s="2">
        <v>9.1999999999999993</v>
      </c>
      <c r="BJ1794" s="2">
        <v>18.3</v>
      </c>
      <c r="BK1794" s="2">
        <v>0.34</v>
      </c>
      <c r="BL1794" s="2">
        <v>7.3</v>
      </c>
      <c r="BM1794" s="2">
        <v>0.9</v>
      </c>
      <c r="BN1794" s="2">
        <v>7.5</v>
      </c>
      <c r="BO1794" s="2">
        <v>2.9</v>
      </c>
      <c r="BP1794" s="2">
        <f t="shared" ref="BP1794:BP1857" si="56">+AZ1794*EXP(-0.0495*Y1794)</f>
        <v>1.9779796025015484</v>
      </c>
      <c r="BQ1794" s="2">
        <f t="shared" ref="BQ1794:BQ1857" si="57">+BA1794*EXP(-0.024*Y1794)</f>
        <v>9.924402023412247</v>
      </c>
    </row>
    <row r="1795" spans="1:69" x14ac:dyDescent="0.2">
      <c r="A1795" s="2" t="s">
        <v>4076</v>
      </c>
      <c r="B1795" s="2" t="s">
        <v>47</v>
      </c>
      <c r="C1795" s="2" t="s">
        <v>3273</v>
      </c>
      <c r="D1795" s="2" t="s">
        <v>49</v>
      </c>
      <c r="E1795" s="2" t="s">
        <v>3628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89</v>
      </c>
      <c r="L1795" s="6" t="s">
        <v>90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4077</v>
      </c>
      <c r="R1795" s="2">
        <v>14006392.18</v>
      </c>
      <c r="S1795" s="2">
        <v>0</v>
      </c>
      <c r="T1795" s="2" t="s">
        <v>83</v>
      </c>
      <c r="U1795" s="2" t="s">
        <v>84</v>
      </c>
      <c r="V1795" s="2" t="s">
        <v>56</v>
      </c>
      <c r="W1795" s="2" t="s">
        <v>83</v>
      </c>
      <c r="X1795" s="2" t="s">
        <v>85</v>
      </c>
      <c r="Y1795" s="2">
        <v>3.90617731145369</v>
      </c>
      <c r="Z1795" s="2">
        <v>3906.17731145369</v>
      </c>
      <c r="AA1795" s="2">
        <v>4.71035</v>
      </c>
      <c r="AB1795" s="2">
        <v>-74.030416666666696</v>
      </c>
      <c r="AC1795" s="2">
        <v>2570</v>
      </c>
      <c r="AD1795" s="2">
        <v>10</v>
      </c>
      <c r="AE1795" s="2" t="s">
        <v>59</v>
      </c>
      <c r="AF1795" s="2" t="s">
        <v>86</v>
      </c>
      <c r="AG1795" s="2" t="s">
        <v>61</v>
      </c>
      <c r="AH1795" s="2" t="s">
        <v>62</v>
      </c>
      <c r="AI1795" s="2" t="s">
        <v>109</v>
      </c>
      <c r="AJ1795" s="2">
        <v>0.39759296503921499</v>
      </c>
      <c r="AK1795" s="2">
        <v>1.9930279803633999</v>
      </c>
      <c r="AL1795" s="2">
        <v>0.20909573825494099</v>
      </c>
      <c r="AM1795" s="2">
        <v>0.115576375562105</v>
      </c>
      <c r="AN1795" s="2">
        <v>3.28851391371545</v>
      </c>
      <c r="AO1795" s="2">
        <v>0.45794393133286898</v>
      </c>
      <c r="AP1795" s="2">
        <v>0.45794393133286898</v>
      </c>
      <c r="AQ1795" s="2">
        <v>1</v>
      </c>
      <c r="AR1795" s="2">
        <v>2</v>
      </c>
      <c r="AS1795" s="2">
        <v>0</v>
      </c>
      <c r="AT1795" s="2">
        <v>0</v>
      </c>
      <c r="AU1795" s="2">
        <v>4</v>
      </c>
      <c r="AV1795" s="2">
        <v>263</v>
      </c>
      <c r="AW1795" s="2">
        <v>0</v>
      </c>
      <c r="AX1795" s="2">
        <v>0</v>
      </c>
      <c r="AY1795" s="2">
        <v>15.5</v>
      </c>
      <c r="AZ1795" s="2">
        <v>2.4</v>
      </c>
      <c r="BA1795" s="2">
        <v>10.9</v>
      </c>
      <c r="BB1795" s="2">
        <v>564</v>
      </c>
      <c r="BC1795" s="2">
        <v>68</v>
      </c>
      <c r="BD1795" s="2">
        <v>1.5</v>
      </c>
      <c r="BE1795" s="2">
        <v>135</v>
      </c>
      <c r="BF1795" s="2">
        <v>0</v>
      </c>
      <c r="BG1795" s="2">
        <v>162</v>
      </c>
      <c r="BH1795" s="2">
        <v>9.1</v>
      </c>
      <c r="BI1795" s="2">
        <v>9.1999999999999993</v>
      </c>
      <c r="BJ1795" s="2">
        <v>18.3</v>
      </c>
      <c r="BK1795" s="2">
        <v>0.34</v>
      </c>
      <c r="BL1795" s="2">
        <v>7.3</v>
      </c>
      <c r="BM1795" s="2">
        <v>0.9</v>
      </c>
      <c r="BN1795" s="2">
        <v>7.5</v>
      </c>
      <c r="BO1795" s="2">
        <v>2.9</v>
      </c>
      <c r="BP1795" s="2">
        <f t="shared" si="56"/>
        <v>1.9780528671801361</v>
      </c>
      <c r="BQ1795" s="2">
        <f t="shared" si="57"/>
        <v>9.9245802527067415</v>
      </c>
    </row>
    <row r="1796" spans="1:69" x14ac:dyDescent="0.2">
      <c r="A1796" s="2" t="s">
        <v>1518</v>
      </c>
      <c r="B1796" s="2" t="s">
        <v>47</v>
      </c>
      <c r="C1796" s="2" t="s">
        <v>48</v>
      </c>
      <c r="D1796" s="2" t="s">
        <v>49</v>
      </c>
      <c r="E1796" s="2" t="s">
        <v>111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89</v>
      </c>
      <c r="L1796" s="6" t="s">
        <v>90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1519</v>
      </c>
      <c r="R1796" s="2">
        <v>14056603.77</v>
      </c>
      <c r="S1796" s="2">
        <v>0</v>
      </c>
      <c r="T1796" s="2" t="s">
        <v>83</v>
      </c>
      <c r="U1796" s="2" t="s">
        <v>84</v>
      </c>
      <c r="V1796" s="2" t="s">
        <v>56</v>
      </c>
      <c r="W1796" s="2" t="s">
        <v>83</v>
      </c>
      <c r="X1796" s="2" t="s">
        <v>85</v>
      </c>
      <c r="Y1796" s="2">
        <v>4.0773277564196704</v>
      </c>
      <c r="Z1796" s="2">
        <v>4077.3277564196701</v>
      </c>
      <c r="AA1796" s="2">
        <v>4.71035</v>
      </c>
      <c r="AB1796" s="2">
        <v>-74.030416666666696</v>
      </c>
      <c r="AC1796" s="2">
        <v>2570</v>
      </c>
      <c r="AD1796" s="2">
        <v>10</v>
      </c>
      <c r="AE1796" s="2" t="s">
        <v>59</v>
      </c>
      <c r="AF1796" s="2" t="s">
        <v>86</v>
      </c>
      <c r="AG1796" s="2" t="s">
        <v>61</v>
      </c>
      <c r="AH1796" s="2" t="s">
        <v>62</v>
      </c>
      <c r="AI1796" s="2" t="s">
        <v>109</v>
      </c>
      <c r="AJ1796" s="2">
        <v>0.41448113493807598</v>
      </c>
      <c r="AK1796" s="2">
        <v>1.8880141810704001</v>
      </c>
      <c r="AL1796" s="2">
        <v>0.39634742550188101</v>
      </c>
      <c r="AM1796" s="2">
        <v>0.171969423039149</v>
      </c>
      <c r="AN1796" s="2">
        <v>3.2060639246861999</v>
      </c>
      <c r="AO1796" s="2">
        <v>0.454426578232346</v>
      </c>
      <c r="AP1796" s="2">
        <v>0.454426578232346</v>
      </c>
      <c r="AQ1796" s="2">
        <v>1</v>
      </c>
      <c r="AR1796" s="2">
        <v>2</v>
      </c>
      <c r="AS1796" s="2">
        <v>0</v>
      </c>
      <c r="AT1796" s="2">
        <v>0</v>
      </c>
      <c r="AU1796" s="2">
        <v>5</v>
      </c>
      <c r="AV1796" s="2">
        <v>256</v>
      </c>
      <c r="AW1796" s="2">
        <v>0</v>
      </c>
      <c r="AX1796" s="2">
        <v>0</v>
      </c>
      <c r="AY1796" s="2">
        <v>15.5</v>
      </c>
      <c r="AZ1796" s="2">
        <v>2.4</v>
      </c>
      <c r="BA1796" s="2">
        <v>10.9</v>
      </c>
      <c r="BB1796" s="2">
        <v>564</v>
      </c>
      <c r="BC1796" s="2">
        <v>68</v>
      </c>
      <c r="BD1796" s="2">
        <v>1.5</v>
      </c>
      <c r="BE1796" s="2">
        <v>135</v>
      </c>
      <c r="BF1796" s="2">
        <v>0</v>
      </c>
      <c r="BG1796" s="2">
        <v>162</v>
      </c>
      <c r="BH1796" s="2">
        <v>9.1</v>
      </c>
      <c r="BI1796" s="2">
        <v>9.1999999999999993</v>
      </c>
      <c r="BJ1796" s="2">
        <v>18.3</v>
      </c>
      <c r="BK1796" s="2">
        <v>0.34</v>
      </c>
      <c r="BL1796" s="2">
        <v>7.3</v>
      </c>
      <c r="BM1796" s="2">
        <v>0.9</v>
      </c>
      <c r="BN1796" s="2">
        <v>7.5</v>
      </c>
      <c r="BO1796" s="2">
        <v>2.9</v>
      </c>
      <c r="BP1796" s="2">
        <f t="shared" si="56"/>
        <v>1.9613656943059079</v>
      </c>
      <c r="BQ1796" s="2">
        <f t="shared" si="57"/>
        <v>9.8838975524228214</v>
      </c>
    </row>
    <row r="1797" spans="1:69" x14ac:dyDescent="0.2">
      <c r="A1797" s="2" t="s">
        <v>1003</v>
      </c>
      <c r="B1797" s="2" t="s">
        <v>47</v>
      </c>
      <c r="C1797" s="2" t="s">
        <v>48</v>
      </c>
      <c r="D1797" s="2" t="s">
        <v>49</v>
      </c>
      <c r="E1797" s="2" t="s">
        <v>1004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89</v>
      </c>
      <c r="L1797" s="6" t="s">
        <v>90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1005</v>
      </c>
      <c r="R1797" s="2">
        <v>9707547.1699999999</v>
      </c>
      <c r="S1797" s="2">
        <v>0</v>
      </c>
      <c r="T1797" s="2" t="s">
        <v>83</v>
      </c>
      <c r="U1797" s="2" t="s">
        <v>84</v>
      </c>
      <c r="V1797" s="2" t="s">
        <v>56</v>
      </c>
      <c r="W1797" s="2" t="s">
        <v>83</v>
      </c>
      <c r="X1797" s="2" t="s">
        <v>85</v>
      </c>
      <c r="Y1797" s="2">
        <v>4.0031870188055496</v>
      </c>
      <c r="Z1797" s="2">
        <v>4003.18701880555</v>
      </c>
      <c r="AA1797" s="2">
        <v>4.71035</v>
      </c>
      <c r="AB1797" s="2">
        <v>-74.030416666666696</v>
      </c>
      <c r="AC1797" s="2">
        <v>2570</v>
      </c>
      <c r="AD1797" s="2">
        <v>10</v>
      </c>
      <c r="AE1797" s="2" t="s">
        <v>59</v>
      </c>
      <c r="AF1797" s="2" t="s">
        <v>86</v>
      </c>
      <c r="AG1797" s="2" t="s">
        <v>61</v>
      </c>
      <c r="AH1797" s="2" t="s">
        <v>62</v>
      </c>
      <c r="AI1797" s="2" t="s">
        <v>87</v>
      </c>
      <c r="AJ1797" s="2">
        <v>2.5649144544845401</v>
      </c>
      <c r="AK1797" s="2">
        <v>0.54191256055634696</v>
      </c>
      <c r="AL1797" s="2">
        <v>0.38033864370738002</v>
      </c>
      <c r="AM1797" s="2">
        <v>0.41350998548370999</v>
      </c>
      <c r="AN1797" s="2">
        <v>0.54898013919680499</v>
      </c>
      <c r="AO1797" s="2">
        <v>0.35665470182304398</v>
      </c>
      <c r="AP1797" s="2">
        <v>0.35665470182304398</v>
      </c>
      <c r="AQ1797" s="2">
        <v>0</v>
      </c>
      <c r="AR1797" s="2">
        <v>0</v>
      </c>
      <c r="AS1797" s="2">
        <v>0</v>
      </c>
      <c r="AT1797" s="2">
        <v>39</v>
      </c>
      <c r="AU1797" s="2">
        <v>3</v>
      </c>
      <c r="AV1797" s="2">
        <v>6</v>
      </c>
      <c r="AW1797" s="2">
        <v>1</v>
      </c>
      <c r="AX1797" s="2">
        <v>0</v>
      </c>
      <c r="AY1797" s="2">
        <v>15.5</v>
      </c>
      <c r="AZ1797" s="2">
        <v>2.4</v>
      </c>
      <c r="BA1797" s="2">
        <v>10.9</v>
      </c>
      <c r="BB1797" s="2">
        <v>564</v>
      </c>
      <c r="BC1797" s="2">
        <v>68</v>
      </c>
      <c r="BD1797" s="2">
        <v>1.5</v>
      </c>
      <c r="BE1797" s="2">
        <v>135</v>
      </c>
      <c r="BF1797" s="2">
        <v>0</v>
      </c>
      <c r="BG1797" s="2">
        <v>162</v>
      </c>
      <c r="BH1797" s="2">
        <v>9.1</v>
      </c>
      <c r="BI1797" s="2">
        <v>9.1999999999999993</v>
      </c>
      <c r="BJ1797" s="2">
        <v>18.3</v>
      </c>
      <c r="BK1797" s="2">
        <v>0.34</v>
      </c>
      <c r="BL1797" s="2">
        <v>7.3</v>
      </c>
      <c r="BM1797" s="2">
        <v>0.9</v>
      </c>
      <c r="BN1797" s="2">
        <v>7.5</v>
      </c>
      <c r="BO1797" s="2">
        <v>2.9</v>
      </c>
      <c r="BP1797" s="2">
        <f t="shared" si="56"/>
        <v>1.9685770653728047</v>
      </c>
      <c r="BQ1797" s="2">
        <f t="shared" si="57"/>
        <v>9.9015003957527323</v>
      </c>
    </row>
    <row r="1798" spans="1:69" x14ac:dyDescent="0.2">
      <c r="A1798" s="2" t="s">
        <v>4418</v>
      </c>
      <c r="B1798" s="2" t="s">
        <v>47</v>
      </c>
      <c r="C1798" s="2" t="s">
        <v>3273</v>
      </c>
      <c r="D1798" s="2" t="s">
        <v>49</v>
      </c>
      <c r="E1798" s="2" t="s">
        <v>1011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89</v>
      </c>
      <c r="L1798" s="6" t="s">
        <v>90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4419</v>
      </c>
      <c r="R1798" s="2">
        <v>7924528.3020000001</v>
      </c>
      <c r="S1798" s="2">
        <v>0</v>
      </c>
      <c r="T1798" s="2" t="s">
        <v>83</v>
      </c>
      <c r="U1798" s="2" t="s">
        <v>84</v>
      </c>
      <c r="V1798" s="2" t="s">
        <v>56</v>
      </c>
      <c r="W1798" s="2" t="s">
        <v>83</v>
      </c>
      <c r="X1798" s="2" t="s">
        <v>85</v>
      </c>
      <c r="Y1798" s="2">
        <v>2.0728455387621998</v>
      </c>
      <c r="Z1798" s="2">
        <v>2072.8455387621998</v>
      </c>
      <c r="AA1798" s="2">
        <v>4.71035</v>
      </c>
      <c r="AB1798" s="2">
        <v>-74.030416666666696</v>
      </c>
      <c r="AC1798" s="2">
        <v>2570</v>
      </c>
      <c r="AD1798" s="2">
        <v>10</v>
      </c>
      <c r="AE1798" s="2" t="s">
        <v>59</v>
      </c>
      <c r="AF1798" s="2" t="s">
        <v>86</v>
      </c>
      <c r="AG1798" s="2" t="s">
        <v>61</v>
      </c>
      <c r="AH1798" s="2" t="s">
        <v>62</v>
      </c>
      <c r="AI1798" s="2" t="s">
        <v>87</v>
      </c>
      <c r="AJ1798" s="2">
        <v>0.733292793120497</v>
      </c>
      <c r="AK1798" s="2">
        <v>2.3825360044116302</v>
      </c>
      <c r="AL1798" s="2">
        <v>1.3117235545705199</v>
      </c>
      <c r="AM1798" s="2">
        <v>6.2393745907717998E-2</v>
      </c>
      <c r="AN1798" s="2">
        <v>2.9457916067744101</v>
      </c>
      <c r="AO1798" s="2">
        <v>0.20464902338677299</v>
      </c>
      <c r="AP1798" s="2">
        <v>0.20464902338677299</v>
      </c>
      <c r="AQ1798" s="2">
        <v>0</v>
      </c>
      <c r="AR1798" s="2">
        <v>2</v>
      </c>
      <c r="AS1798" s="2">
        <v>0</v>
      </c>
      <c r="AT1798" s="2">
        <v>0</v>
      </c>
      <c r="AU1798" s="2">
        <v>0</v>
      </c>
      <c r="AV1798" s="2">
        <v>41</v>
      </c>
      <c r="AW1798" s="2">
        <v>0</v>
      </c>
      <c r="AX1798" s="2">
        <v>0</v>
      </c>
      <c r="AY1798" s="2">
        <v>15.5</v>
      </c>
      <c r="AZ1798" s="2">
        <v>2.4</v>
      </c>
      <c r="BA1798" s="2">
        <v>10.9</v>
      </c>
      <c r="BB1798" s="2">
        <v>564</v>
      </c>
      <c r="BC1798" s="2">
        <v>68</v>
      </c>
      <c r="BD1798" s="2">
        <v>1.5</v>
      </c>
      <c r="BE1798" s="2">
        <v>135</v>
      </c>
      <c r="BF1798" s="2">
        <v>0</v>
      </c>
      <c r="BG1798" s="2">
        <v>162</v>
      </c>
      <c r="BH1798" s="2">
        <v>9.1</v>
      </c>
      <c r="BI1798" s="2">
        <v>9.1999999999999993</v>
      </c>
      <c r="BJ1798" s="2">
        <v>18.3</v>
      </c>
      <c r="BK1798" s="2">
        <v>0.34</v>
      </c>
      <c r="BL1798" s="2">
        <v>7.3</v>
      </c>
      <c r="BM1798" s="2">
        <v>0.9</v>
      </c>
      <c r="BN1798" s="2">
        <v>7.5</v>
      </c>
      <c r="BO1798" s="2">
        <v>2.9</v>
      </c>
      <c r="BP1798" s="2">
        <f t="shared" si="56"/>
        <v>2.1659582715593606</v>
      </c>
      <c r="BQ1798" s="2">
        <f t="shared" si="57"/>
        <v>10.371010855302426</v>
      </c>
    </row>
    <row r="1799" spans="1:69" x14ac:dyDescent="0.2">
      <c r="A1799" s="2" t="s">
        <v>3627</v>
      </c>
      <c r="B1799" s="2" t="s">
        <v>47</v>
      </c>
      <c r="C1799" s="2" t="s">
        <v>3273</v>
      </c>
      <c r="D1799" s="2" t="s">
        <v>49</v>
      </c>
      <c r="E1799" s="2" t="s">
        <v>3628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89</v>
      </c>
      <c r="L1799" s="6" t="s">
        <v>90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3629</v>
      </c>
      <c r="R1799" s="2">
        <v>14191415.130000001</v>
      </c>
      <c r="S1799" s="2">
        <v>0</v>
      </c>
      <c r="T1799" s="2" t="s">
        <v>83</v>
      </c>
      <c r="U1799" s="2" t="s">
        <v>84</v>
      </c>
      <c r="V1799" s="2" t="s">
        <v>56</v>
      </c>
      <c r="W1799" s="2" t="s">
        <v>83</v>
      </c>
      <c r="X1799" s="2" t="s">
        <v>85</v>
      </c>
      <c r="Y1799" s="2">
        <v>3.9069255836321601</v>
      </c>
      <c r="Z1799" s="2">
        <v>3906.9255836321599</v>
      </c>
      <c r="AA1799" s="2">
        <v>4.71035</v>
      </c>
      <c r="AB1799" s="2">
        <v>-74.030416666666696</v>
      </c>
      <c r="AC1799" s="2">
        <v>2570</v>
      </c>
      <c r="AD1799" s="2">
        <v>10</v>
      </c>
      <c r="AE1799" s="2" t="s">
        <v>59</v>
      </c>
      <c r="AF1799" s="2" t="s">
        <v>86</v>
      </c>
      <c r="AG1799" s="2" t="s">
        <v>61</v>
      </c>
      <c r="AH1799" s="2" t="s">
        <v>62</v>
      </c>
      <c r="AI1799" s="2" t="s">
        <v>109</v>
      </c>
      <c r="AJ1799" s="2">
        <v>0.396494548136967</v>
      </c>
      <c r="AK1799" s="2">
        <v>1.99394191991905</v>
      </c>
      <c r="AL1799" s="2">
        <v>0.209891988319508</v>
      </c>
      <c r="AM1799" s="2">
        <v>0.114961030462697</v>
      </c>
      <c r="AN1799" s="2">
        <v>3.2874782622318302</v>
      </c>
      <c r="AO1799" s="2">
        <v>0.45685694650488401</v>
      </c>
      <c r="AP1799" s="2">
        <v>0.45685694650488401</v>
      </c>
      <c r="AQ1799" s="2">
        <v>1</v>
      </c>
      <c r="AR1799" s="2">
        <v>2</v>
      </c>
      <c r="AS1799" s="2">
        <v>0</v>
      </c>
      <c r="AT1799" s="2">
        <v>0</v>
      </c>
      <c r="AU1799" s="2">
        <v>4</v>
      </c>
      <c r="AV1799" s="2">
        <v>264</v>
      </c>
      <c r="AW1799" s="2">
        <v>0</v>
      </c>
      <c r="AX1799" s="2">
        <v>0</v>
      </c>
      <c r="AY1799" s="2">
        <v>15.5</v>
      </c>
      <c r="AZ1799" s="2">
        <v>2.4</v>
      </c>
      <c r="BA1799" s="2">
        <v>10.9</v>
      </c>
      <c r="BB1799" s="2">
        <v>564</v>
      </c>
      <c r="BC1799" s="2">
        <v>68</v>
      </c>
      <c r="BD1799" s="2">
        <v>1.5</v>
      </c>
      <c r="BE1799" s="2">
        <v>135</v>
      </c>
      <c r="BF1799" s="2">
        <v>0</v>
      </c>
      <c r="BG1799" s="2">
        <v>162</v>
      </c>
      <c r="BH1799" s="2">
        <v>9.1</v>
      </c>
      <c r="BI1799" s="2">
        <v>9.1999999999999993</v>
      </c>
      <c r="BJ1799" s="2">
        <v>18.3</v>
      </c>
      <c r="BK1799" s="2">
        <v>0.34</v>
      </c>
      <c r="BL1799" s="2">
        <v>7.3</v>
      </c>
      <c r="BM1799" s="2">
        <v>0.9</v>
      </c>
      <c r="BN1799" s="2">
        <v>7.5</v>
      </c>
      <c r="BO1799" s="2">
        <v>2.9</v>
      </c>
      <c r="BP1799" s="2">
        <f t="shared" si="56"/>
        <v>1.9779796025015484</v>
      </c>
      <c r="BQ1799" s="2">
        <f t="shared" si="57"/>
        <v>9.924402023412247</v>
      </c>
    </row>
    <row r="1800" spans="1:69" x14ac:dyDescent="0.2">
      <c r="A1800" s="2" t="s">
        <v>3368</v>
      </c>
      <c r="B1800" s="2" t="s">
        <v>47</v>
      </c>
      <c r="C1800" s="2" t="s">
        <v>3273</v>
      </c>
      <c r="D1800" s="2" t="s">
        <v>49</v>
      </c>
      <c r="E1800" s="2" t="s">
        <v>1465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89</v>
      </c>
      <c r="L1800" s="6" t="s">
        <v>90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3369</v>
      </c>
      <c r="R1800" s="2">
        <v>12211410.039999999</v>
      </c>
      <c r="S1800" s="2">
        <v>0</v>
      </c>
      <c r="T1800" s="2" t="s">
        <v>83</v>
      </c>
      <c r="U1800" s="2" t="s">
        <v>84</v>
      </c>
      <c r="V1800" s="2" t="s">
        <v>56</v>
      </c>
      <c r="W1800" s="2" t="s">
        <v>83</v>
      </c>
      <c r="X1800" s="2" t="s">
        <v>85</v>
      </c>
      <c r="Y1800" s="2">
        <v>4.0170019243560997</v>
      </c>
      <c r="Z1800" s="2">
        <v>4017.0019243561001</v>
      </c>
      <c r="AA1800" s="2">
        <v>4.71035</v>
      </c>
      <c r="AB1800" s="2">
        <v>-74.030416666666696</v>
      </c>
      <c r="AC1800" s="2">
        <v>2570</v>
      </c>
      <c r="AD1800" s="2">
        <v>10</v>
      </c>
      <c r="AE1800" s="2" t="s">
        <v>59</v>
      </c>
      <c r="AF1800" s="2" t="s">
        <v>86</v>
      </c>
      <c r="AG1800" s="2" t="s">
        <v>61</v>
      </c>
      <c r="AH1800" s="2" t="s">
        <v>62</v>
      </c>
      <c r="AI1800" s="2" t="s">
        <v>109</v>
      </c>
      <c r="AJ1800" s="2">
        <v>0.33868170974832401</v>
      </c>
      <c r="AK1800" s="2">
        <v>1.98925024063294</v>
      </c>
      <c r="AL1800" s="2">
        <v>0.319101527791537</v>
      </c>
      <c r="AM1800" s="2">
        <v>0.19244260082105799</v>
      </c>
      <c r="AN1800" s="2">
        <v>3.2007983785639098</v>
      </c>
      <c r="AO1800" s="2">
        <v>0.39116286698589398</v>
      </c>
      <c r="AP1800" s="2">
        <v>0.39116286698589398</v>
      </c>
      <c r="AQ1800" s="2">
        <v>1</v>
      </c>
      <c r="AR1800" s="2">
        <v>3</v>
      </c>
      <c r="AS1800" s="2">
        <v>0</v>
      </c>
      <c r="AT1800" s="2">
        <v>0</v>
      </c>
      <c r="AU1800" s="2">
        <v>5</v>
      </c>
      <c r="AV1800" s="2">
        <v>261</v>
      </c>
      <c r="AW1800" s="2">
        <v>0</v>
      </c>
      <c r="AX1800" s="2">
        <v>0</v>
      </c>
      <c r="AY1800" s="2">
        <v>15.5</v>
      </c>
      <c r="AZ1800" s="2">
        <v>2.4</v>
      </c>
      <c r="BA1800" s="2">
        <v>10.9</v>
      </c>
      <c r="BB1800" s="2">
        <v>564</v>
      </c>
      <c r="BC1800" s="2">
        <v>68</v>
      </c>
      <c r="BD1800" s="2">
        <v>1.5</v>
      </c>
      <c r="BE1800" s="2">
        <v>135</v>
      </c>
      <c r="BF1800" s="2">
        <v>0</v>
      </c>
      <c r="BG1800" s="2">
        <v>162</v>
      </c>
      <c r="BH1800" s="2">
        <v>9.1</v>
      </c>
      <c r="BI1800" s="2">
        <v>9.1999999999999993</v>
      </c>
      <c r="BJ1800" s="2">
        <v>18.3</v>
      </c>
      <c r="BK1800" s="2">
        <v>0.34</v>
      </c>
      <c r="BL1800" s="2">
        <v>7.3</v>
      </c>
      <c r="BM1800" s="2">
        <v>0.9</v>
      </c>
      <c r="BN1800" s="2">
        <v>7.5</v>
      </c>
      <c r="BO1800" s="2">
        <v>2.9</v>
      </c>
      <c r="BP1800" s="2">
        <f t="shared" si="56"/>
        <v>1.967231338096612</v>
      </c>
      <c r="BQ1800" s="2">
        <f t="shared" si="57"/>
        <v>9.898218020904558</v>
      </c>
    </row>
    <row r="1801" spans="1:69" x14ac:dyDescent="0.2">
      <c r="A1801" s="2" t="s">
        <v>3372</v>
      </c>
      <c r="B1801" s="2" t="s">
        <v>47</v>
      </c>
      <c r="C1801" s="2" t="s">
        <v>3273</v>
      </c>
      <c r="D1801" s="2" t="s">
        <v>49</v>
      </c>
      <c r="E1801" s="2" t="s">
        <v>1465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89</v>
      </c>
      <c r="L1801" s="6" t="s">
        <v>90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3373</v>
      </c>
      <c r="R1801" s="2">
        <v>12211410.039999999</v>
      </c>
      <c r="S1801" s="2">
        <v>0</v>
      </c>
      <c r="T1801" s="2" t="s">
        <v>83</v>
      </c>
      <c r="U1801" s="2" t="s">
        <v>84</v>
      </c>
      <c r="V1801" s="2" t="s">
        <v>56</v>
      </c>
      <c r="W1801" s="2" t="s">
        <v>83</v>
      </c>
      <c r="X1801" s="2" t="s">
        <v>85</v>
      </c>
      <c r="Y1801" s="2">
        <v>4.0170019243560997</v>
      </c>
      <c r="Z1801" s="2">
        <v>4017.0019243561001</v>
      </c>
      <c r="AA1801" s="2">
        <v>4.71035</v>
      </c>
      <c r="AB1801" s="2">
        <v>-74.030416666666696</v>
      </c>
      <c r="AC1801" s="2">
        <v>2570</v>
      </c>
      <c r="AD1801" s="2">
        <v>10</v>
      </c>
      <c r="AE1801" s="2" t="s">
        <v>59</v>
      </c>
      <c r="AF1801" s="2" t="s">
        <v>86</v>
      </c>
      <c r="AG1801" s="2" t="s">
        <v>61</v>
      </c>
      <c r="AH1801" s="2" t="s">
        <v>62</v>
      </c>
      <c r="AI1801" s="2" t="s">
        <v>109</v>
      </c>
      <c r="AJ1801" s="2">
        <v>0.33868170974832401</v>
      </c>
      <c r="AK1801" s="2">
        <v>1.98925024063294</v>
      </c>
      <c r="AL1801" s="2">
        <v>0.319101527791537</v>
      </c>
      <c r="AM1801" s="2">
        <v>0.19244260082105799</v>
      </c>
      <c r="AN1801" s="2">
        <v>3.2007983785639098</v>
      </c>
      <c r="AO1801" s="2">
        <v>0.39116286698589398</v>
      </c>
      <c r="AP1801" s="2">
        <v>0.39116286698589398</v>
      </c>
      <c r="AQ1801" s="2">
        <v>1</v>
      </c>
      <c r="AR1801" s="2">
        <v>3</v>
      </c>
      <c r="AS1801" s="2">
        <v>0</v>
      </c>
      <c r="AT1801" s="2">
        <v>0</v>
      </c>
      <c r="AU1801" s="2">
        <v>5</v>
      </c>
      <c r="AV1801" s="2">
        <v>261</v>
      </c>
      <c r="AW1801" s="2">
        <v>0</v>
      </c>
      <c r="AX1801" s="2">
        <v>0</v>
      </c>
      <c r="AY1801" s="2">
        <v>15.5</v>
      </c>
      <c r="AZ1801" s="2">
        <v>2.4</v>
      </c>
      <c r="BA1801" s="2">
        <v>10.9</v>
      </c>
      <c r="BB1801" s="2">
        <v>564</v>
      </c>
      <c r="BC1801" s="2">
        <v>68</v>
      </c>
      <c r="BD1801" s="2">
        <v>1.5</v>
      </c>
      <c r="BE1801" s="2">
        <v>135</v>
      </c>
      <c r="BF1801" s="2">
        <v>0</v>
      </c>
      <c r="BG1801" s="2">
        <v>162</v>
      </c>
      <c r="BH1801" s="2">
        <v>9.1</v>
      </c>
      <c r="BI1801" s="2">
        <v>9.1999999999999993</v>
      </c>
      <c r="BJ1801" s="2">
        <v>18.3</v>
      </c>
      <c r="BK1801" s="2">
        <v>0.34</v>
      </c>
      <c r="BL1801" s="2">
        <v>7.3</v>
      </c>
      <c r="BM1801" s="2">
        <v>0.9</v>
      </c>
      <c r="BN1801" s="2">
        <v>7.5</v>
      </c>
      <c r="BO1801" s="2">
        <v>2.9</v>
      </c>
      <c r="BP1801" s="2">
        <f t="shared" si="56"/>
        <v>1.967231338096612</v>
      </c>
      <c r="BQ1801" s="2">
        <f t="shared" si="57"/>
        <v>9.898218020904558</v>
      </c>
    </row>
    <row r="1802" spans="1:69" x14ac:dyDescent="0.2">
      <c r="A1802" s="2" t="s">
        <v>3376</v>
      </c>
      <c r="B1802" s="2" t="s">
        <v>47</v>
      </c>
      <c r="C1802" s="2" t="s">
        <v>3273</v>
      </c>
      <c r="D1802" s="2" t="s">
        <v>49</v>
      </c>
      <c r="E1802" s="2" t="s">
        <v>1465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89</v>
      </c>
      <c r="L1802" s="6" t="s">
        <v>90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3377</v>
      </c>
      <c r="R1802" s="2">
        <v>12211410.039999999</v>
      </c>
      <c r="S1802" s="2">
        <v>0</v>
      </c>
      <c r="T1802" s="2" t="s">
        <v>83</v>
      </c>
      <c r="U1802" s="2" t="s">
        <v>84</v>
      </c>
      <c r="V1802" s="2" t="s">
        <v>56</v>
      </c>
      <c r="W1802" s="2" t="s">
        <v>83</v>
      </c>
      <c r="X1802" s="2" t="s">
        <v>85</v>
      </c>
      <c r="Y1802" s="2">
        <v>4.0170019243560997</v>
      </c>
      <c r="Z1802" s="2">
        <v>4017.0019243561001</v>
      </c>
      <c r="AA1802" s="2">
        <v>4.71035</v>
      </c>
      <c r="AB1802" s="2">
        <v>-74.030416666666696</v>
      </c>
      <c r="AC1802" s="2">
        <v>2570</v>
      </c>
      <c r="AD1802" s="2">
        <v>10</v>
      </c>
      <c r="AE1802" s="2" t="s">
        <v>59</v>
      </c>
      <c r="AF1802" s="2" t="s">
        <v>86</v>
      </c>
      <c r="AG1802" s="2" t="s">
        <v>61</v>
      </c>
      <c r="AH1802" s="2" t="s">
        <v>62</v>
      </c>
      <c r="AI1802" s="2" t="s">
        <v>109</v>
      </c>
      <c r="AJ1802" s="2">
        <v>0.33868170974832401</v>
      </c>
      <c r="AK1802" s="2">
        <v>1.98925024063294</v>
      </c>
      <c r="AL1802" s="2">
        <v>0.319101527791537</v>
      </c>
      <c r="AM1802" s="2">
        <v>0.19244260082105799</v>
      </c>
      <c r="AN1802" s="2">
        <v>3.2007983785639098</v>
      </c>
      <c r="AO1802" s="2">
        <v>0.39116286698589398</v>
      </c>
      <c r="AP1802" s="2">
        <v>0.39116286698589398</v>
      </c>
      <c r="AQ1802" s="2">
        <v>1</v>
      </c>
      <c r="AR1802" s="2">
        <v>3</v>
      </c>
      <c r="AS1802" s="2">
        <v>0</v>
      </c>
      <c r="AT1802" s="2">
        <v>0</v>
      </c>
      <c r="AU1802" s="2">
        <v>5</v>
      </c>
      <c r="AV1802" s="2">
        <v>261</v>
      </c>
      <c r="AW1802" s="2">
        <v>0</v>
      </c>
      <c r="AX1802" s="2">
        <v>0</v>
      </c>
      <c r="AY1802" s="2">
        <v>15.5</v>
      </c>
      <c r="AZ1802" s="2">
        <v>2.4</v>
      </c>
      <c r="BA1802" s="2">
        <v>10.9</v>
      </c>
      <c r="BB1802" s="2">
        <v>564</v>
      </c>
      <c r="BC1802" s="2">
        <v>68</v>
      </c>
      <c r="BD1802" s="2">
        <v>1.5</v>
      </c>
      <c r="BE1802" s="2">
        <v>135</v>
      </c>
      <c r="BF1802" s="2">
        <v>0</v>
      </c>
      <c r="BG1802" s="2">
        <v>162</v>
      </c>
      <c r="BH1802" s="2">
        <v>9.1</v>
      </c>
      <c r="BI1802" s="2">
        <v>9.1999999999999993</v>
      </c>
      <c r="BJ1802" s="2">
        <v>18.3</v>
      </c>
      <c r="BK1802" s="2">
        <v>0.34</v>
      </c>
      <c r="BL1802" s="2">
        <v>7.3</v>
      </c>
      <c r="BM1802" s="2">
        <v>0.9</v>
      </c>
      <c r="BN1802" s="2">
        <v>7.5</v>
      </c>
      <c r="BO1802" s="2">
        <v>2.9</v>
      </c>
      <c r="BP1802" s="2">
        <f t="shared" si="56"/>
        <v>1.967231338096612</v>
      </c>
      <c r="BQ1802" s="2">
        <f t="shared" si="57"/>
        <v>9.898218020904558</v>
      </c>
    </row>
    <row r="1803" spans="1:69" x14ac:dyDescent="0.2">
      <c r="A1803" s="2" t="s">
        <v>4388</v>
      </c>
      <c r="B1803" s="2" t="s">
        <v>47</v>
      </c>
      <c r="C1803" s="2" t="s">
        <v>3273</v>
      </c>
      <c r="D1803" s="2" t="s">
        <v>49</v>
      </c>
      <c r="E1803" s="2" t="s">
        <v>1465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89</v>
      </c>
      <c r="L1803" s="6" t="s">
        <v>103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4389</v>
      </c>
      <c r="R1803" s="2">
        <v>10576923.08</v>
      </c>
      <c r="S1803" s="2">
        <v>73076.923079999993</v>
      </c>
      <c r="T1803" s="2" t="s">
        <v>83</v>
      </c>
      <c r="U1803" s="2" t="s">
        <v>84</v>
      </c>
      <c r="V1803" s="2" t="s">
        <v>56</v>
      </c>
      <c r="W1803" s="2" t="s">
        <v>83</v>
      </c>
      <c r="X1803" s="2" t="s">
        <v>85</v>
      </c>
      <c r="Y1803" s="2">
        <v>4.0398917698012804</v>
      </c>
      <c r="Z1803" s="2">
        <v>4039.8917698012801</v>
      </c>
      <c r="AA1803" s="2">
        <v>4.71035</v>
      </c>
      <c r="AB1803" s="2">
        <v>-74.030416666666696</v>
      </c>
      <c r="AC1803" s="2">
        <v>2570</v>
      </c>
      <c r="AD1803" s="2">
        <v>10</v>
      </c>
      <c r="AE1803" s="2" t="s">
        <v>59</v>
      </c>
      <c r="AF1803" s="2" t="s">
        <v>86</v>
      </c>
      <c r="AG1803" s="2" t="s">
        <v>61</v>
      </c>
      <c r="AH1803" s="2" t="s">
        <v>62</v>
      </c>
      <c r="AI1803" s="2" t="s">
        <v>109</v>
      </c>
      <c r="AJ1803" s="2">
        <v>0.27664749714958897</v>
      </c>
      <c r="AK1803" s="2">
        <v>2.0528429535329802</v>
      </c>
      <c r="AL1803" s="2">
        <v>0.34552396364773602</v>
      </c>
      <c r="AM1803" s="2">
        <v>0.171960713510418</v>
      </c>
      <c r="AN1803" s="2">
        <v>3.1526072802887102</v>
      </c>
      <c r="AO1803" s="2">
        <v>0.33158014722059498</v>
      </c>
      <c r="AP1803" s="2">
        <v>0.33158014722059498</v>
      </c>
      <c r="AQ1803" s="2">
        <v>1</v>
      </c>
      <c r="AR1803" s="2">
        <v>3</v>
      </c>
      <c r="AS1803" s="2">
        <v>0</v>
      </c>
      <c r="AT1803" s="2">
        <v>0</v>
      </c>
      <c r="AU1803" s="2">
        <v>5</v>
      </c>
      <c r="AV1803" s="2">
        <v>254</v>
      </c>
      <c r="AW1803" s="2">
        <v>0</v>
      </c>
      <c r="AX1803" s="2">
        <v>0</v>
      </c>
      <c r="AY1803" s="2">
        <v>15.5</v>
      </c>
      <c r="AZ1803" s="2">
        <v>2.4</v>
      </c>
      <c r="BA1803" s="2">
        <v>10.9</v>
      </c>
      <c r="BB1803" s="2">
        <v>564</v>
      </c>
      <c r="BC1803" s="2">
        <v>68</v>
      </c>
      <c r="BD1803" s="2">
        <v>1.5</v>
      </c>
      <c r="BE1803" s="2">
        <v>135</v>
      </c>
      <c r="BF1803" s="2">
        <v>0</v>
      </c>
      <c r="BG1803" s="2">
        <v>162</v>
      </c>
      <c r="BH1803" s="2">
        <v>9.1</v>
      </c>
      <c r="BI1803" s="2">
        <v>9.1999999999999993</v>
      </c>
      <c r="BJ1803" s="2">
        <v>18.3</v>
      </c>
      <c r="BK1803" s="2">
        <v>0.34</v>
      </c>
      <c r="BL1803" s="2">
        <v>7.3</v>
      </c>
      <c r="BM1803" s="2">
        <v>0.9</v>
      </c>
      <c r="BN1803" s="2">
        <v>7.5</v>
      </c>
      <c r="BO1803" s="2">
        <v>2.9</v>
      </c>
      <c r="BP1803" s="2">
        <f t="shared" si="56"/>
        <v>1.9650036341284216</v>
      </c>
      <c r="BQ1803" s="2">
        <f t="shared" si="57"/>
        <v>9.8927818658979003</v>
      </c>
    </row>
    <row r="1804" spans="1:69" x14ac:dyDescent="0.2">
      <c r="A1804" s="2" t="s">
        <v>3473</v>
      </c>
      <c r="B1804" s="2" t="s">
        <v>47</v>
      </c>
      <c r="C1804" s="2" t="s">
        <v>3273</v>
      </c>
      <c r="D1804" s="2" t="s">
        <v>49</v>
      </c>
      <c r="E1804" s="2" t="s">
        <v>111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89</v>
      </c>
      <c r="L1804" s="6" t="s">
        <v>90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3474</v>
      </c>
      <c r="R1804" s="2">
        <v>12307692.310000001</v>
      </c>
      <c r="S1804" s="2">
        <v>0</v>
      </c>
      <c r="T1804" s="2" t="s">
        <v>83</v>
      </c>
      <c r="U1804" s="2" t="s">
        <v>84</v>
      </c>
      <c r="V1804" s="2" t="s">
        <v>56</v>
      </c>
      <c r="W1804" s="2" t="s">
        <v>83</v>
      </c>
      <c r="X1804" s="2" t="s">
        <v>85</v>
      </c>
      <c r="Y1804" s="2">
        <v>3.9843926788087001</v>
      </c>
      <c r="Z1804" s="2">
        <v>3984.3926788087001</v>
      </c>
      <c r="AA1804" s="2">
        <v>4.71035</v>
      </c>
      <c r="AB1804" s="2">
        <v>-74.030416666666696</v>
      </c>
      <c r="AC1804" s="2">
        <v>2570</v>
      </c>
      <c r="AD1804" s="2">
        <v>10</v>
      </c>
      <c r="AE1804" s="2" t="s">
        <v>59</v>
      </c>
      <c r="AF1804" s="2" t="s">
        <v>86</v>
      </c>
      <c r="AG1804" s="2" t="s">
        <v>61</v>
      </c>
      <c r="AH1804" s="2" t="s">
        <v>62</v>
      </c>
      <c r="AI1804" s="2" t="s">
        <v>109</v>
      </c>
      <c r="AJ1804" s="2">
        <v>0.36868341282237399</v>
      </c>
      <c r="AK1804" s="2">
        <v>1.9703254987274501</v>
      </c>
      <c r="AL1804" s="2">
        <v>0.287262167097113</v>
      </c>
      <c r="AM1804" s="2">
        <v>0.181177137929142</v>
      </c>
      <c r="AN1804" s="2">
        <v>3.2357443820735901</v>
      </c>
      <c r="AO1804" s="2">
        <v>0.422868788901549</v>
      </c>
      <c r="AP1804" s="2">
        <v>0.422868788901549</v>
      </c>
      <c r="AQ1804" s="2">
        <v>1</v>
      </c>
      <c r="AR1804" s="2">
        <v>3</v>
      </c>
      <c r="AS1804" s="2">
        <v>0</v>
      </c>
      <c r="AT1804" s="2">
        <v>0</v>
      </c>
      <c r="AU1804" s="2">
        <v>5</v>
      </c>
      <c r="AV1804" s="2">
        <v>260</v>
      </c>
      <c r="AW1804" s="2">
        <v>0</v>
      </c>
      <c r="AX1804" s="2">
        <v>0</v>
      </c>
      <c r="AY1804" s="2">
        <v>15.5</v>
      </c>
      <c r="AZ1804" s="2">
        <v>2.4</v>
      </c>
      <c r="BA1804" s="2">
        <v>10.9</v>
      </c>
      <c r="BB1804" s="2">
        <v>564</v>
      </c>
      <c r="BC1804" s="2">
        <v>68</v>
      </c>
      <c r="BD1804" s="2">
        <v>1.5</v>
      </c>
      <c r="BE1804" s="2">
        <v>135</v>
      </c>
      <c r="BF1804" s="2">
        <v>0</v>
      </c>
      <c r="BG1804" s="2">
        <v>162</v>
      </c>
      <c r="BH1804" s="2">
        <v>9.1</v>
      </c>
      <c r="BI1804" s="2">
        <v>9.1999999999999993</v>
      </c>
      <c r="BJ1804" s="2">
        <v>18.3</v>
      </c>
      <c r="BK1804" s="2">
        <v>0.34</v>
      </c>
      <c r="BL1804" s="2">
        <v>7.3</v>
      </c>
      <c r="BM1804" s="2">
        <v>0.9</v>
      </c>
      <c r="BN1804" s="2">
        <v>7.5</v>
      </c>
      <c r="BO1804" s="2">
        <v>2.9</v>
      </c>
      <c r="BP1804" s="2">
        <f t="shared" si="56"/>
        <v>1.970409323814327</v>
      </c>
      <c r="BQ1804" s="2">
        <f t="shared" si="57"/>
        <v>9.9059676151362712</v>
      </c>
    </row>
    <row r="1805" spans="1:69" x14ac:dyDescent="0.2">
      <c r="A1805" s="2" t="s">
        <v>3584</v>
      </c>
      <c r="B1805" s="2" t="s">
        <v>47</v>
      </c>
      <c r="C1805" s="2" t="s">
        <v>3273</v>
      </c>
      <c r="D1805" s="2" t="s">
        <v>49</v>
      </c>
      <c r="E1805" s="2" t="s">
        <v>111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89</v>
      </c>
      <c r="L1805" s="6" t="s">
        <v>90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3585</v>
      </c>
      <c r="R1805" s="2">
        <v>12307692.310000001</v>
      </c>
      <c r="S1805" s="2">
        <v>0</v>
      </c>
      <c r="T1805" s="2" t="s">
        <v>83</v>
      </c>
      <c r="U1805" s="2" t="s">
        <v>84</v>
      </c>
      <c r="V1805" s="2" t="s">
        <v>56</v>
      </c>
      <c r="W1805" s="2" t="s">
        <v>83</v>
      </c>
      <c r="X1805" s="2" t="s">
        <v>85</v>
      </c>
      <c r="Y1805" s="2">
        <v>3.9641296032534599</v>
      </c>
      <c r="Z1805" s="2">
        <v>3964.1296032534601</v>
      </c>
      <c r="AA1805" s="2">
        <v>4.71035</v>
      </c>
      <c r="AB1805" s="2">
        <v>-74.030416666666696</v>
      </c>
      <c r="AC1805" s="2">
        <v>2570</v>
      </c>
      <c r="AD1805" s="2">
        <v>10</v>
      </c>
      <c r="AE1805" s="2" t="s">
        <v>59</v>
      </c>
      <c r="AF1805" s="2" t="s">
        <v>86</v>
      </c>
      <c r="AG1805" s="2" t="s">
        <v>61</v>
      </c>
      <c r="AH1805" s="2" t="s">
        <v>62</v>
      </c>
      <c r="AI1805" s="2" t="s">
        <v>109</v>
      </c>
      <c r="AJ1805" s="2">
        <v>0.40706978695021501</v>
      </c>
      <c r="AK1805" s="2">
        <v>1.93467927745237</v>
      </c>
      <c r="AL1805" s="2">
        <v>0.27137560971180102</v>
      </c>
      <c r="AM1805" s="2">
        <v>0.19893753456117899</v>
      </c>
      <c r="AN1805" s="2">
        <v>3.26930704856087</v>
      </c>
      <c r="AO1805" s="2">
        <v>0.460761649290794</v>
      </c>
      <c r="AP1805" s="2">
        <v>0.460761649290794</v>
      </c>
      <c r="AQ1805" s="2">
        <v>1</v>
      </c>
      <c r="AR1805" s="2">
        <v>1</v>
      </c>
      <c r="AS1805" s="2">
        <v>0</v>
      </c>
      <c r="AT1805" s="2">
        <v>0</v>
      </c>
      <c r="AU1805" s="2">
        <v>5</v>
      </c>
      <c r="AV1805" s="2">
        <v>259</v>
      </c>
      <c r="AW1805" s="2">
        <v>0</v>
      </c>
      <c r="AX1805" s="2">
        <v>0</v>
      </c>
      <c r="AY1805" s="2">
        <v>15.5</v>
      </c>
      <c r="AZ1805" s="2">
        <v>2.4</v>
      </c>
      <c r="BA1805" s="2">
        <v>10.9</v>
      </c>
      <c r="BB1805" s="2">
        <v>564</v>
      </c>
      <c r="BC1805" s="2">
        <v>68</v>
      </c>
      <c r="BD1805" s="2">
        <v>1.5</v>
      </c>
      <c r="BE1805" s="2">
        <v>135</v>
      </c>
      <c r="BF1805" s="2">
        <v>0</v>
      </c>
      <c r="BG1805" s="2">
        <v>162</v>
      </c>
      <c r="BH1805" s="2">
        <v>9.1</v>
      </c>
      <c r="BI1805" s="2">
        <v>9.1999999999999993</v>
      </c>
      <c r="BJ1805" s="2">
        <v>18.3</v>
      </c>
      <c r="BK1805" s="2">
        <v>0.34</v>
      </c>
      <c r="BL1805" s="2">
        <v>7.3</v>
      </c>
      <c r="BM1805" s="2">
        <v>0.9</v>
      </c>
      <c r="BN1805" s="2">
        <v>7.5</v>
      </c>
      <c r="BO1805" s="2">
        <v>2.9</v>
      </c>
      <c r="BP1805" s="2">
        <f t="shared" si="56"/>
        <v>1.9723866796881673</v>
      </c>
      <c r="BQ1805" s="2">
        <f t="shared" si="57"/>
        <v>9.910786195598023</v>
      </c>
    </row>
    <row r="1806" spans="1:69" x14ac:dyDescent="0.2">
      <c r="A1806" s="2" t="s">
        <v>993</v>
      </c>
      <c r="B1806" s="2" t="s">
        <v>47</v>
      </c>
      <c r="C1806" s="2" t="s">
        <v>48</v>
      </c>
      <c r="D1806" s="2" t="s">
        <v>49</v>
      </c>
      <c r="E1806" s="2" t="s">
        <v>373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89</v>
      </c>
      <c r="L1806" s="6" t="s">
        <v>141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994</v>
      </c>
      <c r="R1806" s="2">
        <v>6250000</v>
      </c>
      <c r="S1806" s="2">
        <v>0</v>
      </c>
      <c r="T1806" s="2" t="s">
        <v>83</v>
      </c>
      <c r="U1806" s="2" t="s">
        <v>84</v>
      </c>
      <c r="V1806" s="2" t="s">
        <v>56</v>
      </c>
      <c r="W1806" s="2" t="s">
        <v>83</v>
      </c>
      <c r="X1806" s="2" t="s">
        <v>85</v>
      </c>
      <c r="Y1806" s="2">
        <v>1.93416371174176</v>
      </c>
      <c r="Z1806" s="2">
        <v>1934.1637117417599</v>
      </c>
      <c r="AA1806" s="2">
        <v>4.71035</v>
      </c>
      <c r="AB1806" s="2">
        <v>-74.030416666666696</v>
      </c>
      <c r="AC1806" s="2">
        <v>2570</v>
      </c>
      <c r="AD1806" s="2">
        <v>10</v>
      </c>
      <c r="AE1806" s="2" t="s">
        <v>59</v>
      </c>
      <c r="AF1806" s="2" t="s">
        <v>86</v>
      </c>
      <c r="AG1806" s="2" t="s">
        <v>61</v>
      </c>
      <c r="AH1806" s="2" t="s">
        <v>62</v>
      </c>
      <c r="AI1806" s="2" t="s">
        <v>87</v>
      </c>
      <c r="AJ1806" s="2">
        <v>1.20258598513363</v>
      </c>
      <c r="AK1806" s="2">
        <v>1.8942920122745901</v>
      </c>
      <c r="AL1806" s="2">
        <v>0.87340733758985201</v>
      </c>
      <c r="AM1806" s="2">
        <v>0.417666257222369</v>
      </c>
      <c r="AN1806" s="2">
        <v>2.3349752716312899</v>
      </c>
      <c r="AO1806" s="2">
        <v>8.10715800794643E-2</v>
      </c>
      <c r="AP1806" s="2">
        <v>8.10715800794643E-2</v>
      </c>
      <c r="AQ1806" s="2">
        <v>0</v>
      </c>
      <c r="AR1806" s="2">
        <v>0</v>
      </c>
      <c r="AS1806" s="2">
        <v>0</v>
      </c>
      <c r="AT1806" s="2">
        <v>0</v>
      </c>
      <c r="AU1806" s="2">
        <v>1</v>
      </c>
      <c r="AV1806" s="2">
        <v>34</v>
      </c>
      <c r="AW1806" s="2">
        <v>0</v>
      </c>
      <c r="AX1806" s="2">
        <v>0</v>
      </c>
      <c r="AY1806" s="2">
        <v>15.5</v>
      </c>
      <c r="AZ1806" s="2">
        <v>2.4</v>
      </c>
      <c r="BA1806" s="2">
        <v>10.9</v>
      </c>
      <c r="BB1806" s="2">
        <v>564</v>
      </c>
      <c r="BC1806" s="2">
        <v>68</v>
      </c>
      <c r="BD1806" s="2">
        <v>1.5</v>
      </c>
      <c r="BE1806" s="2">
        <v>135</v>
      </c>
      <c r="BF1806" s="2">
        <v>0</v>
      </c>
      <c r="BG1806" s="2">
        <v>162</v>
      </c>
      <c r="BH1806" s="2">
        <v>9.1</v>
      </c>
      <c r="BI1806" s="2">
        <v>9.1999999999999993</v>
      </c>
      <c r="BJ1806" s="2">
        <v>18.3</v>
      </c>
      <c r="BK1806" s="2">
        <v>0.34</v>
      </c>
      <c r="BL1806" s="2">
        <v>7.3</v>
      </c>
      <c r="BM1806" s="2">
        <v>0.9</v>
      </c>
      <c r="BN1806" s="2">
        <v>7.5</v>
      </c>
      <c r="BO1806" s="2">
        <v>2.9</v>
      </c>
      <c r="BP1806" s="2">
        <f t="shared" si="56"/>
        <v>2.180878186707246</v>
      </c>
      <c r="BQ1806" s="2">
        <f t="shared" si="57"/>
        <v>10.405586861751035</v>
      </c>
    </row>
    <row r="1807" spans="1:69" x14ac:dyDescent="0.2">
      <c r="A1807" s="2" t="s">
        <v>1486</v>
      </c>
      <c r="B1807" s="2" t="s">
        <v>47</v>
      </c>
      <c r="C1807" s="2" t="s">
        <v>48</v>
      </c>
      <c r="D1807" s="2" t="s">
        <v>49</v>
      </c>
      <c r="E1807" s="2" t="s">
        <v>447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89</v>
      </c>
      <c r="L1807" s="6" t="s">
        <v>103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1487</v>
      </c>
      <c r="R1807" s="2">
        <v>9117647.0590000004</v>
      </c>
      <c r="S1807" s="2">
        <v>0</v>
      </c>
      <c r="T1807" s="2" t="s">
        <v>83</v>
      </c>
      <c r="U1807" s="2" t="s">
        <v>84</v>
      </c>
      <c r="V1807" s="2" t="s">
        <v>56</v>
      </c>
      <c r="W1807" s="2" t="s">
        <v>83</v>
      </c>
      <c r="X1807" s="2" t="s">
        <v>85</v>
      </c>
      <c r="Y1807" s="2">
        <v>3.0822558746706101</v>
      </c>
      <c r="Z1807" s="2">
        <v>3082.25587467061</v>
      </c>
      <c r="AA1807" s="2">
        <v>4.71035</v>
      </c>
      <c r="AB1807" s="2">
        <v>-74.030416666666696</v>
      </c>
      <c r="AC1807" s="2">
        <v>2570</v>
      </c>
      <c r="AD1807" s="2">
        <v>10</v>
      </c>
      <c r="AE1807" s="2" t="s">
        <v>59</v>
      </c>
      <c r="AF1807" s="2" t="s">
        <v>86</v>
      </c>
      <c r="AG1807" s="2" t="s">
        <v>61</v>
      </c>
      <c r="AH1807" s="2" t="s">
        <v>62</v>
      </c>
      <c r="AI1807" s="2" t="s">
        <v>87</v>
      </c>
      <c r="AJ1807" s="2">
        <v>0.89203566978783599</v>
      </c>
      <c r="AK1807" s="2">
        <v>1.85738802420722</v>
      </c>
      <c r="AL1807" s="2">
        <v>0.27094022963761699</v>
      </c>
      <c r="AM1807" s="2">
        <v>0.19805075056743299</v>
      </c>
      <c r="AN1807" s="2">
        <v>4.0560783110459404</v>
      </c>
      <c r="AO1807" s="2">
        <v>0.219541437258641</v>
      </c>
      <c r="AP1807" s="2">
        <v>0.219541437258641</v>
      </c>
      <c r="AQ1807" s="2">
        <v>0</v>
      </c>
      <c r="AR1807" s="2">
        <v>1</v>
      </c>
      <c r="AS1807" s="2">
        <v>0</v>
      </c>
      <c r="AT1807" s="2">
        <v>0</v>
      </c>
      <c r="AU1807" s="2">
        <v>5</v>
      </c>
      <c r="AV1807" s="2">
        <v>157</v>
      </c>
      <c r="AW1807" s="2">
        <v>0</v>
      </c>
      <c r="AX1807" s="2">
        <v>0</v>
      </c>
      <c r="AY1807" s="2">
        <v>15.5</v>
      </c>
      <c r="AZ1807" s="2">
        <v>2.4</v>
      </c>
      <c r="BA1807" s="2">
        <v>10.9</v>
      </c>
      <c r="BB1807" s="2">
        <v>564</v>
      </c>
      <c r="BC1807" s="2">
        <v>68</v>
      </c>
      <c r="BD1807" s="2">
        <v>1.5</v>
      </c>
      <c r="BE1807" s="2">
        <v>135</v>
      </c>
      <c r="BF1807" s="2">
        <v>0</v>
      </c>
      <c r="BG1807" s="2">
        <v>162</v>
      </c>
      <c r="BH1807" s="2">
        <v>9.1</v>
      </c>
      <c r="BI1807" s="2">
        <v>9.1999999999999993</v>
      </c>
      <c r="BJ1807" s="2">
        <v>18.3</v>
      </c>
      <c r="BK1807" s="2">
        <v>0.34</v>
      </c>
      <c r="BL1807" s="2">
        <v>7.3</v>
      </c>
      <c r="BM1807" s="2">
        <v>0.9</v>
      </c>
      <c r="BN1807" s="2">
        <v>7.5</v>
      </c>
      <c r="BO1807" s="2">
        <v>2.9</v>
      </c>
      <c r="BP1807" s="2">
        <f t="shared" si="56"/>
        <v>2.0603936804505585</v>
      </c>
      <c r="BQ1807" s="2">
        <f t="shared" si="57"/>
        <v>10.122783224616997</v>
      </c>
    </row>
    <row r="1808" spans="1:69" x14ac:dyDescent="0.2">
      <c r="A1808" s="2" t="s">
        <v>4062</v>
      </c>
      <c r="B1808" s="2" t="s">
        <v>47</v>
      </c>
      <c r="C1808" s="2" t="s">
        <v>3273</v>
      </c>
      <c r="D1808" s="2" t="s">
        <v>49</v>
      </c>
      <c r="E1808" s="2" t="s">
        <v>262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89</v>
      </c>
      <c r="L1808" s="6" t="s">
        <v>112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4063</v>
      </c>
      <c r="R1808" s="2">
        <v>9411764.7060000002</v>
      </c>
      <c r="S1808" s="2">
        <v>0</v>
      </c>
      <c r="T1808" s="2" t="s">
        <v>83</v>
      </c>
      <c r="U1808" s="2" t="s">
        <v>84</v>
      </c>
      <c r="V1808" s="2" t="s">
        <v>56</v>
      </c>
      <c r="W1808" s="2" t="s">
        <v>83</v>
      </c>
      <c r="X1808" s="2" t="s">
        <v>85</v>
      </c>
      <c r="Y1808" s="2">
        <v>1.6892945435250999</v>
      </c>
      <c r="Z1808" s="2">
        <v>1689.2945435250999</v>
      </c>
      <c r="AA1808" s="2">
        <v>4.71035</v>
      </c>
      <c r="AB1808" s="2">
        <v>-74.030416666666696</v>
      </c>
      <c r="AC1808" s="2">
        <v>2570</v>
      </c>
      <c r="AD1808" s="2">
        <v>10</v>
      </c>
      <c r="AE1808" s="2" t="s">
        <v>59</v>
      </c>
      <c r="AF1808" s="2" t="s">
        <v>86</v>
      </c>
      <c r="AG1808" s="2" t="s">
        <v>61</v>
      </c>
      <c r="AH1808" s="2" t="s">
        <v>62</v>
      </c>
      <c r="AI1808" s="2" t="s">
        <v>87</v>
      </c>
      <c r="AJ1808" s="2">
        <v>1.9293832169523699</v>
      </c>
      <c r="AK1808" s="2">
        <v>1.2275147544804099</v>
      </c>
      <c r="AL1808" s="2">
        <v>1.1294037230652101</v>
      </c>
      <c r="AM1808" s="2">
        <v>0.29257349326634402</v>
      </c>
      <c r="AN1808" s="2">
        <v>1.9338853757041199</v>
      </c>
      <c r="AO1808" s="2">
        <v>0.219963831917315</v>
      </c>
      <c r="AP1808" s="2">
        <v>0.219963831917315</v>
      </c>
      <c r="AQ1808" s="2">
        <v>0</v>
      </c>
      <c r="AR1808" s="2">
        <v>0</v>
      </c>
      <c r="AS1808" s="2">
        <v>0</v>
      </c>
      <c r="AT1808" s="2">
        <v>0</v>
      </c>
      <c r="AU1808" s="2">
        <v>0</v>
      </c>
      <c r="AV1808" s="2">
        <v>12</v>
      </c>
      <c r="AW1808" s="2">
        <v>0</v>
      </c>
      <c r="AX1808" s="2">
        <v>0</v>
      </c>
      <c r="AY1808" s="2">
        <v>15.5</v>
      </c>
      <c r="AZ1808" s="2">
        <v>2.4</v>
      </c>
      <c r="BA1808" s="2">
        <v>10.9</v>
      </c>
      <c r="BB1808" s="2">
        <v>564</v>
      </c>
      <c r="BC1808" s="2">
        <v>68</v>
      </c>
      <c r="BD1808" s="2">
        <v>1.5</v>
      </c>
      <c r="BE1808" s="2">
        <v>135</v>
      </c>
      <c r="BF1808" s="2">
        <v>0</v>
      </c>
      <c r="BG1808" s="2">
        <v>162</v>
      </c>
      <c r="BH1808" s="2">
        <v>9.1</v>
      </c>
      <c r="BI1808" s="2">
        <v>9.1999999999999993</v>
      </c>
      <c r="BJ1808" s="2">
        <v>18.3</v>
      </c>
      <c r="BK1808" s="2">
        <v>0.34</v>
      </c>
      <c r="BL1808" s="2">
        <v>7.3</v>
      </c>
      <c r="BM1808" s="2">
        <v>0.9</v>
      </c>
      <c r="BN1808" s="2">
        <v>7.5</v>
      </c>
      <c r="BO1808" s="2">
        <v>2.9</v>
      </c>
      <c r="BP1808" s="2">
        <f t="shared" si="56"/>
        <v>2.2074735188860299</v>
      </c>
      <c r="BQ1808" s="2">
        <f t="shared" si="57"/>
        <v>10.466919083261649</v>
      </c>
    </row>
    <row r="1809" spans="1:69" x14ac:dyDescent="0.2">
      <c r="A1809" s="2" t="s">
        <v>4522</v>
      </c>
      <c r="B1809" s="2" t="s">
        <v>47</v>
      </c>
      <c r="C1809" s="2" t="s">
        <v>3273</v>
      </c>
      <c r="D1809" s="2" t="s">
        <v>49</v>
      </c>
      <c r="E1809" s="2" t="s">
        <v>111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89</v>
      </c>
      <c r="L1809" s="6" t="s">
        <v>90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4523</v>
      </c>
      <c r="R1809" s="2">
        <v>10800000</v>
      </c>
      <c r="S1809" s="2">
        <v>0</v>
      </c>
      <c r="T1809" s="2" t="s">
        <v>83</v>
      </c>
      <c r="U1809" s="2" t="s">
        <v>84</v>
      </c>
      <c r="V1809" s="2" t="s">
        <v>56</v>
      </c>
      <c r="W1809" s="2" t="s">
        <v>83</v>
      </c>
      <c r="X1809" s="2" t="s">
        <v>85</v>
      </c>
      <c r="Y1809" s="2">
        <v>3.8897409790275801</v>
      </c>
      <c r="Z1809" s="2">
        <v>3889.7409790275801</v>
      </c>
      <c r="AA1809" s="2">
        <v>4.71035</v>
      </c>
      <c r="AB1809" s="2">
        <v>-74.030416666666696</v>
      </c>
      <c r="AC1809" s="2">
        <v>2570</v>
      </c>
      <c r="AD1809" s="2">
        <v>10</v>
      </c>
      <c r="AE1809" s="2" t="s">
        <v>59</v>
      </c>
      <c r="AF1809" s="2" t="s">
        <v>86</v>
      </c>
      <c r="AG1809" s="2" t="s">
        <v>61</v>
      </c>
      <c r="AH1809" s="2" t="s">
        <v>62</v>
      </c>
      <c r="AI1809" s="2" t="s">
        <v>109</v>
      </c>
      <c r="AJ1809" s="2">
        <v>1.3600501285959301</v>
      </c>
      <c r="AK1809" s="2">
        <v>0.95671990884653602</v>
      </c>
      <c r="AL1809" s="2">
        <v>0.86539525611063495</v>
      </c>
      <c r="AM1809" s="2">
        <v>5.9788271897160197E-2</v>
      </c>
      <c r="AN1809" s="2">
        <v>3.9797489760265599</v>
      </c>
      <c r="AO1809" s="2">
        <v>1.11876051451213</v>
      </c>
      <c r="AP1809" s="2">
        <v>1.11876051451213</v>
      </c>
      <c r="AQ1809" s="2">
        <v>0</v>
      </c>
      <c r="AR1809" s="2">
        <v>0</v>
      </c>
      <c r="AS1809" s="2">
        <v>0</v>
      </c>
      <c r="AT1809" s="2">
        <v>1</v>
      </c>
      <c r="AU1809" s="2">
        <v>2</v>
      </c>
      <c r="AV1809" s="2">
        <v>105</v>
      </c>
      <c r="AW1809" s="2">
        <v>0</v>
      </c>
      <c r="AX1809" s="2">
        <v>0</v>
      </c>
      <c r="AY1809" s="2">
        <v>15.5</v>
      </c>
      <c r="AZ1809" s="2">
        <v>2.4</v>
      </c>
      <c r="BA1809" s="2">
        <v>10.9</v>
      </c>
      <c r="BB1809" s="2">
        <v>564</v>
      </c>
      <c r="BC1809" s="2">
        <v>68</v>
      </c>
      <c r="BD1809" s="2">
        <v>1.5</v>
      </c>
      <c r="BE1809" s="2">
        <v>135</v>
      </c>
      <c r="BF1809" s="2">
        <v>0</v>
      </c>
      <c r="BG1809" s="2">
        <v>162</v>
      </c>
      <c r="BH1809" s="2">
        <v>9.1</v>
      </c>
      <c r="BI1809" s="2">
        <v>9.1999999999999993</v>
      </c>
      <c r="BJ1809" s="2">
        <v>18.3</v>
      </c>
      <c r="BK1809" s="2">
        <v>0.34</v>
      </c>
      <c r="BL1809" s="2">
        <v>7.3</v>
      </c>
      <c r="BM1809" s="2">
        <v>0.9</v>
      </c>
      <c r="BN1809" s="2">
        <v>7.5</v>
      </c>
      <c r="BO1809" s="2">
        <v>2.9</v>
      </c>
      <c r="BP1809" s="2">
        <f t="shared" si="56"/>
        <v>1.9796628627931263</v>
      </c>
      <c r="BQ1809" s="2">
        <f t="shared" si="57"/>
        <v>9.9284959937863846</v>
      </c>
    </row>
    <row r="1810" spans="1:69" x14ac:dyDescent="0.2">
      <c r="A1810" s="2" t="s">
        <v>4490</v>
      </c>
      <c r="B1810" s="2" t="s">
        <v>47</v>
      </c>
      <c r="C1810" s="2" t="s">
        <v>3273</v>
      </c>
      <c r="D1810" s="2" t="s">
        <v>49</v>
      </c>
      <c r="E1810" s="2" t="s">
        <v>192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89</v>
      </c>
      <c r="L1810" s="6" t="s">
        <v>90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4491</v>
      </c>
      <c r="R1810" s="2">
        <v>11000000</v>
      </c>
      <c r="S1810" s="2">
        <v>0</v>
      </c>
      <c r="T1810" s="2" t="s">
        <v>83</v>
      </c>
      <c r="U1810" s="2" t="s">
        <v>84</v>
      </c>
      <c r="V1810" s="2" t="s">
        <v>56</v>
      </c>
      <c r="W1810" s="2" t="s">
        <v>83</v>
      </c>
      <c r="X1810" s="2" t="s">
        <v>85</v>
      </c>
      <c r="Y1810" s="2">
        <v>1.73747912514823</v>
      </c>
      <c r="Z1810" s="2">
        <v>1737.47912514823</v>
      </c>
      <c r="AA1810" s="2">
        <v>4.71035</v>
      </c>
      <c r="AB1810" s="2">
        <v>-74.030416666666696</v>
      </c>
      <c r="AC1810" s="2">
        <v>2570</v>
      </c>
      <c r="AD1810" s="2">
        <v>10</v>
      </c>
      <c r="AE1810" s="2" t="s">
        <v>59</v>
      </c>
      <c r="AF1810" s="2" t="s">
        <v>86</v>
      </c>
      <c r="AG1810" s="2" t="s">
        <v>61</v>
      </c>
      <c r="AH1810" s="2" t="s">
        <v>62</v>
      </c>
      <c r="AI1810" s="2" t="s">
        <v>87</v>
      </c>
      <c r="AJ1810" s="2">
        <v>1.7470750877980601</v>
      </c>
      <c r="AK1810" s="2">
        <v>1.5177654035499</v>
      </c>
      <c r="AL1810" s="2">
        <v>0.88430257242613197</v>
      </c>
      <c r="AM1810" s="2">
        <v>2.5822837559881E-2</v>
      </c>
      <c r="AN1810" s="2">
        <v>5.0513656312494204</v>
      </c>
      <c r="AO1810" s="2">
        <v>3.8004743448727903E-2</v>
      </c>
      <c r="AP1810" s="2">
        <v>3.8004743448727903E-2</v>
      </c>
      <c r="AQ1810" s="2">
        <v>0</v>
      </c>
      <c r="AR1810" s="2">
        <v>0</v>
      </c>
      <c r="AS1810" s="2">
        <v>0</v>
      </c>
      <c r="AT1810" s="2">
        <v>0</v>
      </c>
      <c r="AU1810" s="2">
        <v>1</v>
      </c>
      <c r="AV1810" s="2">
        <v>155</v>
      </c>
      <c r="AW1810" s="2">
        <v>0</v>
      </c>
      <c r="AX1810" s="2">
        <v>0</v>
      </c>
      <c r="AY1810" s="2">
        <v>15.5</v>
      </c>
      <c r="AZ1810" s="2">
        <v>2.4</v>
      </c>
      <c r="BA1810" s="2">
        <v>10.9</v>
      </c>
      <c r="BB1810" s="2">
        <v>564</v>
      </c>
      <c r="BC1810" s="2">
        <v>68</v>
      </c>
      <c r="BD1810" s="2">
        <v>1.5</v>
      </c>
      <c r="BE1810" s="2">
        <v>135</v>
      </c>
      <c r="BF1810" s="2">
        <v>0</v>
      </c>
      <c r="BG1810" s="2">
        <v>162</v>
      </c>
      <c r="BH1810" s="2">
        <v>9.1</v>
      </c>
      <c r="BI1810" s="2">
        <v>9.1999999999999993</v>
      </c>
      <c r="BJ1810" s="2">
        <v>18.3</v>
      </c>
      <c r="BK1810" s="2">
        <v>0.34</v>
      </c>
      <c r="BL1810" s="2">
        <v>7.3</v>
      </c>
      <c r="BM1810" s="2">
        <v>0.9</v>
      </c>
      <c r="BN1810" s="2">
        <v>7.5</v>
      </c>
      <c r="BO1810" s="2">
        <v>2.9</v>
      </c>
      <c r="BP1810" s="2">
        <f t="shared" si="56"/>
        <v>2.2022146666165145</v>
      </c>
      <c r="BQ1810" s="2">
        <f t="shared" si="57"/>
        <v>10.454821820622444</v>
      </c>
    </row>
    <row r="1811" spans="1:69" x14ac:dyDescent="0.2">
      <c r="A1811" s="2" t="s">
        <v>4422</v>
      </c>
      <c r="B1811" s="2" t="s">
        <v>47</v>
      </c>
      <c r="C1811" s="2" t="s">
        <v>3273</v>
      </c>
      <c r="D1811" s="2" t="s">
        <v>49</v>
      </c>
      <c r="E1811" s="2" t="s">
        <v>184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89</v>
      </c>
      <c r="L1811" s="6" t="s">
        <v>90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4423</v>
      </c>
      <c r="R1811" s="2">
        <v>8700000</v>
      </c>
      <c r="S1811" s="2">
        <v>0</v>
      </c>
      <c r="T1811" s="2" t="s">
        <v>83</v>
      </c>
      <c r="U1811" s="2" t="s">
        <v>84</v>
      </c>
      <c r="V1811" s="2" t="s">
        <v>56</v>
      </c>
      <c r="W1811" s="2" t="s">
        <v>83</v>
      </c>
      <c r="X1811" s="2" t="s">
        <v>85</v>
      </c>
      <c r="Y1811" s="2">
        <v>1.4256311129903401</v>
      </c>
      <c r="Z1811" s="2">
        <v>1425.6311129903399</v>
      </c>
      <c r="AA1811" s="2">
        <v>4.71035</v>
      </c>
      <c r="AB1811" s="2">
        <v>-74.030416666666696</v>
      </c>
      <c r="AC1811" s="2">
        <v>2570</v>
      </c>
      <c r="AD1811" s="2">
        <v>10</v>
      </c>
      <c r="AE1811" s="2" t="s">
        <v>59</v>
      </c>
      <c r="AF1811" s="2" t="s">
        <v>86</v>
      </c>
      <c r="AG1811" s="2" t="s">
        <v>61</v>
      </c>
      <c r="AH1811" s="2" t="s">
        <v>62</v>
      </c>
      <c r="AI1811" s="2" t="s">
        <v>87</v>
      </c>
      <c r="AJ1811" s="2">
        <v>1.97038560178158</v>
      </c>
      <c r="AK1811" s="2">
        <v>1.1221066980342</v>
      </c>
      <c r="AL1811" s="2">
        <v>1.33955653748556</v>
      </c>
      <c r="AM1811" s="2">
        <v>0.26493534473161601</v>
      </c>
      <c r="AN1811" s="2">
        <v>2.1848665901459401</v>
      </c>
      <c r="AO1811" s="2">
        <v>5.47840187813501E-3</v>
      </c>
      <c r="AP1811" s="2">
        <v>5.47840187813501E-3</v>
      </c>
      <c r="AQ1811" s="2">
        <v>0</v>
      </c>
      <c r="AR1811" s="2">
        <v>0</v>
      </c>
      <c r="AS1811" s="2">
        <v>0</v>
      </c>
      <c r="AT1811" s="2">
        <v>0</v>
      </c>
      <c r="AU1811" s="2">
        <v>0</v>
      </c>
      <c r="AV1811" s="2">
        <v>29</v>
      </c>
      <c r="AW1811" s="2">
        <v>0</v>
      </c>
      <c r="AX1811" s="2">
        <v>0</v>
      </c>
      <c r="AY1811" s="2">
        <v>15.5</v>
      </c>
      <c r="AZ1811" s="2">
        <v>2.4</v>
      </c>
      <c r="BA1811" s="2">
        <v>10.9</v>
      </c>
      <c r="BB1811" s="2">
        <v>564</v>
      </c>
      <c r="BC1811" s="2">
        <v>68</v>
      </c>
      <c r="BD1811" s="2">
        <v>1.5</v>
      </c>
      <c r="BE1811" s="2">
        <v>135</v>
      </c>
      <c r="BF1811" s="2">
        <v>0</v>
      </c>
      <c r="BG1811" s="2">
        <v>162</v>
      </c>
      <c r="BH1811" s="2">
        <v>9.1</v>
      </c>
      <c r="BI1811" s="2">
        <v>9.1999999999999993</v>
      </c>
      <c r="BJ1811" s="2">
        <v>18.3</v>
      </c>
      <c r="BK1811" s="2">
        <v>0.34</v>
      </c>
      <c r="BL1811" s="2">
        <v>7.3</v>
      </c>
      <c r="BM1811" s="2">
        <v>0.9</v>
      </c>
      <c r="BN1811" s="2">
        <v>7.5</v>
      </c>
      <c r="BO1811" s="2">
        <v>2.9</v>
      </c>
      <c r="BP1811" s="2">
        <f t="shared" si="56"/>
        <v>2.2364728342272429</v>
      </c>
      <c r="BQ1811" s="2">
        <f t="shared" si="57"/>
        <v>10.533362938346574</v>
      </c>
    </row>
    <row r="1812" spans="1:69" x14ac:dyDescent="0.2">
      <c r="A1812" s="2" t="s">
        <v>4158</v>
      </c>
      <c r="B1812" s="2" t="s">
        <v>47</v>
      </c>
      <c r="C1812" s="2" t="s">
        <v>3273</v>
      </c>
      <c r="D1812" s="2" t="s">
        <v>49</v>
      </c>
      <c r="E1812" s="2" t="s">
        <v>2062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89</v>
      </c>
      <c r="L1812" s="6" t="s">
        <v>112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4159</v>
      </c>
      <c r="R1812" s="2">
        <v>9060000</v>
      </c>
      <c r="S1812" s="2">
        <v>0</v>
      </c>
      <c r="T1812" s="2" t="s">
        <v>83</v>
      </c>
      <c r="U1812" s="2" t="s">
        <v>84</v>
      </c>
      <c r="V1812" s="2" t="s">
        <v>56</v>
      </c>
      <c r="W1812" s="2" t="s">
        <v>83</v>
      </c>
      <c r="X1812" s="2" t="s">
        <v>85</v>
      </c>
      <c r="Y1812" s="2">
        <v>1.3149568579447399</v>
      </c>
      <c r="Z1812" s="2">
        <v>1314.95685794474</v>
      </c>
      <c r="AA1812" s="2">
        <v>4.71035</v>
      </c>
      <c r="AB1812" s="2">
        <v>-74.030416666666696</v>
      </c>
      <c r="AC1812" s="2">
        <v>2570</v>
      </c>
      <c r="AD1812" s="2">
        <v>10</v>
      </c>
      <c r="AE1812" s="2" t="s">
        <v>59</v>
      </c>
      <c r="AF1812" s="2" t="s">
        <v>86</v>
      </c>
      <c r="AG1812" s="2" t="s">
        <v>61</v>
      </c>
      <c r="AH1812" s="2" t="s">
        <v>62</v>
      </c>
      <c r="AI1812" s="2" t="s">
        <v>87</v>
      </c>
      <c r="AJ1812" s="2">
        <v>2.11431486501542</v>
      </c>
      <c r="AK1812" s="2">
        <v>0.97554476255918698</v>
      </c>
      <c r="AL1812" s="2">
        <v>1.25242616911974</v>
      </c>
      <c r="AM1812" s="2">
        <v>0.14812248569073599</v>
      </c>
      <c r="AN1812" s="2">
        <v>2.2325642460856101</v>
      </c>
      <c r="AO1812" s="2">
        <v>3.1748441352047602E-2</v>
      </c>
      <c r="AP1812" s="2">
        <v>3.1748441352047602E-2</v>
      </c>
      <c r="AQ1812" s="2">
        <v>0</v>
      </c>
      <c r="AR1812" s="2">
        <v>0</v>
      </c>
      <c r="AS1812" s="2">
        <v>0</v>
      </c>
      <c r="AT1812" s="2">
        <v>3</v>
      </c>
      <c r="AU1812" s="2">
        <v>0</v>
      </c>
      <c r="AV1812" s="2">
        <v>44</v>
      </c>
      <c r="AW1812" s="2">
        <v>0</v>
      </c>
      <c r="AX1812" s="2">
        <v>0</v>
      </c>
      <c r="AY1812" s="2">
        <v>15.5</v>
      </c>
      <c r="AZ1812" s="2">
        <v>2.4</v>
      </c>
      <c r="BA1812" s="2">
        <v>10.9</v>
      </c>
      <c r="BB1812" s="2">
        <v>564</v>
      </c>
      <c r="BC1812" s="2">
        <v>68</v>
      </c>
      <c r="BD1812" s="2">
        <v>1.5</v>
      </c>
      <c r="BE1812" s="2">
        <v>135</v>
      </c>
      <c r="BF1812" s="2">
        <v>0</v>
      </c>
      <c r="BG1812" s="2">
        <v>162</v>
      </c>
      <c r="BH1812" s="2">
        <v>9.1</v>
      </c>
      <c r="BI1812" s="2">
        <v>9.1999999999999993</v>
      </c>
      <c r="BJ1812" s="2">
        <v>18.3</v>
      </c>
      <c r="BK1812" s="2">
        <v>0.34</v>
      </c>
      <c r="BL1812" s="2">
        <v>7.3</v>
      </c>
      <c r="BM1812" s="2">
        <v>0.9</v>
      </c>
      <c r="BN1812" s="2">
        <v>7.5</v>
      </c>
      <c r="BO1812" s="2">
        <v>2.9</v>
      </c>
      <c r="BP1812" s="2">
        <f t="shared" si="56"/>
        <v>2.2487586950403724</v>
      </c>
      <c r="BQ1812" s="2">
        <f t="shared" si="57"/>
        <v>10.561378659615766</v>
      </c>
    </row>
    <row r="1813" spans="1:69" x14ac:dyDescent="0.2">
      <c r="A1813" s="2" t="s">
        <v>4254</v>
      </c>
      <c r="B1813" s="2" t="s">
        <v>47</v>
      </c>
      <c r="C1813" s="2" t="s">
        <v>3273</v>
      </c>
      <c r="D1813" s="2" t="s">
        <v>49</v>
      </c>
      <c r="E1813" s="2" t="s">
        <v>2062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89</v>
      </c>
      <c r="L1813" s="6" t="s">
        <v>112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4255</v>
      </c>
      <c r="R1813" s="2">
        <v>9000000</v>
      </c>
      <c r="S1813" s="2">
        <v>0</v>
      </c>
      <c r="T1813" s="2" t="s">
        <v>83</v>
      </c>
      <c r="U1813" s="2" t="s">
        <v>84</v>
      </c>
      <c r="V1813" s="2" t="s">
        <v>56</v>
      </c>
      <c r="W1813" s="2" t="s">
        <v>83</v>
      </c>
      <c r="X1813" s="2" t="s">
        <v>85</v>
      </c>
      <c r="Y1813" s="2">
        <v>1.3149568579447399</v>
      </c>
      <c r="Z1813" s="2">
        <v>1314.95685794474</v>
      </c>
      <c r="AA1813" s="2">
        <v>4.71035</v>
      </c>
      <c r="AB1813" s="2">
        <v>-74.030416666666696</v>
      </c>
      <c r="AC1813" s="2">
        <v>2570</v>
      </c>
      <c r="AD1813" s="2">
        <v>10</v>
      </c>
      <c r="AE1813" s="2" t="s">
        <v>59</v>
      </c>
      <c r="AF1813" s="2" t="s">
        <v>86</v>
      </c>
      <c r="AG1813" s="2" t="s">
        <v>61</v>
      </c>
      <c r="AH1813" s="2" t="s">
        <v>62</v>
      </c>
      <c r="AI1813" s="2" t="s">
        <v>87</v>
      </c>
      <c r="AJ1813" s="2">
        <v>2.11431486501542</v>
      </c>
      <c r="AK1813" s="2">
        <v>0.97554476255918698</v>
      </c>
      <c r="AL1813" s="2">
        <v>1.25242616911974</v>
      </c>
      <c r="AM1813" s="2">
        <v>0.14812248569073599</v>
      </c>
      <c r="AN1813" s="2">
        <v>2.2325642460856101</v>
      </c>
      <c r="AO1813" s="2">
        <v>3.1748441352047602E-2</v>
      </c>
      <c r="AP1813" s="2">
        <v>3.1748441352047602E-2</v>
      </c>
      <c r="AQ1813" s="2">
        <v>0</v>
      </c>
      <c r="AR1813" s="2">
        <v>0</v>
      </c>
      <c r="AS1813" s="2">
        <v>0</v>
      </c>
      <c r="AT1813" s="2">
        <v>3</v>
      </c>
      <c r="AU1813" s="2">
        <v>0</v>
      </c>
      <c r="AV1813" s="2">
        <v>44</v>
      </c>
      <c r="AW1813" s="2">
        <v>0</v>
      </c>
      <c r="AX1813" s="2">
        <v>0</v>
      </c>
      <c r="AY1813" s="2">
        <v>15.5</v>
      </c>
      <c r="AZ1813" s="2">
        <v>2.4</v>
      </c>
      <c r="BA1813" s="2">
        <v>10.9</v>
      </c>
      <c r="BB1813" s="2">
        <v>564</v>
      </c>
      <c r="BC1813" s="2">
        <v>68</v>
      </c>
      <c r="BD1813" s="2">
        <v>1.5</v>
      </c>
      <c r="BE1813" s="2">
        <v>135</v>
      </c>
      <c r="BF1813" s="2">
        <v>0</v>
      </c>
      <c r="BG1813" s="2">
        <v>162</v>
      </c>
      <c r="BH1813" s="2">
        <v>9.1</v>
      </c>
      <c r="BI1813" s="2">
        <v>9.1999999999999993</v>
      </c>
      <c r="BJ1813" s="2">
        <v>18.3</v>
      </c>
      <c r="BK1813" s="2">
        <v>0.34</v>
      </c>
      <c r="BL1813" s="2">
        <v>7.3</v>
      </c>
      <c r="BM1813" s="2">
        <v>0.9</v>
      </c>
      <c r="BN1813" s="2">
        <v>7.5</v>
      </c>
      <c r="BO1813" s="2">
        <v>2.9</v>
      </c>
      <c r="BP1813" s="2">
        <f t="shared" si="56"/>
        <v>2.2487586950403724</v>
      </c>
      <c r="BQ1813" s="2">
        <f t="shared" si="57"/>
        <v>10.561378659615766</v>
      </c>
    </row>
    <row r="1814" spans="1:69" x14ac:dyDescent="0.2">
      <c r="A1814" s="2" t="s">
        <v>4156</v>
      </c>
      <c r="B1814" s="2" t="s">
        <v>47</v>
      </c>
      <c r="C1814" s="2" t="s">
        <v>3273</v>
      </c>
      <c r="D1814" s="2" t="s">
        <v>49</v>
      </c>
      <c r="E1814" s="2" t="s">
        <v>370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89</v>
      </c>
      <c r="L1814" s="6" t="s">
        <v>90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4157</v>
      </c>
      <c r="R1814" s="2">
        <v>8835341.3650000002</v>
      </c>
      <c r="S1814" s="2">
        <v>0</v>
      </c>
      <c r="T1814" s="2" t="s">
        <v>83</v>
      </c>
      <c r="U1814" s="2" t="s">
        <v>84</v>
      </c>
      <c r="V1814" s="2" t="s">
        <v>56</v>
      </c>
      <c r="W1814" s="2" t="s">
        <v>83</v>
      </c>
      <c r="X1814" s="2" t="s">
        <v>85</v>
      </c>
      <c r="Y1814" s="2">
        <v>2.5844194932821001</v>
      </c>
      <c r="Z1814" s="2">
        <v>2584.4194932821001</v>
      </c>
      <c r="AA1814" s="2">
        <v>4.71035</v>
      </c>
      <c r="AB1814" s="2">
        <v>-74.030416666666696</v>
      </c>
      <c r="AC1814" s="2">
        <v>2570</v>
      </c>
      <c r="AD1814" s="2">
        <v>10</v>
      </c>
      <c r="AE1814" s="2" t="s">
        <v>59</v>
      </c>
      <c r="AF1814" s="2" t="s">
        <v>86</v>
      </c>
      <c r="AG1814" s="2" t="s">
        <v>61</v>
      </c>
      <c r="AH1814" s="2" t="s">
        <v>62</v>
      </c>
      <c r="AI1814" s="2" t="s">
        <v>87</v>
      </c>
      <c r="AJ1814" s="2">
        <v>0.23571654685982299</v>
      </c>
      <c r="AK1814" s="2">
        <v>2.96119979621368</v>
      </c>
      <c r="AL1814" s="2">
        <v>1.5819678302286699</v>
      </c>
      <c r="AM1814" s="2">
        <v>4.8722429490191899E-2</v>
      </c>
      <c r="AN1814" s="2">
        <v>3.3164134229516802</v>
      </c>
      <c r="AO1814" s="2">
        <v>0.21747968561880701</v>
      </c>
      <c r="AP1814" s="2">
        <v>0.21747968561880701</v>
      </c>
      <c r="AQ1814" s="2">
        <v>2</v>
      </c>
      <c r="AR1814" s="2">
        <v>4</v>
      </c>
      <c r="AS1814" s="2">
        <v>0</v>
      </c>
      <c r="AT1814" s="2">
        <v>0</v>
      </c>
      <c r="AU1814" s="2">
        <v>0</v>
      </c>
      <c r="AV1814" s="2">
        <v>41</v>
      </c>
      <c r="AW1814" s="2">
        <v>0</v>
      </c>
      <c r="AX1814" s="2">
        <v>0</v>
      </c>
      <c r="AY1814" s="2">
        <v>15.5</v>
      </c>
      <c r="AZ1814" s="2">
        <v>2.4</v>
      </c>
      <c r="BA1814" s="2">
        <v>10.9</v>
      </c>
      <c r="BB1814" s="2">
        <v>564</v>
      </c>
      <c r="BC1814" s="2">
        <v>68</v>
      </c>
      <c r="BD1814" s="2">
        <v>1.5</v>
      </c>
      <c r="BE1814" s="2">
        <v>135</v>
      </c>
      <c r="BF1814" s="2">
        <v>0</v>
      </c>
      <c r="BG1814" s="2">
        <v>162</v>
      </c>
      <c r="BH1814" s="2">
        <v>9.1</v>
      </c>
      <c r="BI1814" s="2">
        <v>9.1999999999999993</v>
      </c>
      <c r="BJ1814" s="2">
        <v>18.3</v>
      </c>
      <c r="BK1814" s="2">
        <v>0.34</v>
      </c>
      <c r="BL1814" s="2">
        <v>7.3</v>
      </c>
      <c r="BM1814" s="2">
        <v>0.9</v>
      </c>
      <c r="BN1814" s="2">
        <v>7.5</v>
      </c>
      <c r="BO1814" s="2">
        <v>2.9</v>
      </c>
      <c r="BP1814" s="2">
        <f t="shared" si="56"/>
        <v>2.1117985387323839</v>
      </c>
      <c r="BQ1814" s="2">
        <f t="shared" si="57"/>
        <v>10.244456411704091</v>
      </c>
    </row>
    <row r="1815" spans="1:69" x14ac:dyDescent="0.2">
      <c r="A1815" s="2" t="s">
        <v>3757</v>
      </c>
      <c r="B1815" s="2" t="s">
        <v>47</v>
      </c>
      <c r="C1815" s="2" t="s">
        <v>3273</v>
      </c>
      <c r="D1815" s="2" t="s">
        <v>49</v>
      </c>
      <c r="E1815" s="2" t="s">
        <v>111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89</v>
      </c>
      <c r="L1815" s="6" t="s">
        <v>90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3758</v>
      </c>
      <c r="R1815" s="2">
        <v>16017881.310000001</v>
      </c>
      <c r="S1815" s="2">
        <v>0</v>
      </c>
      <c r="T1815" s="2" t="s">
        <v>83</v>
      </c>
      <c r="U1815" s="2" t="s">
        <v>84</v>
      </c>
      <c r="V1815" s="2" t="s">
        <v>56</v>
      </c>
      <c r="W1815" s="2" t="s">
        <v>83</v>
      </c>
      <c r="X1815" s="2" t="s">
        <v>85</v>
      </c>
      <c r="Y1815" s="2">
        <v>3.8995484543052199</v>
      </c>
      <c r="Z1815" s="2">
        <v>3899.5484543052198</v>
      </c>
      <c r="AA1815" s="2">
        <v>4.71035</v>
      </c>
      <c r="AB1815" s="2">
        <v>-74.030416666666696</v>
      </c>
      <c r="AC1815" s="2">
        <v>2570</v>
      </c>
      <c r="AD1815" s="2">
        <v>10</v>
      </c>
      <c r="AE1815" s="2" t="s">
        <v>59</v>
      </c>
      <c r="AF1815" s="2" t="s">
        <v>86</v>
      </c>
      <c r="AG1815" s="2" t="s">
        <v>61</v>
      </c>
      <c r="AH1815" s="2" t="s">
        <v>62</v>
      </c>
      <c r="AI1815" s="2" t="s">
        <v>109</v>
      </c>
      <c r="AJ1815" s="2">
        <v>0.38706304438813999</v>
      </c>
      <c r="AK1815" s="2">
        <v>2.0174504722659199</v>
      </c>
      <c r="AL1815" s="2">
        <v>0.20565440530319301</v>
      </c>
      <c r="AM1815" s="2">
        <v>8.9192608910603904E-2</v>
      </c>
      <c r="AN1815" s="2">
        <v>3.28304517800037</v>
      </c>
      <c r="AO1815" s="2">
        <v>0.44883987910914802</v>
      </c>
      <c r="AP1815" s="2">
        <v>0.44883987910914802</v>
      </c>
      <c r="AQ1815" s="2">
        <v>1</v>
      </c>
      <c r="AR1815" s="2">
        <v>3</v>
      </c>
      <c r="AS1815" s="2">
        <v>0</v>
      </c>
      <c r="AT1815" s="2">
        <v>0</v>
      </c>
      <c r="AU1815" s="2">
        <v>4</v>
      </c>
      <c r="AV1815" s="2">
        <v>262</v>
      </c>
      <c r="AW1815" s="2">
        <v>0</v>
      </c>
      <c r="AX1815" s="2">
        <v>0</v>
      </c>
      <c r="AY1815" s="2">
        <v>15.5</v>
      </c>
      <c r="AZ1815" s="2">
        <v>2.4</v>
      </c>
      <c r="BA1815" s="2">
        <v>10.9</v>
      </c>
      <c r="BB1815" s="2">
        <v>564</v>
      </c>
      <c r="BC1815" s="2">
        <v>68</v>
      </c>
      <c r="BD1815" s="2">
        <v>1.5</v>
      </c>
      <c r="BE1815" s="2">
        <v>135</v>
      </c>
      <c r="BF1815" s="2">
        <v>0</v>
      </c>
      <c r="BG1815" s="2">
        <v>162</v>
      </c>
      <c r="BH1815" s="2">
        <v>9.1</v>
      </c>
      <c r="BI1815" s="2">
        <v>9.1999999999999993</v>
      </c>
      <c r="BJ1815" s="2">
        <v>18.3</v>
      </c>
      <c r="BK1815" s="2">
        <v>0.34</v>
      </c>
      <c r="BL1815" s="2">
        <v>7.3</v>
      </c>
      <c r="BM1815" s="2">
        <v>0.9</v>
      </c>
      <c r="BN1815" s="2">
        <v>7.5</v>
      </c>
      <c r="BO1815" s="2">
        <v>2.9</v>
      </c>
      <c r="BP1815" s="2">
        <f t="shared" si="56"/>
        <v>1.9787020290580337</v>
      </c>
      <c r="BQ1815" s="2">
        <f t="shared" si="57"/>
        <v>9.9261593053052692</v>
      </c>
    </row>
    <row r="1816" spans="1:69" x14ac:dyDescent="0.2">
      <c r="A1816" s="2" t="s">
        <v>1416</v>
      </c>
      <c r="B1816" s="2" t="s">
        <v>47</v>
      </c>
      <c r="C1816" s="2" t="s">
        <v>48</v>
      </c>
      <c r="D1816" s="2" t="s">
        <v>49</v>
      </c>
      <c r="E1816" s="2" t="s">
        <v>81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89</v>
      </c>
      <c r="L1816" s="6" t="s">
        <v>141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1417</v>
      </c>
      <c r="R1816" s="2">
        <v>11836734.689999999</v>
      </c>
      <c r="S1816" s="2">
        <v>0</v>
      </c>
      <c r="T1816" s="2" t="s">
        <v>83</v>
      </c>
      <c r="U1816" s="2" t="s">
        <v>84</v>
      </c>
      <c r="V1816" s="2" t="s">
        <v>56</v>
      </c>
      <c r="W1816" s="2" t="s">
        <v>83</v>
      </c>
      <c r="X1816" s="2" t="s">
        <v>85</v>
      </c>
      <c r="Y1816" s="2">
        <v>2.0394490552370499</v>
      </c>
      <c r="Z1816" s="2">
        <v>2039.4490552370501</v>
      </c>
      <c r="AA1816" s="2">
        <v>4.71035</v>
      </c>
      <c r="AB1816" s="2">
        <v>-74.030416666666696</v>
      </c>
      <c r="AC1816" s="2">
        <v>2570</v>
      </c>
      <c r="AD1816" s="2">
        <v>10</v>
      </c>
      <c r="AE1816" s="2" t="s">
        <v>59</v>
      </c>
      <c r="AF1816" s="2" t="s">
        <v>86</v>
      </c>
      <c r="AG1816" s="2" t="s">
        <v>61</v>
      </c>
      <c r="AH1816" s="2" t="s">
        <v>62</v>
      </c>
      <c r="AI1816" s="2" t="s">
        <v>87</v>
      </c>
      <c r="AJ1816" s="2">
        <v>1.21984419588985</v>
      </c>
      <c r="AK1816" s="2">
        <v>2.0443647767368698</v>
      </c>
      <c r="AL1816" s="2">
        <v>0.83071195321612401</v>
      </c>
      <c r="AM1816" s="2">
        <v>9.5010979859334502E-2</v>
      </c>
      <c r="AN1816" s="2">
        <v>4.9691549499212204</v>
      </c>
      <c r="AO1816" s="2">
        <v>0.173164669703811</v>
      </c>
      <c r="AP1816" s="2">
        <v>0.173164669703811</v>
      </c>
      <c r="AQ1816" s="2">
        <v>0</v>
      </c>
      <c r="AR1816" s="2">
        <v>0</v>
      </c>
      <c r="AS1816" s="2">
        <v>0</v>
      </c>
      <c r="AT1816" s="2">
        <v>0</v>
      </c>
      <c r="AU1816" s="2">
        <v>1</v>
      </c>
      <c r="AV1816" s="2">
        <v>129</v>
      </c>
      <c r="AW1816" s="2">
        <v>0</v>
      </c>
      <c r="AX1816" s="2">
        <v>0</v>
      </c>
      <c r="AY1816" s="2">
        <v>15.5</v>
      </c>
      <c r="AZ1816" s="2">
        <v>2.4</v>
      </c>
      <c r="BA1816" s="2">
        <v>10.9</v>
      </c>
      <c r="BB1816" s="2">
        <v>564</v>
      </c>
      <c r="BC1816" s="2">
        <v>68</v>
      </c>
      <c r="BD1816" s="2">
        <v>1.5</v>
      </c>
      <c r="BE1816" s="2">
        <v>135</v>
      </c>
      <c r="BF1816" s="2">
        <v>0</v>
      </c>
      <c r="BG1816" s="2">
        <v>162</v>
      </c>
      <c r="BH1816" s="2">
        <v>9.1</v>
      </c>
      <c r="BI1816" s="2">
        <v>9.1999999999999993</v>
      </c>
      <c r="BJ1816" s="2">
        <v>18.3</v>
      </c>
      <c r="BK1816" s="2">
        <v>0.34</v>
      </c>
      <c r="BL1816" s="2">
        <v>7.3</v>
      </c>
      <c r="BM1816" s="2">
        <v>0.9</v>
      </c>
      <c r="BN1816" s="2">
        <v>7.5</v>
      </c>
      <c r="BO1816" s="2">
        <v>2.9</v>
      </c>
      <c r="BP1816" s="2">
        <f t="shared" si="56"/>
        <v>2.1695418345754849</v>
      </c>
      <c r="BQ1816" s="2">
        <f t="shared" si="57"/>
        <v>10.379326714538742</v>
      </c>
    </row>
    <row r="1817" spans="1:69" x14ac:dyDescent="0.2">
      <c r="A1817" s="2" t="s">
        <v>4143</v>
      </c>
      <c r="B1817" s="2" t="s">
        <v>47</v>
      </c>
      <c r="C1817" s="2" t="s">
        <v>3273</v>
      </c>
      <c r="D1817" s="2" t="s">
        <v>49</v>
      </c>
      <c r="E1817" s="2" t="s">
        <v>4144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89</v>
      </c>
      <c r="L1817" s="6" t="s">
        <v>103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4145</v>
      </c>
      <c r="R1817" s="2">
        <v>6938755.102</v>
      </c>
      <c r="S1817" s="2">
        <v>0</v>
      </c>
      <c r="T1817" s="2" t="s">
        <v>83</v>
      </c>
      <c r="U1817" s="2" t="s">
        <v>84</v>
      </c>
      <c r="V1817" s="2" t="s">
        <v>56</v>
      </c>
      <c r="W1817" s="2" t="s">
        <v>83</v>
      </c>
      <c r="X1817" s="2" t="s">
        <v>85</v>
      </c>
      <c r="Y1817" s="2">
        <v>1.46624350927435</v>
      </c>
      <c r="Z1817" s="2">
        <v>1466.2435092743499</v>
      </c>
      <c r="AA1817" s="2">
        <v>4.71035</v>
      </c>
      <c r="AB1817" s="2">
        <v>-74.030416666666696</v>
      </c>
      <c r="AC1817" s="2">
        <v>2570</v>
      </c>
      <c r="AD1817" s="2">
        <v>10</v>
      </c>
      <c r="AE1817" s="2" t="s">
        <v>59</v>
      </c>
      <c r="AF1817" s="2" t="s">
        <v>86</v>
      </c>
      <c r="AG1817" s="2" t="s">
        <v>61</v>
      </c>
      <c r="AH1817" s="2" t="s">
        <v>62</v>
      </c>
      <c r="AI1817" s="2" t="s">
        <v>87</v>
      </c>
      <c r="AJ1817" s="2">
        <v>2.1579963479130999</v>
      </c>
      <c r="AK1817" s="2">
        <v>0.95551247496651703</v>
      </c>
      <c r="AL1817" s="2">
        <v>1.41276782757942</v>
      </c>
      <c r="AM1817" s="2">
        <v>0.11697480823692701</v>
      </c>
      <c r="AN1817" s="2">
        <v>2.0585561893262501</v>
      </c>
      <c r="AO1817" s="2">
        <v>0.14555270204391901</v>
      </c>
      <c r="AP1817" s="2">
        <v>0.14555270204391901</v>
      </c>
      <c r="AQ1817" s="2">
        <v>0</v>
      </c>
      <c r="AR1817" s="2">
        <v>0</v>
      </c>
      <c r="AS1817" s="2">
        <v>0</v>
      </c>
      <c r="AT1817" s="2">
        <v>4</v>
      </c>
      <c r="AU1817" s="2">
        <v>0</v>
      </c>
      <c r="AV1817" s="2">
        <v>30</v>
      </c>
      <c r="AW1817" s="2">
        <v>0</v>
      </c>
      <c r="AX1817" s="2">
        <v>0</v>
      </c>
      <c r="AY1817" s="2">
        <v>15.5</v>
      </c>
      <c r="AZ1817" s="2">
        <v>2.4</v>
      </c>
      <c r="BA1817" s="2">
        <v>10.9</v>
      </c>
      <c r="BB1817" s="2">
        <v>564</v>
      </c>
      <c r="BC1817" s="2">
        <v>68</v>
      </c>
      <c r="BD1817" s="2">
        <v>1.5</v>
      </c>
      <c r="BE1817" s="2">
        <v>135</v>
      </c>
      <c r="BF1817" s="2">
        <v>0</v>
      </c>
      <c r="BG1817" s="2">
        <v>162</v>
      </c>
      <c r="BH1817" s="2">
        <v>9.1</v>
      </c>
      <c r="BI1817" s="2">
        <v>9.1999999999999993</v>
      </c>
      <c r="BJ1817" s="2">
        <v>18.3</v>
      </c>
      <c r="BK1817" s="2">
        <v>0.34</v>
      </c>
      <c r="BL1817" s="2">
        <v>7.3</v>
      </c>
      <c r="BM1817" s="2">
        <v>0.9</v>
      </c>
      <c r="BN1817" s="2">
        <v>7.5</v>
      </c>
      <c r="BO1817" s="2">
        <v>2.9</v>
      </c>
      <c r="BP1817" s="2">
        <f t="shared" si="56"/>
        <v>2.231981338606698</v>
      </c>
      <c r="BQ1817" s="2">
        <f t="shared" si="57"/>
        <v>10.523101097617777</v>
      </c>
    </row>
    <row r="1818" spans="1:69" x14ac:dyDescent="0.2">
      <c r="A1818" s="2" t="s">
        <v>3477</v>
      </c>
      <c r="B1818" s="2" t="s">
        <v>47</v>
      </c>
      <c r="C1818" s="2" t="s">
        <v>3273</v>
      </c>
      <c r="D1818" s="2" t="s">
        <v>49</v>
      </c>
      <c r="E1818" s="2" t="s">
        <v>189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89</v>
      </c>
      <c r="L1818" s="6" t="s">
        <v>103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3478</v>
      </c>
      <c r="R1818" s="2">
        <v>8588957.0549999997</v>
      </c>
      <c r="S1818" s="2">
        <v>0</v>
      </c>
      <c r="T1818" s="2" t="s">
        <v>83</v>
      </c>
      <c r="U1818" s="2" t="s">
        <v>84</v>
      </c>
      <c r="V1818" s="2" t="s">
        <v>56</v>
      </c>
      <c r="W1818" s="2" t="s">
        <v>83</v>
      </c>
      <c r="X1818" s="2" t="s">
        <v>85</v>
      </c>
      <c r="Y1818" s="2">
        <v>2.7106820757914298</v>
      </c>
      <c r="Z1818" s="2">
        <v>2710.6820757914302</v>
      </c>
      <c r="AA1818" s="2">
        <v>4.71035</v>
      </c>
      <c r="AB1818" s="2">
        <v>-74.030416666666696</v>
      </c>
      <c r="AC1818" s="2">
        <v>2570</v>
      </c>
      <c r="AD1818" s="2">
        <v>10</v>
      </c>
      <c r="AE1818" s="2" t="s">
        <v>59</v>
      </c>
      <c r="AF1818" s="2" t="s">
        <v>86</v>
      </c>
      <c r="AG1818" s="2" t="s">
        <v>61</v>
      </c>
      <c r="AH1818" s="2" t="s">
        <v>62</v>
      </c>
      <c r="AI1818" s="2" t="s">
        <v>87</v>
      </c>
      <c r="AJ1818" s="2">
        <v>0.427412937470523</v>
      </c>
      <c r="AK1818" s="2">
        <v>2.7230462589442701</v>
      </c>
      <c r="AL1818" s="2">
        <v>0.54683136637382801</v>
      </c>
      <c r="AM1818" s="2">
        <v>0.11685181900100799</v>
      </c>
      <c r="AN1818" s="2">
        <v>4.3004804125179703</v>
      </c>
      <c r="AO1818" s="2">
        <v>0.33901773376515199</v>
      </c>
      <c r="AP1818" s="2">
        <v>0.33901773376515199</v>
      </c>
      <c r="AQ1818" s="2">
        <v>1</v>
      </c>
      <c r="AR1818" s="2">
        <v>3</v>
      </c>
      <c r="AS1818" s="2">
        <v>0</v>
      </c>
      <c r="AT1818" s="2">
        <v>0</v>
      </c>
      <c r="AU1818" s="2">
        <v>1</v>
      </c>
      <c r="AV1818" s="2">
        <v>184</v>
      </c>
      <c r="AW1818" s="2">
        <v>0</v>
      </c>
      <c r="AX1818" s="2">
        <v>0</v>
      </c>
      <c r="AY1818" s="2">
        <v>15.5</v>
      </c>
      <c r="AZ1818" s="2">
        <v>2.4</v>
      </c>
      <c r="BA1818" s="2">
        <v>10.9</v>
      </c>
      <c r="BB1818" s="2">
        <v>564</v>
      </c>
      <c r="BC1818" s="2">
        <v>68</v>
      </c>
      <c r="BD1818" s="2">
        <v>1.5</v>
      </c>
      <c r="BE1818" s="2">
        <v>135</v>
      </c>
      <c r="BF1818" s="2">
        <v>0</v>
      </c>
      <c r="BG1818" s="2">
        <v>162</v>
      </c>
      <c r="BH1818" s="2">
        <v>9.1</v>
      </c>
      <c r="BI1818" s="2">
        <v>9.1999999999999993</v>
      </c>
      <c r="BJ1818" s="2">
        <v>18.3</v>
      </c>
      <c r="BK1818" s="2">
        <v>0.34</v>
      </c>
      <c r="BL1818" s="2">
        <v>7.3</v>
      </c>
      <c r="BM1818" s="2">
        <v>0.9</v>
      </c>
      <c r="BN1818" s="2">
        <v>7.5</v>
      </c>
      <c r="BO1818" s="2">
        <v>2.9</v>
      </c>
      <c r="BP1818" s="2">
        <f t="shared" si="56"/>
        <v>2.0986409626805225</v>
      </c>
      <c r="BQ1818" s="2">
        <f t="shared" si="57"/>
        <v>10.213459603717302</v>
      </c>
    </row>
    <row r="1819" spans="1:69" x14ac:dyDescent="0.2">
      <c r="A1819" s="2" t="s">
        <v>748</v>
      </c>
      <c r="B1819" s="2" t="s">
        <v>47</v>
      </c>
      <c r="C1819" s="2" t="s">
        <v>48</v>
      </c>
      <c r="D1819" s="2" t="s">
        <v>49</v>
      </c>
      <c r="E1819" s="2" t="s">
        <v>339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89</v>
      </c>
      <c r="L1819" s="6" t="s">
        <v>141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749</v>
      </c>
      <c r="R1819" s="2">
        <v>5208333.3329999996</v>
      </c>
      <c r="S1819" s="2">
        <v>0</v>
      </c>
      <c r="T1819" s="2" t="s">
        <v>83</v>
      </c>
      <c r="U1819" s="2" t="s">
        <v>84</v>
      </c>
      <c r="V1819" s="2" t="s">
        <v>56</v>
      </c>
      <c r="W1819" s="2" t="s">
        <v>83</v>
      </c>
      <c r="X1819" s="2" t="s">
        <v>85</v>
      </c>
      <c r="Y1819" s="2">
        <v>3.3779741986740501</v>
      </c>
      <c r="Z1819" s="2">
        <v>3377.9741986740501</v>
      </c>
      <c r="AA1819" s="2">
        <v>4.71035</v>
      </c>
      <c r="AB1819" s="2">
        <v>-74.030416666666696</v>
      </c>
      <c r="AC1819" s="2">
        <v>2570</v>
      </c>
      <c r="AD1819" s="2">
        <v>10</v>
      </c>
      <c r="AE1819" s="2" t="s">
        <v>59</v>
      </c>
      <c r="AF1819" s="2" t="s">
        <v>86</v>
      </c>
      <c r="AG1819" s="2" t="s">
        <v>61</v>
      </c>
      <c r="AH1819" s="2" t="s">
        <v>62</v>
      </c>
      <c r="AI1819" s="2" t="s">
        <v>87</v>
      </c>
      <c r="AJ1819" s="2">
        <v>1.3847466599181799</v>
      </c>
      <c r="AK1819" s="2">
        <v>1.7191659939108701</v>
      </c>
      <c r="AL1819" s="2">
        <v>0.94604127373049796</v>
      </c>
      <c r="AM1819" s="2">
        <v>0.23014537760988901</v>
      </c>
      <c r="AN1819" s="2">
        <v>0.99583768826100305</v>
      </c>
      <c r="AO1819" s="2">
        <v>0.13545725174748499</v>
      </c>
      <c r="AP1819" s="2">
        <v>0.13545725174748499</v>
      </c>
      <c r="AQ1819" s="2">
        <v>0</v>
      </c>
      <c r="AR1819" s="2">
        <v>0</v>
      </c>
      <c r="AS1819" s="2">
        <v>0</v>
      </c>
      <c r="AT1819" s="2">
        <v>0</v>
      </c>
      <c r="AU1819" s="2">
        <v>1</v>
      </c>
      <c r="AV1819" s="2">
        <v>19</v>
      </c>
      <c r="AW1819" s="2">
        <v>1</v>
      </c>
      <c r="AX1819" s="2">
        <v>0</v>
      </c>
      <c r="AY1819" s="2">
        <v>15.5</v>
      </c>
      <c r="AZ1819" s="2">
        <v>2.4</v>
      </c>
      <c r="BA1819" s="2">
        <v>10.9</v>
      </c>
      <c r="BB1819" s="2">
        <v>564</v>
      </c>
      <c r="BC1819" s="2">
        <v>68</v>
      </c>
      <c r="BD1819" s="2">
        <v>1.5</v>
      </c>
      <c r="BE1819" s="2">
        <v>135</v>
      </c>
      <c r="BF1819" s="2">
        <v>0</v>
      </c>
      <c r="BG1819" s="2">
        <v>162</v>
      </c>
      <c r="BH1819" s="2">
        <v>9.1</v>
      </c>
      <c r="BI1819" s="2">
        <v>9.1999999999999993</v>
      </c>
      <c r="BJ1819" s="2">
        <v>18.3</v>
      </c>
      <c r="BK1819" s="2">
        <v>0.34</v>
      </c>
      <c r="BL1819" s="2">
        <v>7.3</v>
      </c>
      <c r="BM1819" s="2">
        <v>0.9</v>
      </c>
      <c r="BN1819" s="2">
        <v>7.5</v>
      </c>
      <c r="BO1819" s="2">
        <v>2.9</v>
      </c>
      <c r="BP1819" s="2">
        <f t="shared" si="56"/>
        <v>2.0304531901546556</v>
      </c>
      <c r="BQ1819" s="2">
        <f t="shared" si="57"/>
        <v>10.051193749208212</v>
      </c>
    </row>
    <row r="1820" spans="1:69" x14ac:dyDescent="0.2">
      <c r="A1820" s="2" t="s">
        <v>3941</v>
      </c>
      <c r="B1820" s="2" t="s">
        <v>47</v>
      </c>
      <c r="C1820" s="2" t="s">
        <v>3273</v>
      </c>
      <c r="D1820" s="2" t="s">
        <v>49</v>
      </c>
      <c r="E1820" s="2" t="s">
        <v>316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89</v>
      </c>
      <c r="L1820" s="6" t="s">
        <v>103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3942</v>
      </c>
      <c r="R1820" s="2">
        <v>9166666.6669999994</v>
      </c>
      <c r="S1820" s="2">
        <v>0</v>
      </c>
      <c r="T1820" s="2" t="s">
        <v>83</v>
      </c>
      <c r="U1820" s="2" t="s">
        <v>84</v>
      </c>
      <c r="V1820" s="2" t="s">
        <v>56</v>
      </c>
      <c r="W1820" s="2" t="s">
        <v>83</v>
      </c>
      <c r="X1820" s="2" t="s">
        <v>85</v>
      </c>
      <c r="Y1820" s="2">
        <v>2.6064739960338099</v>
      </c>
      <c r="Z1820" s="2">
        <v>2606.4739960338102</v>
      </c>
      <c r="AA1820" s="2">
        <v>4.71035</v>
      </c>
      <c r="AB1820" s="2">
        <v>-74.030416666666696</v>
      </c>
      <c r="AC1820" s="2">
        <v>2570</v>
      </c>
      <c r="AD1820" s="2">
        <v>10</v>
      </c>
      <c r="AE1820" s="2" t="s">
        <v>59</v>
      </c>
      <c r="AF1820" s="2" t="s">
        <v>86</v>
      </c>
      <c r="AG1820" s="2" t="s">
        <v>61</v>
      </c>
      <c r="AH1820" s="2" t="s">
        <v>62</v>
      </c>
      <c r="AI1820" s="2" t="s">
        <v>87</v>
      </c>
      <c r="AJ1820" s="2">
        <v>0.110900410067772</v>
      </c>
      <c r="AK1820" s="2">
        <v>3.0875107404130899</v>
      </c>
      <c r="AL1820" s="2">
        <v>1.3462759667984201</v>
      </c>
      <c r="AM1820" s="2">
        <v>5.1949365326392702E-2</v>
      </c>
      <c r="AN1820" s="2">
        <v>4.6801656445186897</v>
      </c>
      <c r="AO1820" s="2">
        <v>0.27271837964969498</v>
      </c>
      <c r="AP1820" s="2">
        <v>0.27271837964969498</v>
      </c>
      <c r="AQ1820" s="2">
        <v>1</v>
      </c>
      <c r="AR1820" s="2">
        <v>2</v>
      </c>
      <c r="AS1820" s="2">
        <v>0</v>
      </c>
      <c r="AT1820" s="2">
        <v>0</v>
      </c>
      <c r="AU1820" s="2">
        <v>0</v>
      </c>
      <c r="AV1820" s="2">
        <v>132</v>
      </c>
      <c r="AW1820" s="2">
        <v>0</v>
      </c>
      <c r="AX1820" s="2">
        <v>0</v>
      </c>
      <c r="AY1820" s="2">
        <v>15.5</v>
      </c>
      <c r="AZ1820" s="2">
        <v>2.4</v>
      </c>
      <c r="BA1820" s="2">
        <v>10.9</v>
      </c>
      <c r="BB1820" s="2">
        <v>564</v>
      </c>
      <c r="BC1820" s="2">
        <v>68</v>
      </c>
      <c r="BD1820" s="2">
        <v>1.5</v>
      </c>
      <c r="BE1820" s="2">
        <v>135</v>
      </c>
      <c r="BF1820" s="2">
        <v>0</v>
      </c>
      <c r="BG1820" s="2">
        <v>162</v>
      </c>
      <c r="BH1820" s="2">
        <v>9.1</v>
      </c>
      <c r="BI1820" s="2">
        <v>9.1999999999999993</v>
      </c>
      <c r="BJ1820" s="2">
        <v>18.3</v>
      </c>
      <c r="BK1820" s="2">
        <v>0.34</v>
      </c>
      <c r="BL1820" s="2">
        <v>7.3</v>
      </c>
      <c r="BM1820" s="2">
        <v>0.9</v>
      </c>
      <c r="BN1820" s="2">
        <v>7.5</v>
      </c>
      <c r="BO1820" s="2">
        <v>2.9</v>
      </c>
      <c r="BP1820" s="2">
        <f t="shared" si="56"/>
        <v>2.1094943506989972</v>
      </c>
      <c r="BQ1820" s="2">
        <f t="shared" si="57"/>
        <v>10.23903537311946</v>
      </c>
    </row>
    <row r="1821" spans="1:69" x14ac:dyDescent="0.2">
      <c r="A1821" s="2" t="s">
        <v>1829</v>
      </c>
      <c r="B1821" s="2" t="s">
        <v>47</v>
      </c>
      <c r="C1821" s="2" t="s">
        <v>48</v>
      </c>
      <c r="D1821" s="2" t="s">
        <v>49</v>
      </c>
      <c r="E1821" s="2" t="s">
        <v>214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89</v>
      </c>
      <c r="L1821" s="6" t="s">
        <v>141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1830</v>
      </c>
      <c r="R1821" s="2">
        <v>9375000</v>
      </c>
      <c r="S1821" s="2">
        <v>0</v>
      </c>
      <c r="T1821" s="2" t="s">
        <v>83</v>
      </c>
      <c r="U1821" s="2" t="s">
        <v>84</v>
      </c>
      <c r="V1821" s="2" t="s">
        <v>56</v>
      </c>
      <c r="W1821" s="2" t="s">
        <v>83</v>
      </c>
      <c r="X1821" s="2" t="s">
        <v>85</v>
      </c>
      <c r="Y1821" s="2">
        <v>1.15807209710926</v>
      </c>
      <c r="Z1821" s="2">
        <v>1158.0720971092601</v>
      </c>
      <c r="AA1821" s="2">
        <v>4.71035</v>
      </c>
      <c r="AB1821" s="2">
        <v>-74.030416666666696</v>
      </c>
      <c r="AC1821" s="2">
        <v>2570</v>
      </c>
      <c r="AD1821" s="2">
        <v>10</v>
      </c>
      <c r="AE1821" s="2" t="s">
        <v>59</v>
      </c>
      <c r="AF1821" s="2" t="s">
        <v>86</v>
      </c>
      <c r="AG1821" s="2" t="s">
        <v>61</v>
      </c>
      <c r="AH1821" s="2" t="s">
        <v>62</v>
      </c>
      <c r="AI1821" s="2" t="s">
        <v>87</v>
      </c>
      <c r="AJ1821" s="2">
        <v>1.5902854173896299</v>
      </c>
      <c r="AK1821" s="2">
        <v>1.6519345071079099</v>
      </c>
      <c r="AL1821" s="2">
        <v>0.94507456663502598</v>
      </c>
      <c r="AM1821" s="2">
        <v>0.22765605322267601</v>
      </c>
      <c r="AN1821" s="2">
        <v>4.1781943694499803</v>
      </c>
      <c r="AO1821" s="2">
        <v>0.23576107189991599</v>
      </c>
      <c r="AP1821" s="2">
        <v>0.23576107189991599</v>
      </c>
      <c r="AQ1821" s="2">
        <v>0</v>
      </c>
      <c r="AR1821" s="2">
        <v>0</v>
      </c>
      <c r="AS1821" s="2">
        <v>0</v>
      </c>
      <c r="AT1821" s="2">
        <v>0</v>
      </c>
      <c r="AU1821" s="2">
        <v>2</v>
      </c>
      <c r="AV1821" s="2">
        <v>72</v>
      </c>
      <c r="AW1821" s="2">
        <v>0</v>
      </c>
      <c r="AX1821" s="2">
        <v>0</v>
      </c>
      <c r="AY1821" s="2">
        <v>15.5</v>
      </c>
      <c r="AZ1821" s="2">
        <v>2.4</v>
      </c>
      <c r="BA1821" s="2">
        <v>10.9</v>
      </c>
      <c r="BB1821" s="2">
        <v>564</v>
      </c>
      <c r="BC1821" s="2">
        <v>68</v>
      </c>
      <c r="BD1821" s="2">
        <v>1.5</v>
      </c>
      <c r="BE1821" s="2">
        <v>135</v>
      </c>
      <c r="BF1821" s="2">
        <v>0</v>
      </c>
      <c r="BG1821" s="2">
        <v>162</v>
      </c>
      <c r="BH1821" s="2">
        <v>9.1</v>
      </c>
      <c r="BI1821" s="2">
        <v>9.1999999999999993</v>
      </c>
      <c r="BJ1821" s="2">
        <v>18.3</v>
      </c>
      <c r="BK1821" s="2">
        <v>0.34</v>
      </c>
      <c r="BL1821" s="2">
        <v>7.3</v>
      </c>
      <c r="BM1821" s="2">
        <v>0.9</v>
      </c>
      <c r="BN1821" s="2">
        <v>7.5</v>
      </c>
      <c r="BO1821" s="2">
        <v>2.9</v>
      </c>
      <c r="BP1821" s="2">
        <f t="shared" si="56"/>
        <v>2.2662900800282944</v>
      </c>
      <c r="BQ1821" s="2">
        <f t="shared" si="57"/>
        <v>10.601219682702066</v>
      </c>
    </row>
    <row r="1822" spans="1:69" x14ac:dyDescent="0.2">
      <c r="A1822" s="2" t="s">
        <v>3810</v>
      </c>
      <c r="B1822" s="2" t="s">
        <v>47</v>
      </c>
      <c r="C1822" s="2" t="s">
        <v>3273</v>
      </c>
      <c r="D1822" s="2" t="s">
        <v>49</v>
      </c>
      <c r="E1822" s="2" t="s">
        <v>241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89</v>
      </c>
      <c r="L1822" s="6" t="s">
        <v>90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3811</v>
      </c>
      <c r="R1822" s="2">
        <v>12500000</v>
      </c>
      <c r="S1822" s="2">
        <v>0</v>
      </c>
      <c r="T1822" s="2" t="s">
        <v>83</v>
      </c>
      <c r="U1822" s="2" t="s">
        <v>84</v>
      </c>
      <c r="V1822" s="2" t="s">
        <v>56</v>
      </c>
      <c r="W1822" s="2" t="s">
        <v>83</v>
      </c>
      <c r="X1822" s="2" t="s">
        <v>85</v>
      </c>
      <c r="Y1822" s="2">
        <v>0.70517605856571597</v>
      </c>
      <c r="Z1822" s="2">
        <v>705.17605856571595</v>
      </c>
      <c r="AA1822" s="2">
        <v>4.71035</v>
      </c>
      <c r="AB1822" s="2">
        <v>-74.030416666666696</v>
      </c>
      <c r="AC1822" s="2">
        <v>2570</v>
      </c>
      <c r="AD1822" s="2">
        <v>10</v>
      </c>
      <c r="AE1822" s="2" t="s">
        <v>59</v>
      </c>
      <c r="AF1822" s="2" t="s">
        <v>86</v>
      </c>
      <c r="AG1822" s="2" t="s">
        <v>61</v>
      </c>
      <c r="AH1822" s="2" t="s">
        <v>62</v>
      </c>
      <c r="AI1822" s="2" t="s">
        <v>87</v>
      </c>
      <c r="AJ1822" s="2">
        <v>2.5592123684417398</v>
      </c>
      <c r="AK1822" s="2">
        <v>0.64980499827965199</v>
      </c>
      <c r="AL1822" s="2">
        <v>0.33441724532536299</v>
      </c>
      <c r="AM1822" s="2">
        <v>9.4708761285465598E-2</v>
      </c>
      <c r="AN1822" s="2">
        <v>4.1707963681028497</v>
      </c>
      <c r="AO1822" s="2">
        <v>0.31034425686828898</v>
      </c>
      <c r="AP1822" s="2">
        <v>0.31034425686828898</v>
      </c>
      <c r="AQ1822" s="2">
        <v>0</v>
      </c>
      <c r="AR1822" s="2">
        <v>0</v>
      </c>
      <c r="AS1822" s="2">
        <v>0</v>
      </c>
      <c r="AT1822" s="2">
        <v>19</v>
      </c>
      <c r="AU1822" s="2">
        <v>2</v>
      </c>
      <c r="AV1822" s="2">
        <v>115</v>
      </c>
      <c r="AW1822" s="2">
        <v>0</v>
      </c>
      <c r="AX1822" s="2">
        <v>0</v>
      </c>
      <c r="AY1822" s="2">
        <v>15.5</v>
      </c>
      <c r="AZ1822" s="2">
        <v>2.4</v>
      </c>
      <c r="BA1822" s="2">
        <v>10.9</v>
      </c>
      <c r="BB1822" s="2">
        <v>564</v>
      </c>
      <c r="BC1822" s="2">
        <v>68</v>
      </c>
      <c r="BD1822" s="2">
        <v>1.5</v>
      </c>
      <c r="BE1822" s="2">
        <v>135</v>
      </c>
      <c r="BF1822" s="2">
        <v>0</v>
      </c>
      <c r="BG1822" s="2">
        <v>162</v>
      </c>
      <c r="BH1822" s="2">
        <v>9.1</v>
      </c>
      <c r="BI1822" s="2">
        <v>9.1999999999999993</v>
      </c>
      <c r="BJ1822" s="2">
        <v>18.3</v>
      </c>
      <c r="BK1822" s="2">
        <v>0.34</v>
      </c>
      <c r="BL1822" s="2">
        <v>7.3</v>
      </c>
      <c r="BM1822" s="2">
        <v>0.9</v>
      </c>
      <c r="BN1822" s="2">
        <v>7.5</v>
      </c>
      <c r="BO1822" s="2">
        <v>2.9</v>
      </c>
      <c r="BP1822" s="2">
        <f t="shared" si="56"/>
        <v>2.3176703517737938</v>
      </c>
      <c r="BQ1822" s="2">
        <f t="shared" si="57"/>
        <v>10.717078214008755</v>
      </c>
    </row>
    <row r="1823" spans="1:69" x14ac:dyDescent="0.2">
      <c r="A1823" s="2" t="s">
        <v>782</v>
      </c>
      <c r="B1823" s="2" t="s">
        <v>47</v>
      </c>
      <c r="C1823" s="2" t="s">
        <v>48</v>
      </c>
      <c r="D1823" s="2" t="s">
        <v>49</v>
      </c>
      <c r="E1823" s="2" t="s">
        <v>316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89</v>
      </c>
      <c r="L1823" s="6" t="s">
        <v>90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783</v>
      </c>
      <c r="R1823" s="2">
        <v>11984573.689999999</v>
      </c>
      <c r="S1823" s="2">
        <v>0</v>
      </c>
      <c r="T1823" s="2" t="s">
        <v>83</v>
      </c>
      <c r="U1823" s="2" t="s">
        <v>84</v>
      </c>
      <c r="V1823" s="2" t="s">
        <v>56</v>
      </c>
      <c r="W1823" s="2" t="s">
        <v>83</v>
      </c>
      <c r="X1823" s="2" t="s">
        <v>85</v>
      </c>
      <c r="Y1823" s="2">
        <v>2.0384142405196299</v>
      </c>
      <c r="Z1823" s="2">
        <v>2038.4142405196301</v>
      </c>
      <c r="AA1823" s="2">
        <v>4.71035</v>
      </c>
      <c r="AB1823" s="2">
        <v>-74.030416666666696</v>
      </c>
      <c r="AC1823" s="2">
        <v>2570</v>
      </c>
      <c r="AD1823" s="2">
        <v>10</v>
      </c>
      <c r="AE1823" s="2" t="s">
        <v>59</v>
      </c>
      <c r="AF1823" s="2" t="s">
        <v>86</v>
      </c>
      <c r="AG1823" s="2" t="s">
        <v>61</v>
      </c>
      <c r="AH1823" s="2" t="s">
        <v>62</v>
      </c>
      <c r="AI1823" s="2" t="s">
        <v>87</v>
      </c>
      <c r="AJ1823" s="2">
        <v>1.25661133161278</v>
      </c>
      <c r="AK1823" s="2">
        <v>2.0075236843372601</v>
      </c>
      <c r="AL1823" s="2">
        <v>0.83309352161549699</v>
      </c>
      <c r="AM1823" s="2">
        <v>4.6085988408575501E-2</v>
      </c>
      <c r="AN1823" s="2">
        <v>4.9787397404433102</v>
      </c>
      <c r="AO1823" s="2">
        <v>0.157535304374188</v>
      </c>
      <c r="AP1823" s="2">
        <v>0.157535304374188</v>
      </c>
      <c r="AQ1823" s="2">
        <v>0</v>
      </c>
      <c r="AR1823" s="2">
        <v>0</v>
      </c>
      <c r="AS1823" s="2">
        <v>0</v>
      </c>
      <c r="AT1823" s="2">
        <v>0</v>
      </c>
      <c r="AU1823" s="2">
        <v>1</v>
      </c>
      <c r="AV1823" s="2">
        <v>125</v>
      </c>
      <c r="AW1823" s="2">
        <v>0</v>
      </c>
      <c r="AX1823" s="2">
        <v>0</v>
      </c>
      <c r="AY1823" s="2">
        <v>15.5</v>
      </c>
      <c r="AZ1823" s="2">
        <v>2.4</v>
      </c>
      <c r="BA1823" s="2">
        <v>10.9</v>
      </c>
      <c r="BB1823" s="2">
        <v>564</v>
      </c>
      <c r="BC1823" s="2">
        <v>68</v>
      </c>
      <c r="BD1823" s="2">
        <v>1.5</v>
      </c>
      <c r="BE1823" s="2">
        <v>135</v>
      </c>
      <c r="BF1823" s="2">
        <v>0</v>
      </c>
      <c r="BG1823" s="2">
        <v>162</v>
      </c>
      <c r="BH1823" s="2">
        <v>9.1</v>
      </c>
      <c r="BI1823" s="2">
        <v>9.1999999999999993</v>
      </c>
      <c r="BJ1823" s="2">
        <v>18.3</v>
      </c>
      <c r="BK1823" s="2">
        <v>0.34</v>
      </c>
      <c r="BL1823" s="2">
        <v>7.3</v>
      </c>
      <c r="BM1823" s="2">
        <v>0.9</v>
      </c>
      <c r="BN1823" s="2">
        <v>7.5</v>
      </c>
      <c r="BO1823" s="2">
        <v>2.9</v>
      </c>
      <c r="BP1823" s="2">
        <f t="shared" si="56"/>
        <v>2.169652968575901</v>
      </c>
      <c r="BQ1823" s="2">
        <f t="shared" si="57"/>
        <v>10.379584494060763</v>
      </c>
    </row>
    <row r="1824" spans="1:69" x14ac:dyDescent="0.2">
      <c r="A1824" s="2" t="s">
        <v>4615</v>
      </c>
      <c r="B1824" s="2" t="s">
        <v>47</v>
      </c>
      <c r="C1824" s="2" t="s">
        <v>3273</v>
      </c>
      <c r="D1824" s="2" t="s">
        <v>49</v>
      </c>
      <c r="E1824" s="2" t="s">
        <v>447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89</v>
      </c>
      <c r="L1824" s="6" t="s">
        <v>112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4616</v>
      </c>
      <c r="R1824" s="2">
        <v>10054461.67</v>
      </c>
      <c r="S1824" s="2">
        <v>0</v>
      </c>
      <c r="T1824" s="2" t="s">
        <v>83</v>
      </c>
      <c r="U1824" s="2" t="s">
        <v>84</v>
      </c>
      <c r="V1824" s="2" t="s">
        <v>56</v>
      </c>
      <c r="W1824" s="2" t="s">
        <v>83</v>
      </c>
      <c r="X1824" s="2" t="s">
        <v>85</v>
      </c>
      <c r="Y1824" s="2">
        <v>3.3076588845583501</v>
      </c>
      <c r="Z1824" s="2">
        <v>3307.6588845583501</v>
      </c>
      <c r="AA1824" s="2">
        <v>4.71035</v>
      </c>
      <c r="AB1824" s="2">
        <v>-74.030416666666696</v>
      </c>
      <c r="AC1824" s="2">
        <v>2570</v>
      </c>
      <c r="AD1824" s="2">
        <v>10</v>
      </c>
      <c r="AE1824" s="2" t="s">
        <v>59</v>
      </c>
      <c r="AF1824" s="2" t="s">
        <v>86</v>
      </c>
      <c r="AG1824" s="2" t="s">
        <v>61</v>
      </c>
      <c r="AH1824" s="2" t="s">
        <v>62</v>
      </c>
      <c r="AI1824" s="2" t="s">
        <v>87</v>
      </c>
      <c r="AJ1824" s="2">
        <v>1.04280639348732</v>
      </c>
      <c r="AK1824" s="2">
        <v>1.66482463281499</v>
      </c>
      <c r="AL1824" s="2">
        <v>0.25430495701370198</v>
      </c>
      <c r="AM1824" s="2">
        <v>8.7127162449846501E-2</v>
      </c>
      <c r="AN1824" s="2">
        <v>3.94346622273207</v>
      </c>
      <c r="AO1824" s="2">
        <v>0.487717391104386</v>
      </c>
      <c r="AP1824" s="2">
        <v>0.487717391104386</v>
      </c>
      <c r="AQ1824" s="2">
        <v>0</v>
      </c>
      <c r="AR1824" s="2">
        <v>0</v>
      </c>
      <c r="AS1824" s="2">
        <v>0</v>
      </c>
      <c r="AT1824" s="2">
        <v>0</v>
      </c>
      <c r="AU1824" s="2">
        <v>5</v>
      </c>
      <c r="AV1824" s="2">
        <v>166</v>
      </c>
      <c r="AW1824" s="2">
        <v>0</v>
      </c>
      <c r="AX1824" s="2">
        <v>0</v>
      </c>
      <c r="AY1824" s="2">
        <v>15.5</v>
      </c>
      <c r="AZ1824" s="2">
        <v>2.4</v>
      </c>
      <c r="BA1824" s="2">
        <v>10.9</v>
      </c>
      <c r="BB1824" s="2">
        <v>564</v>
      </c>
      <c r="BC1824" s="2">
        <v>68</v>
      </c>
      <c r="BD1824" s="2">
        <v>1.5</v>
      </c>
      <c r="BE1824" s="2">
        <v>135</v>
      </c>
      <c r="BF1824" s="2">
        <v>0</v>
      </c>
      <c r="BG1824" s="2">
        <v>162</v>
      </c>
      <c r="BH1824" s="2">
        <v>9.1</v>
      </c>
      <c r="BI1824" s="2">
        <v>9.1999999999999993</v>
      </c>
      <c r="BJ1824" s="2">
        <v>18.3</v>
      </c>
      <c r="BK1824" s="2">
        <v>0.34</v>
      </c>
      <c r="BL1824" s="2">
        <v>7.3</v>
      </c>
      <c r="BM1824" s="2">
        <v>0.9</v>
      </c>
      <c r="BN1824" s="2">
        <v>7.5</v>
      </c>
      <c r="BO1824" s="2">
        <v>2.9</v>
      </c>
      <c r="BP1824" s="2">
        <f t="shared" si="56"/>
        <v>2.0375327152497329</v>
      </c>
      <c r="BQ1824" s="2">
        <f t="shared" si="57"/>
        <v>10.068170137877654</v>
      </c>
    </row>
    <row r="1825" spans="1:69" x14ac:dyDescent="0.2">
      <c r="A1825" s="2" t="s">
        <v>3437</v>
      </c>
      <c r="B1825" s="2" t="s">
        <v>47</v>
      </c>
      <c r="C1825" s="2" t="s">
        <v>3273</v>
      </c>
      <c r="D1825" s="2" t="s">
        <v>49</v>
      </c>
      <c r="E1825" s="2" t="s">
        <v>172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89</v>
      </c>
      <c r="L1825" s="6" t="s">
        <v>141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3438</v>
      </c>
      <c r="R1825" s="2">
        <v>8240016.9029999999</v>
      </c>
      <c r="S1825" s="2">
        <v>0</v>
      </c>
      <c r="T1825" s="2" t="s">
        <v>83</v>
      </c>
      <c r="U1825" s="2" t="s">
        <v>84</v>
      </c>
      <c r="V1825" s="2" t="s">
        <v>56</v>
      </c>
      <c r="W1825" s="2" t="s">
        <v>83</v>
      </c>
      <c r="X1825" s="2" t="s">
        <v>85</v>
      </c>
      <c r="Y1825" s="2">
        <v>0.99160015840898796</v>
      </c>
      <c r="Z1825" s="2">
        <v>991.60015840898802</v>
      </c>
      <c r="AA1825" s="2">
        <v>4.71035</v>
      </c>
      <c r="AB1825" s="2">
        <v>-74.030416666666696</v>
      </c>
      <c r="AC1825" s="2">
        <v>2570</v>
      </c>
      <c r="AD1825" s="2">
        <v>10</v>
      </c>
      <c r="AE1825" s="2" t="s">
        <v>59</v>
      </c>
      <c r="AF1825" s="2" t="s">
        <v>86</v>
      </c>
      <c r="AG1825" s="2" t="s">
        <v>61</v>
      </c>
      <c r="AH1825" s="2" t="s">
        <v>62</v>
      </c>
      <c r="AI1825" s="2" t="s">
        <v>87</v>
      </c>
      <c r="AJ1825" s="2">
        <v>2.7989853595078098</v>
      </c>
      <c r="AK1825" s="2">
        <v>0.40762661168285202</v>
      </c>
      <c r="AL1825" s="2">
        <v>0.36565364273647</v>
      </c>
      <c r="AM1825" s="2">
        <v>2.7888847566615398E-2</v>
      </c>
      <c r="AN1825" s="2">
        <v>4.4296298649745998</v>
      </c>
      <c r="AO1825" s="2">
        <v>0.25522933759302802</v>
      </c>
      <c r="AP1825" s="2">
        <v>0.25522933759302802</v>
      </c>
      <c r="AQ1825" s="2">
        <v>0</v>
      </c>
      <c r="AR1825" s="2">
        <v>0</v>
      </c>
      <c r="AS1825" s="2">
        <v>6</v>
      </c>
      <c r="AT1825" s="2">
        <v>29</v>
      </c>
      <c r="AU1825" s="2">
        <v>2</v>
      </c>
      <c r="AV1825" s="2">
        <v>98</v>
      </c>
      <c r="AW1825" s="2">
        <v>0</v>
      </c>
      <c r="AX1825" s="2">
        <v>0</v>
      </c>
      <c r="AY1825" s="2">
        <v>15.5</v>
      </c>
      <c r="AZ1825" s="2">
        <v>2.4</v>
      </c>
      <c r="BA1825" s="2">
        <v>10.9</v>
      </c>
      <c r="BB1825" s="2">
        <v>564</v>
      </c>
      <c r="BC1825" s="2">
        <v>68</v>
      </c>
      <c r="BD1825" s="2">
        <v>1.5</v>
      </c>
      <c r="BE1825" s="2">
        <v>135</v>
      </c>
      <c r="BF1825" s="2">
        <v>0</v>
      </c>
      <c r="BG1825" s="2">
        <v>162</v>
      </c>
      <c r="BH1825" s="2">
        <v>9.1</v>
      </c>
      <c r="BI1825" s="2">
        <v>9.1999999999999993</v>
      </c>
      <c r="BJ1825" s="2">
        <v>18.3</v>
      </c>
      <c r="BK1825" s="2">
        <v>0.34</v>
      </c>
      <c r="BL1825" s="2">
        <v>7.3</v>
      </c>
      <c r="BM1825" s="2">
        <v>0.9</v>
      </c>
      <c r="BN1825" s="2">
        <v>7.5</v>
      </c>
      <c r="BO1825" s="2">
        <v>2.9</v>
      </c>
      <c r="BP1825" s="2">
        <f t="shared" si="56"/>
        <v>2.2850422846966643</v>
      </c>
      <c r="BQ1825" s="2">
        <f t="shared" si="57"/>
        <v>10.643659741429753</v>
      </c>
    </row>
    <row r="1826" spans="1:69" x14ac:dyDescent="0.2">
      <c r="A1826" s="2" t="s">
        <v>4508</v>
      </c>
      <c r="B1826" s="2" t="s">
        <v>47</v>
      </c>
      <c r="C1826" s="2" t="s">
        <v>3273</v>
      </c>
      <c r="D1826" s="2" t="s">
        <v>49</v>
      </c>
      <c r="E1826" s="2" t="s">
        <v>189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89</v>
      </c>
      <c r="L1826" s="6" t="s">
        <v>112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4509</v>
      </c>
      <c r="R1826" s="2">
        <v>10266723.119999999</v>
      </c>
      <c r="S1826" s="2">
        <v>0</v>
      </c>
      <c r="T1826" s="2" t="s">
        <v>83</v>
      </c>
      <c r="U1826" s="2" t="s">
        <v>84</v>
      </c>
      <c r="V1826" s="2" t="s">
        <v>56</v>
      </c>
      <c r="W1826" s="2" t="s">
        <v>83</v>
      </c>
      <c r="X1826" s="2" t="s">
        <v>85</v>
      </c>
      <c r="Y1826" s="2">
        <v>3.0831264712538302</v>
      </c>
      <c r="Z1826" s="2">
        <v>3083.12647125383</v>
      </c>
      <c r="AA1826" s="2">
        <v>4.71035</v>
      </c>
      <c r="AB1826" s="2">
        <v>-74.030416666666696</v>
      </c>
      <c r="AC1826" s="2">
        <v>2570</v>
      </c>
      <c r="AD1826" s="2">
        <v>10</v>
      </c>
      <c r="AE1826" s="2" t="s">
        <v>59</v>
      </c>
      <c r="AF1826" s="2" t="s">
        <v>86</v>
      </c>
      <c r="AG1826" s="2" t="s">
        <v>61</v>
      </c>
      <c r="AH1826" s="2" t="s">
        <v>62</v>
      </c>
      <c r="AI1826" s="2" t="s">
        <v>87</v>
      </c>
      <c r="AJ1826" s="2">
        <v>0.41105431952572702</v>
      </c>
      <c r="AK1826" s="2">
        <v>2.4494389151209601</v>
      </c>
      <c r="AL1826" s="2">
        <v>0.29756776745580199</v>
      </c>
      <c r="AM1826" s="2">
        <v>0.121372825367815</v>
      </c>
      <c r="AN1826" s="2">
        <v>3.9177901426206598</v>
      </c>
      <c r="AO1826" s="2">
        <v>5.4116775789822699E-2</v>
      </c>
      <c r="AP1826" s="2">
        <v>5.4116775789822699E-2</v>
      </c>
      <c r="AQ1826" s="2">
        <v>1</v>
      </c>
      <c r="AR1826" s="2">
        <v>2</v>
      </c>
      <c r="AS1826" s="2">
        <v>0</v>
      </c>
      <c r="AT1826" s="2">
        <v>0</v>
      </c>
      <c r="AU1826" s="2">
        <v>5</v>
      </c>
      <c r="AV1826" s="2">
        <v>164</v>
      </c>
      <c r="AW1826" s="2">
        <v>0</v>
      </c>
      <c r="AX1826" s="2">
        <v>0</v>
      </c>
      <c r="AY1826" s="2">
        <v>15.5</v>
      </c>
      <c r="AZ1826" s="2">
        <v>2.4</v>
      </c>
      <c r="BA1826" s="2">
        <v>10.9</v>
      </c>
      <c r="BB1826" s="2">
        <v>564</v>
      </c>
      <c r="BC1826" s="2">
        <v>68</v>
      </c>
      <c r="BD1826" s="2">
        <v>1.5</v>
      </c>
      <c r="BE1826" s="2">
        <v>135</v>
      </c>
      <c r="BF1826" s="2">
        <v>0</v>
      </c>
      <c r="BG1826" s="2">
        <v>162</v>
      </c>
      <c r="BH1826" s="2">
        <v>9.1</v>
      </c>
      <c r="BI1826" s="2">
        <v>9.1999999999999993</v>
      </c>
      <c r="BJ1826" s="2">
        <v>18.3</v>
      </c>
      <c r="BK1826" s="2">
        <v>0.34</v>
      </c>
      <c r="BL1826" s="2">
        <v>7.3</v>
      </c>
      <c r="BM1826" s="2">
        <v>0.9</v>
      </c>
      <c r="BN1826" s="2">
        <v>7.5</v>
      </c>
      <c r="BO1826" s="2">
        <v>2.9</v>
      </c>
      <c r="BP1826" s="2">
        <f t="shared" si="56"/>
        <v>2.0603048906646841</v>
      </c>
      <c r="BQ1826" s="2">
        <f t="shared" si="57"/>
        <v>10.122571718174934</v>
      </c>
    </row>
    <row r="1827" spans="1:69" x14ac:dyDescent="0.2">
      <c r="A1827" s="2" t="s">
        <v>3574</v>
      </c>
      <c r="B1827" s="2" t="s">
        <v>47</v>
      </c>
      <c r="C1827" s="2" t="s">
        <v>3273</v>
      </c>
      <c r="D1827" s="2" t="s">
        <v>49</v>
      </c>
      <c r="E1827" s="2" t="s">
        <v>447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89</v>
      </c>
      <c r="L1827" s="6" t="s">
        <v>112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3575</v>
      </c>
      <c r="R1827" s="2">
        <v>8641175.1999999993</v>
      </c>
      <c r="S1827" s="2">
        <v>0</v>
      </c>
      <c r="T1827" s="2" t="s">
        <v>83</v>
      </c>
      <c r="U1827" s="2" t="s">
        <v>84</v>
      </c>
      <c r="V1827" s="2" t="s">
        <v>56</v>
      </c>
      <c r="W1827" s="2" t="s">
        <v>83</v>
      </c>
      <c r="X1827" s="2" t="s">
        <v>85</v>
      </c>
      <c r="Y1827" s="2">
        <v>3.78243250256349</v>
      </c>
      <c r="Z1827" s="2">
        <v>3782.4325025634898</v>
      </c>
      <c r="AA1827" s="2">
        <v>4.71035</v>
      </c>
      <c r="AB1827" s="2">
        <v>-74.030416666666696</v>
      </c>
      <c r="AC1827" s="2">
        <v>2570</v>
      </c>
      <c r="AD1827" s="2">
        <v>10</v>
      </c>
      <c r="AE1827" s="2" t="s">
        <v>59</v>
      </c>
      <c r="AF1827" s="2" t="s">
        <v>86</v>
      </c>
      <c r="AG1827" s="2" t="s">
        <v>61</v>
      </c>
      <c r="AH1827" s="2" t="s">
        <v>62</v>
      </c>
      <c r="AI1827" s="2" t="s">
        <v>87</v>
      </c>
      <c r="AJ1827" s="2">
        <v>0.50264639446748405</v>
      </c>
      <c r="AK1827" s="2">
        <v>2.44251531614182</v>
      </c>
      <c r="AL1827" s="2">
        <v>0.481202234828355</v>
      </c>
      <c r="AM1827" s="2">
        <v>9.3501132057014005E-3</v>
      </c>
      <c r="AN1827" s="2">
        <v>3.2503345256038201</v>
      </c>
      <c r="AO1827" s="2">
        <v>0.55523347444754301</v>
      </c>
      <c r="AP1827" s="2">
        <v>0.55523347444754301</v>
      </c>
      <c r="AQ1827" s="2">
        <v>0</v>
      </c>
      <c r="AR1827" s="2">
        <v>4</v>
      </c>
      <c r="AS1827" s="2">
        <v>0</v>
      </c>
      <c r="AT1827" s="2">
        <v>0</v>
      </c>
      <c r="AU1827" s="2">
        <v>5</v>
      </c>
      <c r="AV1827" s="2">
        <v>207</v>
      </c>
      <c r="AW1827" s="2">
        <v>0</v>
      </c>
      <c r="AX1827" s="2">
        <v>0</v>
      </c>
      <c r="AY1827" s="2">
        <v>15.5</v>
      </c>
      <c r="AZ1827" s="2">
        <v>2.4</v>
      </c>
      <c r="BA1827" s="2">
        <v>10.9</v>
      </c>
      <c r="BB1827" s="2">
        <v>564</v>
      </c>
      <c r="BC1827" s="2">
        <v>68</v>
      </c>
      <c r="BD1827" s="2">
        <v>1.5</v>
      </c>
      <c r="BE1827" s="2">
        <v>135</v>
      </c>
      <c r="BF1827" s="2">
        <v>0</v>
      </c>
      <c r="BG1827" s="2">
        <v>162</v>
      </c>
      <c r="BH1827" s="2">
        <v>9.1</v>
      </c>
      <c r="BI1827" s="2">
        <v>9.1999999999999993</v>
      </c>
      <c r="BJ1827" s="2">
        <v>18.3</v>
      </c>
      <c r="BK1827" s="2">
        <v>0.34</v>
      </c>
      <c r="BL1827" s="2">
        <v>7.3</v>
      </c>
      <c r="BM1827" s="2">
        <v>0.9</v>
      </c>
      <c r="BN1827" s="2">
        <v>7.5</v>
      </c>
      <c r="BO1827" s="2">
        <v>2.9</v>
      </c>
      <c r="BP1827" s="2">
        <f t="shared" si="56"/>
        <v>1.9902063532819803</v>
      </c>
      <c r="BQ1827" s="2">
        <f t="shared" si="57"/>
        <v>9.9540988311408398</v>
      </c>
    </row>
    <row r="1828" spans="1:69" x14ac:dyDescent="0.2">
      <c r="A1828" s="2" t="s">
        <v>3531</v>
      </c>
      <c r="B1828" s="2" t="s">
        <v>47</v>
      </c>
      <c r="C1828" s="2" t="s">
        <v>3273</v>
      </c>
      <c r="D1828" s="2" t="s">
        <v>49</v>
      </c>
      <c r="E1828" s="2" t="s">
        <v>208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89</v>
      </c>
      <c r="L1828" s="6" t="s">
        <v>141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3532</v>
      </c>
      <c r="R1828" s="2">
        <v>9130434.7829999998</v>
      </c>
      <c r="S1828" s="2">
        <v>0</v>
      </c>
      <c r="T1828" s="2" t="s">
        <v>83</v>
      </c>
      <c r="U1828" s="2" t="s">
        <v>84</v>
      </c>
      <c r="V1828" s="2" t="s">
        <v>56</v>
      </c>
      <c r="W1828" s="2" t="s">
        <v>83</v>
      </c>
      <c r="X1828" s="2" t="s">
        <v>85</v>
      </c>
      <c r="Y1828" s="2">
        <v>4.1530486298347196</v>
      </c>
      <c r="Z1828" s="2">
        <v>4153.0486298347196</v>
      </c>
      <c r="AA1828" s="2">
        <v>4.71035</v>
      </c>
      <c r="AB1828" s="2">
        <v>-74.030416666666696</v>
      </c>
      <c r="AC1828" s="2">
        <v>2570</v>
      </c>
      <c r="AD1828" s="2">
        <v>10</v>
      </c>
      <c r="AE1828" s="2" t="s">
        <v>59</v>
      </c>
      <c r="AF1828" s="2" t="s">
        <v>86</v>
      </c>
      <c r="AG1828" s="2" t="s">
        <v>61</v>
      </c>
      <c r="AH1828" s="2" t="s">
        <v>62</v>
      </c>
      <c r="AI1828" s="2" t="s">
        <v>109</v>
      </c>
      <c r="AJ1828" s="2">
        <v>0.71391866632756895</v>
      </c>
      <c r="AK1828" s="2">
        <v>1.5917224738281299</v>
      </c>
      <c r="AL1828" s="2">
        <v>0.61524829840177497</v>
      </c>
      <c r="AM1828" s="2">
        <v>5.25359491164255E-2</v>
      </c>
      <c r="AN1828" s="2">
        <v>3.3349416139110999</v>
      </c>
      <c r="AO1828" s="2">
        <v>0.70161540585911397</v>
      </c>
      <c r="AP1828" s="2">
        <v>0.70161540585911397</v>
      </c>
      <c r="AQ1828" s="2">
        <v>0</v>
      </c>
      <c r="AR1828" s="2">
        <v>2</v>
      </c>
      <c r="AS1828" s="2">
        <v>0</v>
      </c>
      <c r="AT1828" s="2">
        <v>0</v>
      </c>
      <c r="AU1828" s="2">
        <v>4</v>
      </c>
      <c r="AV1828" s="2">
        <v>217</v>
      </c>
      <c r="AW1828" s="2">
        <v>0</v>
      </c>
      <c r="AX1828" s="2">
        <v>0</v>
      </c>
      <c r="AY1828" s="2">
        <v>15.5</v>
      </c>
      <c r="AZ1828" s="2">
        <v>2.4</v>
      </c>
      <c r="BA1828" s="2">
        <v>10.9</v>
      </c>
      <c r="BB1828" s="2">
        <v>564</v>
      </c>
      <c r="BC1828" s="2">
        <v>68</v>
      </c>
      <c r="BD1828" s="2">
        <v>1.5</v>
      </c>
      <c r="BE1828" s="2">
        <v>135</v>
      </c>
      <c r="BF1828" s="2">
        <v>0</v>
      </c>
      <c r="BG1828" s="2">
        <v>162</v>
      </c>
      <c r="BH1828" s="2">
        <v>9.1</v>
      </c>
      <c r="BI1828" s="2">
        <v>9.1999999999999993</v>
      </c>
      <c r="BJ1828" s="2">
        <v>18.3</v>
      </c>
      <c r="BK1828" s="2">
        <v>0.34</v>
      </c>
      <c r="BL1828" s="2">
        <v>7.3</v>
      </c>
      <c r="BM1828" s="2">
        <v>0.9</v>
      </c>
      <c r="BN1828" s="2">
        <v>7.5</v>
      </c>
      <c r="BO1828" s="2">
        <v>2.9</v>
      </c>
      <c r="BP1828" s="2">
        <f t="shared" si="56"/>
        <v>1.9540278965905151</v>
      </c>
      <c r="BQ1828" s="2">
        <f t="shared" si="57"/>
        <v>9.8659518472054852</v>
      </c>
    </row>
    <row r="1829" spans="1:69" x14ac:dyDescent="0.2">
      <c r="A1829" s="2" t="s">
        <v>4550</v>
      </c>
      <c r="B1829" s="2" t="s">
        <v>47</v>
      </c>
      <c r="C1829" s="2" t="s">
        <v>3273</v>
      </c>
      <c r="D1829" s="2" t="s">
        <v>49</v>
      </c>
      <c r="E1829" s="2" t="s">
        <v>1465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89</v>
      </c>
      <c r="L1829" s="6" t="s">
        <v>141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4551</v>
      </c>
      <c r="R1829" s="2">
        <v>9130434.7829999998</v>
      </c>
      <c r="S1829" s="2">
        <v>0</v>
      </c>
      <c r="T1829" s="2" t="s">
        <v>83</v>
      </c>
      <c r="U1829" s="2" t="s">
        <v>84</v>
      </c>
      <c r="V1829" s="2" t="s">
        <v>56</v>
      </c>
      <c r="W1829" s="2" t="s">
        <v>83</v>
      </c>
      <c r="X1829" s="2" t="s">
        <v>85</v>
      </c>
      <c r="Y1829" s="2">
        <v>4.1325500261606596</v>
      </c>
      <c r="Z1829" s="2">
        <v>4132.5500261606603</v>
      </c>
      <c r="AA1829" s="2">
        <v>4.71035</v>
      </c>
      <c r="AB1829" s="2">
        <v>-74.030416666666696</v>
      </c>
      <c r="AC1829" s="2">
        <v>2570</v>
      </c>
      <c r="AD1829" s="2">
        <v>10</v>
      </c>
      <c r="AE1829" s="2" t="s">
        <v>59</v>
      </c>
      <c r="AF1829" s="2" t="s">
        <v>86</v>
      </c>
      <c r="AG1829" s="2" t="s">
        <v>61</v>
      </c>
      <c r="AH1829" s="2" t="s">
        <v>62</v>
      </c>
      <c r="AI1829" s="2" t="s">
        <v>109</v>
      </c>
      <c r="AJ1829" s="2">
        <v>0.65743005853070102</v>
      </c>
      <c r="AK1829" s="2">
        <v>1.6447778401948701</v>
      </c>
      <c r="AL1829" s="2">
        <v>0.56382905662826599</v>
      </c>
      <c r="AM1829" s="2">
        <v>9.8872192530642E-2</v>
      </c>
      <c r="AN1829" s="2">
        <v>3.3128626437164899</v>
      </c>
      <c r="AO1829" s="2">
        <v>0.66844661959453899</v>
      </c>
      <c r="AP1829" s="2">
        <v>0.66844661959453899</v>
      </c>
      <c r="AQ1829" s="2">
        <v>0</v>
      </c>
      <c r="AR1829" s="2">
        <v>2</v>
      </c>
      <c r="AS1829" s="2">
        <v>0</v>
      </c>
      <c r="AT1829" s="2">
        <v>0</v>
      </c>
      <c r="AU1829" s="2">
        <v>5</v>
      </c>
      <c r="AV1829" s="2">
        <v>222</v>
      </c>
      <c r="AW1829" s="2">
        <v>0</v>
      </c>
      <c r="AX1829" s="2">
        <v>0</v>
      </c>
      <c r="AY1829" s="2">
        <v>15.5</v>
      </c>
      <c r="AZ1829" s="2">
        <v>2.4</v>
      </c>
      <c r="BA1829" s="2">
        <v>10.9</v>
      </c>
      <c r="BB1829" s="2">
        <v>564</v>
      </c>
      <c r="BC1829" s="2">
        <v>68</v>
      </c>
      <c r="BD1829" s="2">
        <v>1.5</v>
      </c>
      <c r="BE1829" s="2">
        <v>135</v>
      </c>
      <c r="BF1829" s="2">
        <v>0</v>
      </c>
      <c r="BG1829" s="2">
        <v>162</v>
      </c>
      <c r="BH1829" s="2">
        <v>9.1</v>
      </c>
      <c r="BI1829" s="2">
        <v>9.1999999999999993</v>
      </c>
      <c r="BJ1829" s="2">
        <v>18.3</v>
      </c>
      <c r="BK1829" s="2">
        <v>0.34</v>
      </c>
      <c r="BL1829" s="2">
        <v>7.3</v>
      </c>
      <c r="BM1829" s="2">
        <v>0.9</v>
      </c>
      <c r="BN1829" s="2">
        <v>7.5</v>
      </c>
      <c r="BO1829" s="2">
        <v>2.9</v>
      </c>
      <c r="BP1829" s="2">
        <f t="shared" si="56"/>
        <v>1.9560116175915061</v>
      </c>
      <c r="BQ1829" s="2">
        <f t="shared" si="57"/>
        <v>9.8708067590173201</v>
      </c>
    </row>
    <row r="1830" spans="1:69" x14ac:dyDescent="0.2">
      <c r="A1830" s="2" t="s">
        <v>3782</v>
      </c>
      <c r="B1830" s="2" t="s">
        <v>47</v>
      </c>
      <c r="C1830" s="2" t="s">
        <v>3273</v>
      </c>
      <c r="D1830" s="2" t="s">
        <v>49</v>
      </c>
      <c r="E1830" s="2" t="s">
        <v>411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89</v>
      </c>
      <c r="L1830" s="6" t="s">
        <v>112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3783</v>
      </c>
      <c r="R1830" s="2">
        <v>5782608.6960000005</v>
      </c>
      <c r="S1830" s="2">
        <v>0</v>
      </c>
      <c r="T1830" s="2" t="s">
        <v>83</v>
      </c>
      <c r="U1830" s="2" t="s">
        <v>84</v>
      </c>
      <c r="V1830" s="2" t="s">
        <v>56</v>
      </c>
      <c r="W1830" s="2" t="s">
        <v>83</v>
      </c>
      <c r="X1830" s="2" t="s">
        <v>85</v>
      </c>
      <c r="Y1830" s="2">
        <v>3.9146405537447202</v>
      </c>
      <c r="Z1830" s="2">
        <v>3914.6405537447199</v>
      </c>
      <c r="AA1830" s="2">
        <v>4.71035</v>
      </c>
      <c r="AB1830" s="2">
        <v>-74.030416666666696</v>
      </c>
      <c r="AC1830" s="2">
        <v>2570</v>
      </c>
      <c r="AD1830" s="2">
        <v>10</v>
      </c>
      <c r="AE1830" s="2" t="s">
        <v>59</v>
      </c>
      <c r="AF1830" s="2" t="s">
        <v>86</v>
      </c>
      <c r="AG1830" s="2" t="s">
        <v>61</v>
      </c>
      <c r="AH1830" s="2" t="s">
        <v>62</v>
      </c>
      <c r="AI1830" s="2" t="s">
        <v>100</v>
      </c>
      <c r="AJ1830" s="2">
        <v>0.51988133532649405</v>
      </c>
      <c r="AK1830" s="2">
        <v>3.1242751927093</v>
      </c>
      <c r="AL1830" s="2">
        <v>1.1321902846737699</v>
      </c>
      <c r="AM1830" s="2">
        <v>0.23333373774548799</v>
      </c>
      <c r="AN1830" s="2">
        <v>3.1175116671711498</v>
      </c>
      <c r="AO1830" s="2">
        <v>2.11056703282551E-2</v>
      </c>
      <c r="AP1830" s="2">
        <v>2.11056703282551E-2</v>
      </c>
      <c r="AQ1830" s="2">
        <v>0</v>
      </c>
      <c r="AR1830" s="2">
        <v>5</v>
      </c>
      <c r="AS1830" s="2">
        <v>0</v>
      </c>
      <c r="AT1830" s="2">
        <v>0</v>
      </c>
      <c r="AU1830" s="2">
        <v>0</v>
      </c>
      <c r="AV1830" s="2">
        <v>144</v>
      </c>
      <c r="AW1830" s="2">
        <v>0</v>
      </c>
      <c r="AX1830" s="2">
        <v>0</v>
      </c>
      <c r="AY1830" s="2">
        <v>15.5</v>
      </c>
      <c r="AZ1830" s="2">
        <v>2.4</v>
      </c>
      <c r="BA1830" s="2">
        <v>10.9</v>
      </c>
      <c r="BB1830" s="2">
        <v>564</v>
      </c>
      <c r="BC1830" s="2">
        <v>68</v>
      </c>
      <c r="BD1830" s="2">
        <v>1.5</v>
      </c>
      <c r="BE1830" s="2">
        <v>135</v>
      </c>
      <c r="BF1830" s="2">
        <v>0</v>
      </c>
      <c r="BG1830" s="2">
        <v>162</v>
      </c>
      <c r="BH1830" s="2">
        <v>9.1</v>
      </c>
      <c r="BI1830" s="2">
        <v>9.1999999999999993</v>
      </c>
      <c r="BJ1830" s="2">
        <v>18.3</v>
      </c>
      <c r="BK1830" s="2">
        <v>0.34</v>
      </c>
      <c r="BL1830" s="2">
        <v>7.3</v>
      </c>
      <c r="BM1830" s="2">
        <v>0.9</v>
      </c>
      <c r="BN1830" s="2">
        <v>7.5</v>
      </c>
      <c r="BO1830" s="2">
        <v>2.9</v>
      </c>
      <c r="BP1830" s="2">
        <f t="shared" si="56"/>
        <v>1.977224374069136</v>
      </c>
      <c r="BQ1830" s="2">
        <f t="shared" si="57"/>
        <v>9.9225645983657547</v>
      </c>
    </row>
    <row r="1831" spans="1:69" x14ac:dyDescent="0.2">
      <c r="A1831" s="2" t="s">
        <v>3422</v>
      </c>
      <c r="B1831" s="2" t="s">
        <v>47</v>
      </c>
      <c r="C1831" s="2" t="s">
        <v>3273</v>
      </c>
      <c r="D1831" s="2" t="s">
        <v>49</v>
      </c>
      <c r="E1831" s="2" t="s">
        <v>3423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89</v>
      </c>
      <c r="L1831" s="6" t="s">
        <v>90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3424</v>
      </c>
      <c r="R1831" s="2">
        <v>13695652.17</v>
      </c>
      <c r="S1831" s="2">
        <v>0</v>
      </c>
      <c r="T1831" s="2" t="s">
        <v>83</v>
      </c>
      <c r="U1831" s="2" t="s">
        <v>84</v>
      </c>
      <c r="V1831" s="2" t="s">
        <v>56</v>
      </c>
      <c r="W1831" s="2" t="s">
        <v>83</v>
      </c>
      <c r="X1831" s="2" t="s">
        <v>85</v>
      </c>
      <c r="Y1831" s="2">
        <v>3.70051956049703</v>
      </c>
      <c r="Z1831" s="2">
        <v>3700.5195604970299</v>
      </c>
      <c r="AA1831" s="2">
        <v>4.71035</v>
      </c>
      <c r="AB1831" s="2">
        <v>-74.030416666666696</v>
      </c>
      <c r="AC1831" s="2">
        <v>2570</v>
      </c>
      <c r="AD1831" s="2">
        <v>10</v>
      </c>
      <c r="AE1831" s="2" t="s">
        <v>59</v>
      </c>
      <c r="AF1831" s="2" t="s">
        <v>86</v>
      </c>
      <c r="AG1831" s="2" t="s">
        <v>61</v>
      </c>
      <c r="AH1831" s="2" t="s">
        <v>62</v>
      </c>
      <c r="AI1831" s="2" t="s">
        <v>109</v>
      </c>
      <c r="AJ1831" s="2">
        <v>1.20443720653357</v>
      </c>
      <c r="AK1831" s="2">
        <v>1.1828957651232499</v>
      </c>
      <c r="AL1831" s="2">
        <v>0.66107939540462701</v>
      </c>
      <c r="AM1831" s="2">
        <v>9.5329901531055902E-2</v>
      </c>
      <c r="AN1831" s="2">
        <v>3.9474311373359301</v>
      </c>
      <c r="AO1831" s="2">
        <v>0.926553221130472</v>
      </c>
      <c r="AP1831" s="2">
        <v>0.926553221130472</v>
      </c>
      <c r="AQ1831" s="2">
        <v>0</v>
      </c>
      <c r="AR1831" s="2">
        <v>0</v>
      </c>
      <c r="AS1831" s="2">
        <v>0</v>
      </c>
      <c r="AT1831" s="2">
        <v>0</v>
      </c>
      <c r="AU1831" s="2">
        <v>5</v>
      </c>
      <c r="AV1831" s="2">
        <v>126</v>
      </c>
      <c r="AW1831" s="2">
        <v>0</v>
      </c>
      <c r="AX1831" s="2">
        <v>0</v>
      </c>
      <c r="AY1831" s="2">
        <v>15.5</v>
      </c>
      <c r="AZ1831" s="2">
        <v>2.4</v>
      </c>
      <c r="BA1831" s="2">
        <v>10.9</v>
      </c>
      <c r="BB1831" s="2">
        <v>564</v>
      </c>
      <c r="BC1831" s="2">
        <v>68</v>
      </c>
      <c r="BD1831" s="2">
        <v>1.5</v>
      </c>
      <c r="BE1831" s="2">
        <v>135</v>
      </c>
      <c r="BF1831" s="2">
        <v>0</v>
      </c>
      <c r="BG1831" s="2">
        <v>162</v>
      </c>
      <c r="BH1831" s="2">
        <v>9.1</v>
      </c>
      <c r="BI1831" s="2">
        <v>9.1999999999999993</v>
      </c>
      <c r="BJ1831" s="2">
        <v>18.3</v>
      </c>
      <c r="BK1831" s="2">
        <v>0.34</v>
      </c>
      <c r="BL1831" s="2">
        <v>7.3</v>
      </c>
      <c r="BM1831" s="2">
        <v>0.9</v>
      </c>
      <c r="BN1831" s="2">
        <v>7.5</v>
      </c>
      <c r="BO1831" s="2">
        <v>2.9</v>
      </c>
      <c r="BP1831" s="2">
        <f t="shared" si="56"/>
        <v>1.9982924064828016</v>
      </c>
      <c r="BQ1831" s="2">
        <f t="shared" si="57"/>
        <v>9.973686947576212</v>
      </c>
    </row>
    <row r="1832" spans="1:69" x14ac:dyDescent="0.2">
      <c r="A1832" s="2" t="s">
        <v>4464</v>
      </c>
      <c r="B1832" s="2" t="s">
        <v>47</v>
      </c>
      <c r="C1832" s="2" t="s">
        <v>3273</v>
      </c>
      <c r="D1832" s="2" t="s">
        <v>49</v>
      </c>
      <c r="E1832" s="2" t="s">
        <v>189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89</v>
      </c>
      <c r="L1832" s="6" t="s">
        <v>90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4465</v>
      </c>
      <c r="R1832" s="2">
        <v>11956521.74</v>
      </c>
      <c r="S1832" s="2">
        <v>0</v>
      </c>
      <c r="T1832" s="2" t="s">
        <v>83</v>
      </c>
      <c r="U1832" s="2" t="s">
        <v>84</v>
      </c>
      <c r="V1832" s="2" t="s">
        <v>56</v>
      </c>
      <c r="W1832" s="2" t="s">
        <v>83</v>
      </c>
      <c r="X1832" s="2" t="s">
        <v>85</v>
      </c>
      <c r="Y1832" s="2">
        <v>2.4290653695334901</v>
      </c>
      <c r="Z1832" s="2">
        <v>2429.06536953349</v>
      </c>
      <c r="AA1832" s="2">
        <v>4.71035</v>
      </c>
      <c r="AB1832" s="2">
        <v>-74.030416666666696</v>
      </c>
      <c r="AC1832" s="2">
        <v>2570</v>
      </c>
      <c r="AD1832" s="2">
        <v>10</v>
      </c>
      <c r="AE1832" s="2" t="s">
        <v>59</v>
      </c>
      <c r="AF1832" s="2" t="s">
        <v>86</v>
      </c>
      <c r="AG1832" s="2" t="s">
        <v>61</v>
      </c>
      <c r="AH1832" s="2" t="s">
        <v>62</v>
      </c>
      <c r="AI1832" s="2" t="s">
        <v>87</v>
      </c>
      <c r="AJ1832" s="2">
        <v>1.0632864325243301</v>
      </c>
      <c r="AK1832" s="2">
        <v>2.13353520848041</v>
      </c>
      <c r="AL1832" s="2">
        <v>0.45891546924826898</v>
      </c>
      <c r="AM1832" s="2">
        <v>0.11624262159143101</v>
      </c>
      <c r="AN1832" s="2">
        <v>4.6092797369510903</v>
      </c>
      <c r="AO1832" s="2">
        <v>0.20095610837694799</v>
      </c>
      <c r="AP1832" s="2">
        <v>0.20095610837694799</v>
      </c>
      <c r="AQ1832" s="2">
        <v>0</v>
      </c>
      <c r="AR1832" s="2">
        <v>0</v>
      </c>
      <c r="AS1832" s="2">
        <v>0</v>
      </c>
      <c r="AT1832" s="2">
        <v>0</v>
      </c>
      <c r="AU1832" s="2">
        <v>3</v>
      </c>
      <c r="AV1832" s="2">
        <v>124</v>
      </c>
      <c r="AW1832" s="2">
        <v>0</v>
      </c>
      <c r="AX1832" s="2">
        <v>0</v>
      </c>
      <c r="AY1832" s="2">
        <v>15.5</v>
      </c>
      <c r="AZ1832" s="2">
        <v>2.4</v>
      </c>
      <c r="BA1832" s="2">
        <v>10.9</v>
      </c>
      <c r="BB1832" s="2">
        <v>564</v>
      </c>
      <c r="BC1832" s="2">
        <v>68</v>
      </c>
      <c r="BD1832" s="2">
        <v>1.5</v>
      </c>
      <c r="BE1832" s="2">
        <v>135</v>
      </c>
      <c r="BF1832" s="2">
        <v>0</v>
      </c>
      <c r="BG1832" s="2">
        <v>162</v>
      </c>
      <c r="BH1832" s="2">
        <v>9.1</v>
      </c>
      <c r="BI1832" s="2">
        <v>9.1999999999999993</v>
      </c>
      <c r="BJ1832" s="2">
        <v>18.3</v>
      </c>
      <c r="BK1832" s="2">
        <v>0.34</v>
      </c>
      <c r="BL1832" s="2">
        <v>7.3</v>
      </c>
      <c r="BM1832" s="2">
        <v>0.9</v>
      </c>
      <c r="BN1832" s="2">
        <v>7.5</v>
      </c>
      <c r="BO1832" s="2">
        <v>2.9</v>
      </c>
      <c r="BP1832" s="2">
        <f t="shared" si="56"/>
        <v>2.1281009336093861</v>
      </c>
      <c r="BQ1832" s="2">
        <f t="shared" si="57"/>
        <v>10.282724153168086</v>
      </c>
    </row>
    <row r="1833" spans="1:69" x14ac:dyDescent="0.2">
      <c r="A1833" s="2" t="s">
        <v>4375</v>
      </c>
      <c r="B1833" s="2" t="s">
        <v>47</v>
      </c>
      <c r="C1833" s="2" t="s">
        <v>3273</v>
      </c>
      <c r="D1833" s="2" t="s">
        <v>49</v>
      </c>
      <c r="E1833" s="2" t="s">
        <v>3524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89</v>
      </c>
      <c r="L1833" s="6" t="s">
        <v>112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4376</v>
      </c>
      <c r="R1833" s="2">
        <v>9130434.7829999998</v>
      </c>
      <c r="S1833" s="2">
        <v>0</v>
      </c>
      <c r="T1833" s="2" t="s">
        <v>83</v>
      </c>
      <c r="U1833" s="2" t="s">
        <v>84</v>
      </c>
      <c r="V1833" s="2" t="s">
        <v>56</v>
      </c>
      <c r="W1833" s="2" t="s">
        <v>83</v>
      </c>
      <c r="X1833" s="2" t="s">
        <v>85</v>
      </c>
      <c r="Y1833" s="2">
        <v>1.44588271046983</v>
      </c>
      <c r="Z1833" s="2">
        <v>1445.88271046983</v>
      </c>
      <c r="AA1833" s="2">
        <v>4.71035</v>
      </c>
      <c r="AB1833" s="2">
        <v>-74.030416666666696</v>
      </c>
      <c r="AC1833" s="2">
        <v>2570</v>
      </c>
      <c r="AD1833" s="2">
        <v>10</v>
      </c>
      <c r="AE1833" s="2" t="s">
        <v>59</v>
      </c>
      <c r="AF1833" s="2" t="s">
        <v>86</v>
      </c>
      <c r="AG1833" s="2" t="s">
        <v>61</v>
      </c>
      <c r="AH1833" s="2" t="s">
        <v>62</v>
      </c>
      <c r="AI1833" s="2" t="s">
        <v>87</v>
      </c>
      <c r="AJ1833" s="2">
        <v>2.6599876182336799</v>
      </c>
      <c r="AK1833" s="2">
        <v>0.49052880703185098</v>
      </c>
      <c r="AL1833" s="2">
        <v>1.4901747153120399</v>
      </c>
      <c r="AM1833" s="2">
        <v>7.8768231392707194E-2</v>
      </c>
      <c r="AN1833" s="2">
        <v>2.0660968320298498</v>
      </c>
      <c r="AO1833" s="2">
        <v>0.28188069072994298</v>
      </c>
      <c r="AP1833" s="2">
        <v>0.28188069072994298</v>
      </c>
      <c r="AQ1833" s="2">
        <v>0</v>
      </c>
      <c r="AR1833" s="2">
        <v>0</v>
      </c>
      <c r="AS1833" s="2">
        <v>3</v>
      </c>
      <c r="AT1833" s="2">
        <v>32</v>
      </c>
      <c r="AU1833" s="2">
        <v>0</v>
      </c>
      <c r="AV1833" s="2">
        <v>12</v>
      </c>
      <c r="AW1833" s="2">
        <v>0</v>
      </c>
      <c r="AX1833" s="2">
        <v>0</v>
      </c>
      <c r="AY1833" s="2">
        <v>15.5</v>
      </c>
      <c r="AZ1833" s="2">
        <v>2.4</v>
      </c>
      <c r="BA1833" s="2">
        <v>10.9</v>
      </c>
      <c r="BB1833" s="2">
        <v>564</v>
      </c>
      <c r="BC1833" s="2">
        <v>68</v>
      </c>
      <c r="BD1833" s="2">
        <v>1.5</v>
      </c>
      <c r="BE1833" s="2">
        <v>135</v>
      </c>
      <c r="BF1833" s="2">
        <v>0</v>
      </c>
      <c r="BG1833" s="2">
        <v>162</v>
      </c>
      <c r="BH1833" s="2">
        <v>9.1</v>
      </c>
      <c r="BI1833" s="2">
        <v>9.1999999999999993</v>
      </c>
      <c r="BJ1833" s="2">
        <v>18.3</v>
      </c>
      <c r="BK1833" s="2">
        <v>0.34</v>
      </c>
      <c r="BL1833" s="2">
        <v>7.3</v>
      </c>
      <c r="BM1833" s="2">
        <v>0.9</v>
      </c>
      <c r="BN1833" s="2">
        <v>7.5</v>
      </c>
      <c r="BO1833" s="2">
        <v>2.9</v>
      </c>
      <c r="BP1833" s="2">
        <f t="shared" si="56"/>
        <v>2.2342319962766419</v>
      </c>
      <c r="BQ1833" s="2">
        <f t="shared" si="57"/>
        <v>10.528244564078415</v>
      </c>
    </row>
    <row r="1834" spans="1:69" x14ac:dyDescent="0.2">
      <c r="A1834" s="2" t="s">
        <v>3586</v>
      </c>
      <c r="B1834" s="2" t="s">
        <v>47</v>
      </c>
      <c r="C1834" s="2" t="s">
        <v>3273</v>
      </c>
      <c r="D1834" s="2" t="s">
        <v>49</v>
      </c>
      <c r="E1834" s="2" t="s">
        <v>1753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89</v>
      </c>
      <c r="L1834" s="6" t="s">
        <v>112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3587</v>
      </c>
      <c r="R1834" s="2">
        <v>9273401.7019999996</v>
      </c>
      <c r="S1834" s="2">
        <v>0</v>
      </c>
      <c r="T1834" s="2" t="s">
        <v>83</v>
      </c>
      <c r="U1834" s="2" t="s">
        <v>84</v>
      </c>
      <c r="V1834" s="2" t="s">
        <v>56</v>
      </c>
      <c r="W1834" s="2" t="s">
        <v>83</v>
      </c>
      <c r="X1834" s="2" t="s">
        <v>85</v>
      </c>
      <c r="Y1834" s="2">
        <v>2.8297678807377098</v>
      </c>
      <c r="Z1834" s="2">
        <v>2829.7678807377101</v>
      </c>
      <c r="AA1834" s="2">
        <v>4.71035</v>
      </c>
      <c r="AB1834" s="2">
        <v>-74.030416666666696</v>
      </c>
      <c r="AC1834" s="2">
        <v>2570</v>
      </c>
      <c r="AD1834" s="2">
        <v>10</v>
      </c>
      <c r="AE1834" s="2" t="s">
        <v>59</v>
      </c>
      <c r="AF1834" s="2" t="s">
        <v>86</v>
      </c>
      <c r="AG1834" s="2" t="s">
        <v>61</v>
      </c>
      <c r="AH1834" s="2" t="s">
        <v>62</v>
      </c>
      <c r="AI1834" s="2" t="s">
        <v>87</v>
      </c>
      <c r="AJ1834" s="2">
        <v>2.3478247527398302</v>
      </c>
      <c r="AK1834" s="2">
        <v>0.75683996040571899</v>
      </c>
      <c r="AL1834" s="2">
        <v>0.47074799204568701</v>
      </c>
      <c r="AM1834" s="2">
        <v>0.41365354405082999</v>
      </c>
      <c r="AN1834" s="2">
        <v>5.2156025926469196</v>
      </c>
      <c r="AO1834" s="2">
        <v>8.9285697630159498E-3</v>
      </c>
      <c r="AP1834" s="2">
        <v>8.9285697630159498E-3</v>
      </c>
      <c r="AQ1834" s="2">
        <v>0</v>
      </c>
      <c r="AR1834" s="2">
        <v>0</v>
      </c>
      <c r="AS1834" s="2">
        <v>0</v>
      </c>
      <c r="AT1834" s="2">
        <v>3</v>
      </c>
      <c r="AU1834" s="2">
        <v>3</v>
      </c>
      <c r="AV1834" s="2">
        <v>33</v>
      </c>
      <c r="AW1834" s="2">
        <v>0</v>
      </c>
      <c r="AX1834" s="2">
        <v>0</v>
      </c>
      <c r="AY1834" s="2">
        <v>15.5</v>
      </c>
      <c r="AZ1834" s="2">
        <v>2.4</v>
      </c>
      <c r="BA1834" s="2">
        <v>10.9</v>
      </c>
      <c r="BB1834" s="2">
        <v>564</v>
      </c>
      <c r="BC1834" s="2">
        <v>68</v>
      </c>
      <c r="BD1834" s="2">
        <v>1.5</v>
      </c>
      <c r="BE1834" s="2">
        <v>135</v>
      </c>
      <c r="BF1834" s="2">
        <v>0</v>
      </c>
      <c r="BG1834" s="2">
        <v>162</v>
      </c>
      <c r="BH1834" s="2">
        <v>9.1</v>
      </c>
      <c r="BI1834" s="2">
        <v>9.1999999999999993</v>
      </c>
      <c r="BJ1834" s="2">
        <v>18.3</v>
      </c>
      <c r="BK1834" s="2">
        <v>0.34</v>
      </c>
      <c r="BL1834" s="2">
        <v>7.3</v>
      </c>
      <c r="BM1834" s="2">
        <v>0.9</v>
      </c>
      <c r="BN1834" s="2">
        <v>7.5</v>
      </c>
      <c r="BO1834" s="2">
        <v>2.9</v>
      </c>
      <c r="BP1834" s="2">
        <f t="shared" si="56"/>
        <v>2.0863063947356326</v>
      </c>
      <c r="BQ1834" s="2">
        <f t="shared" si="57"/>
        <v>10.184310604946379</v>
      </c>
    </row>
    <row r="1835" spans="1:69" x14ac:dyDescent="0.2">
      <c r="A1835" s="2" t="s">
        <v>4010</v>
      </c>
      <c r="B1835" s="2" t="s">
        <v>47</v>
      </c>
      <c r="C1835" s="2" t="s">
        <v>3273</v>
      </c>
      <c r="D1835" s="2" t="s">
        <v>49</v>
      </c>
      <c r="E1835" s="2" t="s">
        <v>1858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89</v>
      </c>
      <c r="L1835" s="6" t="s">
        <v>112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4011</v>
      </c>
      <c r="R1835" s="2">
        <v>9375689.3890000004</v>
      </c>
      <c r="S1835" s="2">
        <v>0</v>
      </c>
      <c r="T1835" s="2" t="s">
        <v>83</v>
      </c>
      <c r="U1835" s="2" t="s">
        <v>84</v>
      </c>
      <c r="V1835" s="2" t="s">
        <v>56</v>
      </c>
      <c r="W1835" s="2" t="s">
        <v>83</v>
      </c>
      <c r="X1835" s="2" t="s">
        <v>85</v>
      </c>
      <c r="Y1835" s="2">
        <v>2.8297678807377098</v>
      </c>
      <c r="Z1835" s="2">
        <v>2829.7678807377101</v>
      </c>
      <c r="AA1835" s="2">
        <v>4.71035</v>
      </c>
      <c r="AB1835" s="2">
        <v>-74.030416666666696</v>
      </c>
      <c r="AC1835" s="2">
        <v>2570</v>
      </c>
      <c r="AD1835" s="2">
        <v>10</v>
      </c>
      <c r="AE1835" s="2" t="s">
        <v>59</v>
      </c>
      <c r="AF1835" s="2" t="s">
        <v>86</v>
      </c>
      <c r="AG1835" s="2" t="s">
        <v>61</v>
      </c>
      <c r="AH1835" s="2" t="s">
        <v>62</v>
      </c>
      <c r="AI1835" s="2" t="s">
        <v>87</v>
      </c>
      <c r="AJ1835" s="2">
        <v>2.3478247527398302</v>
      </c>
      <c r="AK1835" s="2">
        <v>0.75683996040571899</v>
      </c>
      <c r="AL1835" s="2">
        <v>0.47074799204568701</v>
      </c>
      <c r="AM1835" s="2">
        <v>0.41365354405082999</v>
      </c>
      <c r="AN1835" s="2">
        <v>5.2156025926469196</v>
      </c>
      <c r="AO1835" s="2">
        <v>8.9285697630159498E-3</v>
      </c>
      <c r="AP1835" s="2">
        <v>8.9285697630159498E-3</v>
      </c>
      <c r="AQ1835" s="2">
        <v>0</v>
      </c>
      <c r="AR1835" s="2">
        <v>0</v>
      </c>
      <c r="AS1835" s="2">
        <v>0</v>
      </c>
      <c r="AT1835" s="2">
        <v>3</v>
      </c>
      <c r="AU1835" s="2">
        <v>3</v>
      </c>
      <c r="AV1835" s="2">
        <v>33</v>
      </c>
      <c r="AW1835" s="2">
        <v>0</v>
      </c>
      <c r="AX1835" s="2">
        <v>0</v>
      </c>
      <c r="AY1835" s="2">
        <v>15.5</v>
      </c>
      <c r="AZ1835" s="2">
        <v>2.4</v>
      </c>
      <c r="BA1835" s="2">
        <v>10.9</v>
      </c>
      <c r="BB1835" s="2">
        <v>564</v>
      </c>
      <c r="BC1835" s="2">
        <v>68</v>
      </c>
      <c r="BD1835" s="2">
        <v>1.5</v>
      </c>
      <c r="BE1835" s="2">
        <v>135</v>
      </c>
      <c r="BF1835" s="2">
        <v>0</v>
      </c>
      <c r="BG1835" s="2">
        <v>162</v>
      </c>
      <c r="BH1835" s="2">
        <v>9.1</v>
      </c>
      <c r="BI1835" s="2">
        <v>9.1999999999999993</v>
      </c>
      <c r="BJ1835" s="2">
        <v>18.3</v>
      </c>
      <c r="BK1835" s="2">
        <v>0.34</v>
      </c>
      <c r="BL1835" s="2">
        <v>7.3</v>
      </c>
      <c r="BM1835" s="2">
        <v>0.9</v>
      </c>
      <c r="BN1835" s="2">
        <v>7.5</v>
      </c>
      <c r="BO1835" s="2">
        <v>2.9</v>
      </c>
      <c r="BP1835" s="2">
        <f t="shared" si="56"/>
        <v>2.0863063947356326</v>
      </c>
      <c r="BQ1835" s="2">
        <f t="shared" si="57"/>
        <v>10.184310604946379</v>
      </c>
    </row>
    <row r="1836" spans="1:69" x14ac:dyDescent="0.2">
      <c r="A1836" s="2" t="s">
        <v>4175</v>
      </c>
      <c r="B1836" s="2" t="s">
        <v>47</v>
      </c>
      <c r="C1836" s="2" t="s">
        <v>3273</v>
      </c>
      <c r="D1836" s="2" t="s">
        <v>49</v>
      </c>
      <c r="E1836" s="2" t="s">
        <v>52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89</v>
      </c>
      <c r="L1836" s="6" t="s">
        <v>103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4176</v>
      </c>
      <c r="R1836" s="2">
        <v>7444444.4440000001</v>
      </c>
      <c r="S1836" s="2">
        <v>0</v>
      </c>
      <c r="T1836" s="2" t="s">
        <v>83</v>
      </c>
      <c r="U1836" s="2" t="s">
        <v>84</v>
      </c>
      <c r="V1836" s="2" t="s">
        <v>56</v>
      </c>
      <c r="W1836" s="2" t="s">
        <v>83</v>
      </c>
      <c r="X1836" s="2" t="s">
        <v>85</v>
      </c>
      <c r="Y1836" s="2">
        <v>3.2627362463568401</v>
      </c>
      <c r="Z1836" s="2">
        <v>3262.7362463568402</v>
      </c>
      <c r="AA1836" s="2">
        <v>4.71035</v>
      </c>
      <c r="AB1836" s="2">
        <v>-74.030416666666696</v>
      </c>
      <c r="AC1836" s="2">
        <v>2570</v>
      </c>
      <c r="AD1836" s="2">
        <v>10</v>
      </c>
      <c r="AE1836" s="2" t="s">
        <v>59</v>
      </c>
      <c r="AF1836" s="2" t="s">
        <v>86</v>
      </c>
      <c r="AG1836" s="2" t="s">
        <v>61</v>
      </c>
      <c r="AH1836" s="2" t="s">
        <v>62</v>
      </c>
      <c r="AI1836" s="2" t="s">
        <v>100</v>
      </c>
      <c r="AJ1836" s="2">
        <v>0.56911970359696495</v>
      </c>
      <c r="AK1836" s="2">
        <v>3.7572423464677001</v>
      </c>
      <c r="AL1836" s="2">
        <v>1.3909658020417699</v>
      </c>
      <c r="AM1836" s="2">
        <v>0.23422452900632099</v>
      </c>
      <c r="AN1836" s="2">
        <v>4.2609631847745399</v>
      </c>
      <c r="AO1836" s="2">
        <v>8.0162897088178198E-2</v>
      </c>
      <c r="AP1836" s="2">
        <v>8.0162897088178198E-2</v>
      </c>
      <c r="AQ1836" s="2">
        <v>0</v>
      </c>
      <c r="AR1836" s="2">
        <v>2</v>
      </c>
      <c r="AS1836" s="2">
        <v>0</v>
      </c>
      <c r="AT1836" s="2">
        <v>0</v>
      </c>
      <c r="AU1836" s="2">
        <v>0</v>
      </c>
      <c r="AV1836" s="2">
        <v>89</v>
      </c>
      <c r="AW1836" s="2">
        <v>0</v>
      </c>
      <c r="AX1836" s="2">
        <v>0</v>
      </c>
      <c r="AY1836" s="2">
        <v>15.5</v>
      </c>
      <c r="AZ1836" s="2">
        <v>2.4</v>
      </c>
      <c r="BA1836" s="2">
        <v>10.9</v>
      </c>
      <c r="BB1836" s="2">
        <v>564</v>
      </c>
      <c r="BC1836" s="2">
        <v>68</v>
      </c>
      <c r="BD1836" s="2">
        <v>1.5</v>
      </c>
      <c r="BE1836" s="2">
        <v>135</v>
      </c>
      <c r="BF1836" s="2">
        <v>0</v>
      </c>
      <c r="BG1836" s="2">
        <v>162</v>
      </c>
      <c r="BH1836" s="2">
        <v>9.1</v>
      </c>
      <c r="BI1836" s="2">
        <v>9.1999999999999993</v>
      </c>
      <c r="BJ1836" s="2">
        <v>18.3</v>
      </c>
      <c r="BK1836" s="2">
        <v>0.34</v>
      </c>
      <c r="BL1836" s="2">
        <v>7.3</v>
      </c>
      <c r="BM1836" s="2">
        <v>0.9</v>
      </c>
      <c r="BN1836" s="2">
        <v>7.5</v>
      </c>
      <c r="BO1836" s="2">
        <v>2.9</v>
      </c>
      <c r="BP1836" s="2">
        <f t="shared" si="56"/>
        <v>2.042068558067887</v>
      </c>
      <c r="BQ1836" s="2">
        <f t="shared" si="57"/>
        <v>10.079030921913397</v>
      </c>
    </row>
    <row r="1837" spans="1:69" x14ac:dyDescent="0.2">
      <c r="A1837" s="2" t="s">
        <v>4590</v>
      </c>
      <c r="B1837" s="2" t="s">
        <v>47</v>
      </c>
      <c r="C1837" s="2" t="s">
        <v>3273</v>
      </c>
      <c r="D1837" s="2" t="s">
        <v>49</v>
      </c>
      <c r="E1837" s="2" t="s">
        <v>198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89</v>
      </c>
      <c r="L1837" s="6" t="s">
        <v>90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4591</v>
      </c>
      <c r="R1837" s="2">
        <v>9155555.5559999999</v>
      </c>
      <c r="S1837" s="2">
        <v>0</v>
      </c>
      <c r="T1837" s="2" t="s">
        <v>83</v>
      </c>
      <c r="U1837" s="2" t="s">
        <v>84</v>
      </c>
      <c r="V1837" s="2" t="s">
        <v>56</v>
      </c>
      <c r="W1837" s="2" t="s">
        <v>83</v>
      </c>
      <c r="X1837" s="2" t="s">
        <v>85</v>
      </c>
      <c r="Y1837" s="2">
        <v>2.5468166686135301</v>
      </c>
      <c r="Z1837" s="2">
        <v>2546.8166686135301</v>
      </c>
      <c r="AA1837" s="2">
        <v>4.71035</v>
      </c>
      <c r="AB1837" s="2">
        <v>-74.030416666666696</v>
      </c>
      <c r="AC1837" s="2">
        <v>2570</v>
      </c>
      <c r="AD1837" s="2">
        <v>10</v>
      </c>
      <c r="AE1837" s="2" t="s">
        <v>59</v>
      </c>
      <c r="AF1837" s="2" t="s">
        <v>86</v>
      </c>
      <c r="AG1837" s="2" t="s">
        <v>61</v>
      </c>
      <c r="AH1837" s="2" t="s">
        <v>62</v>
      </c>
      <c r="AI1837" s="2" t="s">
        <v>87</v>
      </c>
      <c r="AJ1837" s="2">
        <v>2.98247911088297</v>
      </c>
      <c r="AK1837" s="2">
        <v>9.9979562617553697E-2</v>
      </c>
      <c r="AL1837" s="2">
        <v>1.7873945447483</v>
      </c>
      <c r="AM1837" s="2">
        <v>0.232690751419248</v>
      </c>
      <c r="AN1837" s="2">
        <v>1.1739712717522099</v>
      </c>
      <c r="AO1837" s="2">
        <v>0.18961918266319999</v>
      </c>
      <c r="AP1837" s="2">
        <v>0.18961918266319999</v>
      </c>
      <c r="AQ1837" s="2">
        <v>0</v>
      </c>
      <c r="AR1837" s="2">
        <v>0</v>
      </c>
      <c r="AS1837" s="2">
        <v>12</v>
      </c>
      <c r="AT1837" s="2">
        <v>34</v>
      </c>
      <c r="AU1837" s="2">
        <v>0</v>
      </c>
      <c r="AV1837" s="2">
        <v>9</v>
      </c>
      <c r="AW1837" s="2">
        <v>0</v>
      </c>
      <c r="AX1837" s="2">
        <v>0</v>
      </c>
      <c r="AY1837" s="2">
        <v>15.5</v>
      </c>
      <c r="AZ1837" s="2">
        <v>2.4</v>
      </c>
      <c r="BA1837" s="2">
        <v>10.9</v>
      </c>
      <c r="BB1837" s="2">
        <v>564</v>
      </c>
      <c r="BC1837" s="2">
        <v>68</v>
      </c>
      <c r="BD1837" s="2">
        <v>1.5</v>
      </c>
      <c r="BE1837" s="2">
        <v>135</v>
      </c>
      <c r="BF1837" s="2">
        <v>0</v>
      </c>
      <c r="BG1837" s="2">
        <v>162</v>
      </c>
      <c r="BH1837" s="2">
        <v>9.1</v>
      </c>
      <c r="BI1837" s="2">
        <v>9.1999999999999993</v>
      </c>
      <c r="BJ1837" s="2">
        <v>18.3</v>
      </c>
      <c r="BK1837" s="2">
        <v>0.34</v>
      </c>
      <c r="BL1837" s="2">
        <v>7.3</v>
      </c>
      <c r="BM1837" s="2">
        <v>0.9</v>
      </c>
      <c r="BN1837" s="2">
        <v>7.5</v>
      </c>
      <c r="BO1837" s="2">
        <v>2.9</v>
      </c>
      <c r="BP1837" s="2">
        <f t="shared" si="56"/>
        <v>2.1157329739712147</v>
      </c>
      <c r="BQ1837" s="2">
        <f t="shared" si="57"/>
        <v>10.253705876707031</v>
      </c>
    </row>
    <row r="1838" spans="1:69" x14ac:dyDescent="0.2">
      <c r="A1838" s="2" t="s">
        <v>4617</v>
      </c>
      <c r="B1838" s="2" t="s">
        <v>47</v>
      </c>
      <c r="C1838" s="2" t="s">
        <v>3273</v>
      </c>
      <c r="D1838" s="2" t="s">
        <v>49</v>
      </c>
      <c r="E1838" s="2" t="s">
        <v>1053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89</v>
      </c>
      <c r="L1838" s="6" t="s">
        <v>90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4618</v>
      </c>
      <c r="R1838" s="2">
        <v>12405114.119999999</v>
      </c>
      <c r="S1838" s="2">
        <v>0</v>
      </c>
      <c r="T1838" s="2" t="s">
        <v>83</v>
      </c>
      <c r="U1838" s="2" t="s">
        <v>84</v>
      </c>
      <c r="V1838" s="2" t="s">
        <v>56</v>
      </c>
      <c r="W1838" s="2" t="s">
        <v>83</v>
      </c>
      <c r="X1838" s="2" t="s">
        <v>85</v>
      </c>
      <c r="Y1838" s="2">
        <v>3.9192057095927599</v>
      </c>
      <c r="Z1838" s="2">
        <v>3919.2057095927598</v>
      </c>
      <c r="AA1838" s="2">
        <v>4.71035</v>
      </c>
      <c r="AB1838" s="2">
        <v>-74.030416666666696</v>
      </c>
      <c r="AC1838" s="2">
        <v>2570</v>
      </c>
      <c r="AD1838" s="2">
        <v>10</v>
      </c>
      <c r="AE1838" s="2" t="s">
        <v>59</v>
      </c>
      <c r="AF1838" s="2" t="s">
        <v>86</v>
      </c>
      <c r="AG1838" s="2" t="s">
        <v>61</v>
      </c>
      <c r="AH1838" s="2" t="s">
        <v>62</v>
      </c>
      <c r="AI1838" s="2" t="s">
        <v>109</v>
      </c>
      <c r="AJ1838" s="2">
        <v>0.86337900929022204</v>
      </c>
      <c r="AK1838" s="2">
        <v>1.45274262085672</v>
      </c>
      <c r="AL1838" s="2">
        <v>0.52678470018568402</v>
      </c>
      <c r="AM1838" s="2">
        <v>1.7799032285214102E-2</v>
      </c>
      <c r="AN1838" s="2">
        <v>3.5871952287294602</v>
      </c>
      <c r="AO1838" s="2">
        <v>0.90453820454643796</v>
      </c>
      <c r="AP1838" s="2">
        <v>0.90453820454643796</v>
      </c>
      <c r="AQ1838" s="2">
        <v>0</v>
      </c>
      <c r="AR1838" s="2">
        <v>1</v>
      </c>
      <c r="AS1838" s="2">
        <v>0</v>
      </c>
      <c r="AT1838" s="2">
        <v>0</v>
      </c>
      <c r="AU1838" s="2">
        <v>4</v>
      </c>
      <c r="AV1838" s="2">
        <v>198</v>
      </c>
      <c r="AW1838" s="2">
        <v>0</v>
      </c>
      <c r="AX1838" s="2">
        <v>0</v>
      </c>
      <c r="AY1838" s="2">
        <v>15.5</v>
      </c>
      <c r="AZ1838" s="2">
        <v>2.4</v>
      </c>
      <c r="BA1838" s="2">
        <v>10.9</v>
      </c>
      <c r="BB1838" s="2">
        <v>564</v>
      </c>
      <c r="BC1838" s="2">
        <v>68</v>
      </c>
      <c r="BD1838" s="2">
        <v>1.5</v>
      </c>
      <c r="BE1838" s="2">
        <v>135</v>
      </c>
      <c r="BF1838" s="2">
        <v>0</v>
      </c>
      <c r="BG1838" s="2">
        <v>162</v>
      </c>
      <c r="BH1838" s="2">
        <v>9.1</v>
      </c>
      <c r="BI1838" s="2">
        <v>9.1999999999999993</v>
      </c>
      <c r="BJ1838" s="2">
        <v>18.3</v>
      </c>
      <c r="BK1838" s="2">
        <v>0.34</v>
      </c>
      <c r="BL1838" s="2">
        <v>7.3</v>
      </c>
      <c r="BM1838" s="2">
        <v>0.9</v>
      </c>
      <c r="BN1838" s="2">
        <v>7.5</v>
      </c>
      <c r="BO1838" s="2">
        <v>2.9</v>
      </c>
      <c r="BP1838" s="2">
        <f t="shared" si="56"/>
        <v>1.9767776208466135</v>
      </c>
      <c r="BQ1838" s="2">
        <f t="shared" si="57"/>
        <v>9.9214775046285801</v>
      </c>
    </row>
    <row r="1839" spans="1:69" x14ac:dyDescent="0.2">
      <c r="A1839" s="2" t="s">
        <v>499</v>
      </c>
      <c r="B1839" s="2" t="s">
        <v>47</v>
      </c>
      <c r="C1839" s="2" t="s">
        <v>48</v>
      </c>
      <c r="D1839" s="2" t="s">
        <v>49</v>
      </c>
      <c r="E1839" s="2" t="s">
        <v>158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89</v>
      </c>
      <c r="L1839" s="6" t="s">
        <v>141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500</v>
      </c>
      <c r="R1839" s="2">
        <v>9977272.727</v>
      </c>
      <c r="S1839" s="2">
        <v>0</v>
      </c>
      <c r="T1839" s="2" t="s">
        <v>83</v>
      </c>
      <c r="U1839" s="2" t="s">
        <v>84</v>
      </c>
      <c r="V1839" s="2" t="s">
        <v>56</v>
      </c>
      <c r="W1839" s="2" t="s">
        <v>83</v>
      </c>
      <c r="X1839" s="2" t="s">
        <v>85</v>
      </c>
      <c r="Y1839" s="2">
        <v>3.8615684220595301</v>
      </c>
      <c r="Z1839" s="2">
        <v>3861.5684220595299</v>
      </c>
      <c r="AA1839" s="2">
        <v>4.71035</v>
      </c>
      <c r="AB1839" s="2">
        <v>-74.030416666666696</v>
      </c>
      <c r="AC1839" s="2">
        <v>2570</v>
      </c>
      <c r="AD1839" s="2">
        <v>10</v>
      </c>
      <c r="AE1839" s="2" t="s">
        <v>59</v>
      </c>
      <c r="AF1839" s="2" t="s">
        <v>86</v>
      </c>
      <c r="AG1839" s="2" t="s">
        <v>61</v>
      </c>
      <c r="AH1839" s="2" t="s">
        <v>62</v>
      </c>
      <c r="AI1839" s="2" t="s">
        <v>109</v>
      </c>
      <c r="AJ1839" s="2">
        <v>1.7893600279873501</v>
      </c>
      <c r="AK1839" s="2">
        <v>0.55241168119927897</v>
      </c>
      <c r="AL1839" s="2">
        <v>0.63064757411735095</v>
      </c>
      <c r="AM1839" s="2">
        <v>0.20628589992006199</v>
      </c>
      <c r="AN1839" s="2">
        <v>4.3614457392604997</v>
      </c>
      <c r="AO1839" s="2">
        <v>1.06393634073386</v>
      </c>
      <c r="AP1839" s="2">
        <v>1.06393634073386</v>
      </c>
      <c r="AQ1839" s="2">
        <v>0</v>
      </c>
      <c r="AR1839" s="2">
        <v>0</v>
      </c>
      <c r="AS1839" s="2">
        <v>0</v>
      </c>
      <c r="AT1839" s="2">
        <v>8</v>
      </c>
      <c r="AU1839" s="2">
        <v>3</v>
      </c>
      <c r="AV1839" s="2">
        <v>74</v>
      </c>
      <c r="AW1839" s="2">
        <v>0</v>
      </c>
      <c r="AX1839" s="2">
        <v>0</v>
      </c>
      <c r="AY1839" s="2">
        <v>15.5</v>
      </c>
      <c r="AZ1839" s="2">
        <v>2.4</v>
      </c>
      <c r="BA1839" s="2">
        <v>10.9</v>
      </c>
      <c r="BB1839" s="2">
        <v>564</v>
      </c>
      <c r="BC1839" s="2">
        <v>68</v>
      </c>
      <c r="BD1839" s="2">
        <v>1.5</v>
      </c>
      <c r="BE1839" s="2">
        <v>135</v>
      </c>
      <c r="BF1839" s="2">
        <v>0</v>
      </c>
      <c r="BG1839" s="2">
        <v>162</v>
      </c>
      <c r="BH1839" s="2">
        <v>9.1</v>
      </c>
      <c r="BI1839" s="2">
        <v>9.1999999999999993</v>
      </c>
      <c r="BJ1839" s="2">
        <v>18.3</v>
      </c>
      <c r="BK1839" s="2">
        <v>0.34</v>
      </c>
      <c r="BL1839" s="2">
        <v>7.3</v>
      </c>
      <c r="BM1839" s="2">
        <v>0.9</v>
      </c>
      <c r="BN1839" s="2">
        <v>7.5</v>
      </c>
      <c r="BO1839" s="2">
        <v>2.9</v>
      </c>
      <c r="BP1839" s="2">
        <f t="shared" si="56"/>
        <v>1.9824255108157498</v>
      </c>
      <c r="BQ1839" s="2">
        <f t="shared" si="57"/>
        <v>9.9352113306448793</v>
      </c>
    </row>
    <row r="1840" spans="1:69" x14ac:dyDescent="0.2">
      <c r="A1840" s="2" t="s">
        <v>4482</v>
      </c>
      <c r="B1840" s="2" t="s">
        <v>47</v>
      </c>
      <c r="C1840" s="2" t="s">
        <v>3273</v>
      </c>
      <c r="D1840" s="2" t="s">
        <v>49</v>
      </c>
      <c r="E1840" s="2" t="s">
        <v>208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89</v>
      </c>
      <c r="L1840" s="6" t="s">
        <v>90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4483</v>
      </c>
      <c r="R1840" s="2">
        <v>14090909.09</v>
      </c>
      <c r="S1840" s="2">
        <v>0</v>
      </c>
      <c r="T1840" s="2" t="s">
        <v>83</v>
      </c>
      <c r="U1840" s="2" t="s">
        <v>84</v>
      </c>
      <c r="V1840" s="2" t="s">
        <v>56</v>
      </c>
      <c r="W1840" s="2" t="s">
        <v>83</v>
      </c>
      <c r="X1840" s="2" t="s">
        <v>85</v>
      </c>
      <c r="Y1840" s="2">
        <v>3.6974300751556402</v>
      </c>
      <c r="Z1840" s="2">
        <v>3697.4300751556402</v>
      </c>
      <c r="AA1840" s="2">
        <v>4.71035</v>
      </c>
      <c r="AB1840" s="2">
        <v>-74.030416666666696</v>
      </c>
      <c r="AC1840" s="2">
        <v>2570</v>
      </c>
      <c r="AD1840" s="2">
        <v>10</v>
      </c>
      <c r="AE1840" s="2" t="s">
        <v>59</v>
      </c>
      <c r="AF1840" s="2" t="s">
        <v>86</v>
      </c>
      <c r="AG1840" s="2" t="s">
        <v>61</v>
      </c>
      <c r="AH1840" s="2" t="s">
        <v>62</v>
      </c>
      <c r="AI1840" s="2" t="s">
        <v>109</v>
      </c>
      <c r="AJ1840" s="2">
        <v>1.20019307229707</v>
      </c>
      <c r="AK1840" s="2">
        <v>1.18883715800353</v>
      </c>
      <c r="AL1840" s="2">
        <v>0.65498137780241705</v>
      </c>
      <c r="AM1840" s="2">
        <v>9.2125053842393195E-2</v>
      </c>
      <c r="AN1840" s="2">
        <v>3.9455166185888699</v>
      </c>
      <c r="AO1840" s="2">
        <v>0.92328563608887004</v>
      </c>
      <c r="AP1840" s="2">
        <v>0.92328563608887004</v>
      </c>
      <c r="AQ1840" s="2">
        <v>0</v>
      </c>
      <c r="AR1840" s="2">
        <v>0</v>
      </c>
      <c r="AS1840" s="2">
        <v>0</v>
      </c>
      <c r="AT1840" s="2">
        <v>0</v>
      </c>
      <c r="AU1840" s="2">
        <v>5</v>
      </c>
      <c r="AV1840" s="2">
        <v>127</v>
      </c>
      <c r="AW1840" s="2">
        <v>0</v>
      </c>
      <c r="AX1840" s="2">
        <v>0</v>
      </c>
      <c r="AY1840" s="2">
        <v>15.5</v>
      </c>
      <c r="AZ1840" s="2">
        <v>2.4</v>
      </c>
      <c r="BA1840" s="2">
        <v>10.9</v>
      </c>
      <c r="BB1840" s="2">
        <v>564</v>
      </c>
      <c r="BC1840" s="2">
        <v>68</v>
      </c>
      <c r="BD1840" s="2">
        <v>1.5</v>
      </c>
      <c r="BE1840" s="2">
        <v>135</v>
      </c>
      <c r="BF1840" s="2">
        <v>0</v>
      </c>
      <c r="BG1840" s="2">
        <v>162</v>
      </c>
      <c r="BH1840" s="2">
        <v>9.1</v>
      </c>
      <c r="BI1840" s="2">
        <v>9.1999999999999993</v>
      </c>
      <c r="BJ1840" s="2">
        <v>18.3</v>
      </c>
      <c r="BK1840" s="2">
        <v>0.34</v>
      </c>
      <c r="BL1840" s="2">
        <v>7.3</v>
      </c>
      <c r="BM1840" s="2">
        <v>0.9</v>
      </c>
      <c r="BN1840" s="2">
        <v>7.5</v>
      </c>
      <c r="BO1840" s="2">
        <v>2.9</v>
      </c>
      <c r="BP1840" s="2">
        <f t="shared" si="56"/>
        <v>1.9985980277587974</v>
      </c>
      <c r="BQ1840" s="2">
        <f t="shared" si="57"/>
        <v>9.9744265004249044</v>
      </c>
    </row>
    <row r="1841" spans="1:69" x14ac:dyDescent="0.2">
      <c r="A1841" s="2" t="s">
        <v>4217</v>
      </c>
      <c r="B1841" s="2" t="s">
        <v>47</v>
      </c>
      <c r="C1841" s="2" t="s">
        <v>3273</v>
      </c>
      <c r="D1841" s="2" t="s">
        <v>49</v>
      </c>
      <c r="E1841" s="2" t="s">
        <v>184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89</v>
      </c>
      <c r="L1841" s="6" t="s">
        <v>90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4218</v>
      </c>
      <c r="R1841" s="2">
        <v>10227272.73</v>
      </c>
      <c r="S1841" s="2">
        <v>0</v>
      </c>
      <c r="T1841" s="2" t="s">
        <v>83</v>
      </c>
      <c r="U1841" s="2" t="s">
        <v>84</v>
      </c>
      <c r="V1841" s="2" t="s">
        <v>56</v>
      </c>
      <c r="W1841" s="2" t="s">
        <v>83</v>
      </c>
      <c r="X1841" s="2" t="s">
        <v>85</v>
      </c>
      <c r="Y1841" s="2">
        <v>0.70911490382111197</v>
      </c>
      <c r="Z1841" s="2">
        <v>709.11490382111197</v>
      </c>
      <c r="AA1841" s="2">
        <v>4.71035</v>
      </c>
      <c r="AB1841" s="2">
        <v>-74.030416666666696</v>
      </c>
      <c r="AC1841" s="2">
        <v>2570</v>
      </c>
      <c r="AD1841" s="2">
        <v>10</v>
      </c>
      <c r="AE1841" s="2" t="s">
        <v>59</v>
      </c>
      <c r="AF1841" s="2" t="s">
        <v>86</v>
      </c>
      <c r="AG1841" s="2" t="s">
        <v>61</v>
      </c>
      <c r="AH1841" s="2" t="s">
        <v>62</v>
      </c>
      <c r="AI1841" s="2" t="s">
        <v>87</v>
      </c>
      <c r="AJ1841" s="2">
        <v>2.3224318757838698</v>
      </c>
      <c r="AK1841" s="2">
        <v>0.826352815220734</v>
      </c>
      <c r="AL1841" s="2">
        <v>0.68705652885094703</v>
      </c>
      <c r="AM1841" s="2">
        <v>7.7567408431795395E-2</v>
      </c>
      <c r="AN1841" s="2">
        <v>2.7857347556415899</v>
      </c>
      <c r="AO1841" s="2">
        <v>3.88782046050275E-2</v>
      </c>
      <c r="AP1841" s="2">
        <v>3.88782046050275E-2</v>
      </c>
      <c r="AQ1841" s="2">
        <v>0</v>
      </c>
      <c r="AR1841" s="2">
        <v>0</v>
      </c>
      <c r="AS1841" s="2">
        <v>0</v>
      </c>
      <c r="AT1841" s="2">
        <v>22</v>
      </c>
      <c r="AU1841" s="2">
        <v>1</v>
      </c>
      <c r="AV1841" s="2">
        <v>74</v>
      </c>
      <c r="AW1841" s="2">
        <v>0</v>
      </c>
      <c r="AX1841" s="2">
        <v>0</v>
      </c>
      <c r="AY1841" s="2">
        <v>15.5</v>
      </c>
      <c r="AZ1841" s="2">
        <v>2.4</v>
      </c>
      <c r="BA1841" s="2">
        <v>10.9</v>
      </c>
      <c r="BB1841" s="2">
        <v>564</v>
      </c>
      <c r="BC1841" s="2">
        <v>68</v>
      </c>
      <c r="BD1841" s="2">
        <v>1.5</v>
      </c>
      <c r="BE1841" s="2">
        <v>135</v>
      </c>
      <c r="BF1841" s="2">
        <v>0</v>
      </c>
      <c r="BG1841" s="2">
        <v>162</v>
      </c>
      <c r="BH1841" s="2">
        <v>9.1</v>
      </c>
      <c r="BI1841" s="2">
        <v>9.1999999999999993</v>
      </c>
      <c r="BJ1841" s="2">
        <v>18.3</v>
      </c>
      <c r="BK1841" s="2">
        <v>0.34</v>
      </c>
      <c r="BL1841" s="2">
        <v>7.3</v>
      </c>
      <c r="BM1841" s="2">
        <v>0.9</v>
      </c>
      <c r="BN1841" s="2">
        <v>7.5</v>
      </c>
      <c r="BO1841" s="2">
        <v>2.9</v>
      </c>
      <c r="BP1841" s="2">
        <f t="shared" si="56"/>
        <v>2.3172185130523664</v>
      </c>
      <c r="BQ1841" s="2">
        <f t="shared" si="57"/>
        <v>10.716065151988845</v>
      </c>
    </row>
    <row r="1842" spans="1:69" x14ac:dyDescent="0.2">
      <c r="A1842" s="2" t="s">
        <v>3291</v>
      </c>
      <c r="B1842" s="2" t="s">
        <v>47</v>
      </c>
      <c r="C1842" s="2" t="s">
        <v>3273</v>
      </c>
      <c r="D1842" s="2" t="s">
        <v>49</v>
      </c>
      <c r="E1842" s="2" t="s">
        <v>980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89</v>
      </c>
      <c r="L1842" s="6" t="s">
        <v>141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3292</v>
      </c>
      <c r="R1842" s="2">
        <v>7243044.3779999996</v>
      </c>
      <c r="S1842" s="2">
        <v>0</v>
      </c>
      <c r="T1842" s="2" t="s">
        <v>83</v>
      </c>
      <c r="U1842" s="2" t="s">
        <v>84</v>
      </c>
      <c r="V1842" s="2" t="s">
        <v>56</v>
      </c>
      <c r="W1842" s="2" t="s">
        <v>83</v>
      </c>
      <c r="X1842" s="2" t="s">
        <v>85</v>
      </c>
      <c r="Y1842" s="2">
        <v>4.0216430985516096</v>
      </c>
      <c r="Z1842" s="2">
        <v>4021.6430985516099</v>
      </c>
      <c r="AA1842" s="2">
        <v>4.71035</v>
      </c>
      <c r="AB1842" s="2">
        <v>-74.030416666666696</v>
      </c>
      <c r="AC1842" s="2">
        <v>2570</v>
      </c>
      <c r="AD1842" s="2">
        <v>10</v>
      </c>
      <c r="AE1842" s="2" t="s">
        <v>59</v>
      </c>
      <c r="AF1842" s="2" t="s">
        <v>86</v>
      </c>
      <c r="AG1842" s="2" t="s">
        <v>61</v>
      </c>
      <c r="AH1842" s="2" t="s">
        <v>62</v>
      </c>
      <c r="AI1842" s="2" t="s">
        <v>100</v>
      </c>
      <c r="AJ1842" s="2">
        <v>0.481239556513681</v>
      </c>
      <c r="AK1842" s="2">
        <v>3.57585051873455</v>
      </c>
      <c r="AL1842" s="2">
        <v>0.70013349189807195</v>
      </c>
      <c r="AM1842" s="2">
        <v>0.12736949145908799</v>
      </c>
      <c r="AN1842" s="2">
        <v>3.16552015637079</v>
      </c>
      <c r="AO1842" s="2">
        <v>9.9562134594379098E-2</v>
      </c>
      <c r="AP1842" s="2">
        <v>9.9562134594379098E-2</v>
      </c>
      <c r="AQ1842" s="2">
        <v>1</v>
      </c>
      <c r="AR1842" s="2">
        <v>5</v>
      </c>
      <c r="AS1842" s="2">
        <v>0</v>
      </c>
      <c r="AT1842" s="2">
        <v>0</v>
      </c>
      <c r="AU1842" s="2">
        <v>1</v>
      </c>
      <c r="AV1842" s="2">
        <v>92</v>
      </c>
      <c r="AW1842" s="2">
        <v>0</v>
      </c>
      <c r="AX1842" s="2">
        <v>0</v>
      </c>
      <c r="AY1842" s="2">
        <v>15.5</v>
      </c>
      <c r="AZ1842" s="2">
        <v>2.4</v>
      </c>
      <c r="BA1842" s="2">
        <v>10.9</v>
      </c>
      <c r="BB1842" s="2">
        <v>564</v>
      </c>
      <c r="BC1842" s="2">
        <v>68</v>
      </c>
      <c r="BD1842" s="2">
        <v>1.5</v>
      </c>
      <c r="BE1842" s="2">
        <v>135</v>
      </c>
      <c r="BF1842" s="2">
        <v>0</v>
      </c>
      <c r="BG1842" s="2">
        <v>162</v>
      </c>
      <c r="BH1842" s="2">
        <v>9.1</v>
      </c>
      <c r="BI1842" s="2">
        <v>9.1999999999999993</v>
      </c>
      <c r="BJ1842" s="2">
        <v>18.3</v>
      </c>
      <c r="BK1842" s="2">
        <v>0.34</v>
      </c>
      <c r="BL1842" s="2">
        <v>7.3</v>
      </c>
      <c r="BM1842" s="2">
        <v>0.9</v>
      </c>
      <c r="BN1842" s="2">
        <v>7.5</v>
      </c>
      <c r="BO1842" s="2">
        <v>2.9</v>
      </c>
      <c r="BP1842" s="2">
        <f t="shared" si="56"/>
        <v>1.966779441972996</v>
      </c>
      <c r="BQ1842" s="2">
        <f t="shared" si="57"/>
        <v>9.8971155378100466</v>
      </c>
    </row>
    <row r="1843" spans="1:69" x14ac:dyDescent="0.2">
      <c r="A1843" s="2" t="s">
        <v>3849</v>
      </c>
      <c r="B1843" s="2" t="s">
        <v>47</v>
      </c>
      <c r="C1843" s="2" t="s">
        <v>3273</v>
      </c>
      <c r="D1843" s="2" t="s">
        <v>49</v>
      </c>
      <c r="E1843" s="2" t="s">
        <v>447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89</v>
      </c>
      <c r="L1843" s="6" t="s">
        <v>112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3850</v>
      </c>
      <c r="R1843" s="2">
        <v>13372093.02</v>
      </c>
      <c r="S1843" s="2">
        <v>0</v>
      </c>
      <c r="T1843" s="2" t="s">
        <v>83</v>
      </c>
      <c r="U1843" s="2" t="s">
        <v>84</v>
      </c>
      <c r="V1843" s="2" t="s">
        <v>56</v>
      </c>
      <c r="W1843" s="2" t="s">
        <v>83</v>
      </c>
      <c r="X1843" s="2" t="s">
        <v>85</v>
      </c>
      <c r="Y1843" s="2">
        <v>2.9607102183057799</v>
      </c>
      <c r="Z1843" s="2">
        <v>2960.71021830578</v>
      </c>
      <c r="AA1843" s="2">
        <v>4.71035</v>
      </c>
      <c r="AB1843" s="2">
        <v>-74.030416666666696</v>
      </c>
      <c r="AC1843" s="2">
        <v>2570</v>
      </c>
      <c r="AD1843" s="2">
        <v>10</v>
      </c>
      <c r="AE1843" s="2" t="s">
        <v>59</v>
      </c>
      <c r="AF1843" s="2" t="s">
        <v>86</v>
      </c>
      <c r="AG1843" s="2" t="s">
        <v>61</v>
      </c>
      <c r="AH1843" s="2" t="s">
        <v>62</v>
      </c>
      <c r="AI1843" s="2" t="s">
        <v>87</v>
      </c>
      <c r="AJ1843" s="2">
        <v>0.69356863585262096</v>
      </c>
      <c r="AK1843" s="2">
        <v>2.1439042344627199</v>
      </c>
      <c r="AL1843" s="2">
        <v>0.11606253656381101</v>
      </c>
      <c r="AM1843" s="2">
        <v>6.0074708877432201E-2</v>
      </c>
      <c r="AN1843" s="2">
        <v>4.0812410951192897</v>
      </c>
      <c r="AO1843" s="2">
        <v>1.07536749941034E-2</v>
      </c>
      <c r="AP1843" s="2">
        <v>1.07536749941034E-2</v>
      </c>
      <c r="AQ1843" s="2">
        <v>0</v>
      </c>
      <c r="AR1843" s="2">
        <v>2</v>
      </c>
      <c r="AS1843" s="2">
        <v>0</v>
      </c>
      <c r="AT1843" s="2">
        <v>0</v>
      </c>
      <c r="AU1843" s="2">
        <v>5</v>
      </c>
      <c r="AV1843" s="2">
        <v>164</v>
      </c>
      <c r="AW1843" s="2">
        <v>0</v>
      </c>
      <c r="AX1843" s="2">
        <v>0</v>
      </c>
      <c r="AY1843" s="2">
        <v>15.5</v>
      </c>
      <c r="AZ1843" s="2">
        <v>2.4</v>
      </c>
      <c r="BA1843" s="2">
        <v>10.9</v>
      </c>
      <c r="BB1843" s="2">
        <v>564</v>
      </c>
      <c r="BC1843" s="2">
        <v>68</v>
      </c>
      <c r="BD1843" s="2">
        <v>1.5</v>
      </c>
      <c r="BE1843" s="2">
        <v>135</v>
      </c>
      <c r="BF1843" s="2">
        <v>0</v>
      </c>
      <c r="BG1843" s="2">
        <v>162</v>
      </c>
      <c r="BH1843" s="2">
        <v>9.1</v>
      </c>
      <c r="BI1843" s="2">
        <v>9.1999999999999993</v>
      </c>
      <c r="BJ1843" s="2">
        <v>18.3</v>
      </c>
      <c r="BK1843" s="2">
        <v>0.34</v>
      </c>
      <c r="BL1843" s="2">
        <v>7.3</v>
      </c>
      <c r="BM1843" s="2">
        <v>0.9</v>
      </c>
      <c r="BN1843" s="2">
        <v>7.5</v>
      </c>
      <c r="BO1843" s="2">
        <v>2.9</v>
      </c>
      <c r="BP1843" s="2">
        <f t="shared" si="56"/>
        <v>2.072827425982771</v>
      </c>
      <c r="BQ1843" s="2">
        <f t="shared" si="57"/>
        <v>10.152355464124446</v>
      </c>
    </row>
    <row r="1844" spans="1:69" x14ac:dyDescent="0.2">
      <c r="A1844" s="2" t="s">
        <v>3443</v>
      </c>
      <c r="B1844" s="2" t="s">
        <v>47</v>
      </c>
      <c r="C1844" s="2" t="s">
        <v>3273</v>
      </c>
      <c r="D1844" s="2" t="s">
        <v>49</v>
      </c>
      <c r="E1844" s="2" t="s">
        <v>184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89</v>
      </c>
      <c r="L1844" s="6" t="s">
        <v>103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3444</v>
      </c>
      <c r="R1844" s="2">
        <v>6279069.767</v>
      </c>
      <c r="S1844" s="2">
        <v>0</v>
      </c>
      <c r="T1844" s="2" t="s">
        <v>83</v>
      </c>
      <c r="U1844" s="2" t="s">
        <v>84</v>
      </c>
      <c r="V1844" s="2" t="s">
        <v>56</v>
      </c>
      <c r="W1844" s="2" t="s">
        <v>83</v>
      </c>
      <c r="X1844" s="2" t="s">
        <v>85</v>
      </c>
      <c r="Y1844" s="2">
        <v>0.938440698378744</v>
      </c>
      <c r="Z1844" s="2">
        <v>938.44069837874395</v>
      </c>
      <c r="AA1844" s="2">
        <v>4.71035</v>
      </c>
      <c r="AB1844" s="2">
        <v>-74.030416666666696</v>
      </c>
      <c r="AC1844" s="2">
        <v>2570</v>
      </c>
      <c r="AD1844" s="2">
        <v>10</v>
      </c>
      <c r="AE1844" s="2" t="s">
        <v>59</v>
      </c>
      <c r="AF1844" s="2" t="s">
        <v>86</v>
      </c>
      <c r="AG1844" s="2" t="s">
        <v>61</v>
      </c>
      <c r="AH1844" s="2" t="s">
        <v>62</v>
      </c>
      <c r="AI1844" s="2" t="s">
        <v>87</v>
      </c>
      <c r="AJ1844" s="2">
        <v>2.1021118585659102</v>
      </c>
      <c r="AK1844" s="2">
        <v>1.02005535023398</v>
      </c>
      <c r="AL1844" s="2">
        <v>0.85412447291636096</v>
      </c>
      <c r="AM1844" s="2">
        <v>0.12488181193478699</v>
      </c>
      <c r="AN1844" s="2">
        <v>2.6333984529671599</v>
      </c>
      <c r="AO1844" s="2">
        <v>6.9162471371893894E-2</v>
      </c>
      <c r="AP1844" s="2">
        <v>6.9162471371893894E-2</v>
      </c>
      <c r="AQ1844" s="2">
        <v>0</v>
      </c>
      <c r="AR1844" s="2">
        <v>0</v>
      </c>
      <c r="AS1844" s="2">
        <v>0</v>
      </c>
      <c r="AT1844" s="2">
        <v>0</v>
      </c>
      <c r="AU1844" s="2">
        <v>1</v>
      </c>
      <c r="AV1844" s="2">
        <v>75</v>
      </c>
      <c r="AW1844" s="2">
        <v>0</v>
      </c>
      <c r="AX1844" s="2">
        <v>0</v>
      </c>
      <c r="AY1844" s="2">
        <v>15.5</v>
      </c>
      <c r="AZ1844" s="2">
        <v>2.4</v>
      </c>
      <c r="BA1844" s="2">
        <v>10.9</v>
      </c>
      <c r="BB1844" s="2">
        <v>564</v>
      </c>
      <c r="BC1844" s="2">
        <v>68</v>
      </c>
      <c r="BD1844" s="2">
        <v>1.5</v>
      </c>
      <c r="BE1844" s="2">
        <v>135</v>
      </c>
      <c r="BF1844" s="2">
        <v>0</v>
      </c>
      <c r="BG1844" s="2">
        <v>162</v>
      </c>
      <c r="BH1844" s="2">
        <v>9.1</v>
      </c>
      <c r="BI1844" s="2">
        <v>9.1999999999999993</v>
      </c>
      <c r="BJ1844" s="2">
        <v>18.3</v>
      </c>
      <c r="BK1844" s="2">
        <v>0.34</v>
      </c>
      <c r="BL1844" s="2">
        <v>7.3</v>
      </c>
      <c r="BM1844" s="2">
        <v>0.9</v>
      </c>
      <c r="BN1844" s="2">
        <v>7.5</v>
      </c>
      <c r="BO1844" s="2">
        <v>2.9</v>
      </c>
      <c r="BP1844" s="2">
        <f t="shared" si="56"/>
        <v>2.29106304761312</v>
      </c>
      <c r="BQ1844" s="2">
        <f t="shared" si="57"/>
        <v>10.657247876552109</v>
      </c>
    </row>
    <row r="1845" spans="1:69" x14ac:dyDescent="0.2">
      <c r="A1845" s="2" t="s">
        <v>3547</v>
      </c>
      <c r="B1845" s="2" t="s">
        <v>47</v>
      </c>
      <c r="C1845" s="2" t="s">
        <v>3273</v>
      </c>
      <c r="D1845" s="2" t="s">
        <v>49</v>
      </c>
      <c r="E1845" s="2" t="s">
        <v>184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89</v>
      </c>
      <c r="L1845" s="6" t="s">
        <v>112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3548</v>
      </c>
      <c r="R1845" s="2">
        <v>8955571.0629999992</v>
      </c>
      <c r="S1845" s="2">
        <v>0</v>
      </c>
      <c r="T1845" s="2" t="s">
        <v>83</v>
      </c>
      <c r="U1845" s="2" t="s">
        <v>84</v>
      </c>
      <c r="V1845" s="2" t="s">
        <v>56</v>
      </c>
      <c r="W1845" s="2" t="s">
        <v>83</v>
      </c>
      <c r="X1845" s="2" t="s">
        <v>85</v>
      </c>
      <c r="Y1845" s="2">
        <v>2.2082287626281198</v>
      </c>
      <c r="Z1845" s="2">
        <v>2208.22876262812</v>
      </c>
      <c r="AA1845" s="2">
        <v>4.71035</v>
      </c>
      <c r="AB1845" s="2">
        <v>-74.030416666666696</v>
      </c>
      <c r="AC1845" s="2">
        <v>2570</v>
      </c>
      <c r="AD1845" s="2">
        <v>10</v>
      </c>
      <c r="AE1845" s="2" t="s">
        <v>59</v>
      </c>
      <c r="AF1845" s="2" t="s">
        <v>86</v>
      </c>
      <c r="AG1845" s="2" t="s">
        <v>61</v>
      </c>
      <c r="AH1845" s="2" t="s">
        <v>62</v>
      </c>
      <c r="AI1845" s="2" t="s">
        <v>87</v>
      </c>
      <c r="AJ1845" s="2">
        <v>1.2223711793413501</v>
      </c>
      <c r="AK1845" s="2">
        <v>1.96066543777653</v>
      </c>
      <c r="AL1845" s="2">
        <v>0.52728571004758895</v>
      </c>
      <c r="AM1845" s="2">
        <v>0.49893194266757201</v>
      </c>
      <c r="AN1845" s="2">
        <v>2.01547799241829</v>
      </c>
      <c r="AO1845" s="2">
        <v>0.27349311561763801</v>
      </c>
      <c r="AP1845" s="2">
        <v>0.27349311561763801</v>
      </c>
      <c r="AQ1845" s="2">
        <v>0</v>
      </c>
      <c r="AR1845" s="2">
        <v>0</v>
      </c>
      <c r="AS1845" s="2">
        <v>0</v>
      </c>
      <c r="AT1845" s="2">
        <v>0</v>
      </c>
      <c r="AU1845" s="2">
        <v>1</v>
      </c>
      <c r="AV1845" s="2">
        <v>20</v>
      </c>
      <c r="AW1845" s="2">
        <v>0</v>
      </c>
      <c r="AX1845" s="2">
        <v>0</v>
      </c>
      <c r="AY1845" s="2">
        <v>15.5</v>
      </c>
      <c r="AZ1845" s="2">
        <v>2.4</v>
      </c>
      <c r="BA1845" s="2">
        <v>10.9</v>
      </c>
      <c r="BB1845" s="2">
        <v>564</v>
      </c>
      <c r="BC1845" s="2">
        <v>68</v>
      </c>
      <c r="BD1845" s="2">
        <v>1.5</v>
      </c>
      <c r="BE1845" s="2">
        <v>135</v>
      </c>
      <c r="BF1845" s="2">
        <v>0</v>
      </c>
      <c r="BG1845" s="2">
        <v>162</v>
      </c>
      <c r="BH1845" s="2">
        <v>9.1</v>
      </c>
      <c r="BI1845" s="2">
        <v>9.1999999999999993</v>
      </c>
      <c r="BJ1845" s="2">
        <v>18.3</v>
      </c>
      <c r="BK1845" s="2">
        <v>0.34</v>
      </c>
      <c r="BL1845" s="2">
        <v>7.3</v>
      </c>
      <c r="BM1845" s="2">
        <v>0.9</v>
      </c>
      <c r="BN1845" s="2">
        <v>7.5</v>
      </c>
      <c r="BO1845" s="2">
        <v>2.9</v>
      </c>
      <c r="BP1845" s="2">
        <f t="shared" si="56"/>
        <v>2.1514916958871617</v>
      </c>
      <c r="BQ1845" s="2">
        <f t="shared" si="57"/>
        <v>10.33736807968538</v>
      </c>
    </row>
    <row r="1846" spans="1:69" x14ac:dyDescent="0.2">
      <c r="A1846" s="2" t="s">
        <v>4434</v>
      </c>
      <c r="B1846" s="2" t="s">
        <v>47</v>
      </c>
      <c r="C1846" s="2" t="s">
        <v>3273</v>
      </c>
      <c r="D1846" s="2" t="s">
        <v>49</v>
      </c>
      <c r="E1846" s="2" t="s">
        <v>1053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89</v>
      </c>
      <c r="L1846" s="6" t="s">
        <v>90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4435</v>
      </c>
      <c r="R1846" s="2">
        <v>13076557.300000001</v>
      </c>
      <c r="S1846" s="2">
        <v>0</v>
      </c>
      <c r="T1846" s="2" t="s">
        <v>83</v>
      </c>
      <c r="U1846" s="2" t="s">
        <v>84</v>
      </c>
      <c r="V1846" s="2" t="s">
        <v>56</v>
      </c>
      <c r="W1846" s="2" t="s">
        <v>83</v>
      </c>
      <c r="X1846" s="2" t="s">
        <v>85</v>
      </c>
      <c r="Y1846" s="2">
        <v>4.14302979186738</v>
      </c>
      <c r="Z1846" s="2">
        <v>4143.0297918673796</v>
      </c>
      <c r="AA1846" s="2">
        <v>4.71035</v>
      </c>
      <c r="AB1846" s="2">
        <v>-74.030416666666696</v>
      </c>
      <c r="AC1846" s="2">
        <v>2570</v>
      </c>
      <c r="AD1846" s="2">
        <v>10</v>
      </c>
      <c r="AE1846" s="2" t="s">
        <v>59</v>
      </c>
      <c r="AF1846" s="2" t="s">
        <v>86</v>
      </c>
      <c r="AG1846" s="2" t="s">
        <v>61</v>
      </c>
      <c r="AH1846" s="2" t="s">
        <v>62</v>
      </c>
      <c r="AI1846" s="2" t="s">
        <v>109</v>
      </c>
      <c r="AJ1846" s="2">
        <v>0.207668106354437</v>
      </c>
      <c r="AK1846" s="2">
        <v>2.09329747401237</v>
      </c>
      <c r="AL1846" s="2">
        <v>0.45002325994134401</v>
      </c>
      <c r="AM1846" s="2">
        <v>0.103851541631804</v>
      </c>
      <c r="AN1846" s="2">
        <v>3.0520333267352102</v>
      </c>
      <c r="AO1846" s="2">
        <v>0.25056051684137098</v>
      </c>
      <c r="AP1846" s="2">
        <v>0.25056051684137098</v>
      </c>
      <c r="AQ1846" s="2">
        <v>1</v>
      </c>
      <c r="AR1846" s="2">
        <v>3</v>
      </c>
      <c r="AS1846" s="2">
        <v>0</v>
      </c>
      <c r="AT1846" s="2">
        <v>0</v>
      </c>
      <c r="AU1846" s="2">
        <v>5</v>
      </c>
      <c r="AV1846" s="2">
        <v>249</v>
      </c>
      <c r="AW1846" s="2">
        <v>0</v>
      </c>
      <c r="AX1846" s="2">
        <v>0</v>
      </c>
      <c r="AY1846" s="2">
        <v>15.5</v>
      </c>
      <c r="AZ1846" s="2">
        <v>2.4</v>
      </c>
      <c r="BA1846" s="2">
        <v>10.9</v>
      </c>
      <c r="BB1846" s="2">
        <v>564</v>
      </c>
      <c r="BC1846" s="2">
        <v>68</v>
      </c>
      <c r="BD1846" s="2">
        <v>1.5</v>
      </c>
      <c r="BE1846" s="2">
        <v>135</v>
      </c>
      <c r="BF1846" s="2">
        <v>0</v>
      </c>
      <c r="BG1846" s="2">
        <v>162</v>
      </c>
      <c r="BH1846" s="2">
        <v>9.1</v>
      </c>
      <c r="BI1846" s="2">
        <v>9.1999999999999993</v>
      </c>
      <c r="BJ1846" s="2">
        <v>18.3</v>
      </c>
      <c r="BK1846" s="2">
        <v>0.34</v>
      </c>
      <c r="BL1846" s="2">
        <v>7.3</v>
      </c>
      <c r="BM1846" s="2">
        <v>0.9</v>
      </c>
      <c r="BN1846" s="2">
        <v>7.5</v>
      </c>
      <c r="BO1846" s="2">
        <v>2.9</v>
      </c>
      <c r="BP1846" s="2">
        <f t="shared" si="56"/>
        <v>1.9549972028254108</v>
      </c>
      <c r="BQ1846" s="2">
        <f t="shared" si="57"/>
        <v>9.8683244213901062</v>
      </c>
    </row>
    <row r="1847" spans="1:69" x14ac:dyDescent="0.2">
      <c r="A1847" s="2" t="s">
        <v>3650</v>
      </c>
      <c r="B1847" s="2" t="s">
        <v>47</v>
      </c>
      <c r="C1847" s="2" t="s">
        <v>3273</v>
      </c>
      <c r="D1847" s="2" t="s">
        <v>49</v>
      </c>
      <c r="E1847" s="2" t="s">
        <v>169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89</v>
      </c>
      <c r="L1847" s="6" t="s">
        <v>90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3651</v>
      </c>
      <c r="R1847" s="2">
        <v>10714285.710000001</v>
      </c>
      <c r="S1847" s="2">
        <v>0</v>
      </c>
      <c r="T1847" s="2" t="s">
        <v>83</v>
      </c>
      <c r="U1847" s="2" t="s">
        <v>84</v>
      </c>
      <c r="V1847" s="2" t="s">
        <v>56</v>
      </c>
      <c r="W1847" s="2" t="s">
        <v>83</v>
      </c>
      <c r="X1847" s="2" t="s">
        <v>85</v>
      </c>
      <c r="Y1847" s="2">
        <v>3.00900217319793</v>
      </c>
      <c r="Z1847" s="2">
        <v>3009.00217319793</v>
      </c>
      <c r="AA1847" s="2">
        <v>4.71035</v>
      </c>
      <c r="AB1847" s="2">
        <v>-74.030416666666696</v>
      </c>
      <c r="AC1847" s="2">
        <v>2570</v>
      </c>
      <c r="AD1847" s="2">
        <v>10</v>
      </c>
      <c r="AE1847" s="2" t="s">
        <v>59</v>
      </c>
      <c r="AF1847" s="2" t="s">
        <v>86</v>
      </c>
      <c r="AG1847" s="2" t="s">
        <v>61</v>
      </c>
      <c r="AH1847" s="2" t="s">
        <v>62</v>
      </c>
      <c r="AI1847" s="2" t="s">
        <v>87</v>
      </c>
      <c r="AJ1847" s="2">
        <v>1.2629098950637501</v>
      </c>
      <c r="AK1847" s="2">
        <v>1.5008798543477899</v>
      </c>
      <c r="AL1847" s="2">
        <v>0.54413164717651596</v>
      </c>
      <c r="AM1847" s="2">
        <v>0.13352596145795101</v>
      </c>
      <c r="AN1847" s="2">
        <v>4.2934705240286402</v>
      </c>
      <c r="AO1847" s="2">
        <v>0.22863893258300799</v>
      </c>
      <c r="AP1847" s="2">
        <v>0.22863893258300799</v>
      </c>
      <c r="AQ1847" s="2">
        <v>0</v>
      </c>
      <c r="AR1847" s="2">
        <v>0</v>
      </c>
      <c r="AS1847" s="2">
        <v>0</v>
      </c>
      <c r="AT1847" s="2">
        <v>0</v>
      </c>
      <c r="AU1847" s="2">
        <v>6</v>
      </c>
      <c r="AV1847" s="2">
        <v>124</v>
      </c>
      <c r="AW1847" s="2">
        <v>0</v>
      </c>
      <c r="AX1847" s="2">
        <v>0</v>
      </c>
      <c r="AY1847" s="2">
        <v>15.5</v>
      </c>
      <c r="AZ1847" s="2">
        <v>2.4</v>
      </c>
      <c r="BA1847" s="2">
        <v>10.9</v>
      </c>
      <c r="BB1847" s="2">
        <v>564</v>
      </c>
      <c r="BC1847" s="2">
        <v>68</v>
      </c>
      <c r="BD1847" s="2">
        <v>1.5</v>
      </c>
      <c r="BE1847" s="2">
        <v>135</v>
      </c>
      <c r="BF1847" s="2">
        <v>0</v>
      </c>
      <c r="BG1847" s="2">
        <v>162</v>
      </c>
      <c r="BH1847" s="2">
        <v>9.1</v>
      </c>
      <c r="BI1847" s="2">
        <v>9.1999999999999993</v>
      </c>
      <c r="BJ1847" s="2">
        <v>18.3</v>
      </c>
      <c r="BK1847" s="2">
        <v>0.34</v>
      </c>
      <c r="BL1847" s="2">
        <v>7.3</v>
      </c>
      <c r="BM1847" s="2">
        <v>0.9</v>
      </c>
      <c r="BN1847" s="2">
        <v>7.5</v>
      </c>
      <c r="BO1847" s="2">
        <v>2.9</v>
      </c>
      <c r="BP1847" s="2">
        <f t="shared" si="56"/>
        <v>2.06787834962017</v>
      </c>
      <c r="BQ1847" s="2">
        <f t="shared" si="57"/>
        <v>10.140595630094412</v>
      </c>
    </row>
    <row r="1848" spans="1:69" x14ac:dyDescent="0.2">
      <c r="A1848" s="2" t="s">
        <v>3303</v>
      </c>
      <c r="B1848" s="2" t="s">
        <v>47</v>
      </c>
      <c r="C1848" s="2" t="s">
        <v>3273</v>
      </c>
      <c r="D1848" s="2" t="s">
        <v>49</v>
      </c>
      <c r="E1848" s="2" t="s">
        <v>189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89</v>
      </c>
      <c r="L1848" s="6" t="s">
        <v>90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3304</v>
      </c>
      <c r="R1848" s="2">
        <v>13611000</v>
      </c>
      <c r="S1848" s="2">
        <v>0</v>
      </c>
      <c r="T1848" s="2" t="s">
        <v>83</v>
      </c>
      <c r="U1848" s="2" t="s">
        <v>84</v>
      </c>
      <c r="V1848" s="2" t="s">
        <v>56</v>
      </c>
      <c r="W1848" s="2" t="s">
        <v>83</v>
      </c>
      <c r="X1848" s="2" t="s">
        <v>85</v>
      </c>
      <c r="Y1848" s="2">
        <v>2.9275637194228201</v>
      </c>
      <c r="Z1848" s="2">
        <v>2927.5637194228202</v>
      </c>
      <c r="AA1848" s="2">
        <v>4.71035</v>
      </c>
      <c r="AB1848" s="2">
        <v>-74.030416666666696</v>
      </c>
      <c r="AC1848" s="2">
        <v>2570</v>
      </c>
      <c r="AD1848" s="2">
        <v>10</v>
      </c>
      <c r="AE1848" s="2" t="s">
        <v>59</v>
      </c>
      <c r="AF1848" s="2" t="s">
        <v>86</v>
      </c>
      <c r="AG1848" s="2" t="s">
        <v>61</v>
      </c>
      <c r="AH1848" s="2" t="s">
        <v>62</v>
      </c>
      <c r="AI1848" s="2" t="s">
        <v>87</v>
      </c>
      <c r="AJ1848" s="2">
        <v>0.15080670755242101</v>
      </c>
      <c r="AK1848" s="2">
        <v>2.9754647081033401</v>
      </c>
      <c r="AL1848" s="2">
        <v>0.76177903403651803</v>
      </c>
      <c r="AM1848" s="2">
        <v>5.4018980538912999E-2</v>
      </c>
      <c r="AN1848" s="2">
        <v>4.1308741617387499</v>
      </c>
      <c r="AO1848" s="2">
        <v>0.42368293190997203</v>
      </c>
      <c r="AP1848" s="2">
        <v>0.42368293190997203</v>
      </c>
      <c r="AQ1848" s="2">
        <v>1</v>
      </c>
      <c r="AR1848" s="2">
        <v>3</v>
      </c>
      <c r="AS1848" s="2">
        <v>0</v>
      </c>
      <c r="AT1848" s="2">
        <v>0</v>
      </c>
      <c r="AU1848" s="2">
        <v>1</v>
      </c>
      <c r="AV1848" s="2">
        <v>170</v>
      </c>
      <c r="AW1848" s="2">
        <v>0</v>
      </c>
      <c r="AX1848" s="2">
        <v>0</v>
      </c>
      <c r="AY1848" s="2">
        <v>15.5</v>
      </c>
      <c r="AZ1848" s="2">
        <v>2.4</v>
      </c>
      <c r="BA1848" s="2">
        <v>10.9</v>
      </c>
      <c r="BB1848" s="2">
        <v>564</v>
      </c>
      <c r="BC1848" s="2">
        <v>68</v>
      </c>
      <c r="BD1848" s="2">
        <v>1.5</v>
      </c>
      <c r="BE1848" s="2">
        <v>135</v>
      </c>
      <c r="BF1848" s="2">
        <v>0</v>
      </c>
      <c r="BG1848" s="2">
        <v>162</v>
      </c>
      <c r="BH1848" s="2">
        <v>9.1</v>
      </c>
      <c r="BI1848" s="2">
        <v>9.1999999999999993</v>
      </c>
      <c r="BJ1848" s="2">
        <v>18.3</v>
      </c>
      <c r="BK1848" s="2">
        <v>0.34</v>
      </c>
      <c r="BL1848" s="2">
        <v>7.3</v>
      </c>
      <c r="BM1848" s="2">
        <v>0.9</v>
      </c>
      <c r="BN1848" s="2">
        <v>7.5</v>
      </c>
      <c r="BO1848" s="2">
        <v>2.9</v>
      </c>
      <c r="BP1848" s="2">
        <f t="shared" si="56"/>
        <v>2.07623121271561</v>
      </c>
      <c r="BQ1848" s="2">
        <f t="shared" si="57"/>
        <v>10.160435038350753</v>
      </c>
    </row>
    <row r="1849" spans="1:69" x14ac:dyDescent="0.2">
      <c r="A1849" s="2" t="s">
        <v>3859</v>
      </c>
      <c r="B1849" s="2" t="s">
        <v>47</v>
      </c>
      <c r="C1849" s="2" t="s">
        <v>3273</v>
      </c>
      <c r="D1849" s="2" t="s">
        <v>49</v>
      </c>
      <c r="E1849" s="2" t="s">
        <v>52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89</v>
      </c>
      <c r="L1849" s="6" t="s">
        <v>90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3860</v>
      </c>
      <c r="R1849" s="2">
        <v>10714285.710000001</v>
      </c>
      <c r="S1849" s="2">
        <v>0</v>
      </c>
      <c r="T1849" s="2" t="s">
        <v>83</v>
      </c>
      <c r="U1849" s="2" t="s">
        <v>84</v>
      </c>
      <c r="V1849" s="2" t="s">
        <v>56</v>
      </c>
      <c r="W1849" s="2" t="s">
        <v>83</v>
      </c>
      <c r="X1849" s="2" t="s">
        <v>85</v>
      </c>
      <c r="Y1849" s="2">
        <v>2.7989016142843099</v>
      </c>
      <c r="Z1849" s="2">
        <v>2798.9016142843102</v>
      </c>
      <c r="AA1849" s="2">
        <v>4.71035</v>
      </c>
      <c r="AB1849" s="2">
        <v>-74.030416666666696</v>
      </c>
      <c r="AC1849" s="2">
        <v>2570</v>
      </c>
      <c r="AD1849" s="2">
        <v>10</v>
      </c>
      <c r="AE1849" s="2" t="s">
        <v>59</v>
      </c>
      <c r="AF1849" s="2" t="s">
        <v>86</v>
      </c>
      <c r="AG1849" s="2" t="s">
        <v>61</v>
      </c>
      <c r="AH1849" s="2" t="s">
        <v>62</v>
      </c>
      <c r="AI1849" s="2" t="s">
        <v>87</v>
      </c>
      <c r="AJ1849" s="2">
        <v>1.6316859834625901</v>
      </c>
      <c r="AK1849" s="2">
        <v>1.2449066293544599</v>
      </c>
      <c r="AL1849" s="2">
        <v>0.718835381622284</v>
      </c>
      <c r="AM1849" s="2">
        <v>0.17052139578383901</v>
      </c>
      <c r="AN1849" s="2">
        <v>4.6669989177531299</v>
      </c>
      <c r="AO1849" s="2">
        <v>3.9032608991960899E-2</v>
      </c>
      <c r="AP1849" s="2">
        <v>3.9032608991960899E-2</v>
      </c>
      <c r="AQ1849" s="2">
        <v>0</v>
      </c>
      <c r="AR1849" s="2">
        <v>0</v>
      </c>
      <c r="AS1849" s="2">
        <v>0</v>
      </c>
      <c r="AT1849" s="2">
        <v>0</v>
      </c>
      <c r="AU1849" s="2">
        <v>5</v>
      </c>
      <c r="AV1849" s="2">
        <v>92</v>
      </c>
      <c r="AW1849" s="2">
        <v>0</v>
      </c>
      <c r="AX1849" s="2">
        <v>0</v>
      </c>
      <c r="AY1849" s="2">
        <v>15.5</v>
      </c>
      <c r="AZ1849" s="2">
        <v>2.4</v>
      </c>
      <c r="BA1849" s="2">
        <v>10.9</v>
      </c>
      <c r="BB1849" s="2">
        <v>564</v>
      </c>
      <c r="BC1849" s="2">
        <v>68</v>
      </c>
      <c r="BD1849" s="2">
        <v>1.5</v>
      </c>
      <c r="BE1849" s="2">
        <v>135</v>
      </c>
      <c r="BF1849" s="2">
        <v>0</v>
      </c>
      <c r="BG1849" s="2">
        <v>162</v>
      </c>
      <c r="BH1849" s="2">
        <v>9.1</v>
      </c>
      <c r="BI1849" s="2">
        <v>9.1999999999999993</v>
      </c>
      <c r="BJ1849" s="2">
        <v>18.3</v>
      </c>
      <c r="BK1849" s="2">
        <v>0.34</v>
      </c>
      <c r="BL1849" s="2">
        <v>7.3</v>
      </c>
      <c r="BM1849" s="2">
        <v>0.9</v>
      </c>
      <c r="BN1849" s="2">
        <v>7.5</v>
      </c>
      <c r="BO1849" s="2">
        <v>2.9</v>
      </c>
      <c r="BP1849" s="2">
        <f t="shared" si="56"/>
        <v>2.0894964573414092</v>
      </c>
      <c r="BQ1849" s="2">
        <f t="shared" si="57"/>
        <v>10.191857839535318</v>
      </c>
    </row>
    <row r="1850" spans="1:69" x14ac:dyDescent="0.2">
      <c r="A1850" s="2" t="s">
        <v>1418</v>
      </c>
      <c r="B1850" s="2" t="s">
        <v>47</v>
      </c>
      <c r="C1850" s="2" t="s">
        <v>48</v>
      </c>
      <c r="D1850" s="2" t="s">
        <v>49</v>
      </c>
      <c r="E1850" s="2" t="s">
        <v>316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89</v>
      </c>
      <c r="L1850" s="6" t="s">
        <v>141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1419</v>
      </c>
      <c r="R1850" s="2">
        <v>8690476.1899999995</v>
      </c>
      <c r="S1850" s="2">
        <v>0</v>
      </c>
      <c r="T1850" s="2" t="s">
        <v>83</v>
      </c>
      <c r="U1850" s="2" t="s">
        <v>84</v>
      </c>
      <c r="V1850" s="2" t="s">
        <v>56</v>
      </c>
      <c r="W1850" s="2" t="s">
        <v>83</v>
      </c>
      <c r="X1850" s="2" t="s">
        <v>85</v>
      </c>
      <c r="Y1850" s="2">
        <v>2.4289705451198702</v>
      </c>
      <c r="Z1850" s="2">
        <v>2428.9705451198702</v>
      </c>
      <c r="AA1850" s="2">
        <v>4.71035</v>
      </c>
      <c r="AB1850" s="2">
        <v>-74.030416666666696</v>
      </c>
      <c r="AC1850" s="2">
        <v>2570</v>
      </c>
      <c r="AD1850" s="2">
        <v>10</v>
      </c>
      <c r="AE1850" s="2" t="s">
        <v>59</v>
      </c>
      <c r="AF1850" s="2" t="s">
        <v>86</v>
      </c>
      <c r="AG1850" s="2" t="s">
        <v>61</v>
      </c>
      <c r="AH1850" s="2" t="s">
        <v>62</v>
      </c>
      <c r="AI1850" s="2" t="s">
        <v>87</v>
      </c>
      <c r="AJ1850" s="2">
        <v>0.67612226932442199</v>
      </c>
      <c r="AK1850" s="2">
        <v>2.60218660156078</v>
      </c>
      <c r="AL1850" s="2">
        <v>0.67445779786447202</v>
      </c>
      <c r="AM1850" s="2">
        <v>4.3990252409268897E-2</v>
      </c>
      <c r="AN1850" s="2">
        <v>4.5809136378099602</v>
      </c>
      <c r="AO1850" s="2">
        <v>0.26602189534877502</v>
      </c>
      <c r="AP1850" s="2">
        <v>0.26602189534877502</v>
      </c>
      <c r="AQ1850" s="2">
        <v>0</v>
      </c>
      <c r="AR1850" s="2">
        <v>2</v>
      </c>
      <c r="AS1850" s="2">
        <v>0</v>
      </c>
      <c r="AT1850" s="2">
        <v>0</v>
      </c>
      <c r="AU1850" s="2">
        <v>1</v>
      </c>
      <c r="AV1850" s="2">
        <v>191</v>
      </c>
      <c r="AW1850" s="2">
        <v>0</v>
      </c>
      <c r="AX1850" s="2">
        <v>0</v>
      </c>
      <c r="AY1850" s="2">
        <v>15.5</v>
      </c>
      <c r="AZ1850" s="2">
        <v>2.4</v>
      </c>
      <c r="BA1850" s="2">
        <v>10.9</v>
      </c>
      <c r="BB1850" s="2">
        <v>564</v>
      </c>
      <c r="BC1850" s="2">
        <v>68</v>
      </c>
      <c r="BD1850" s="2">
        <v>1.5</v>
      </c>
      <c r="BE1850" s="2">
        <v>135</v>
      </c>
      <c r="BF1850" s="2">
        <v>0</v>
      </c>
      <c r="BG1850" s="2">
        <v>162</v>
      </c>
      <c r="BH1850" s="2">
        <v>9.1</v>
      </c>
      <c r="BI1850" s="2">
        <v>9.1999999999999993</v>
      </c>
      <c r="BJ1850" s="2">
        <v>18.3</v>
      </c>
      <c r="BK1850" s="2">
        <v>0.34</v>
      </c>
      <c r="BL1850" s="2">
        <v>7.3</v>
      </c>
      <c r="BM1850" s="2">
        <v>0.9</v>
      </c>
      <c r="BN1850" s="2">
        <v>7.5</v>
      </c>
      <c r="BO1850" s="2">
        <v>2.9</v>
      </c>
      <c r="BP1850" s="2">
        <f t="shared" si="56"/>
        <v>2.1281109225310253</v>
      </c>
      <c r="BQ1850" s="2">
        <f t="shared" si="57"/>
        <v>10.282747554473632</v>
      </c>
    </row>
    <row r="1851" spans="1:69" x14ac:dyDescent="0.2">
      <c r="A1851" s="2" t="s">
        <v>3792</v>
      </c>
      <c r="B1851" s="2" t="s">
        <v>47</v>
      </c>
      <c r="C1851" s="2" t="s">
        <v>3273</v>
      </c>
      <c r="D1851" s="2" t="s">
        <v>49</v>
      </c>
      <c r="E1851" s="2" t="s">
        <v>316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89</v>
      </c>
      <c r="L1851" s="6" t="s">
        <v>90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3793</v>
      </c>
      <c r="R1851" s="2">
        <v>10989010.99</v>
      </c>
      <c r="S1851" s="2">
        <v>0</v>
      </c>
      <c r="T1851" s="2" t="s">
        <v>83</v>
      </c>
      <c r="U1851" s="2" t="s">
        <v>84</v>
      </c>
      <c r="V1851" s="2" t="s">
        <v>56</v>
      </c>
      <c r="W1851" s="2" t="s">
        <v>83</v>
      </c>
      <c r="X1851" s="2" t="s">
        <v>85</v>
      </c>
      <c r="Y1851" s="2">
        <v>2.0920906627026001</v>
      </c>
      <c r="Z1851" s="2">
        <v>2092.0906627026002</v>
      </c>
      <c r="AA1851" s="2">
        <v>4.71035</v>
      </c>
      <c r="AB1851" s="2">
        <v>-74.030416666666696</v>
      </c>
      <c r="AC1851" s="2">
        <v>2570</v>
      </c>
      <c r="AD1851" s="2">
        <v>10</v>
      </c>
      <c r="AE1851" s="2" t="s">
        <v>59</v>
      </c>
      <c r="AF1851" s="2" t="s">
        <v>86</v>
      </c>
      <c r="AG1851" s="2" t="s">
        <v>61</v>
      </c>
      <c r="AH1851" s="2" t="s">
        <v>62</v>
      </c>
      <c r="AI1851" s="2" t="s">
        <v>87</v>
      </c>
      <c r="AJ1851" s="2">
        <v>1.24822141563666</v>
      </c>
      <c r="AK1851" s="2">
        <v>2.0186698804376602</v>
      </c>
      <c r="AL1851" s="2">
        <v>0.78440073649448505</v>
      </c>
      <c r="AM1851" s="2">
        <v>2.56706049349665E-2</v>
      </c>
      <c r="AN1851" s="2">
        <v>4.9340904914378703</v>
      </c>
      <c r="AO1851" s="2">
        <v>0.21049100401787499</v>
      </c>
      <c r="AP1851" s="2">
        <v>0.21049100401787499</v>
      </c>
      <c r="AQ1851" s="2">
        <v>0</v>
      </c>
      <c r="AR1851" s="2">
        <v>0</v>
      </c>
      <c r="AS1851" s="2">
        <v>0</v>
      </c>
      <c r="AT1851" s="2">
        <v>0</v>
      </c>
      <c r="AU1851" s="2">
        <v>1</v>
      </c>
      <c r="AV1851" s="2">
        <v>127</v>
      </c>
      <c r="AW1851" s="2">
        <v>0</v>
      </c>
      <c r="AX1851" s="2">
        <v>0</v>
      </c>
      <c r="AY1851" s="2">
        <v>15.5</v>
      </c>
      <c r="AZ1851" s="2">
        <v>2.4</v>
      </c>
      <c r="BA1851" s="2">
        <v>10.9</v>
      </c>
      <c r="BB1851" s="2">
        <v>564</v>
      </c>
      <c r="BC1851" s="2">
        <v>68</v>
      </c>
      <c r="BD1851" s="2">
        <v>1.5</v>
      </c>
      <c r="BE1851" s="2">
        <v>135</v>
      </c>
      <c r="BF1851" s="2">
        <v>0</v>
      </c>
      <c r="BG1851" s="2">
        <v>162</v>
      </c>
      <c r="BH1851" s="2">
        <v>9.1</v>
      </c>
      <c r="BI1851" s="2">
        <v>9.1999999999999993</v>
      </c>
      <c r="BJ1851" s="2">
        <v>18.3</v>
      </c>
      <c r="BK1851" s="2">
        <v>0.34</v>
      </c>
      <c r="BL1851" s="2">
        <v>7.3</v>
      </c>
      <c r="BM1851" s="2">
        <v>0.9</v>
      </c>
      <c r="BN1851" s="2">
        <v>7.5</v>
      </c>
      <c r="BO1851" s="2">
        <v>2.9</v>
      </c>
      <c r="BP1851" s="2">
        <f t="shared" si="56"/>
        <v>2.1638958893610538</v>
      </c>
      <c r="BQ1851" s="2">
        <f t="shared" si="57"/>
        <v>10.36622176804336</v>
      </c>
    </row>
    <row r="1852" spans="1:69" x14ac:dyDescent="0.2">
      <c r="A1852" s="2" t="s">
        <v>3806</v>
      </c>
      <c r="B1852" s="2" t="s">
        <v>47</v>
      </c>
      <c r="C1852" s="2" t="s">
        <v>3273</v>
      </c>
      <c r="D1852" s="2" t="s">
        <v>49</v>
      </c>
      <c r="E1852" s="2" t="s">
        <v>81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89</v>
      </c>
      <c r="L1852" s="6" t="s">
        <v>90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3807</v>
      </c>
      <c r="R1852" s="2">
        <v>15131578.949999999</v>
      </c>
      <c r="S1852" s="2">
        <v>0</v>
      </c>
      <c r="T1852" s="2" t="s">
        <v>83</v>
      </c>
      <c r="U1852" s="2" t="s">
        <v>84</v>
      </c>
      <c r="V1852" s="2" t="s">
        <v>56</v>
      </c>
      <c r="W1852" s="2" t="s">
        <v>83</v>
      </c>
      <c r="X1852" s="2" t="s">
        <v>85</v>
      </c>
      <c r="Y1852" s="2">
        <v>1.57819565078958</v>
      </c>
      <c r="Z1852" s="2">
        <v>1578.19565078958</v>
      </c>
      <c r="AA1852" s="2">
        <v>4.71035</v>
      </c>
      <c r="AB1852" s="2">
        <v>-74.030416666666696</v>
      </c>
      <c r="AC1852" s="2">
        <v>2570</v>
      </c>
      <c r="AD1852" s="2">
        <v>10</v>
      </c>
      <c r="AE1852" s="2" t="s">
        <v>59</v>
      </c>
      <c r="AF1852" s="2" t="s">
        <v>86</v>
      </c>
      <c r="AG1852" s="2" t="s">
        <v>61</v>
      </c>
      <c r="AH1852" s="2" t="s">
        <v>62</v>
      </c>
      <c r="AI1852" s="2" t="s">
        <v>87</v>
      </c>
      <c r="AJ1852" s="2">
        <v>1.78982576504385</v>
      </c>
      <c r="AK1852" s="2">
        <v>1.4621833645262501</v>
      </c>
      <c r="AL1852" s="2">
        <v>0.77220613174530395</v>
      </c>
      <c r="AM1852" s="2">
        <v>4.4137311263098701E-2</v>
      </c>
      <c r="AN1852" s="2">
        <v>4.8859936950020604</v>
      </c>
      <c r="AO1852" s="2">
        <v>4.94423745807007E-2</v>
      </c>
      <c r="AP1852" s="2">
        <v>4.94423745807007E-2</v>
      </c>
      <c r="AQ1852" s="2">
        <v>0</v>
      </c>
      <c r="AR1852" s="2">
        <v>0</v>
      </c>
      <c r="AS1852" s="2">
        <v>0</v>
      </c>
      <c r="AT1852" s="2">
        <v>0</v>
      </c>
      <c r="AU1852" s="2">
        <v>1</v>
      </c>
      <c r="AV1852" s="2">
        <v>156</v>
      </c>
      <c r="AW1852" s="2">
        <v>0</v>
      </c>
      <c r="AX1852" s="2">
        <v>0</v>
      </c>
      <c r="AY1852" s="2">
        <v>15.5</v>
      </c>
      <c r="AZ1852" s="2">
        <v>2.4</v>
      </c>
      <c r="BA1852" s="2">
        <v>10.9</v>
      </c>
      <c r="BB1852" s="2">
        <v>564</v>
      </c>
      <c r="BC1852" s="2">
        <v>68</v>
      </c>
      <c r="BD1852" s="2">
        <v>1.5</v>
      </c>
      <c r="BE1852" s="2">
        <v>135</v>
      </c>
      <c r="BF1852" s="2">
        <v>0</v>
      </c>
      <c r="BG1852" s="2">
        <v>162</v>
      </c>
      <c r="BH1852" s="2">
        <v>9.1</v>
      </c>
      <c r="BI1852" s="2">
        <v>9.1999999999999993</v>
      </c>
      <c r="BJ1852" s="2">
        <v>18.3</v>
      </c>
      <c r="BK1852" s="2">
        <v>0.34</v>
      </c>
      <c r="BL1852" s="2">
        <v>7.3</v>
      </c>
      <c r="BM1852" s="2">
        <v>0.9</v>
      </c>
      <c r="BN1852" s="2">
        <v>7.5</v>
      </c>
      <c r="BO1852" s="2">
        <v>2.9</v>
      </c>
      <c r="BP1852" s="2">
        <f t="shared" si="56"/>
        <v>2.2196467301084972</v>
      </c>
      <c r="BQ1852" s="2">
        <f t="shared" si="57"/>
        <v>10.494865038773355</v>
      </c>
    </row>
    <row r="1853" spans="1:69" x14ac:dyDescent="0.2">
      <c r="A1853" s="2" t="s">
        <v>4449</v>
      </c>
      <c r="B1853" s="2" t="s">
        <v>47</v>
      </c>
      <c r="C1853" s="2" t="s">
        <v>3273</v>
      </c>
      <c r="D1853" s="2" t="s">
        <v>49</v>
      </c>
      <c r="E1853" s="2" t="s">
        <v>189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89</v>
      </c>
      <c r="L1853" s="6" t="s">
        <v>141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4450</v>
      </c>
      <c r="R1853" s="2">
        <v>12124151.310000001</v>
      </c>
      <c r="S1853" s="2">
        <v>0</v>
      </c>
      <c r="T1853" s="2" t="s">
        <v>83</v>
      </c>
      <c r="U1853" s="2" t="s">
        <v>84</v>
      </c>
      <c r="V1853" s="2" t="s">
        <v>56</v>
      </c>
      <c r="W1853" s="2" t="s">
        <v>83</v>
      </c>
      <c r="X1853" s="2" t="s">
        <v>85</v>
      </c>
      <c r="Y1853" s="2">
        <v>2.2927093109087799</v>
      </c>
      <c r="Z1853" s="2">
        <v>2292.70931090878</v>
      </c>
      <c r="AA1853" s="2">
        <v>4.71035</v>
      </c>
      <c r="AB1853" s="2">
        <v>-74.030416666666696</v>
      </c>
      <c r="AC1853" s="2">
        <v>2570</v>
      </c>
      <c r="AD1853" s="2">
        <v>10</v>
      </c>
      <c r="AE1853" s="2" t="s">
        <v>59</v>
      </c>
      <c r="AF1853" s="2" t="s">
        <v>86</v>
      </c>
      <c r="AG1853" s="2" t="s">
        <v>61</v>
      </c>
      <c r="AH1853" s="2" t="s">
        <v>62</v>
      </c>
      <c r="AI1853" s="2" t="s">
        <v>87</v>
      </c>
      <c r="AJ1853" s="2">
        <v>1.2042850326286201</v>
      </c>
      <c r="AK1853" s="2">
        <v>2.0517949196093199</v>
      </c>
      <c r="AL1853" s="2">
        <v>0.61578202191133702</v>
      </c>
      <c r="AM1853" s="2">
        <v>4.73646957462691E-2</v>
      </c>
      <c r="AN1853" s="2">
        <v>4.76235535886254</v>
      </c>
      <c r="AO1853" s="2">
        <v>0.29725762486823898</v>
      </c>
      <c r="AP1853" s="2">
        <v>0.29725762486823898</v>
      </c>
      <c r="AQ1853" s="2">
        <v>0</v>
      </c>
      <c r="AR1853" s="2">
        <v>0</v>
      </c>
      <c r="AS1853" s="2">
        <v>0</v>
      </c>
      <c r="AT1853" s="2">
        <v>0</v>
      </c>
      <c r="AU1853" s="2">
        <v>1</v>
      </c>
      <c r="AV1853" s="2">
        <v>123</v>
      </c>
      <c r="AW1853" s="2">
        <v>0</v>
      </c>
      <c r="AX1853" s="2">
        <v>0</v>
      </c>
      <c r="AY1853" s="2">
        <v>15.5</v>
      </c>
      <c r="AZ1853" s="2">
        <v>2.4</v>
      </c>
      <c r="BA1853" s="2">
        <v>10.9</v>
      </c>
      <c r="BB1853" s="2">
        <v>564</v>
      </c>
      <c r="BC1853" s="2">
        <v>68</v>
      </c>
      <c r="BD1853" s="2">
        <v>1.5</v>
      </c>
      <c r="BE1853" s="2">
        <v>135</v>
      </c>
      <c r="BF1853" s="2">
        <v>0</v>
      </c>
      <c r="BG1853" s="2">
        <v>162</v>
      </c>
      <c r="BH1853" s="2">
        <v>9.1</v>
      </c>
      <c r="BI1853" s="2">
        <v>9.1999999999999993</v>
      </c>
      <c r="BJ1853" s="2">
        <v>18.3</v>
      </c>
      <c r="BK1853" s="2">
        <v>0.34</v>
      </c>
      <c r="BL1853" s="2">
        <v>7.3</v>
      </c>
      <c r="BM1853" s="2">
        <v>0.9</v>
      </c>
      <c r="BN1853" s="2">
        <v>7.5</v>
      </c>
      <c r="BO1853" s="2">
        <v>2.9</v>
      </c>
      <c r="BP1853" s="2">
        <f t="shared" si="56"/>
        <v>2.1425134013239591</v>
      </c>
      <c r="BQ1853" s="2">
        <f t="shared" si="57"/>
        <v>10.316429956671966</v>
      </c>
    </row>
    <row r="1854" spans="1:69" x14ac:dyDescent="0.2">
      <c r="A1854" s="2" t="s">
        <v>4183</v>
      </c>
      <c r="B1854" s="2" t="s">
        <v>47</v>
      </c>
      <c r="C1854" s="2" t="s">
        <v>3273</v>
      </c>
      <c r="D1854" s="2" t="s">
        <v>49</v>
      </c>
      <c r="E1854" s="2" t="s">
        <v>158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89</v>
      </c>
      <c r="L1854" s="6" t="s">
        <v>90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4184</v>
      </c>
      <c r="R1854" s="2">
        <v>15121951.220000001</v>
      </c>
      <c r="S1854" s="2">
        <v>0</v>
      </c>
      <c r="T1854" s="2" t="s">
        <v>83</v>
      </c>
      <c r="U1854" s="2" t="s">
        <v>84</v>
      </c>
      <c r="V1854" s="2" t="s">
        <v>56</v>
      </c>
      <c r="W1854" s="2" t="s">
        <v>83</v>
      </c>
      <c r="X1854" s="2" t="s">
        <v>85</v>
      </c>
      <c r="Y1854" s="2">
        <v>3.6145515000831399</v>
      </c>
      <c r="Z1854" s="2">
        <v>3614.5515000831401</v>
      </c>
      <c r="AA1854" s="2">
        <v>4.71035</v>
      </c>
      <c r="AB1854" s="2">
        <v>-74.030416666666696</v>
      </c>
      <c r="AC1854" s="2">
        <v>2570</v>
      </c>
      <c r="AD1854" s="2">
        <v>10</v>
      </c>
      <c r="AE1854" s="2" t="s">
        <v>59</v>
      </c>
      <c r="AF1854" s="2" t="s">
        <v>86</v>
      </c>
      <c r="AG1854" s="2" t="s">
        <v>61</v>
      </c>
      <c r="AH1854" s="2" t="s">
        <v>62</v>
      </c>
      <c r="AI1854" s="2" t="s">
        <v>109</v>
      </c>
      <c r="AJ1854" s="2">
        <v>1.1886713890543199</v>
      </c>
      <c r="AK1854" s="2">
        <v>1.24948222933118</v>
      </c>
      <c r="AL1854" s="2">
        <v>0.59320240994566897</v>
      </c>
      <c r="AM1854" s="2">
        <v>2.59207595680153E-2</v>
      </c>
      <c r="AN1854" s="2">
        <v>3.97156724822936</v>
      </c>
      <c r="AO1854" s="2">
        <v>0.83912612430811995</v>
      </c>
      <c r="AP1854" s="2">
        <v>0.83912612430811995</v>
      </c>
      <c r="AQ1854" s="2">
        <v>0</v>
      </c>
      <c r="AR1854" s="2">
        <v>0</v>
      </c>
      <c r="AS1854" s="2">
        <v>0</v>
      </c>
      <c r="AT1854" s="2">
        <v>0</v>
      </c>
      <c r="AU1854" s="2">
        <v>5</v>
      </c>
      <c r="AV1854" s="2">
        <v>124</v>
      </c>
      <c r="AW1854" s="2">
        <v>0</v>
      </c>
      <c r="AX1854" s="2">
        <v>0</v>
      </c>
      <c r="AY1854" s="2">
        <v>15.5</v>
      </c>
      <c r="AZ1854" s="2">
        <v>2.4</v>
      </c>
      <c r="BA1854" s="2">
        <v>10.9</v>
      </c>
      <c r="BB1854" s="2">
        <v>564</v>
      </c>
      <c r="BC1854" s="2">
        <v>68</v>
      </c>
      <c r="BD1854" s="2">
        <v>1.5</v>
      </c>
      <c r="BE1854" s="2">
        <v>135</v>
      </c>
      <c r="BF1854" s="2">
        <v>0</v>
      </c>
      <c r="BG1854" s="2">
        <v>162</v>
      </c>
      <c r="BH1854" s="2">
        <v>9.1</v>
      </c>
      <c r="BI1854" s="2">
        <v>9.1999999999999993</v>
      </c>
      <c r="BJ1854" s="2">
        <v>18.3</v>
      </c>
      <c r="BK1854" s="2">
        <v>0.34</v>
      </c>
      <c r="BL1854" s="2">
        <v>7.3</v>
      </c>
      <c r="BM1854" s="2">
        <v>0.9</v>
      </c>
      <c r="BN1854" s="2">
        <v>7.5</v>
      </c>
      <c r="BO1854" s="2">
        <v>2.9</v>
      </c>
      <c r="BP1854" s="2">
        <f t="shared" si="56"/>
        <v>2.0068140967595665</v>
      </c>
      <c r="BQ1854" s="2">
        <f t="shared" si="57"/>
        <v>9.9942862353679427</v>
      </c>
    </row>
    <row r="1855" spans="1:69" x14ac:dyDescent="0.2">
      <c r="A1855" s="2" t="s">
        <v>4139</v>
      </c>
      <c r="B1855" s="2" t="s">
        <v>47</v>
      </c>
      <c r="C1855" s="2" t="s">
        <v>3273</v>
      </c>
      <c r="D1855" s="2" t="s">
        <v>49</v>
      </c>
      <c r="E1855" s="2" t="s">
        <v>989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89</v>
      </c>
      <c r="L1855" s="6" t="s">
        <v>90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4140</v>
      </c>
      <c r="R1855" s="2">
        <v>10362694.300000001</v>
      </c>
      <c r="S1855" s="2">
        <v>0</v>
      </c>
      <c r="T1855" s="2" t="s">
        <v>83</v>
      </c>
      <c r="U1855" s="2" t="s">
        <v>84</v>
      </c>
      <c r="V1855" s="2" t="s">
        <v>56</v>
      </c>
      <c r="W1855" s="2" t="s">
        <v>83</v>
      </c>
      <c r="X1855" s="2" t="s">
        <v>85</v>
      </c>
      <c r="Y1855" s="2">
        <v>4.0051357477754896</v>
      </c>
      <c r="Z1855" s="2">
        <v>4005.13574777549</v>
      </c>
      <c r="AA1855" s="2">
        <v>4.71035</v>
      </c>
      <c r="AB1855" s="2">
        <v>-74.030416666666696</v>
      </c>
      <c r="AC1855" s="2">
        <v>2570</v>
      </c>
      <c r="AD1855" s="2">
        <v>10</v>
      </c>
      <c r="AE1855" s="2" t="s">
        <v>59</v>
      </c>
      <c r="AF1855" s="2" t="s">
        <v>86</v>
      </c>
      <c r="AG1855" s="2" t="s">
        <v>61</v>
      </c>
      <c r="AH1855" s="2" t="s">
        <v>62</v>
      </c>
      <c r="AI1855" s="2" t="s">
        <v>100</v>
      </c>
      <c r="AJ1855" s="2">
        <v>0.61158522735144405</v>
      </c>
      <c r="AK1855" s="2">
        <v>3.1813570063343701</v>
      </c>
      <c r="AL1855" s="2">
        <v>1.0709385951857799</v>
      </c>
      <c r="AM1855" s="2">
        <v>0.168645829833864</v>
      </c>
      <c r="AN1855" s="2">
        <v>3.0336955366026102</v>
      </c>
      <c r="AO1855" s="2">
        <v>6.2888250397866594E-2</v>
      </c>
      <c r="AP1855" s="2">
        <v>6.2888250397866594E-2</v>
      </c>
      <c r="AQ1855" s="2">
        <v>0</v>
      </c>
      <c r="AR1855" s="2">
        <v>5</v>
      </c>
      <c r="AS1855" s="2">
        <v>0</v>
      </c>
      <c r="AT1855" s="2">
        <v>0</v>
      </c>
      <c r="AU1855" s="2">
        <v>0</v>
      </c>
      <c r="AV1855" s="2">
        <v>128</v>
      </c>
      <c r="AW1855" s="2">
        <v>0</v>
      </c>
      <c r="AX1855" s="2">
        <v>0</v>
      </c>
      <c r="AY1855" s="2">
        <v>15.5</v>
      </c>
      <c r="AZ1855" s="2">
        <v>2.4</v>
      </c>
      <c r="BA1855" s="2">
        <v>10.9</v>
      </c>
      <c r="BB1855" s="2">
        <v>564</v>
      </c>
      <c r="BC1855" s="2">
        <v>68</v>
      </c>
      <c r="BD1855" s="2">
        <v>1.5</v>
      </c>
      <c r="BE1855" s="2">
        <v>135</v>
      </c>
      <c r="BF1855" s="2">
        <v>0</v>
      </c>
      <c r="BG1855" s="2">
        <v>162</v>
      </c>
      <c r="BH1855" s="2">
        <v>9.1</v>
      </c>
      <c r="BI1855" s="2">
        <v>9.1999999999999993</v>
      </c>
      <c r="BJ1855" s="2">
        <v>18.3</v>
      </c>
      <c r="BK1855" s="2">
        <v>0.34</v>
      </c>
      <c r="BL1855" s="2">
        <v>7.3</v>
      </c>
      <c r="BM1855" s="2">
        <v>0.9</v>
      </c>
      <c r="BN1855" s="2">
        <v>7.5</v>
      </c>
      <c r="BO1855" s="2">
        <v>2.9</v>
      </c>
      <c r="BP1855" s="2">
        <f t="shared" si="56"/>
        <v>1.9683871814849856</v>
      </c>
      <c r="BQ1855" s="2">
        <f t="shared" si="57"/>
        <v>9.9010373184057539</v>
      </c>
    </row>
    <row r="1856" spans="1:69" x14ac:dyDescent="0.2">
      <c r="A1856" s="2" t="s">
        <v>3836</v>
      </c>
      <c r="B1856" s="2" t="s">
        <v>47</v>
      </c>
      <c r="C1856" s="2" t="s">
        <v>3273</v>
      </c>
      <c r="D1856" s="2" t="s">
        <v>49</v>
      </c>
      <c r="E1856" s="2" t="s">
        <v>81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89</v>
      </c>
      <c r="L1856" s="6" t="s">
        <v>103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3837</v>
      </c>
      <c r="R1856" s="2">
        <v>9041367.352</v>
      </c>
      <c r="S1856" s="2">
        <v>0</v>
      </c>
      <c r="T1856" s="2" t="s">
        <v>83</v>
      </c>
      <c r="U1856" s="2" t="s">
        <v>84</v>
      </c>
      <c r="V1856" s="2" t="s">
        <v>56</v>
      </c>
      <c r="W1856" s="2" t="s">
        <v>83</v>
      </c>
      <c r="X1856" s="2" t="s">
        <v>85</v>
      </c>
      <c r="Y1856" s="2">
        <v>2.1602359730827798</v>
      </c>
      <c r="Z1856" s="2">
        <v>2160.2359730827802</v>
      </c>
      <c r="AA1856" s="2">
        <v>4.71035</v>
      </c>
      <c r="AB1856" s="2">
        <v>-74.030416666666696</v>
      </c>
      <c r="AC1856" s="2">
        <v>2570</v>
      </c>
      <c r="AD1856" s="2">
        <v>10</v>
      </c>
      <c r="AE1856" s="2" t="s">
        <v>59</v>
      </c>
      <c r="AF1856" s="2" t="s">
        <v>86</v>
      </c>
      <c r="AG1856" s="2" t="s">
        <v>61</v>
      </c>
      <c r="AH1856" s="2" t="s">
        <v>62</v>
      </c>
      <c r="AI1856" s="2" t="s">
        <v>87</v>
      </c>
      <c r="AJ1856" s="2">
        <v>1.09527107721643</v>
      </c>
      <c r="AK1856" s="2">
        <v>2.16887431210972</v>
      </c>
      <c r="AL1856" s="2">
        <v>0.71415447037088997</v>
      </c>
      <c r="AM1856" s="2">
        <v>0.128004113229752</v>
      </c>
      <c r="AN1856" s="2">
        <v>4.8434403795219003</v>
      </c>
      <c r="AO1856" s="2">
        <v>0.30371522441558402</v>
      </c>
      <c r="AP1856" s="2">
        <v>0.30371522441558402</v>
      </c>
      <c r="AQ1856" s="2">
        <v>0</v>
      </c>
      <c r="AR1856" s="2">
        <v>0</v>
      </c>
      <c r="AS1856" s="2">
        <v>0</v>
      </c>
      <c r="AT1856" s="2">
        <v>0</v>
      </c>
      <c r="AU1856" s="2">
        <v>1</v>
      </c>
      <c r="AV1856" s="2">
        <v>124</v>
      </c>
      <c r="AW1856" s="2">
        <v>0</v>
      </c>
      <c r="AX1856" s="2">
        <v>0</v>
      </c>
      <c r="AY1856" s="2">
        <v>15.5</v>
      </c>
      <c r="AZ1856" s="2">
        <v>2.4</v>
      </c>
      <c r="BA1856" s="2">
        <v>10.9</v>
      </c>
      <c r="BB1856" s="2">
        <v>564</v>
      </c>
      <c r="BC1856" s="2">
        <v>68</v>
      </c>
      <c r="BD1856" s="2">
        <v>1.5</v>
      </c>
      <c r="BE1856" s="2">
        <v>135</v>
      </c>
      <c r="BF1856" s="2">
        <v>0</v>
      </c>
      <c r="BG1856" s="2">
        <v>162</v>
      </c>
      <c r="BH1856" s="2">
        <v>9.1</v>
      </c>
      <c r="BI1856" s="2">
        <v>9.1999999999999993</v>
      </c>
      <c r="BJ1856" s="2">
        <v>18.3</v>
      </c>
      <c r="BK1856" s="2">
        <v>0.34</v>
      </c>
      <c r="BL1856" s="2">
        <v>7.3</v>
      </c>
      <c r="BM1856" s="2">
        <v>0.9</v>
      </c>
      <c r="BN1856" s="2">
        <v>7.5</v>
      </c>
      <c r="BO1856" s="2">
        <v>2.9</v>
      </c>
      <c r="BP1856" s="2">
        <f t="shared" si="56"/>
        <v>2.156608948227424</v>
      </c>
      <c r="BQ1856" s="2">
        <f t="shared" si="57"/>
        <v>10.349281798776394</v>
      </c>
    </row>
    <row r="1857" spans="1:69" x14ac:dyDescent="0.2">
      <c r="A1857" s="2" t="s">
        <v>3559</v>
      </c>
      <c r="B1857" s="2" t="s">
        <v>47</v>
      </c>
      <c r="C1857" s="2" t="s">
        <v>3273</v>
      </c>
      <c r="D1857" s="2" t="s">
        <v>49</v>
      </c>
      <c r="E1857" s="2" t="s">
        <v>241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89</v>
      </c>
      <c r="L1857" s="6" t="s">
        <v>90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3560</v>
      </c>
      <c r="R1857" s="2">
        <v>10926247.83</v>
      </c>
      <c r="S1857" s="2">
        <v>0</v>
      </c>
      <c r="T1857" s="2" t="s">
        <v>83</v>
      </c>
      <c r="U1857" s="2" t="s">
        <v>84</v>
      </c>
      <c r="V1857" s="2" t="s">
        <v>56</v>
      </c>
      <c r="W1857" s="2" t="s">
        <v>83</v>
      </c>
      <c r="X1857" s="2" t="s">
        <v>85</v>
      </c>
      <c r="Y1857" s="2">
        <v>0.81830083759469996</v>
      </c>
      <c r="Z1857" s="2">
        <v>818.30083759470006</v>
      </c>
      <c r="AA1857" s="2">
        <v>4.71035</v>
      </c>
      <c r="AB1857" s="2">
        <v>-74.030416666666696</v>
      </c>
      <c r="AC1857" s="2">
        <v>2570</v>
      </c>
      <c r="AD1857" s="2">
        <v>10</v>
      </c>
      <c r="AE1857" s="2" t="s">
        <v>59</v>
      </c>
      <c r="AF1857" s="2" t="s">
        <v>86</v>
      </c>
      <c r="AG1857" s="2" t="s">
        <v>61</v>
      </c>
      <c r="AH1857" s="2" t="s">
        <v>62</v>
      </c>
      <c r="AI1857" s="2" t="s">
        <v>87</v>
      </c>
      <c r="AJ1857" s="2">
        <v>2.8062103370808398</v>
      </c>
      <c r="AK1857" s="2">
        <v>0.38828816600995297</v>
      </c>
      <c r="AL1857" s="2">
        <v>0.43703797665932897</v>
      </c>
      <c r="AM1857" s="2">
        <v>6.80258750844954E-3</v>
      </c>
      <c r="AN1857" s="2">
        <v>4.2500879953209401</v>
      </c>
      <c r="AO1857" s="2">
        <v>8.9810285519048794E-2</v>
      </c>
      <c r="AP1857" s="2">
        <v>8.9810285519048794E-2</v>
      </c>
      <c r="AQ1857" s="2">
        <v>0</v>
      </c>
      <c r="AR1857" s="2">
        <v>0</v>
      </c>
      <c r="AS1857" s="2">
        <v>7</v>
      </c>
      <c r="AT1857" s="2">
        <v>33</v>
      </c>
      <c r="AU1857" s="2">
        <v>3</v>
      </c>
      <c r="AV1857" s="2">
        <v>114</v>
      </c>
      <c r="AW1857" s="2">
        <v>0</v>
      </c>
      <c r="AX1857" s="2">
        <v>0</v>
      </c>
      <c r="AY1857" s="2">
        <v>15.5</v>
      </c>
      <c r="AZ1857" s="2">
        <v>2.4</v>
      </c>
      <c r="BA1857" s="2">
        <v>10.9</v>
      </c>
      <c r="BB1857" s="2">
        <v>564</v>
      </c>
      <c r="BC1857" s="2">
        <v>68</v>
      </c>
      <c r="BD1857" s="2">
        <v>1.5</v>
      </c>
      <c r="BE1857" s="2">
        <v>135</v>
      </c>
      <c r="BF1857" s="2">
        <v>0</v>
      </c>
      <c r="BG1857" s="2">
        <v>162</v>
      </c>
      <c r="BH1857" s="2">
        <v>9.1</v>
      </c>
      <c r="BI1857" s="2">
        <v>9.1999999999999993</v>
      </c>
      <c r="BJ1857" s="2">
        <v>18.3</v>
      </c>
      <c r="BK1857" s="2">
        <v>0.34</v>
      </c>
      <c r="BL1857" s="2">
        <v>7.3</v>
      </c>
      <c r="BM1857" s="2">
        <v>0.9</v>
      </c>
      <c r="BN1857" s="2">
        <v>7.5</v>
      </c>
      <c r="BO1857" s="2">
        <v>2.9</v>
      </c>
      <c r="BP1857" s="2">
        <f t="shared" si="56"/>
        <v>2.3047284165699553</v>
      </c>
      <c r="BQ1857" s="2">
        <f t="shared" si="57"/>
        <v>10.688020866614634</v>
      </c>
    </row>
    <row r="1858" spans="1:69" x14ac:dyDescent="0.2">
      <c r="A1858" s="2" t="s">
        <v>1755</v>
      </c>
      <c r="B1858" s="2" t="s">
        <v>47</v>
      </c>
      <c r="C1858" s="2" t="s">
        <v>48</v>
      </c>
      <c r="D1858" s="2" t="s">
        <v>49</v>
      </c>
      <c r="E1858" s="2" t="s">
        <v>1756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89</v>
      </c>
      <c r="L1858" s="6" t="s">
        <v>90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1757</v>
      </c>
      <c r="R1858" s="2">
        <v>6500000</v>
      </c>
      <c r="S1858" s="2">
        <v>0</v>
      </c>
      <c r="T1858" s="2" t="s">
        <v>83</v>
      </c>
      <c r="U1858" s="2" t="s">
        <v>84</v>
      </c>
      <c r="V1858" s="2" t="s">
        <v>56</v>
      </c>
      <c r="W1858" s="2" t="s">
        <v>83</v>
      </c>
      <c r="X1858" s="2" t="s">
        <v>85</v>
      </c>
      <c r="Y1858" s="2">
        <v>2.9411095137519299</v>
      </c>
      <c r="Z1858" s="2">
        <v>2941.1095137519301</v>
      </c>
      <c r="AA1858" s="2">
        <v>4.71035</v>
      </c>
      <c r="AB1858" s="2">
        <v>-74.030416666666696</v>
      </c>
      <c r="AC1858" s="2">
        <v>2570</v>
      </c>
      <c r="AD1858" s="2">
        <v>10</v>
      </c>
      <c r="AE1858" s="2" t="s">
        <v>59</v>
      </c>
      <c r="AF1858" s="2" t="s">
        <v>86</v>
      </c>
      <c r="AG1858" s="2" t="s">
        <v>61</v>
      </c>
      <c r="AH1858" s="2" t="s">
        <v>62</v>
      </c>
      <c r="AI1858" s="2" t="s">
        <v>87</v>
      </c>
      <c r="AJ1858" s="2">
        <v>2.6930939182842599</v>
      </c>
      <c r="AK1858" s="2">
        <v>0.41489681308668602</v>
      </c>
      <c r="AL1858" s="2">
        <v>1.27459071705653</v>
      </c>
      <c r="AM1858" s="2">
        <v>0.32557578240484197</v>
      </c>
      <c r="AN1858" s="2">
        <v>0.65504196104869306</v>
      </c>
      <c r="AO1858" s="2">
        <v>0.276638900072673</v>
      </c>
      <c r="AP1858" s="2">
        <v>0.276638900072673</v>
      </c>
      <c r="AQ1858" s="2">
        <v>0</v>
      </c>
      <c r="AR1858" s="2">
        <v>0</v>
      </c>
      <c r="AS1858" s="2">
        <v>2</v>
      </c>
      <c r="AT1858" s="2">
        <v>27</v>
      </c>
      <c r="AU1858" s="2">
        <v>0</v>
      </c>
      <c r="AV1858" s="2">
        <v>10</v>
      </c>
      <c r="AW1858" s="2">
        <v>1</v>
      </c>
      <c r="AX1858" s="2">
        <v>0</v>
      </c>
      <c r="AY1858" s="2">
        <v>15.5</v>
      </c>
      <c r="AZ1858" s="2">
        <v>2.4</v>
      </c>
      <c r="BA1858" s="2">
        <v>10.9</v>
      </c>
      <c r="BB1858" s="2">
        <v>564</v>
      </c>
      <c r="BC1858" s="2">
        <v>68</v>
      </c>
      <c r="BD1858" s="2">
        <v>1.5</v>
      </c>
      <c r="BE1858" s="2">
        <v>135</v>
      </c>
      <c r="BF1858" s="2">
        <v>0</v>
      </c>
      <c r="BG1858" s="2">
        <v>162</v>
      </c>
      <c r="BH1858" s="2">
        <v>9.1</v>
      </c>
      <c r="BI1858" s="2">
        <v>9.1999999999999993</v>
      </c>
      <c r="BJ1858" s="2">
        <v>18.3</v>
      </c>
      <c r="BK1858" s="2">
        <v>0.34</v>
      </c>
      <c r="BL1858" s="2">
        <v>7.3</v>
      </c>
      <c r="BM1858" s="2">
        <v>0.9</v>
      </c>
      <c r="BN1858" s="2">
        <v>7.5</v>
      </c>
      <c r="BO1858" s="2">
        <v>2.9</v>
      </c>
      <c r="BP1858" s="2">
        <f t="shared" ref="BP1858:BP1921" si="58">+AZ1858*EXP(-0.0495*Y1858)</f>
        <v>2.0748395313917554</v>
      </c>
      <c r="BQ1858" s="2">
        <f t="shared" ref="BQ1858:BQ1921" si="59">+BA1858*EXP(-0.024*Y1858)</f>
        <v>10.157132427297951</v>
      </c>
    </row>
    <row r="1859" spans="1:69" x14ac:dyDescent="0.2">
      <c r="A1859" s="2" t="s">
        <v>3779</v>
      </c>
      <c r="B1859" s="2" t="s">
        <v>47</v>
      </c>
      <c r="C1859" s="2" t="s">
        <v>3273</v>
      </c>
      <c r="D1859" s="2" t="s">
        <v>49</v>
      </c>
      <c r="E1859" s="2" t="s">
        <v>3780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89</v>
      </c>
      <c r="L1859" s="6" t="s">
        <v>112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3781</v>
      </c>
      <c r="R1859" s="2">
        <v>10375000</v>
      </c>
      <c r="S1859" s="2">
        <v>0</v>
      </c>
      <c r="T1859" s="2" t="s">
        <v>83</v>
      </c>
      <c r="U1859" s="2" t="s">
        <v>84</v>
      </c>
      <c r="V1859" s="2" t="s">
        <v>56</v>
      </c>
      <c r="W1859" s="2" t="s">
        <v>83</v>
      </c>
      <c r="X1859" s="2" t="s">
        <v>85</v>
      </c>
      <c r="Y1859" s="2">
        <v>2.3569598191385999</v>
      </c>
      <c r="Z1859" s="2">
        <v>2356.9598191385999</v>
      </c>
      <c r="AA1859" s="2">
        <v>4.71035</v>
      </c>
      <c r="AB1859" s="2">
        <v>-74.030416666666696</v>
      </c>
      <c r="AC1859" s="2">
        <v>2570</v>
      </c>
      <c r="AD1859" s="2">
        <v>10</v>
      </c>
      <c r="AE1859" s="2" t="s">
        <v>59</v>
      </c>
      <c r="AF1859" s="2" t="s">
        <v>86</v>
      </c>
      <c r="AG1859" s="2" t="s">
        <v>61</v>
      </c>
      <c r="AH1859" s="2" t="s">
        <v>62</v>
      </c>
      <c r="AI1859" s="2" t="s">
        <v>87</v>
      </c>
      <c r="AJ1859" s="2">
        <v>1.10743363366633</v>
      </c>
      <c r="AK1859" s="2">
        <v>2.1405880725459401</v>
      </c>
      <c r="AL1859" s="2">
        <v>0.530669735110881</v>
      </c>
      <c r="AM1859" s="2">
        <v>6.4497663698951102E-2</v>
      </c>
      <c r="AN1859" s="2">
        <v>4.6814792180276701</v>
      </c>
      <c r="AO1859" s="2">
        <v>0.264025757840611</v>
      </c>
      <c r="AP1859" s="2">
        <v>0.264025757840611</v>
      </c>
      <c r="AQ1859" s="2">
        <v>0</v>
      </c>
      <c r="AR1859" s="2">
        <v>0</v>
      </c>
      <c r="AS1859" s="2">
        <v>0</v>
      </c>
      <c r="AT1859" s="2">
        <v>0</v>
      </c>
      <c r="AU1859" s="2">
        <v>1</v>
      </c>
      <c r="AV1859" s="2">
        <v>117</v>
      </c>
      <c r="AW1859" s="2">
        <v>0</v>
      </c>
      <c r="AX1859" s="2">
        <v>0</v>
      </c>
      <c r="AY1859" s="2">
        <v>15.5</v>
      </c>
      <c r="AZ1859" s="2">
        <v>2.4</v>
      </c>
      <c r="BA1859" s="2">
        <v>10.9</v>
      </c>
      <c r="BB1859" s="2">
        <v>564</v>
      </c>
      <c r="BC1859" s="2">
        <v>68</v>
      </c>
      <c r="BD1859" s="2">
        <v>1.5</v>
      </c>
      <c r="BE1859" s="2">
        <v>135</v>
      </c>
      <c r="BF1859" s="2">
        <v>0</v>
      </c>
      <c r="BG1859" s="2">
        <v>162</v>
      </c>
      <c r="BH1859" s="2">
        <v>9.1</v>
      </c>
      <c r="BI1859" s="2">
        <v>9.1999999999999993</v>
      </c>
      <c r="BJ1859" s="2">
        <v>18.3</v>
      </c>
      <c r="BK1859" s="2">
        <v>0.34</v>
      </c>
      <c r="BL1859" s="2">
        <v>7.3</v>
      </c>
      <c r="BM1859" s="2">
        <v>0.9</v>
      </c>
      <c r="BN1859" s="2">
        <v>7.5</v>
      </c>
      <c r="BO1859" s="2">
        <v>2.9</v>
      </c>
      <c r="BP1859" s="2">
        <f t="shared" si="58"/>
        <v>2.1357101755898262</v>
      </c>
      <c r="BQ1859" s="2">
        <f t="shared" si="59"/>
        <v>10.30053415475394</v>
      </c>
    </row>
    <row r="1860" spans="1:69" x14ac:dyDescent="0.2">
      <c r="A1860" s="2" t="s">
        <v>4016</v>
      </c>
      <c r="B1860" s="2" t="s">
        <v>47</v>
      </c>
      <c r="C1860" s="2" t="s">
        <v>3273</v>
      </c>
      <c r="D1860" s="2" t="s">
        <v>49</v>
      </c>
      <c r="E1860" s="2" t="s">
        <v>1011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89</v>
      </c>
      <c r="L1860" s="6" t="s">
        <v>103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4017</v>
      </c>
      <c r="R1860" s="2">
        <v>7500000</v>
      </c>
      <c r="S1860" s="2">
        <v>0</v>
      </c>
      <c r="T1860" s="2" t="s">
        <v>83</v>
      </c>
      <c r="U1860" s="2" t="s">
        <v>84</v>
      </c>
      <c r="V1860" s="2" t="s">
        <v>56</v>
      </c>
      <c r="W1860" s="2" t="s">
        <v>83</v>
      </c>
      <c r="X1860" s="2" t="s">
        <v>85</v>
      </c>
      <c r="Y1860" s="2">
        <v>1.89662497003443</v>
      </c>
      <c r="Z1860" s="2">
        <v>1896.6249700344299</v>
      </c>
      <c r="AA1860" s="2">
        <v>4.71035</v>
      </c>
      <c r="AB1860" s="2">
        <v>-74.030416666666696</v>
      </c>
      <c r="AC1860" s="2">
        <v>2570</v>
      </c>
      <c r="AD1860" s="2">
        <v>10</v>
      </c>
      <c r="AE1860" s="2" t="s">
        <v>59</v>
      </c>
      <c r="AF1860" s="2" t="s">
        <v>86</v>
      </c>
      <c r="AG1860" s="2" t="s">
        <v>61</v>
      </c>
      <c r="AH1860" s="2" t="s">
        <v>62</v>
      </c>
      <c r="AI1860" s="2" t="s">
        <v>87</v>
      </c>
      <c r="AJ1860" s="2">
        <v>0.73533304394653298</v>
      </c>
      <c r="AK1860" s="2">
        <v>2.3805533762803499</v>
      </c>
      <c r="AL1860" s="2">
        <v>1.64592869407186</v>
      </c>
      <c r="AM1860" s="2">
        <v>2.70059544796597E-2</v>
      </c>
      <c r="AN1860" s="2">
        <v>3.2431604027996199</v>
      </c>
      <c r="AO1860" s="2">
        <v>0.52719250655390104</v>
      </c>
      <c r="AP1860" s="2">
        <v>0.52719250655390104</v>
      </c>
      <c r="AQ1860" s="2">
        <v>0</v>
      </c>
      <c r="AR1860" s="2">
        <v>2</v>
      </c>
      <c r="AS1860" s="2">
        <v>0</v>
      </c>
      <c r="AT1860" s="2">
        <v>0</v>
      </c>
      <c r="AU1860" s="2">
        <v>0</v>
      </c>
      <c r="AV1860" s="2">
        <v>33</v>
      </c>
      <c r="AW1860" s="2">
        <v>0</v>
      </c>
      <c r="AX1860" s="2">
        <v>0</v>
      </c>
      <c r="AY1860" s="2">
        <v>15.5</v>
      </c>
      <c r="AZ1860" s="2">
        <v>2.4</v>
      </c>
      <c r="BA1860" s="2">
        <v>10.9</v>
      </c>
      <c r="BB1860" s="2">
        <v>564</v>
      </c>
      <c r="BC1860" s="2">
        <v>68</v>
      </c>
      <c r="BD1860" s="2">
        <v>1.5</v>
      </c>
      <c r="BE1860" s="2">
        <v>135</v>
      </c>
      <c r="BF1860" s="2">
        <v>0</v>
      </c>
      <c r="BG1860" s="2">
        <v>162</v>
      </c>
      <c r="BH1860" s="2">
        <v>9.1</v>
      </c>
      <c r="BI1860" s="2">
        <v>9.1999999999999993</v>
      </c>
      <c r="BJ1860" s="2">
        <v>18.3</v>
      </c>
      <c r="BK1860" s="2">
        <v>0.34</v>
      </c>
      <c r="BL1860" s="2">
        <v>7.3</v>
      </c>
      <c r="BM1860" s="2">
        <v>0.9</v>
      </c>
      <c r="BN1860" s="2">
        <v>7.5</v>
      </c>
      <c r="BO1860" s="2">
        <v>2.9</v>
      </c>
      <c r="BP1860" s="2">
        <f t="shared" si="58"/>
        <v>2.1849343915303927</v>
      </c>
      <c r="BQ1860" s="2">
        <f t="shared" si="59"/>
        <v>10.414965789294707</v>
      </c>
    </row>
    <row r="1861" spans="1:69" x14ac:dyDescent="0.2">
      <c r="A1861" s="2" t="s">
        <v>4644</v>
      </c>
      <c r="B1861" s="2" t="s">
        <v>47</v>
      </c>
      <c r="C1861" s="2" t="s">
        <v>3273</v>
      </c>
      <c r="D1861" s="2" t="s">
        <v>49</v>
      </c>
      <c r="E1861" s="2" t="s">
        <v>184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89</v>
      </c>
      <c r="L1861" s="6" t="s">
        <v>112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4645</v>
      </c>
      <c r="R1861" s="2">
        <v>6500000</v>
      </c>
      <c r="S1861" s="2">
        <v>0</v>
      </c>
      <c r="T1861" s="2" t="s">
        <v>83</v>
      </c>
      <c r="U1861" s="2" t="s">
        <v>84</v>
      </c>
      <c r="V1861" s="2" t="s">
        <v>56</v>
      </c>
      <c r="W1861" s="2" t="s">
        <v>83</v>
      </c>
      <c r="X1861" s="2" t="s">
        <v>85</v>
      </c>
      <c r="Y1861" s="2">
        <v>0.9831194744017</v>
      </c>
      <c r="Z1861" s="2">
        <v>983.11947440170002</v>
      </c>
      <c r="AA1861" s="2">
        <v>4.71035</v>
      </c>
      <c r="AB1861" s="2">
        <v>-74.030416666666696</v>
      </c>
      <c r="AC1861" s="2">
        <v>2570</v>
      </c>
      <c r="AD1861" s="2">
        <v>10</v>
      </c>
      <c r="AE1861" s="2" t="s">
        <v>59</v>
      </c>
      <c r="AF1861" s="2" t="s">
        <v>86</v>
      </c>
      <c r="AG1861" s="2" t="s">
        <v>61</v>
      </c>
      <c r="AH1861" s="2" t="s">
        <v>62</v>
      </c>
      <c r="AI1861" s="2" t="s">
        <v>87</v>
      </c>
      <c r="AJ1861" s="2">
        <v>2.0902129855303802</v>
      </c>
      <c r="AK1861" s="2">
        <v>1.0217150050982</v>
      </c>
      <c r="AL1861" s="2">
        <v>0.89840361763256005</v>
      </c>
      <c r="AM1861" s="2">
        <v>0.13540175687441899</v>
      </c>
      <c r="AN1861" s="2">
        <v>2.5920835883660902</v>
      </c>
      <c r="AO1861" s="2">
        <v>0.10780693025948899</v>
      </c>
      <c r="AP1861" s="2">
        <v>0.10780693025948899</v>
      </c>
      <c r="AQ1861" s="2">
        <v>0</v>
      </c>
      <c r="AR1861" s="2">
        <v>0</v>
      </c>
      <c r="AS1861" s="2">
        <v>0</v>
      </c>
      <c r="AT1861" s="2">
        <v>0</v>
      </c>
      <c r="AU1861" s="2">
        <v>1</v>
      </c>
      <c r="AV1861" s="2">
        <v>76</v>
      </c>
      <c r="AW1861" s="2">
        <v>0</v>
      </c>
      <c r="AX1861" s="2">
        <v>0</v>
      </c>
      <c r="AY1861" s="2">
        <v>15.5</v>
      </c>
      <c r="AZ1861" s="2">
        <v>2.4</v>
      </c>
      <c r="BA1861" s="2">
        <v>10.9</v>
      </c>
      <c r="BB1861" s="2">
        <v>564</v>
      </c>
      <c r="BC1861" s="2">
        <v>68</v>
      </c>
      <c r="BD1861" s="2">
        <v>1.5</v>
      </c>
      <c r="BE1861" s="2">
        <v>135</v>
      </c>
      <c r="BF1861" s="2">
        <v>0</v>
      </c>
      <c r="BG1861" s="2">
        <v>162</v>
      </c>
      <c r="BH1861" s="2">
        <v>9.1</v>
      </c>
      <c r="BI1861" s="2">
        <v>9.1999999999999993</v>
      </c>
      <c r="BJ1861" s="2">
        <v>18.3</v>
      </c>
      <c r="BK1861" s="2">
        <v>0.34</v>
      </c>
      <c r="BL1861" s="2">
        <v>7.3</v>
      </c>
      <c r="BM1861" s="2">
        <v>0.9</v>
      </c>
      <c r="BN1861" s="2">
        <v>7.5</v>
      </c>
      <c r="BO1861" s="2">
        <v>2.9</v>
      </c>
      <c r="BP1861" s="2">
        <f t="shared" si="58"/>
        <v>2.286001732784992</v>
      </c>
      <c r="BQ1861" s="2">
        <f t="shared" si="59"/>
        <v>10.6458263342713</v>
      </c>
    </row>
    <row r="1862" spans="1:69" x14ac:dyDescent="0.2">
      <c r="A1862" s="2" t="s">
        <v>4359</v>
      </c>
      <c r="B1862" s="2" t="s">
        <v>47</v>
      </c>
      <c r="C1862" s="2" t="s">
        <v>3273</v>
      </c>
      <c r="D1862" s="2" t="s">
        <v>49</v>
      </c>
      <c r="E1862" s="2" t="s">
        <v>241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89</v>
      </c>
      <c r="L1862" s="6" t="s">
        <v>90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4360</v>
      </c>
      <c r="R1862" s="2">
        <v>11125000</v>
      </c>
      <c r="S1862" s="2">
        <v>0</v>
      </c>
      <c r="T1862" s="2" t="s">
        <v>83</v>
      </c>
      <c r="U1862" s="2" t="s">
        <v>84</v>
      </c>
      <c r="V1862" s="2" t="s">
        <v>56</v>
      </c>
      <c r="W1862" s="2" t="s">
        <v>83</v>
      </c>
      <c r="X1862" s="2" t="s">
        <v>85</v>
      </c>
      <c r="Y1862" s="2">
        <v>0.842760156650602</v>
      </c>
      <c r="Z1862" s="2">
        <v>842.76015665060197</v>
      </c>
      <c r="AA1862" s="2">
        <v>4.71035</v>
      </c>
      <c r="AB1862" s="2">
        <v>-74.030416666666696</v>
      </c>
      <c r="AC1862" s="2">
        <v>2570</v>
      </c>
      <c r="AD1862" s="2">
        <v>10</v>
      </c>
      <c r="AE1862" s="2" t="s">
        <v>59</v>
      </c>
      <c r="AF1862" s="2" t="s">
        <v>86</v>
      </c>
      <c r="AG1862" s="2" t="s">
        <v>61</v>
      </c>
      <c r="AH1862" s="2" t="s">
        <v>62</v>
      </c>
      <c r="AI1862" s="2" t="s">
        <v>87</v>
      </c>
      <c r="AJ1862" s="2">
        <v>2.73870297576874</v>
      </c>
      <c r="AK1862" s="2">
        <v>0.45021417857053497</v>
      </c>
      <c r="AL1862" s="2">
        <v>0.358635813757476</v>
      </c>
      <c r="AM1862" s="2">
        <v>7.3889022905672605E-2</v>
      </c>
      <c r="AN1862" s="2">
        <v>4.2899626837287599</v>
      </c>
      <c r="AO1862" s="2">
        <v>0.166399505576456</v>
      </c>
      <c r="AP1862" s="2">
        <v>0.166399505576456</v>
      </c>
      <c r="AQ1862" s="2">
        <v>0</v>
      </c>
      <c r="AR1862" s="2">
        <v>0</v>
      </c>
      <c r="AS1862" s="2">
        <v>3</v>
      </c>
      <c r="AT1862" s="2">
        <v>31</v>
      </c>
      <c r="AU1862" s="2">
        <v>3</v>
      </c>
      <c r="AV1862" s="2">
        <v>117</v>
      </c>
      <c r="AW1862" s="2">
        <v>0</v>
      </c>
      <c r="AX1862" s="2">
        <v>0</v>
      </c>
      <c r="AY1862" s="2">
        <v>15.5</v>
      </c>
      <c r="AZ1862" s="2">
        <v>2.4</v>
      </c>
      <c r="BA1862" s="2">
        <v>10.9</v>
      </c>
      <c r="BB1862" s="2">
        <v>564</v>
      </c>
      <c r="BC1862" s="2">
        <v>68</v>
      </c>
      <c r="BD1862" s="2">
        <v>1.5</v>
      </c>
      <c r="BE1862" s="2">
        <v>135</v>
      </c>
      <c r="BF1862" s="2">
        <v>0</v>
      </c>
      <c r="BG1862" s="2">
        <v>162</v>
      </c>
      <c r="BH1862" s="2">
        <v>9.1</v>
      </c>
      <c r="BI1862" s="2">
        <v>9.1999999999999993</v>
      </c>
      <c r="BJ1862" s="2">
        <v>18.3</v>
      </c>
      <c r="BK1862" s="2">
        <v>0.34</v>
      </c>
      <c r="BL1862" s="2">
        <v>7.3</v>
      </c>
      <c r="BM1862" s="2">
        <v>0.9</v>
      </c>
      <c r="BN1862" s="2">
        <v>7.5</v>
      </c>
      <c r="BO1862" s="2">
        <v>2.9</v>
      </c>
      <c r="BP1862" s="2">
        <f t="shared" si="58"/>
        <v>2.3019396867787374</v>
      </c>
      <c r="BQ1862" s="2">
        <f t="shared" si="59"/>
        <v>10.68174858668424</v>
      </c>
    </row>
    <row r="1863" spans="1:69" x14ac:dyDescent="0.2">
      <c r="A1863" s="2" t="s">
        <v>4225</v>
      </c>
      <c r="B1863" s="2" t="s">
        <v>47</v>
      </c>
      <c r="C1863" s="2" t="s">
        <v>3273</v>
      </c>
      <c r="D1863" s="2" t="s">
        <v>49</v>
      </c>
      <c r="E1863" s="2" t="s">
        <v>539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89</v>
      </c>
      <c r="L1863" s="6" t="s">
        <v>112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4226</v>
      </c>
      <c r="R1863" s="2">
        <v>8500000</v>
      </c>
      <c r="S1863" s="2">
        <v>0</v>
      </c>
      <c r="T1863" s="2" t="s">
        <v>83</v>
      </c>
      <c r="U1863" s="2" t="s">
        <v>84</v>
      </c>
      <c r="V1863" s="2" t="s">
        <v>56</v>
      </c>
      <c r="W1863" s="2" t="s">
        <v>83</v>
      </c>
      <c r="X1863" s="2" t="s">
        <v>85</v>
      </c>
      <c r="Y1863" s="2">
        <v>0.74980697046066003</v>
      </c>
      <c r="Z1863" s="2">
        <v>749.80697046065995</v>
      </c>
      <c r="AA1863" s="2">
        <v>4.71035</v>
      </c>
      <c r="AB1863" s="2">
        <v>-74.030416666666696</v>
      </c>
      <c r="AC1863" s="2">
        <v>2570</v>
      </c>
      <c r="AD1863" s="2">
        <v>10</v>
      </c>
      <c r="AE1863" s="2" t="s">
        <v>59</v>
      </c>
      <c r="AF1863" s="2" t="s">
        <v>86</v>
      </c>
      <c r="AG1863" s="2" t="s">
        <v>61</v>
      </c>
      <c r="AH1863" s="2" t="s">
        <v>62</v>
      </c>
      <c r="AI1863" s="2" t="s">
        <v>87</v>
      </c>
      <c r="AJ1863" s="2">
        <v>1.9376888424294401</v>
      </c>
      <c r="AK1863" s="2">
        <v>1.1799676415679199</v>
      </c>
      <c r="AL1863" s="2">
        <v>0.56157256425626001</v>
      </c>
      <c r="AM1863" s="2">
        <v>0.116130921576408</v>
      </c>
      <c r="AN1863" s="2">
        <v>3.0384692841950098</v>
      </c>
      <c r="AO1863" s="2">
        <v>0.24939151893898701</v>
      </c>
      <c r="AP1863" s="2">
        <v>0.24939151893898701</v>
      </c>
      <c r="AQ1863" s="2">
        <v>0</v>
      </c>
      <c r="AR1863" s="2">
        <v>0</v>
      </c>
      <c r="AS1863" s="2">
        <v>0</v>
      </c>
      <c r="AT1863" s="2">
        <v>0</v>
      </c>
      <c r="AU1863" s="2">
        <v>1</v>
      </c>
      <c r="AV1863" s="2">
        <v>74</v>
      </c>
      <c r="AW1863" s="2">
        <v>0</v>
      </c>
      <c r="AX1863" s="2">
        <v>0</v>
      </c>
      <c r="AY1863" s="2">
        <v>15.5</v>
      </c>
      <c r="AZ1863" s="2">
        <v>2.4</v>
      </c>
      <c r="BA1863" s="2">
        <v>10.9</v>
      </c>
      <c r="BB1863" s="2">
        <v>564</v>
      </c>
      <c r="BC1863" s="2">
        <v>68</v>
      </c>
      <c r="BD1863" s="2">
        <v>1.5</v>
      </c>
      <c r="BE1863" s="2">
        <v>135</v>
      </c>
      <c r="BF1863" s="2">
        <v>0</v>
      </c>
      <c r="BG1863" s="2">
        <v>162</v>
      </c>
      <c r="BH1863" s="2">
        <v>9.1</v>
      </c>
      <c r="BI1863" s="2">
        <v>9.1999999999999993</v>
      </c>
      <c r="BJ1863" s="2">
        <v>18.3</v>
      </c>
      <c r="BK1863" s="2">
        <v>0.34</v>
      </c>
      <c r="BL1863" s="2">
        <v>7.3</v>
      </c>
      <c r="BM1863" s="2">
        <v>0.9</v>
      </c>
      <c r="BN1863" s="2">
        <v>7.5</v>
      </c>
      <c r="BO1863" s="2">
        <v>2.9</v>
      </c>
      <c r="BP1863" s="2">
        <f t="shared" si="58"/>
        <v>2.3125557363423734</v>
      </c>
      <c r="BQ1863" s="2">
        <f t="shared" si="59"/>
        <v>10.705604848541931</v>
      </c>
    </row>
    <row r="1864" spans="1:69" x14ac:dyDescent="0.2">
      <c r="A1864" s="2" t="s">
        <v>3790</v>
      </c>
      <c r="B1864" s="2" t="s">
        <v>47</v>
      </c>
      <c r="C1864" s="2" t="s">
        <v>3273</v>
      </c>
      <c r="D1864" s="2" t="s">
        <v>49</v>
      </c>
      <c r="E1864" s="2" t="s">
        <v>408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89</v>
      </c>
      <c r="L1864" s="6" t="s">
        <v>90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3791</v>
      </c>
      <c r="R1864" s="2">
        <v>9090909.091</v>
      </c>
      <c r="S1864" s="2">
        <v>0</v>
      </c>
      <c r="T1864" s="2" t="s">
        <v>83</v>
      </c>
      <c r="U1864" s="2" t="s">
        <v>84</v>
      </c>
      <c r="V1864" s="2" t="s">
        <v>56</v>
      </c>
      <c r="W1864" s="2" t="s">
        <v>83</v>
      </c>
      <c r="X1864" s="2" t="s">
        <v>85</v>
      </c>
      <c r="Y1864" s="2">
        <v>2.0774827453640001</v>
      </c>
      <c r="Z1864" s="2">
        <v>2077.482745364</v>
      </c>
      <c r="AA1864" s="2">
        <v>4.71035</v>
      </c>
      <c r="AB1864" s="2">
        <v>-74.030416666666696</v>
      </c>
      <c r="AC1864" s="2">
        <v>2570</v>
      </c>
      <c r="AD1864" s="2">
        <v>10</v>
      </c>
      <c r="AE1864" s="2" t="s">
        <v>59</v>
      </c>
      <c r="AF1864" s="2" t="s">
        <v>86</v>
      </c>
      <c r="AG1864" s="2" t="s">
        <v>61</v>
      </c>
      <c r="AH1864" s="2" t="s">
        <v>62</v>
      </c>
      <c r="AI1864" s="2" t="s">
        <v>87</v>
      </c>
      <c r="AJ1864" s="2">
        <v>0.92355567379093695</v>
      </c>
      <c r="AK1864" s="2">
        <v>2.1663448209893601</v>
      </c>
      <c r="AL1864" s="2">
        <v>0.95337936090199904</v>
      </c>
      <c r="AM1864" s="2">
        <v>0.12873456791106599</v>
      </c>
      <c r="AN1864" s="2">
        <v>2.5567438073946498</v>
      </c>
      <c r="AO1864" s="2">
        <v>9.3514600154791794E-2</v>
      </c>
      <c r="AP1864" s="2">
        <v>9.3514600154791794E-2</v>
      </c>
      <c r="AQ1864" s="2">
        <v>0</v>
      </c>
      <c r="AR1864" s="2">
        <v>1</v>
      </c>
      <c r="AS1864" s="2">
        <v>0</v>
      </c>
      <c r="AT1864" s="2">
        <v>0</v>
      </c>
      <c r="AU1864" s="2">
        <v>1</v>
      </c>
      <c r="AV1864" s="2">
        <v>46</v>
      </c>
      <c r="AW1864" s="2">
        <v>0</v>
      </c>
      <c r="AX1864" s="2">
        <v>0</v>
      </c>
      <c r="AY1864" s="2">
        <v>15.5</v>
      </c>
      <c r="AZ1864" s="2">
        <v>2.4</v>
      </c>
      <c r="BA1864" s="2">
        <v>10.9</v>
      </c>
      <c r="BB1864" s="2">
        <v>564</v>
      </c>
      <c r="BC1864" s="2">
        <v>68</v>
      </c>
      <c r="BD1864" s="2">
        <v>1.5</v>
      </c>
      <c r="BE1864" s="2">
        <v>135</v>
      </c>
      <c r="BF1864" s="2">
        <v>0</v>
      </c>
      <c r="BG1864" s="2">
        <v>162</v>
      </c>
      <c r="BH1864" s="2">
        <v>9.1</v>
      </c>
      <c r="BI1864" s="2">
        <v>9.1999999999999993</v>
      </c>
      <c r="BJ1864" s="2">
        <v>18.3</v>
      </c>
      <c r="BK1864" s="2">
        <v>0.34</v>
      </c>
      <c r="BL1864" s="2">
        <v>7.3</v>
      </c>
      <c r="BM1864" s="2">
        <v>0.9</v>
      </c>
      <c r="BN1864" s="2">
        <v>7.5</v>
      </c>
      <c r="BO1864" s="2">
        <v>2.9</v>
      </c>
      <c r="BP1864" s="2">
        <f t="shared" si="58"/>
        <v>2.1654611508147137</v>
      </c>
      <c r="BQ1864" s="2">
        <f t="shared" si="59"/>
        <v>10.369856699048217</v>
      </c>
    </row>
    <row r="1865" spans="1:69" x14ac:dyDescent="0.2">
      <c r="A1865" s="2" t="s">
        <v>3393</v>
      </c>
      <c r="B1865" s="2" t="s">
        <v>47</v>
      </c>
      <c r="C1865" s="2" t="s">
        <v>3273</v>
      </c>
      <c r="D1865" s="2" t="s">
        <v>49</v>
      </c>
      <c r="E1865" s="2" t="s">
        <v>1004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89</v>
      </c>
      <c r="L1865" s="6" t="s">
        <v>90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3394</v>
      </c>
      <c r="R1865" s="2">
        <v>6578947.3679999998</v>
      </c>
      <c r="S1865" s="2">
        <v>0</v>
      </c>
      <c r="T1865" s="2" t="s">
        <v>83</v>
      </c>
      <c r="U1865" s="2" t="s">
        <v>84</v>
      </c>
      <c r="V1865" s="2" t="s">
        <v>56</v>
      </c>
      <c r="W1865" s="2" t="s">
        <v>83</v>
      </c>
      <c r="X1865" s="2" t="s">
        <v>85</v>
      </c>
      <c r="Y1865" s="2">
        <v>4.1162983652963403</v>
      </c>
      <c r="Z1865" s="2">
        <v>4116.2983652963403</v>
      </c>
      <c r="AA1865" s="2">
        <v>4.71035</v>
      </c>
      <c r="AB1865" s="2">
        <v>-74.030416666666696</v>
      </c>
      <c r="AC1865" s="2">
        <v>2570</v>
      </c>
      <c r="AD1865" s="2">
        <v>10</v>
      </c>
      <c r="AE1865" s="2" t="s">
        <v>59</v>
      </c>
      <c r="AF1865" s="2" t="s">
        <v>86</v>
      </c>
      <c r="AG1865" s="2" t="s">
        <v>61</v>
      </c>
      <c r="AH1865" s="2" t="s">
        <v>62</v>
      </c>
      <c r="AI1865" s="2" t="s">
        <v>87</v>
      </c>
      <c r="AJ1865" s="2">
        <v>2.6335948343283699</v>
      </c>
      <c r="AK1865" s="2">
        <v>0.42468754995035202</v>
      </c>
      <c r="AL1865" s="2">
        <v>0.41535155061818801</v>
      </c>
      <c r="AM1865" s="2">
        <v>0.50028108233113899</v>
      </c>
      <c r="AN1865" s="2">
        <v>0.67152842474418095</v>
      </c>
      <c r="AO1865" s="2">
        <v>0.39157509142854002</v>
      </c>
      <c r="AP1865" s="2">
        <v>0.39157509142854002</v>
      </c>
      <c r="AQ1865" s="2">
        <v>0</v>
      </c>
      <c r="AR1865" s="2">
        <v>0</v>
      </c>
      <c r="AS1865" s="2">
        <v>3</v>
      </c>
      <c r="AT1865" s="2">
        <v>40</v>
      </c>
      <c r="AU1865" s="2">
        <v>3</v>
      </c>
      <c r="AV1865" s="2">
        <v>5</v>
      </c>
      <c r="AW1865" s="2">
        <v>1</v>
      </c>
      <c r="AX1865" s="2">
        <v>0</v>
      </c>
      <c r="AY1865" s="2">
        <v>15.5</v>
      </c>
      <c r="AZ1865" s="2">
        <v>2.4</v>
      </c>
      <c r="BA1865" s="2">
        <v>10.9</v>
      </c>
      <c r="BB1865" s="2">
        <v>564</v>
      </c>
      <c r="BC1865" s="2">
        <v>68</v>
      </c>
      <c r="BD1865" s="2">
        <v>1.5</v>
      </c>
      <c r="BE1865" s="2">
        <v>135</v>
      </c>
      <c r="BF1865" s="2">
        <v>0</v>
      </c>
      <c r="BG1865" s="2">
        <v>162</v>
      </c>
      <c r="BH1865" s="2">
        <v>9.1</v>
      </c>
      <c r="BI1865" s="2">
        <v>9.1999999999999993</v>
      </c>
      <c r="BJ1865" s="2">
        <v>18.3</v>
      </c>
      <c r="BK1865" s="2">
        <v>0.34</v>
      </c>
      <c r="BL1865" s="2">
        <v>7.3</v>
      </c>
      <c r="BM1865" s="2">
        <v>0.9</v>
      </c>
      <c r="BN1865" s="2">
        <v>7.5</v>
      </c>
      <c r="BO1865" s="2">
        <v>2.9</v>
      </c>
      <c r="BP1865" s="2">
        <f t="shared" si="58"/>
        <v>1.9575857783331547</v>
      </c>
      <c r="BQ1865" s="2">
        <f t="shared" si="59"/>
        <v>9.8746575180369724</v>
      </c>
    </row>
    <row r="1866" spans="1:69" x14ac:dyDescent="0.2">
      <c r="A1866" s="2" t="s">
        <v>495</v>
      </c>
      <c r="B1866" s="2" t="s">
        <v>47</v>
      </c>
      <c r="C1866" s="2" t="s">
        <v>48</v>
      </c>
      <c r="D1866" s="2" t="s">
        <v>49</v>
      </c>
      <c r="E1866" s="2" t="s">
        <v>447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89</v>
      </c>
      <c r="L1866" s="6" t="s">
        <v>141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496</v>
      </c>
      <c r="R1866" s="2">
        <v>9605263.1579999998</v>
      </c>
      <c r="S1866" s="2">
        <v>0</v>
      </c>
      <c r="T1866" s="2" t="s">
        <v>83</v>
      </c>
      <c r="U1866" s="2" t="s">
        <v>84</v>
      </c>
      <c r="V1866" s="2" t="s">
        <v>56</v>
      </c>
      <c r="W1866" s="2" t="s">
        <v>83</v>
      </c>
      <c r="X1866" s="2" t="s">
        <v>85</v>
      </c>
      <c r="Y1866" s="2">
        <v>3.3116085978421301</v>
      </c>
      <c r="Z1866" s="2">
        <v>3311.6085978421302</v>
      </c>
      <c r="AA1866" s="2">
        <v>4.71035</v>
      </c>
      <c r="AB1866" s="2">
        <v>-74.030416666666696</v>
      </c>
      <c r="AC1866" s="2">
        <v>2570</v>
      </c>
      <c r="AD1866" s="2">
        <v>10</v>
      </c>
      <c r="AE1866" s="2" t="s">
        <v>59</v>
      </c>
      <c r="AF1866" s="2" t="s">
        <v>86</v>
      </c>
      <c r="AG1866" s="2" t="s">
        <v>61</v>
      </c>
      <c r="AH1866" s="2" t="s">
        <v>62</v>
      </c>
      <c r="AI1866" s="2" t="s">
        <v>87</v>
      </c>
      <c r="AJ1866" s="2">
        <v>0.15969688011045</v>
      </c>
      <c r="AK1866" s="2">
        <v>2.6030500471054601</v>
      </c>
      <c r="AL1866" s="2">
        <v>0.54341976676463399</v>
      </c>
      <c r="AM1866" s="2">
        <v>5.9412351255469703E-2</v>
      </c>
      <c r="AN1866" s="2">
        <v>3.6865138211905299</v>
      </c>
      <c r="AO1866" s="2">
        <v>3.6207889128897303E-2</v>
      </c>
      <c r="AP1866" s="2">
        <v>3.6207889128897303E-2</v>
      </c>
      <c r="AQ1866" s="2">
        <v>1</v>
      </c>
      <c r="AR1866" s="2">
        <v>2</v>
      </c>
      <c r="AS1866" s="2">
        <v>0</v>
      </c>
      <c r="AT1866" s="2">
        <v>0</v>
      </c>
      <c r="AU1866" s="2">
        <v>5</v>
      </c>
      <c r="AV1866" s="2">
        <v>170</v>
      </c>
      <c r="AW1866" s="2">
        <v>0</v>
      </c>
      <c r="AX1866" s="2">
        <v>0</v>
      </c>
      <c r="AY1866" s="2">
        <v>15.5</v>
      </c>
      <c r="AZ1866" s="2">
        <v>2.4</v>
      </c>
      <c r="BA1866" s="2">
        <v>10.9</v>
      </c>
      <c r="BB1866" s="2">
        <v>564</v>
      </c>
      <c r="BC1866" s="2">
        <v>68</v>
      </c>
      <c r="BD1866" s="2">
        <v>1.5</v>
      </c>
      <c r="BE1866" s="2">
        <v>135</v>
      </c>
      <c r="BF1866" s="2">
        <v>0</v>
      </c>
      <c r="BG1866" s="2">
        <v>162</v>
      </c>
      <c r="BH1866" s="2">
        <v>9.1</v>
      </c>
      <c r="BI1866" s="2">
        <v>9.1999999999999993</v>
      </c>
      <c r="BJ1866" s="2">
        <v>18.3</v>
      </c>
      <c r="BK1866" s="2">
        <v>0.34</v>
      </c>
      <c r="BL1866" s="2">
        <v>7.3</v>
      </c>
      <c r="BM1866" s="2">
        <v>0.9</v>
      </c>
      <c r="BN1866" s="2">
        <v>7.5</v>
      </c>
      <c r="BO1866" s="2">
        <v>2.9</v>
      </c>
      <c r="BP1866" s="2">
        <f t="shared" si="58"/>
        <v>2.0371343945224432</v>
      </c>
      <c r="BQ1866" s="2">
        <f t="shared" si="59"/>
        <v>10.067215789863095</v>
      </c>
    </row>
    <row r="1867" spans="1:69" x14ac:dyDescent="0.2">
      <c r="A1867" s="2" t="s">
        <v>4034</v>
      </c>
      <c r="B1867" s="2" t="s">
        <v>47</v>
      </c>
      <c r="C1867" s="2" t="s">
        <v>3273</v>
      </c>
      <c r="D1867" s="2" t="s">
        <v>49</v>
      </c>
      <c r="E1867" s="2" t="s">
        <v>1628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89</v>
      </c>
      <c r="L1867" s="6" t="s">
        <v>103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4035</v>
      </c>
      <c r="R1867" s="2">
        <v>10000000</v>
      </c>
      <c r="S1867" s="2">
        <v>0</v>
      </c>
      <c r="T1867" s="2" t="s">
        <v>83</v>
      </c>
      <c r="U1867" s="2" t="s">
        <v>84</v>
      </c>
      <c r="V1867" s="2" t="s">
        <v>56</v>
      </c>
      <c r="W1867" s="2" t="s">
        <v>83</v>
      </c>
      <c r="X1867" s="2" t="s">
        <v>85</v>
      </c>
      <c r="Y1867" s="2">
        <v>3.1682407113609301</v>
      </c>
      <c r="Z1867" s="2">
        <v>3168.2407113609302</v>
      </c>
      <c r="AA1867" s="2">
        <v>4.71035</v>
      </c>
      <c r="AB1867" s="2">
        <v>-74.030416666666696</v>
      </c>
      <c r="AC1867" s="2">
        <v>2570</v>
      </c>
      <c r="AD1867" s="2">
        <v>10</v>
      </c>
      <c r="AE1867" s="2" t="s">
        <v>59</v>
      </c>
      <c r="AF1867" s="2" t="s">
        <v>86</v>
      </c>
      <c r="AG1867" s="2" t="s">
        <v>61</v>
      </c>
      <c r="AH1867" s="2" t="s">
        <v>62</v>
      </c>
      <c r="AI1867" s="2" t="s">
        <v>87</v>
      </c>
      <c r="AJ1867" s="2">
        <v>0.37824554465320498</v>
      </c>
      <c r="AK1867" s="2">
        <v>2.4044340936015698</v>
      </c>
      <c r="AL1867" s="2">
        <v>0.33298023862985798</v>
      </c>
      <c r="AM1867" s="2">
        <v>0.17238847729020801</v>
      </c>
      <c r="AN1867" s="2">
        <v>3.83818776050876</v>
      </c>
      <c r="AO1867" s="2">
        <v>4.9461431319410901E-2</v>
      </c>
      <c r="AP1867" s="2">
        <v>4.9461431319410901E-2</v>
      </c>
      <c r="AQ1867" s="2">
        <v>1</v>
      </c>
      <c r="AR1867" s="2">
        <v>2</v>
      </c>
      <c r="AS1867" s="2">
        <v>0</v>
      </c>
      <c r="AT1867" s="2">
        <v>0</v>
      </c>
      <c r="AU1867" s="2">
        <v>5</v>
      </c>
      <c r="AV1867" s="2">
        <v>169</v>
      </c>
      <c r="AW1867" s="2">
        <v>0</v>
      </c>
      <c r="AX1867" s="2">
        <v>0</v>
      </c>
      <c r="AY1867" s="2">
        <v>15.5</v>
      </c>
      <c r="AZ1867" s="2">
        <v>2.4</v>
      </c>
      <c r="BA1867" s="2">
        <v>10.9</v>
      </c>
      <c r="BB1867" s="2">
        <v>564</v>
      </c>
      <c r="BC1867" s="2">
        <v>68</v>
      </c>
      <c r="BD1867" s="2">
        <v>1.5</v>
      </c>
      <c r="BE1867" s="2">
        <v>135</v>
      </c>
      <c r="BF1867" s="2">
        <v>0</v>
      </c>
      <c r="BG1867" s="2">
        <v>162</v>
      </c>
      <c r="BH1867" s="2">
        <v>9.1</v>
      </c>
      <c r="BI1867" s="2">
        <v>9.1999999999999993</v>
      </c>
      <c r="BJ1867" s="2">
        <v>18.3</v>
      </c>
      <c r="BK1867" s="2">
        <v>0.34</v>
      </c>
      <c r="BL1867" s="2">
        <v>7.3</v>
      </c>
      <c r="BM1867" s="2">
        <v>0.9</v>
      </c>
      <c r="BN1867" s="2">
        <v>7.5</v>
      </c>
      <c r="BO1867" s="2">
        <v>2.9</v>
      </c>
      <c r="BP1867" s="2">
        <f t="shared" si="58"/>
        <v>2.0516427672962703</v>
      </c>
      <c r="BQ1867" s="2">
        <f t="shared" si="59"/>
        <v>10.101915023511047</v>
      </c>
    </row>
    <row r="1868" spans="1:69" x14ac:dyDescent="0.2">
      <c r="A1868" s="2" t="s">
        <v>464</v>
      </c>
      <c r="B1868" s="2" t="s">
        <v>47</v>
      </c>
      <c r="C1868" s="2" t="s">
        <v>48</v>
      </c>
      <c r="D1868" s="2" t="s">
        <v>49</v>
      </c>
      <c r="E1868" s="2" t="s">
        <v>408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89</v>
      </c>
      <c r="L1868" s="6" t="s">
        <v>90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465</v>
      </c>
      <c r="R1868" s="2">
        <v>9157894.7369999997</v>
      </c>
      <c r="S1868" s="2">
        <v>0</v>
      </c>
      <c r="T1868" s="2" t="s">
        <v>83</v>
      </c>
      <c r="U1868" s="2" t="s">
        <v>84</v>
      </c>
      <c r="V1868" s="2" t="s">
        <v>56</v>
      </c>
      <c r="W1868" s="2" t="s">
        <v>83</v>
      </c>
      <c r="X1868" s="2" t="s">
        <v>85</v>
      </c>
      <c r="Y1868" s="2">
        <v>2.31558284062793</v>
      </c>
      <c r="Z1868" s="2">
        <v>2315.5828406279302</v>
      </c>
      <c r="AA1868" s="2">
        <v>4.71035</v>
      </c>
      <c r="AB1868" s="2">
        <v>-74.030416666666696</v>
      </c>
      <c r="AC1868" s="2">
        <v>2570</v>
      </c>
      <c r="AD1868" s="2">
        <v>10</v>
      </c>
      <c r="AE1868" s="2" t="s">
        <v>59</v>
      </c>
      <c r="AF1868" s="2" t="s">
        <v>86</v>
      </c>
      <c r="AG1868" s="2" t="s">
        <v>61</v>
      </c>
      <c r="AH1868" s="2" t="s">
        <v>62</v>
      </c>
      <c r="AI1868" s="2" t="s">
        <v>87</v>
      </c>
      <c r="AJ1868" s="2">
        <v>0.82194509313720998</v>
      </c>
      <c r="AK1868" s="2">
        <v>2.3051599545369101</v>
      </c>
      <c r="AL1868" s="2">
        <v>0.74837862099492902</v>
      </c>
      <c r="AM1868" s="2">
        <v>0.318883440089609</v>
      </c>
      <c r="AN1868" s="2">
        <v>2.4318431108930598</v>
      </c>
      <c r="AO1868" s="2">
        <v>3.8264715712471302E-2</v>
      </c>
      <c r="AP1868" s="2">
        <v>3.8264715712471302E-2</v>
      </c>
      <c r="AQ1868" s="2">
        <v>0</v>
      </c>
      <c r="AR1868" s="2">
        <v>2</v>
      </c>
      <c r="AS1868" s="2">
        <v>0</v>
      </c>
      <c r="AT1868" s="2">
        <v>0</v>
      </c>
      <c r="AU1868" s="2">
        <v>1</v>
      </c>
      <c r="AV1868" s="2">
        <v>39</v>
      </c>
      <c r="AW1868" s="2">
        <v>0</v>
      </c>
      <c r="AX1868" s="2">
        <v>0</v>
      </c>
      <c r="AY1868" s="2">
        <v>15.5</v>
      </c>
      <c r="AZ1868" s="2">
        <v>2.4</v>
      </c>
      <c r="BA1868" s="2">
        <v>10.9</v>
      </c>
      <c r="BB1868" s="2">
        <v>564</v>
      </c>
      <c r="BC1868" s="2">
        <v>68</v>
      </c>
      <c r="BD1868" s="2">
        <v>1.5</v>
      </c>
      <c r="BE1868" s="2">
        <v>135</v>
      </c>
      <c r="BF1868" s="2">
        <v>0</v>
      </c>
      <c r="BG1868" s="2">
        <v>162</v>
      </c>
      <c r="BH1868" s="2">
        <v>9.1</v>
      </c>
      <c r="BI1868" s="2">
        <v>9.1999999999999993</v>
      </c>
      <c r="BJ1868" s="2">
        <v>18.3</v>
      </c>
      <c r="BK1868" s="2">
        <v>0.34</v>
      </c>
      <c r="BL1868" s="2">
        <v>7.3</v>
      </c>
      <c r="BM1868" s="2">
        <v>0.9</v>
      </c>
      <c r="BN1868" s="2">
        <v>7.5</v>
      </c>
      <c r="BO1868" s="2">
        <v>2.9</v>
      </c>
      <c r="BP1868" s="2">
        <f t="shared" si="58"/>
        <v>2.1400889353453443</v>
      </c>
      <c r="BQ1868" s="2">
        <f t="shared" si="59"/>
        <v>10.310768154865828</v>
      </c>
    </row>
    <row r="1869" spans="1:69" x14ac:dyDescent="0.2">
      <c r="A1869" s="2" t="s">
        <v>3363</v>
      </c>
      <c r="B1869" s="2" t="s">
        <v>47</v>
      </c>
      <c r="C1869" s="2" t="s">
        <v>3273</v>
      </c>
      <c r="D1869" s="2" t="s">
        <v>49</v>
      </c>
      <c r="E1869" s="2" t="s">
        <v>3364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89</v>
      </c>
      <c r="L1869" s="6" t="s">
        <v>90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3365</v>
      </c>
      <c r="R1869" s="2">
        <v>5810810.8109999998</v>
      </c>
      <c r="S1869" s="2">
        <v>0</v>
      </c>
      <c r="T1869" s="2" t="s">
        <v>83</v>
      </c>
      <c r="U1869" s="2" t="s">
        <v>84</v>
      </c>
      <c r="V1869" s="2" t="s">
        <v>56</v>
      </c>
      <c r="W1869" s="2" t="s">
        <v>83</v>
      </c>
      <c r="X1869" s="2" t="s">
        <v>85</v>
      </c>
      <c r="Y1869" s="2">
        <v>4.0943207647249</v>
      </c>
      <c r="Z1869" s="2">
        <v>4094.3207647249001</v>
      </c>
      <c r="AA1869" s="2">
        <v>4.71035</v>
      </c>
      <c r="AB1869" s="2">
        <v>-74.030416666666696</v>
      </c>
      <c r="AC1869" s="2">
        <v>2570</v>
      </c>
      <c r="AD1869" s="2">
        <v>10</v>
      </c>
      <c r="AE1869" s="2" t="s">
        <v>59</v>
      </c>
      <c r="AF1869" s="2" t="s">
        <v>86</v>
      </c>
      <c r="AG1869" s="2" t="s">
        <v>61</v>
      </c>
      <c r="AH1869" s="2" t="s">
        <v>62</v>
      </c>
      <c r="AI1869" s="2" t="s">
        <v>87</v>
      </c>
      <c r="AJ1869" s="2">
        <v>2.6561251126185801</v>
      </c>
      <c r="AK1869" s="2">
        <v>0.42363315731858903</v>
      </c>
      <c r="AL1869" s="2">
        <v>0.44279575779613001</v>
      </c>
      <c r="AM1869" s="2">
        <v>0.47191815728541697</v>
      </c>
      <c r="AN1869" s="2">
        <v>0.66207360302521001</v>
      </c>
      <c r="AO1869" s="2">
        <v>0.35694433022235</v>
      </c>
      <c r="AP1869" s="2">
        <v>0.35694433022235</v>
      </c>
      <c r="AQ1869" s="2">
        <v>0</v>
      </c>
      <c r="AR1869" s="2">
        <v>0</v>
      </c>
      <c r="AS1869" s="2">
        <v>5</v>
      </c>
      <c r="AT1869" s="2">
        <v>40</v>
      </c>
      <c r="AU1869" s="2">
        <v>3</v>
      </c>
      <c r="AV1869" s="2">
        <v>5</v>
      </c>
      <c r="AW1869" s="2">
        <v>1</v>
      </c>
      <c r="AX1869" s="2">
        <v>0</v>
      </c>
      <c r="AY1869" s="2">
        <v>15.5</v>
      </c>
      <c r="AZ1869" s="2">
        <v>2.4</v>
      </c>
      <c r="BA1869" s="2">
        <v>10.9</v>
      </c>
      <c r="BB1869" s="2">
        <v>564</v>
      </c>
      <c r="BC1869" s="2">
        <v>68</v>
      </c>
      <c r="BD1869" s="2">
        <v>1.5</v>
      </c>
      <c r="BE1869" s="2">
        <v>135</v>
      </c>
      <c r="BF1869" s="2">
        <v>0</v>
      </c>
      <c r="BG1869" s="2">
        <v>162</v>
      </c>
      <c r="BH1869" s="2">
        <v>9.1</v>
      </c>
      <c r="BI1869" s="2">
        <v>9.1999999999999993</v>
      </c>
      <c r="BJ1869" s="2">
        <v>18.3</v>
      </c>
      <c r="BK1869" s="2">
        <v>0.34</v>
      </c>
      <c r="BL1869" s="2">
        <v>7.3</v>
      </c>
      <c r="BM1869" s="2">
        <v>0.9</v>
      </c>
      <c r="BN1869" s="2">
        <v>7.5</v>
      </c>
      <c r="BO1869" s="2">
        <v>2.9</v>
      </c>
      <c r="BP1869" s="2">
        <f t="shared" si="58"/>
        <v>1.9597165775587631</v>
      </c>
      <c r="BQ1869" s="2">
        <f t="shared" si="59"/>
        <v>9.8798674026143978</v>
      </c>
    </row>
    <row r="1870" spans="1:69" x14ac:dyDescent="0.2">
      <c r="A1870" s="2" t="s">
        <v>3355</v>
      </c>
      <c r="B1870" s="2" t="s">
        <v>47</v>
      </c>
      <c r="C1870" s="2" t="s">
        <v>3273</v>
      </c>
      <c r="D1870" s="2" t="s">
        <v>49</v>
      </c>
      <c r="E1870" s="2" t="s">
        <v>208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89</v>
      </c>
      <c r="L1870" s="6" t="s">
        <v>90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3356</v>
      </c>
      <c r="R1870" s="2">
        <v>12972972.970000001</v>
      </c>
      <c r="S1870" s="2">
        <v>0</v>
      </c>
      <c r="T1870" s="2" t="s">
        <v>83</v>
      </c>
      <c r="U1870" s="2" t="s">
        <v>84</v>
      </c>
      <c r="V1870" s="2" t="s">
        <v>56</v>
      </c>
      <c r="W1870" s="2" t="s">
        <v>83</v>
      </c>
      <c r="X1870" s="2" t="s">
        <v>85</v>
      </c>
      <c r="Y1870" s="2">
        <v>4.0052650035550901</v>
      </c>
      <c r="Z1870" s="2">
        <v>4005.2650035550901</v>
      </c>
      <c r="AA1870" s="2">
        <v>4.71035</v>
      </c>
      <c r="AB1870" s="2">
        <v>-74.030416666666696</v>
      </c>
      <c r="AC1870" s="2">
        <v>2570</v>
      </c>
      <c r="AD1870" s="2">
        <v>10</v>
      </c>
      <c r="AE1870" s="2" t="s">
        <v>59</v>
      </c>
      <c r="AF1870" s="2" t="s">
        <v>86</v>
      </c>
      <c r="AG1870" s="2" t="s">
        <v>61</v>
      </c>
      <c r="AH1870" s="2" t="s">
        <v>62</v>
      </c>
      <c r="AI1870" s="2" t="s">
        <v>109</v>
      </c>
      <c r="AJ1870" s="2">
        <v>0.33965192382895099</v>
      </c>
      <c r="AK1870" s="2">
        <v>1.99427350631624</v>
      </c>
      <c r="AL1870" s="2">
        <v>0.30732929674411802</v>
      </c>
      <c r="AM1870" s="2">
        <v>0.17900254058801199</v>
      </c>
      <c r="AN1870" s="2">
        <v>3.2076461770165499</v>
      </c>
      <c r="AO1870" s="2">
        <v>0.39358471460390698</v>
      </c>
      <c r="AP1870" s="2">
        <v>0.39358471460390698</v>
      </c>
      <c r="AQ1870" s="2">
        <v>1</v>
      </c>
      <c r="AR1870" s="2">
        <v>3</v>
      </c>
      <c r="AS1870" s="2">
        <v>0</v>
      </c>
      <c r="AT1870" s="2">
        <v>0</v>
      </c>
      <c r="AU1870" s="2">
        <v>5</v>
      </c>
      <c r="AV1870" s="2">
        <v>259</v>
      </c>
      <c r="AW1870" s="2">
        <v>0</v>
      </c>
      <c r="AX1870" s="2">
        <v>0</v>
      </c>
      <c r="AY1870" s="2">
        <v>15.5</v>
      </c>
      <c r="AZ1870" s="2">
        <v>2.4</v>
      </c>
      <c r="BA1870" s="2">
        <v>10.9</v>
      </c>
      <c r="BB1870" s="2">
        <v>564</v>
      </c>
      <c r="BC1870" s="2">
        <v>68</v>
      </c>
      <c r="BD1870" s="2">
        <v>1.5</v>
      </c>
      <c r="BE1870" s="2">
        <v>135</v>
      </c>
      <c r="BF1870" s="2">
        <v>0</v>
      </c>
      <c r="BG1870" s="2">
        <v>162</v>
      </c>
      <c r="BH1870" s="2">
        <v>9.1</v>
      </c>
      <c r="BI1870" s="2">
        <v>9.1999999999999993</v>
      </c>
      <c r="BJ1870" s="2">
        <v>18.3</v>
      </c>
      <c r="BK1870" s="2">
        <v>0.34</v>
      </c>
      <c r="BL1870" s="2">
        <v>7.3</v>
      </c>
      <c r="BM1870" s="2">
        <v>0.9</v>
      </c>
      <c r="BN1870" s="2">
        <v>7.5</v>
      </c>
      <c r="BO1870" s="2">
        <v>2.9</v>
      </c>
      <c r="BP1870" s="2">
        <f t="shared" si="58"/>
        <v>1.968374587467</v>
      </c>
      <c r="BQ1870" s="2">
        <f t="shared" si="59"/>
        <v>9.9010066040622551</v>
      </c>
    </row>
    <row r="1871" spans="1:69" x14ac:dyDescent="0.2">
      <c r="A1871" s="2" t="s">
        <v>3397</v>
      </c>
      <c r="B1871" s="2" t="s">
        <v>47</v>
      </c>
      <c r="C1871" s="2" t="s">
        <v>3273</v>
      </c>
      <c r="D1871" s="2" t="s">
        <v>49</v>
      </c>
      <c r="E1871" s="2" t="s">
        <v>323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89</v>
      </c>
      <c r="L1871" s="6" t="s">
        <v>141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3398</v>
      </c>
      <c r="R1871" s="2">
        <v>7837837.8380000005</v>
      </c>
      <c r="S1871" s="2">
        <v>0</v>
      </c>
      <c r="T1871" s="2" t="s">
        <v>83</v>
      </c>
      <c r="U1871" s="2" t="s">
        <v>84</v>
      </c>
      <c r="V1871" s="2" t="s">
        <v>56</v>
      </c>
      <c r="W1871" s="2" t="s">
        <v>83</v>
      </c>
      <c r="X1871" s="2" t="s">
        <v>85</v>
      </c>
      <c r="Y1871" s="2">
        <v>3.1116921966831201</v>
      </c>
      <c r="Z1871" s="2">
        <v>3111.6921966831201</v>
      </c>
      <c r="AA1871" s="2">
        <v>4.71035</v>
      </c>
      <c r="AB1871" s="2">
        <v>-74.030416666666696</v>
      </c>
      <c r="AC1871" s="2">
        <v>2570</v>
      </c>
      <c r="AD1871" s="2">
        <v>10</v>
      </c>
      <c r="AE1871" s="2" t="s">
        <v>59</v>
      </c>
      <c r="AF1871" s="2" t="s">
        <v>86</v>
      </c>
      <c r="AG1871" s="2" t="s">
        <v>61</v>
      </c>
      <c r="AH1871" s="2" t="s">
        <v>62</v>
      </c>
      <c r="AI1871" s="2" t="s">
        <v>100</v>
      </c>
      <c r="AJ1871" s="2">
        <v>0.144030031096332</v>
      </c>
      <c r="AK1871" s="2">
        <v>3.16449747588335</v>
      </c>
      <c r="AL1871" s="2">
        <v>0.94928368512737105</v>
      </c>
      <c r="AM1871" s="2">
        <v>0.177231286554378</v>
      </c>
      <c r="AN1871" s="2">
        <v>3.9989072906451799</v>
      </c>
      <c r="AO1871" s="2">
        <v>0.381172378362581</v>
      </c>
      <c r="AP1871" s="2">
        <v>0.381172378362581</v>
      </c>
      <c r="AQ1871" s="2">
        <v>1</v>
      </c>
      <c r="AR1871" s="2">
        <v>3</v>
      </c>
      <c r="AS1871" s="2">
        <v>0</v>
      </c>
      <c r="AT1871" s="2">
        <v>0</v>
      </c>
      <c r="AU1871" s="2">
        <v>1</v>
      </c>
      <c r="AV1871" s="2">
        <v>150</v>
      </c>
      <c r="AW1871" s="2">
        <v>0</v>
      </c>
      <c r="AX1871" s="2">
        <v>0</v>
      </c>
      <c r="AY1871" s="2">
        <v>15.5</v>
      </c>
      <c r="AZ1871" s="2">
        <v>2.4</v>
      </c>
      <c r="BA1871" s="2">
        <v>10.9</v>
      </c>
      <c r="BB1871" s="2">
        <v>564</v>
      </c>
      <c r="BC1871" s="2">
        <v>68</v>
      </c>
      <c r="BD1871" s="2">
        <v>1.5</v>
      </c>
      <c r="BE1871" s="2">
        <v>135</v>
      </c>
      <c r="BF1871" s="2">
        <v>0</v>
      </c>
      <c r="BG1871" s="2">
        <v>162</v>
      </c>
      <c r="BH1871" s="2">
        <v>9.1</v>
      </c>
      <c r="BI1871" s="2">
        <v>9.1999999999999993</v>
      </c>
      <c r="BJ1871" s="2">
        <v>18.3</v>
      </c>
      <c r="BK1871" s="2">
        <v>0.34</v>
      </c>
      <c r="BL1871" s="2">
        <v>7.3</v>
      </c>
      <c r="BM1871" s="2">
        <v>0.9</v>
      </c>
      <c r="BN1871" s="2">
        <v>7.5</v>
      </c>
      <c r="BO1871" s="2">
        <v>2.9</v>
      </c>
      <c r="BP1871" s="2">
        <f t="shared" si="58"/>
        <v>2.0573936712483687</v>
      </c>
      <c r="BQ1871" s="2">
        <f t="shared" si="59"/>
        <v>10.115634290014521</v>
      </c>
    </row>
    <row r="1872" spans="1:69" x14ac:dyDescent="0.2">
      <c r="A1872" s="2" t="s">
        <v>3885</v>
      </c>
      <c r="B1872" s="2" t="s">
        <v>47</v>
      </c>
      <c r="C1872" s="2" t="s">
        <v>3273</v>
      </c>
      <c r="D1872" s="2" t="s">
        <v>49</v>
      </c>
      <c r="E1872" s="2" t="s">
        <v>205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89</v>
      </c>
      <c r="L1872" s="6" t="s">
        <v>90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3886</v>
      </c>
      <c r="R1872" s="2">
        <v>12162162.16</v>
      </c>
      <c r="S1872" s="2">
        <v>0</v>
      </c>
      <c r="T1872" s="2" t="s">
        <v>83</v>
      </c>
      <c r="U1872" s="2" t="s">
        <v>84</v>
      </c>
      <c r="V1872" s="2" t="s">
        <v>56</v>
      </c>
      <c r="W1872" s="2" t="s">
        <v>83</v>
      </c>
      <c r="X1872" s="2" t="s">
        <v>85</v>
      </c>
      <c r="Y1872" s="2">
        <v>2.6711033366260701</v>
      </c>
      <c r="Z1872" s="2">
        <v>2671.1033366260699</v>
      </c>
      <c r="AA1872" s="2">
        <v>4.71035</v>
      </c>
      <c r="AB1872" s="2">
        <v>-74.030416666666696</v>
      </c>
      <c r="AC1872" s="2">
        <v>2570</v>
      </c>
      <c r="AD1872" s="2">
        <v>10</v>
      </c>
      <c r="AE1872" s="2" t="s">
        <v>59</v>
      </c>
      <c r="AF1872" s="2" t="s">
        <v>86</v>
      </c>
      <c r="AG1872" s="2" t="s">
        <v>61</v>
      </c>
      <c r="AH1872" s="2" t="s">
        <v>62</v>
      </c>
      <c r="AI1872" s="2" t="s">
        <v>87</v>
      </c>
      <c r="AJ1872" s="2">
        <v>1.668724370853</v>
      </c>
      <c r="AK1872" s="2">
        <v>1.2993563896132301</v>
      </c>
      <c r="AL1872" s="2">
        <v>0.78752883837801202</v>
      </c>
      <c r="AM1872" s="2">
        <v>0.293698374886258</v>
      </c>
      <c r="AN1872" s="2">
        <v>4.7705013649038399</v>
      </c>
      <c r="AO1872" s="2">
        <v>7.9174778480508801E-2</v>
      </c>
      <c r="AP1872" s="2">
        <v>7.9174778480508801E-2</v>
      </c>
      <c r="AQ1872" s="2">
        <v>0</v>
      </c>
      <c r="AR1872" s="2">
        <v>0</v>
      </c>
      <c r="AS1872" s="2">
        <v>0</v>
      </c>
      <c r="AT1872" s="2">
        <v>0</v>
      </c>
      <c r="AU1872" s="2">
        <v>3</v>
      </c>
      <c r="AV1872" s="2">
        <v>92</v>
      </c>
      <c r="AW1872" s="2">
        <v>0</v>
      </c>
      <c r="AX1872" s="2">
        <v>0</v>
      </c>
      <c r="AY1872" s="2">
        <v>15.5</v>
      </c>
      <c r="AZ1872" s="2">
        <v>2.4</v>
      </c>
      <c r="BA1872" s="2">
        <v>10.9</v>
      </c>
      <c r="BB1872" s="2">
        <v>564</v>
      </c>
      <c r="BC1872" s="2">
        <v>68</v>
      </c>
      <c r="BD1872" s="2">
        <v>1.5</v>
      </c>
      <c r="BE1872" s="2">
        <v>135</v>
      </c>
      <c r="BF1872" s="2">
        <v>0</v>
      </c>
      <c r="BG1872" s="2">
        <v>162</v>
      </c>
      <c r="BH1872" s="2">
        <v>9.1</v>
      </c>
      <c r="BI1872" s="2">
        <v>9.1999999999999993</v>
      </c>
      <c r="BJ1872" s="2">
        <v>18.3</v>
      </c>
      <c r="BK1872" s="2">
        <v>0.34</v>
      </c>
      <c r="BL1872" s="2">
        <v>7.3</v>
      </c>
      <c r="BM1872" s="2">
        <v>0.9</v>
      </c>
      <c r="BN1872" s="2">
        <v>7.5</v>
      </c>
      <c r="BO1872" s="2">
        <v>2.9</v>
      </c>
      <c r="BP1872" s="2">
        <f t="shared" si="58"/>
        <v>2.1027565402576296</v>
      </c>
      <c r="BQ1872" s="2">
        <f t="shared" si="59"/>
        <v>10.223165873417637</v>
      </c>
    </row>
    <row r="1873" spans="1:69" x14ac:dyDescent="0.2">
      <c r="A1873" s="2" t="s">
        <v>4373</v>
      </c>
      <c r="B1873" s="2" t="s">
        <v>47</v>
      </c>
      <c r="C1873" s="2" t="s">
        <v>3273</v>
      </c>
      <c r="D1873" s="2" t="s">
        <v>49</v>
      </c>
      <c r="E1873" s="2" t="s">
        <v>1858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89</v>
      </c>
      <c r="L1873" s="6" t="s">
        <v>90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4374</v>
      </c>
      <c r="R1873" s="2">
        <v>12648648.65</v>
      </c>
      <c r="S1873" s="2">
        <v>0</v>
      </c>
      <c r="T1873" s="2" t="s">
        <v>83</v>
      </c>
      <c r="U1873" s="2" t="s">
        <v>84</v>
      </c>
      <c r="V1873" s="2" t="s">
        <v>56</v>
      </c>
      <c r="W1873" s="2" t="s">
        <v>83</v>
      </c>
      <c r="X1873" s="2" t="s">
        <v>85</v>
      </c>
      <c r="Y1873" s="2">
        <v>2.6670692011410999</v>
      </c>
      <c r="Z1873" s="2">
        <v>2667.0692011411002</v>
      </c>
      <c r="AA1873" s="2">
        <v>4.71035</v>
      </c>
      <c r="AB1873" s="2">
        <v>-74.030416666666696</v>
      </c>
      <c r="AC1873" s="2">
        <v>2570</v>
      </c>
      <c r="AD1873" s="2">
        <v>10</v>
      </c>
      <c r="AE1873" s="2" t="s">
        <v>59</v>
      </c>
      <c r="AF1873" s="2" t="s">
        <v>86</v>
      </c>
      <c r="AG1873" s="2" t="s">
        <v>61</v>
      </c>
      <c r="AH1873" s="2" t="s">
        <v>62</v>
      </c>
      <c r="AI1873" s="2" t="s">
        <v>87</v>
      </c>
      <c r="AJ1873" s="2">
        <v>2.2932077058161799</v>
      </c>
      <c r="AK1873" s="2">
        <v>0.92368397077673203</v>
      </c>
      <c r="AL1873" s="2">
        <v>0.61308081641665102</v>
      </c>
      <c r="AM1873" s="2">
        <v>0.32726688272913701</v>
      </c>
      <c r="AN1873" s="2">
        <v>5.2577015616057796</v>
      </c>
      <c r="AO1873" s="2">
        <v>0.15638074508047101</v>
      </c>
      <c r="AP1873" s="2">
        <v>0.15638074508047101</v>
      </c>
      <c r="AQ1873" s="2">
        <v>0</v>
      </c>
      <c r="AR1873" s="2">
        <v>0</v>
      </c>
      <c r="AS1873" s="2">
        <v>0</v>
      </c>
      <c r="AT1873" s="2">
        <v>1</v>
      </c>
      <c r="AU1873" s="2">
        <v>3</v>
      </c>
      <c r="AV1873" s="2">
        <v>58</v>
      </c>
      <c r="AW1873" s="2">
        <v>0</v>
      </c>
      <c r="AX1873" s="2">
        <v>0</v>
      </c>
      <c r="AY1873" s="2">
        <v>15.5</v>
      </c>
      <c r="AZ1873" s="2">
        <v>2.4</v>
      </c>
      <c r="BA1873" s="2">
        <v>10.9</v>
      </c>
      <c r="BB1873" s="2">
        <v>564</v>
      </c>
      <c r="BC1873" s="2">
        <v>68</v>
      </c>
      <c r="BD1873" s="2">
        <v>1.5</v>
      </c>
      <c r="BE1873" s="2">
        <v>135</v>
      </c>
      <c r="BF1873" s="2">
        <v>0</v>
      </c>
      <c r="BG1873" s="2">
        <v>162</v>
      </c>
      <c r="BH1873" s="2">
        <v>9.1</v>
      </c>
      <c r="BI1873" s="2">
        <v>9.1999999999999993</v>
      </c>
      <c r="BJ1873" s="2">
        <v>18.3</v>
      </c>
      <c r="BK1873" s="2">
        <v>0.34</v>
      </c>
      <c r="BL1873" s="2">
        <v>7.3</v>
      </c>
      <c r="BM1873" s="2">
        <v>0.9</v>
      </c>
      <c r="BN1873" s="2">
        <v>7.5</v>
      </c>
      <c r="BO1873" s="2">
        <v>2.9</v>
      </c>
      <c r="BP1873" s="2">
        <f t="shared" si="58"/>
        <v>2.1031764810215359</v>
      </c>
      <c r="BQ1873" s="2">
        <f t="shared" si="59"/>
        <v>10.224155720604243</v>
      </c>
    </row>
    <row r="1874" spans="1:69" x14ac:dyDescent="0.2">
      <c r="A1874" s="2" t="s">
        <v>3773</v>
      </c>
      <c r="B1874" s="2" t="s">
        <v>47</v>
      </c>
      <c r="C1874" s="2" t="s">
        <v>3273</v>
      </c>
      <c r="D1874" s="2" t="s">
        <v>49</v>
      </c>
      <c r="E1874" s="2" t="s">
        <v>3774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89</v>
      </c>
      <c r="L1874" s="6" t="s">
        <v>90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3775</v>
      </c>
      <c r="R1874" s="2">
        <v>10810810.810000001</v>
      </c>
      <c r="S1874" s="2">
        <v>0</v>
      </c>
      <c r="T1874" s="2" t="s">
        <v>83</v>
      </c>
      <c r="U1874" s="2" t="s">
        <v>84</v>
      </c>
      <c r="V1874" s="2" t="s">
        <v>56</v>
      </c>
      <c r="W1874" s="2" t="s">
        <v>83</v>
      </c>
      <c r="X1874" s="2" t="s">
        <v>85</v>
      </c>
      <c r="Y1874" s="2">
        <v>2.0128900170886301</v>
      </c>
      <c r="Z1874" s="2">
        <v>2012.89001708863</v>
      </c>
      <c r="AA1874" s="2">
        <v>4.71035</v>
      </c>
      <c r="AB1874" s="2">
        <v>-74.030416666666696</v>
      </c>
      <c r="AC1874" s="2">
        <v>2570</v>
      </c>
      <c r="AD1874" s="2">
        <v>10</v>
      </c>
      <c r="AE1874" s="2" t="s">
        <v>59</v>
      </c>
      <c r="AF1874" s="2" t="s">
        <v>86</v>
      </c>
      <c r="AG1874" s="2" t="s">
        <v>61</v>
      </c>
      <c r="AH1874" s="2" t="s">
        <v>62</v>
      </c>
      <c r="AI1874" s="2" t="s">
        <v>87</v>
      </c>
      <c r="AJ1874" s="2">
        <v>1.2592750250390701</v>
      </c>
      <c r="AK1874" s="2">
        <v>2.0048526912456999</v>
      </c>
      <c r="AL1874" s="2">
        <v>0.85729589137573703</v>
      </c>
      <c r="AM1874" s="2">
        <v>8.08494088466164E-2</v>
      </c>
      <c r="AN1874" s="2">
        <v>4.9997630950977303</v>
      </c>
      <c r="AO1874" s="2">
        <v>0.13781995352569101</v>
      </c>
      <c r="AP1874" s="2">
        <v>0.13781995352569101</v>
      </c>
      <c r="AQ1874" s="2">
        <v>0</v>
      </c>
      <c r="AR1874" s="2">
        <v>0</v>
      </c>
      <c r="AS1874" s="2">
        <v>0</v>
      </c>
      <c r="AT1874" s="2">
        <v>0</v>
      </c>
      <c r="AU1874" s="2">
        <v>1</v>
      </c>
      <c r="AV1874" s="2">
        <v>126</v>
      </c>
      <c r="AW1874" s="2">
        <v>0</v>
      </c>
      <c r="AX1874" s="2">
        <v>0</v>
      </c>
      <c r="AY1874" s="2">
        <v>15.5</v>
      </c>
      <c r="AZ1874" s="2">
        <v>2.4</v>
      </c>
      <c r="BA1874" s="2">
        <v>10.9</v>
      </c>
      <c r="BB1874" s="2">
        <v>564</v>
      </c>
      <c r="BC1874" s="2">
        <v>68</v>
      </c>
      <c r="BD1874" s="2">
        <v>1.5</v>
      </c>
      <c r="BE1874" s="2">
        <v>135</v>
      </c>
      <c r="BF1874" s="2">
        <v>0</v>
      </c>
      <c r="BG1874" s="2">
        <v>162</v>
      </c>
      <c r="BH1874" s="2">
        <v>9.1</v>
      </c>
      <c r="BI1874" s="2">
        <v>9.1999999999999993</v>
      </c>
      <c r="BJ1874" s="2">
        <v>18.3</v>
      </c>
      <c r="BK1874" s="2">
        <v>0.34</v>
      </c>
      <c r="BL1874" s="2">
        <v>7.3</v>
      </c>
      <c r="BM1874" s="2">
        <v>0.9</v>
      </c>
      <c r="BN1874" s="2">
        <v>7.5</v>
      </c>
      <c r="BO1874" s="2">
        <v>2.9</v>
      </c>
      <c r="BP1874" s="2">
        <f t="shared" si="58"/>
        <v>2.1723959470210987</v>
      </c>
      <c r="BQ1874" s="2">
        <f t="shared" si="59"/>
        <v>10.385944781968721</v>
      </c>
    </row>
    <row r="1875" spans="1:69" x14ac:dyDescent="0.2">
      <c r="A1875" s="2" t="s">
        <v>4524</v>
      </c>
      <c r="B1875" s="2" t="s">
        <v>47</v>
      </c>
      <c r="C1875" s="2" t="s">
        <v>3273</v>
      </c>
      <c r="D1875" s="2" t="s">
        <v>49</v>
      </c>
      <c r="E1875" s="2" t="s">
        <v>205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89</v>
      </c>
      <c r="L1875" s="6" t="s">
        <v>112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4525</v>
      </c>
      <c r="R1875" s="2">
        <v>12792596.619999999</v>
      </c>
      <c r="S1875" s="2">
        <v>0</v>
      </c>
      <c r="T1875" s="2" t="s">
        <v>83</v>
      </c>
      <c r="U1875" s="2" t="s">
        <v>84</v>
      </c>
      <c r="V1875" s="2" t="s">
        <v>56</v>
      </c>
      <c r="W1875" s="2" t="s">
        <v>83</v>
      </c>
      <c r="X1875" s="2" t="s">
        <v>85</v>
      </c>
      <c r="Y1875" s="2">
        <v>2.5594420526070998</v>
      </c>
      <c r="Z1875" s="2">
        <v>2559.4420526070999</v>
      </c>
      <c r="AA1875" s="2">
        <v>4.71035</v>
      </c>
      <c r="AB1875" s="2">
        <v>-74.030416666666696</v>
      </c>
      <c r="AC1875" s="2">
        <v>2570</v>
      </c>
      <c r="AD1875" s="2">
        <v>10</v>
      </c>
      <c r="AE1875" s="2" t="s">
        <v>59</v>
      </c>
      <c r="AF1875" s="2" t="s">
        <v>86</v>
      </c>
      <c r="AG1875" s="2" t="s">
        <v>61</v>
      </c>
      <c r="AH1875" s="2" t="s">
        <v>62</v>
      </c>
      <c r="AI1875" s="2" t="s">
        <v>87</v>
      </c>
      <c r="AJ1875" s="2">
        <v>1.4960218432835</v>
      </c>
      <c r="AK1875" s="2">
        <v>1.5436531999563501</v>
      </c>
      <c r="AL1875" s="2">
        <v>0.81852170404864899</v>
      </c>
      <c r="AM1875" s="2">
        <v>7.4857065023814506E-2</v>
      </c>
      <c r="AN1875" s="2">
        <v>4.7243866870865299</v>
      </c>
      <c r="AO1875" s="2">
        <v>0.196034393556032</v>
      </c>
      <c r="AP1875" s="2">
        <v>0.196034393556032</v>
      </c>
      <c r="AQ1875" s="2">
        <v>0</v>
      </c>
      <c r="AR1875" s="2">
        <v>0</v>
      </c>
      <c r="AS1875" s="2">
        <v>0</v>
      </c>
      <c r="AT1875" s="2">
        <v>0</v>
      </c>
      <c r="AU1875" s="2">
        <v>3</v>
      </c>
      <c r="AV1875" s="2">
        <v>95</v>
      </c>
      <c r="AW1875" s="2">
        <v>0</v>
      </c>
      <c r="AX1875" s="2">
        <v>0</v>
      </c>
      <c r="AY1875" s="2">
        <v>15.5</v>
      </c>
      <c r="AZ1875" s="2">
        <v>2.4</v>
      </c>
      <c r="BA1875" s="2">
        <v>10.9</v>
      </c>
      <c r="BB1875" s="2">
        <v>564</v>
      </c>
      <c r="BC1875" s="2">
        <v>68</v>
      </c>
      <c r="BD1875" s="2">
        <v>1.5</v>
      </c>
      <c r="BE1875" s="2">
        <v>135</v>
      </c>
      <c r="BF1875" s="2">
        <v>0</v>
      </c>
      <c r="BG1875" s="2">
        <v>162</v>
      </c>
      <c r="BH1875" s="2">
        <v>9.1</v>
      </c>
      <c r="BI1875" s="2">
        <v>9.1999999999999993</v>
      </c>
      <c r="BJ1875" s="2">
        <v>18.3</v>
      </c>
      <c r="BK1875" s="2">
        <v>0.34</v>
      </c>
      <c r="BL1875" s="2">
        <v>7.3</v>
      </c>
      <c r="BM1875" s="2">
        <v>0.9</v>
      </c>
      <c r="BN1875" s="2">
        <v>7.5</v>
      </c>
      <c r="BO1875" s="2">
        <v>2.9</v>
      </c>
      <c r="BP1875" s="2">
        <f t="shared" si="58"/>
        <v>2.1144111459661437</v>
      </c>
      <c r="BQ1875" s="2">
        <f t="shared" si="59"/>
        <v>10.250599380002152</v>
      </c>
    </row>
    <row r="1876" spans="1:69" x14ac:dyDescent="0.2">
      <c r="A1876" s="2" t="s">
        <v>4132</v>
      </c>
      <c r="B1876" s="2" t="s">
        <v>47</v>
      </c>
      <c r="C1876" s="2" t="s">
        <v>3273</v>
      </c>
      <c r="D1876" s="2" t="s">
        <v>49</v>
      </c>
      <c r="E1876" s="2" t="s">
        <v>727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89</v>
      </c>
      <c r="L1876" s="6" t="s">
        <v>90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4133</v>
      </c>
      <c r="R1876" s="2">
        <v>10644257.699999999</v>
      </c>
      <c r="S1876" s="2">
        <v>0</v>
      </c>
      <c r="T1876" s="2" t="s">
        <v>83</v>
      </c>
      <c r="U1876" s="2" t="s">
        <v>84</v>
      </c>
      <c r="V1876" s="2" t="s">
        <v>56</v>
      </c>
      <c r="W1876" s="2" t="s">
        <v>83</v>
      </c>
      <c r="X1876" s="2" t="s">
        <v>85</v>
      </c>
      <c r="Y1876" s="2">
        <v>2.3478533244475801</v>
      </c>
      <c r="Z1876" s="2">
        <v>2347.8533244475798</v>
      </c>
      <c r="AA1876" s="2">
        <v>4.71035</v>
      </c>
      <c r="AB1876" s="2">
        <v>-74.030416666666696</v>
      </c>
      <c r="AC1876" s="2">
        <v>2570</v>
      </c>
      <c r="AD1876" s="2">
        <v>10</v>
      </c>
      <c r="AE1876" s="2" t="s">
        <v>59</v>
      </c>
      <c r="AF1876" s="2" t="s">
        <v>86</v>
      </c>
      <c r="AG1876" s="2" t="s">
        <v>61</v>
      </c>
      <c r="AH1876" s="2" t="s">
        <v>62</v>
      </c>
      <c r="AI1876" s="2" t="s">
        <v>87</v>
      </c>
      <c r="AJ1876" s="2">
        <v>1.3028335670607101</v>
      </c>
      <c r="AK1876" s="2">
        <v>1.94085951715511</v>
      </c>
      <c r="AL1876" s="2">
        <v>0.63870640100089304</v>
      </c>
      <c r="AM1876" s="2">
        <v>9.9270236497732006E-2</v>
      </c>
      <c r="AN1876" s="2">
        <v>4.7535306655804401</v>
      </c>
      <c r="AO1876" s="2">
        <v>0.202446385717198</v>
      </c>
      <c r="AP1876" s="2">
        <v>0.202446385717198</v>
      </c>
      <c r="AQ1876" s="2">
        <v>0</v>
      </c>
      <c r="AR1876" s="2">
        <v>0</v>
      </c>
      <c r="AS1876" s="2">
        <v>0</v>
      </c>
      <c r="AT1876" s="2">
        <v>0</v>
      </c>
      <c r="AU1876" s="2">
        <v>1</v>
      </c>
      <c r="AV1876" s="2">
        <v>125</v>
      </c>
      <c r="AW1876" s="2">
        <v>0</v>
      </c>
      <c r="AX1876" s="2">
        <v>0</v>
      </c>
      <c r="AY1876" s="2">
        <v>15.5</v>
      </c>
      <c r="AZ1876" s="2">
        <v>2.4</v>
      </c>
      <c r="BA1876" s="2">
        <v>10.9</v>
      </c>
      <c r="BB1876" s="2">
        <v>564</v>
      </c>
      <c r="BC1876" s="2">
        <v>68</v>
      </c>
      <c r="BD1876" s="2">
        <v>1.5</v>
      </c>
      <c r="BE1876" s="2">
        <v>135</v>
      </c>
      <c r="BF1876" s="2">
        <v>0</v>
      </c>
      <c r="BG1876" s="2">
        <v>162</v>
      </c>
      <c r="BH1876" s="2">
        <v>9.1</v>
      </c>
      <c r="BI1876" s="2">
        <v>9.1999999999999993</v>
      </c>
      <c r="BJ1876" s="2">
        <v>18.3</v>
      </c>
      <c r="BK1876" s="2">
        <v>0.34</v>
      </c>
      <c r="BL1876" s="2">
        <v>7.3</v>
      </c>
      <c r="BM1876" s="2">
        <v>0.9</v>
      </c>
      <c r="BN1876" s="2">
        <v>7.5</v>
      </c>
      <c r="BO1876" s="2">
        <v>2.9</v>
      </c>
      <c r="BP1876" s="2">
        <f t="shared" si="58"/>
        <v>2.1366731098572673</v>
      </c>
      <c r="BQ1876" s="2">
        <f t="shared" si="59"/>
        <v>10.302785643013246</v>
      </c>
    </row>
    <row r="1877" spans="1:69" x14ac:dyDescent="0.2">
      <c r="A1877" s="2" t="s">
        <v>4581</v>
      </c>
      <c r="B1877" s="2" t="s">
        <v>47</v>
      </c>
      <c r="C1877" s="2" t="s">
        <v>3273</v>
      </c>
      <c r="D1877" s="2" t="s">
        <v>49</v>
      </c>
      <c r="E1877" s="2" t="s">
        <v>1004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89</v>
      </c>
      <c r="L1877" s="6" t="s">
        <v>90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4582</v>
      </c>
      <c r="R1877" s="2">
        <v>7187500</v>
      </c>
      <c r="S1877" s="2">
        <v>0</v>
      </c>
      <c r="T1877" s="2" t="s">
        <v>83</v>
      </c>
      <c r="U1877" s="2" t="s">
        <v>84</v>
      </c>
      <c r="V1877" s="2" t="s">
        <v>56</v>
      </c>
      <c r="W1877" s="2" t="s">
        <v>83</v>
      </c>
      <c r="X1877" s="2" t="s">
        <v>85</v>
      </c>
      <c r="Y1877" s="2">
        <v>3.9942199354541499</v>
      </c>
      <c r="Z1877" s="2">
        <v>3994.2199354541499</v>
      </c>
      <c r="AA1877" s="2">
        <v>4.71035</v>
      </c>
      <c r="AB1877" s="2">
        <v>-74.030416666666696</v>
      </c>
      <c r="AC1877" s="2">
        <v>2570</v>
      </c>
      <c r="AD1877" s="2">
        <v>10</v>
      </c>
      <c r="AE1877" s="2" t="s">
        <v>59</v>
      </c>
      <c r="AF1877" s="2" t="s">
        <v>86</v>
      </c>
      <c r="AG1877" s="2" t="s">
        <v>61</v>
      </c>
      <c r="AH1877" s="2" t="s">
        <v>62</v>
      </c>
      <c r="AI1877" s="2" t="s">
        <v>87</v>
      </c>
      <c r="AJ1877" s="2">
        <v>2.6407045324744001</v>
      </c>
      <c r="AK1877" s="2">
        <v>0.48875716121864698</v>
      </c>
      <c r="AL1877" s="2">
        <v>0.45826802298006403</v>
      </c>
      <c r="AM1877" s="2">
        <v>0.37554409112237502</v>
      </c>
      <c r="AN1877" s="2">
        <v>0.57410411898594205</v>
      </c>
      <c r="AO1877" s="2">
        <v>0.28707075346713701</v>
      </c>
      <c r="AP1877" s="2">
        <v>0.28707075346713701</v>
      </c>
      <c r="AQ1877" s="2">
        <v>0</v>
      </c>
      <c r="AR1877" s="2">
        <v>0</v>
      </c>
      <c r="AS1877" s="2">
        <v>2</v>
      </c>
      <c r="AT1877" s="2">
        <v>42</v>
      </c>
      <c r="AU1877" s="2">
        <v>3</v>
      </c>
      <c r="AV1877" s="2">
        <v>5</v>
      </c>
      <c r="AW1877" s="2">
        <v>1</v>
      </c>
      <c r="AX1877" s="2">
        <v>0</v>
      </c>
      <c r="AY1877" s="2">
        <v>15.5</v>
      </c>
      <c r="AZ1877" s="2">
        <v>2.4</v>
      </c>
      <c r="BA1877" s="2">
        <v>10.9</v>
      </c>
      <c r="BB1877" s="2">
        <v>564</v>
      </c>
      <c r="BC1877" s="2">
        <v>68</v>
      </c>
      <c r="BD1877" s="2">
        <v>1.5</v>
      </c>
      <c r="BE1877" s="2">
        <v>135</v>
      </c>
      <c r="BF1877" s="2">
        <v>0</v>
      </c>
      <c r="BG1877" s="2">
        <v>162</v>
      </c>
      <c r="BH1877" s="2">
        <v>9.1</v>
      </c>
      <c r="BI1877" s="2">
        <v>9.1999999999999993</v>
      </c>
      <c r="BJ1877" s="2">
        <v>18.3</v>
      </c>
      <c r="BK1877" s="2">
        <v>0.34</v>
      </c>
      <c r="BL1877" s="2">
        <v>7.3</v>
      </c>
      <c r="BM1877" s="2">
        <v>0.9</v>
      </c>
      <c r="BN1877" s="2">
        <v>7.5</v>
      </c>
      <c r="BO1877" s="2">
        <v>2.9</v>
      </c>
      <c r="BP1877" s="2">
        <f t="shared" si="58"/>
        <v>1.9694510528612701</v>
      </c>
      <c r="BQ1877" s="2">
        <f t="shared" si="59"/>
        <v>9.9036315269693436</v>
      </c>
    </row>
    <row r="1878" spans="1:69" x14ac:dyDescent="0.2">
      <c r="A1878" s="2" t="s">
        <v>4122</v>
      </c>
      <c r="B1878" s="2" t="s">
        <v>47</v>
      </c>
      <c r="C1878" s="2" t="s">
        <v>3273</v>
      </c>
      <c r="D1878" s="2" t="s">
        <v>49</v>
      </c>
      <c r="E1878" s="2" t="s">
        <v>305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89</v>
      </c>
      <c r="L1878" s="6" t="s">
        <v>90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4123</v>
      </c>
      <c r="R1878" s="2">
        <v>6698973.7740000002</v>
      </c>
      <c r="S1878" s="2">
        <v>0</v>
      </c>
      <c r="T1878" s="2" t="s">
        <v>83</v>
      </c>
      <c r="U1878" s="2" t="s">
        <v>84</v>
      </c>
      <c r="V1878" s="2" t="s">
        <v>56</v>
      </c>
      <c r="W1878" s="2" t="s">
        <v>83</v>
      </c>
      <c r="X1878" s="2" t="s">
        <v>85</v>
      </c>
      <c r="Y1878" s="2">
        <v>4.1601507162880598</v>
      </c>
      <c r="Z1878" s="2">
        <v>4160.1507162880598</v>
      </c>
      <c r="AA1878" s="2">
        <v>4.71035</v>
      </c>
      <c r="AB1878" s="2">
        <v>-74.030416666666696</v>
      </c>
      <c r="AC1878" s="2">
        <v>2570</v>
      </c>
      <c r="AD1878" s="2">
        <v>10</v>
      </c>
      <c r="AE1878" s="2" t="s">
        <v>59</v>
      </c>
      <c r="AF1878" s="2" t="s">
        <v>86</v>
      </c>
      <c r="AG1878" s="2" t="s">
        <v>61</v>
      </c>
      <c r="AH1878" s="2" t="s">
        <v>62</v>
      </c>
      <c r="AI1878" s="2" t="s">
        <v>87</v>
      </c>
      <c r="AJ1878" s="2">
        <v>2.4306188228005201</v>
      </c>
      <c r="AK1878" s="2">
        <v>0.57043560649590697</v>
      </c>
      <c r="AL1878" s="2">
        <v>0.20659774556529101</v>
      </c>
      <c r="AM1878" s="2">
        <v>0.62851379511449801</v>
      </c>
      <c r="AN1878" s="2">
        <v>0.66351148287764905</v>
      </c>
      <c r="AO1878" s="2">
        <v>0.441633084097802</v>
      </c>
      <c r="AP1878" s="2">
        <v>0.441633084097802</v>
      </c>
      <c r="AQ1878" s="2">
        <v>0</v>
      </c>
      <c r="AR1878" s="2">
        <v>0</v>
      </c>
      <c r="AS1878" s="2">
        <v>0</v>
      </c>
      <c r="AT1878" s="2">
        <v>29</v>
      </c>
      <c r="AU1878" s="2">
        <v>3</v>
      </c>
      <c r="AV1878" s="2">
        <v>4</v>
      </c>
      <c r="AW1878" s="2">
        <v>1</v>
      </c>
      <c r="AX1878" s="2">
        <v>0</v>
      </c>
      <c r="AY1878" s="2">
        <v>15.5</v>
      </c>
      <c r="AZ1878" s="2">
        <v>2.4</v>
      </c>
      <c r="BA1878" s="2">
        <v>10.9</v>
      </c>
      <c r="BB1878" s="2">
        <v>564</v>
      </c>
      <c r="BC1878" s="2">
        <v>68</v>
      </c>
      <c r="BD1878" s="2">
        <v>1.5</v>
      </c>
      <c r="BE1878" s="2">
        <v>135</v>
      </c>
      <c r="BF1878" s="2">
        <v>0</v>
      </c>
      <c r="BG1878" s="2">
        <v>162</v>
      </c>
      <c r="BH1878" s="2">
        <v>9.1</v>
      </c>
      <c r="BI1878" s="2">
        <v>9.1999999999999993</v>
      </c>
      <c r="BJ1878" s="2">
        <v>18.3</v>
      </c>
      <c r="BK1878" s="2">
        <v>0.34</v>
      </c>
      <c r="BL1878" s="2">
        <v>7.3</v>
      </c>
      <c r="BM1878" s="2">
        <v>0.9</v>
      </c>
      <c r="BN1878" s="2">
        <v>7.5</v>
      </c>
      <c r="BO1878" s="2">
        <v>2.9</v>
      </c>
      <c r="BP1878" s="2">
        <f t="shared" si="58"/>
        <v>1.953341072410071</v>
      </c>
      <c r="BQ1878" s="2">
        <f t="shared" si="59"/>
        <v>9.8642703382850971</v>
      </c>
    </row>
    <row r="1879" spans="1:69" x14ac:dyDescent="0.2">
      <c r="A1879" s="2" t="s">
        <v>4562</v>
      </c>
      <c r="B1879" s="2" t="s">
        <v>47</v>
      </c>
      <c r="C1879" s="2" t="s">
        <v>3273</v>
      </c>
      <c r="D1879" s="2" t="s">
        <v>49</v>
      </c>
      <c r="E1879" s="2" t="s">
        <v>4563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89</v>
      </c>
      <c r="L1879" s="6" t="s">
        <v>90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4564</v>
      </c>
      <c r="R1879" s="2">
        <v>6428571.4289999995</v>
      </c>
      <c r="S1879" s="2">
        <v>0</v>
      </c>
      <c r="T1879" s="2" t="s">
        <v>83</v>
      </c>
      <c r="U1879" s="2" t="s">
        <v>84</v>
      </c>
      <c r="V1879" s="2" t="s">
        <v>56</v>
      </c>
      <c r="W1879" s="2" t="s">
        <v>83</v>
      </c>
      <c r="X1879" s="2" t="s">
        <v>85</v>
      </c>
      <c r="Y1879" s="2">
        <v>4.2997051913261899</v>
      </c>
      <c r="Z1879" s="2">
        <v>4299.7051913261903</v>
      </c>
      <c r="AA1879" s="2">
        <v>4.71035</v>
      </c>
      <c r="AB1879" s="2">
        <v>-74.030416666666696</v>
      </c>
      <c r="AC1879" s="2">
        <v>2570</v>
      </c>
      <c r="AD1879" s="2">
        <v>10</v>
      </c>
      <c r="AE1879" s="2" t="s">
        <v>59</v>
      </c>
      <c r="AF1879" s="2" t="s">
        <v>86</v>
      </c>
      <c r="AG1879" s="2" t="s">
        <v>61</v>
      </c>
      <c r="AH1879" s="2" t="s">
        <v>62</v>
      </c>
      <c r="AI1879" s="2" t="s">
        <v>87</v>
      </c>
      <c r="AJ1879" s="2">
        <v>2.1868079186565499</v>
      </c>
      <c r="AK1879" s="2">
        <v>0.74301093231608595</v>
      </c>
      <c r="AL1879" s="2">
        <v>0.17315534963458901</v>
      </c>
      <c r="AM1879" s="2">
        <v>0.812274986499817</v>
      </c>
      <c r="AN1879" s="2">
        <v>0.80857017245351104</v>
      </c>
      <c r="AO1879" s="2">
        <v>0.22128988675810901</v>
      </c>
      <c r="AP1879" s="2">
        <v>0.22128988675810901</v>
      </c>
      <c r="AQ1879" s="2">
        <v>0</v>
      </c>
      <c r="AR1879" s="2">
        <v>0</v>
      </c>
      <c r="AS1879" s="2">
        <v>0</v>
      </c>
      <c r="AT1879" s="2">
        <v>11</v>
      </c>
      <c r="AU1879" s="2">
        <v>3</v>
      </c>
      <c r="AV1879" s="2">
        <v>2</v>
      </c>
      <c r="AW1879" s="2">
        <v>1</v>
      </c>
      <c r="AX1879" s="2">
        <v>0</v>
      </c>
      <c r="AY1879" s="2">
        <v>15.5</v>
      </c>
      <c r="AZ1879" s="2">
        <v>2.4</v>
      </c>
      <c r="BA1879" s="2">
        <v>10.9</v>
      </c>
      <c r="BB1879" s="2">
        <v>564</v>
      </c>
      <c r="BC1879" s="2">
        <v>68</v>
      </c>
      <c r="BD1879" s="2">
        <v>1.5</v>
      </c>
      <c r="BE1879" s="2">
        <v>135</v>
      </c>
      <c r="BF1879" s="2">
        <v>0</v>
      </c>
      <c r="BG1879" s="2">
        <v>162</v>
      </c>
      <c r="BH1879" s="2">
        <v>9.1</v>
      </c>
      <c r="BI1879" s="2">
        <v>9.1999999999999993</v>
      </c>
      <c r="BJ1879" s="2">
        <v>18.3</v>
      </c>
      <c r="BK1879" s="2">
        <v>0.34</v>
      </c>
      <c r="BL1879" s="2">
        <v>7.3</v>
      </c>
      <c r="BM1879" s="2">
        <v>0.9</v>
      </c>
      <c r="BN1879" s="2">
        <v>7.5</v>
      </c>
      <c r="BO1879" s="2">
        <v>2.9</v>
      </c>
      <c r="BP1879" s="2">
        <f t="shared" si="58"/>
        <v>1.9398939960737487</v>
      </c>
      <c r="BQ1879" s="2">
        <f t="shared" si="59"/>
        <v>9.8312871309201277</v>
      </c>
    </row>
    <row r="1880" spans="1:69" x14ac:dyDescent="0.2">
      <c r="A1880" s="2" t="s">
        <v>4044</v>
      </c>
      <c r="B1880" s="2" t="s">
        <v>47</v>
      </c>
      <c r="C1880" s="2" t="s">
        <v>3273</v>
      </c>
      <c r="D1880" s="2" t="s">
        <v>49</v>
      </c>
      <c r="E1880" s="2" t="s">
        <v>4045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89</v>
      </c>
      <c r="L1880" s="6" t="s">
        <v>90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4046</v>
      </c>
      <c r="R1880" s="2">
        <v>6285714.2860000003</v>
      </c>
      <c r="S1880" s="2">
        <v>0</v>
      </c>
      <c r="T1880" s="2" t="s">
        <v>83</v>
      </c>
      <c r="U1880" s="2" t="s">
        <v>84</v>
      </c>
      <c r="V1880" s="2" t="s">
        <v>56</v>
      </c>
      <c r="W1880" s="2" t="s">
        <v>83</v>
      </c>
      <c r="X1880" s="2" t="s">
        <v>85</v>
      </c>
      <c r="Y1880" s="2">
        <v>4.2997051913261899</v>
      </c>
      <c r="Z1880" s="2">
        <v>4299.7051913261903</v>
      </c>
      <c r="AA1880" s="2">
        <v>4.71035</v>
      </c>
      <c r="AB1880" s="2">
        <v>-74.030416666666696</v>
      </c>
      <c r="AC1880" s="2">
        <v>2570</v>
      </c>
      <c r="AD1880" s="2">
        <v>10</v>
      </c>
      <c r="AE1880" s="2" t="s">
        <v>59</v>
      </c>
      <c r="AF1880" s="2" t="s">
        <v>86</v>
      </c>
      <c r="AG1880" s="2" t="s">
        <v>61</v>
      </c>
      <c r="AH1880" s="2" t="s">
        <v>62</v>
      </c>
      <c r="AI1880" s="2" t="s">
        <v>87</v>
      </c>
      <c r="AJ1880" s="2">
        <v>2.1868079186565499</v>
      </c>
      <c r="AK1880" s="2">
        <v>0.74301093231608595</v>
      </c>
      <c r="AL1880" s="2">
        <v>0.17315534963458901</v>
      </c>
      <c r="AM1880" s="2">
        <v>0.812274986499817</v>
      </c>
      <c r="AN1880" s="2">
        <v>0.80857017245351104</v>
      </c>
      <c r="AO1880" s="2">
        <v>0.22128988675810901</v>
      </c>
      <c r="AP1880" s="2">
        <v>0.22128988675810901</v>
      </c>
      <c r="AQ1880" s="2">
        <v>0</v>
      </c>
      <c r="AR1880" s="2">
        <v>0</v>
      </c>
      <c r="AS1880" s="2">
        <v>0</v>
      </c>
      <c r="AT1880" s="2">
        <v>11</v>
      </c>
      <c r="AU1880" s="2">
        <v>3</v>
      </c>
      <c r="AV1880" s="2">
        <v>2</v>
      </c>
      <c r="AW1880" s="2">
        <v>1</v>
      </c>
      <c r="AX1880" s="2">
        <v>0</v>
      </c>
      <c r="AY1880" s="2">
        <v>15.5</v>
      </c>
      <c r="AZ1880" s="2">
        <v>2.4</v>
      </c>
      <c r="BA1880" s="2">
        <v>10.9</v>
      </c>
      <c r="BB1880" s="2">
        <v>564</v>
      </c>
      <c r="BC1880" s="2">
        <v>68</v>
      </c>
      <c r="BD1880" s="2">
        <v>1.5</v>
      </c>
      <c r="BE1880" s="2">
        <v>135</v>
      </c>
      <c r="BF1880" s="2">
        <v>0</v>
      </c>
      <c r="BG1880" s="2">
        <v>162</v>
      </c>
      <c r="BH1880" s="2">
        <v>9.1</v>
      </c>
      <c r="BI1880" s="2">
        <v>9.1999999999999993</v>
      </c>
      <c r="BJ1880" s="2">
        <v>18.3</v>
      </c>
      <c r="BK1880" s="2">
        <v>0.34</v>
      </c>
      <c r="BL1880" s="2">
        <v>7.3</v>
      </c>
      <c r="BM1880" s="2">
        <v>0.9</v>
      </c>
      <c r="BN1880" s="2">
        <v>7.5</v>
      </c>
      <c r="BO1880" s="2">
        <v>2.9</v>
      </c>
      <c r="BP1880" s="2">
        <f t="shared" si="58"/>
        <v>1.9398939960737487</v>
      </c>
      <c r="BQ1880" s="2">
        <f t="shared" si="59"/>
        <v>9.8312871309201277</v>
      </c>
    </row>
    <row r="1881" spans="1:69" x14ac:dyDescent="0.2">
      <c r="A1881" s="2" t="s">
        <v>4074</v>
      </c>
      <c r="B1881" s="2" t="s">
        <v>47</v>
      </c>
      <c r="C1881" s="2" t="s">
        <v>3273</v>
      </c>
      <c r="D1881" s="2" t="s">
        <v>49</v>
      </c>
      <c r="E1881" s="2" t="s">
        <v>305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89</v>
      </c>
      <c r="L1881" s="6" t="s">
        <v>90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4075</v>
      </c>
      <c r="R1881" s="2">
        <v>6600000</v>
      </c>
      <c r="S1881" s="2">
        <v>0</v>
      </c>
      <c r="T1881" s="2" t="s">
        <v>83</v>
      </c>
      <c r="U1881" s="2" t="s">
        <v>84</v>
      </c>
      <c r="V1881" s="2" t="s">
        <v>56</v>
      </c>
      <c r="W1881" s="2" t="s">
        <v>83</v>
      </c>
      <c r="X1881" s="2" t="s">
        <v>85</v>
      </c>
      <c r="Y1881" s="2">
        <v>4.21627565727242</v>
      </c>
      <c r="Z1881" s="2">
        <v>4216.2756572724202</v>
      </c>
      <c r="AA1881" s="2">
        <v>4.71035</v>
      </c>
      <c r="AB1881" s="2">
        <v>-74.030416666666696</v>
      </c>
      <c r="AC1881" s="2">
        <v>2570</v>
      </c>
      <c r="AD1881" s="2">
        <v>10</v>
      </c>
      <c r="AE1881" s="2" t="s">
        <v>59</v>
      </c>
      <c r="AF1881" s="2" t="s">
        <v>86</v>
      </c>
      <c r="AG1881" s="2" t="s">
        <v>61</v>
      </c>
      <c r="AH1881" s="2" t="s">
        <v>62</v>
      </c>
      <c r="AI1881" s="2" t="s">
        <v>87</v>
      </c>
      <c r="AJ1881" s="2">
        <v>2.2040718727106401</v>
      </c>
      <c r="AK1881" s="2">
        <v>0.75926271503128495</v>
      </c>
      <c r="AL1881" s="2">
        <v>9.0944935654953707E-2</v>
      </c>
      <c r="AM1881" s="2">
        <v>0.73765152346276697</v>
      </c>
      <c r="AN1881" s="2">
        <v>0.72700206218890195</v>
      </c>
      <c r="AO1881" s="2">
        <v>0.21937538717999899</v>
      </c>
      <c r="AP1881" s="2">
        <v>0.21937538717999899</v>
      </c>
      <c r="AQ1881" s="2">
        <v>0</v>
      </c>
      <c r="AR1881" s="2">
        <v>0</v>
      </c>
      <c r="AS1881" s="2">
        <v>0</v>
      </c>
      <c r="AT1881" s="2">
        <v>13</v>
      </c>
      <c r="AU1881" s="2">
        <v>3</v>
      </c>
      <c r="AV1881" s="2">
        <v>3</v>
      </c>
      <c r="AW1881" s="2">
        <v>1</v>
      </c>
      <c r="AX1881" s="2">
        <v>0</v>
      </c>
      <c r="AY1881" s="2">
        <v>15.5</v>
      </c>
      <c r="AZ1881" s="2">
        <v>2.4</v>
      </c>
      <c r="BA1881" s="2">
        <v>10.9</v>
      </c>
      <c r="BB1881" s="2">
        <v>564</v>
      </c>
      <c r="BC1881" s="2">
        <v>68</v>
      </c>
      <c r="BD1881" s="2">
        <v>1.5</v>
      </c>
      <c r="BE1881" s="2">
        <v>135</v>
      </c>
      <c r="BF1881" s="2">
        <v>0</v>
      </c>
      <c r="BG1881" s="2">
        <v>162</v>
      </c>
      <c r="BH1881" s="2">
        <v>9.1</v>
      </c>
      <c r="BI1881" s="2">
        <v>9.1999999999999993</v>
      </c>
      <c r="BJ1881" s="2">
        <v>18.3</v>
      </c>
      <c r="BK1881" s="2">
        <v>0.34</v>
      </c>
      <c r="BL1881" s="2">
        <v>7.3</v>
      </c>
      <c r="BM1881" s="2">
        <v>0.9</v>
      </c>
      <c r="BN1881" s="2">
        <v>7.5</v>
      </c>
      <c r="BO1881" s="2">
        <v>2.9</v>
      </c>
      <c r="BP1881" s="2">
        <f t="shared" si="58"/>
        <v>1.9479218616352063</v>
      </c>
      <c r="BQ1881" s="2">
        <f t="shared" si="59"/>
        <v>9.8509921249858614</v>
      </c>
    </row>
    <row r="1882" spans="1:69" x14ac:dyDescent="0.2">
      <c r="A1882" s="2" t="s">
        <v>1575</v>
      </c>
      <c r="B1882" s="2" t="s">
        <v>47</v>
      </c>
      <c r="C1882" s="2" t="s">
        <v>48</v>
      </c>
      <c r="D1882" s="2" t="s">
        <v>49</v>
      </c>
      <c r="E1882" s="2" t="s">
        <v>305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89</v>
      </c>
      <c r="L1882" s="6" t="s">
        <v>90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1576</v>
      </c>
      <c r="R1882" s="2">
        <v>6857142.8569999998</v>
      </c>
      <c r="S1882" s="2">
        <v>0</v>
      </c>
      <c r="T1882" s="2" t="s">
        <v>83</v>
      </c>
      <c r="U1882" s="2" t="s">
        <v>84</v>
      </c>
      <c r="V1882" s="2" t="s">
        <v>56</v>
      </c>
      <c r="W1882" s="2" t="s">
        <v>83</v>
      </c>
      <c r="X1882" s="2" t="s">
        <v>85</v>
      </c>
      <c r="Y1882" s="2">
        <v>4.1600551476860304</v>
      </c>
      <c r="Z1882" s="2">
        <v>4160.0551476860301</v>
      </c>
      <c r="AA1882" s="2">
        <v>4.71035</v>
      </c>
      <c r="AB1882" s="2">
        <v>-74.030416666666696</v>
      </c>
      <c r="AC1882" s="2">
        <v>2570</v>
      </c>
      <c r="AD1882" s="2">
        <v>10</v>
      </c>
      <c r="AE1882" s="2" t="s">
        <v>59</v>
      </c>
      <c r="AF1882" s="2" t="s">
        <v>86</v>
      </c>
      <c r="AG1882" s="2" t="s">
        <v>61</v>
      </c>
      <c r="AH1882" s="2" t="s">
        <v>62</v>
      </c>
      <c r="AI1882" s="2" t="s">
        <v>87</v>
      </c>
      <c r="AJ1882" s="2">
        <v>2.2440630832381601</v>
      </c>
      <c r="AK1882" s="2">
        <v>0.74802179859555495</v>
      </c>
      <c r="AL1882" s="2">
        <v>3.6503519856919901E-2</v>
      </c>
      <c r="AM1882" s="2">
        <v>0.70296385751198898</v>
      </c>
      <c r="AN1882" s="2">
        <v>0.66773011009583505</v>
      </c>
      <c r="AO1882" s="2">
        <v>0.25209549042093599</v>
      </c>
      <c r="AP1882" s="2">
        <v>0.25209549042093599</v>
      </c>
      <c r="AQ1882" s="2">
        <v>0</v>
      </c>
      <c r="AR1882" s="2">
        <v>0</v>
      </c>
      <c r="AS1882" s="2">
        <v>0</v>
      </c>
      <c r="AT1882" s="2">
        <v>18</v>
      </c>
      <c r="AU1882" s="2">
        <v>3</v>
      </c>
      <c r="AV1882" s="2">
        <v>5</v>
      </c>
      <c r="AW1882" s="2">
        <v>1</v>
      </c>
      <c r="AX1882" s="2">
        <v>0</v>
      </c>
      <c r="AY1882" s="2">
        <v>15.5</v>
      </c>
      <c r="AZ1882" s="2">
        <v>2.4</v>
      </c>
      <c r="BA1882" s="2">
        <v>10.9</v>
      </c>
      <c r="BB1882" s="2">
        <v>564</v>
      </c>
      <c r="BC1882" s="2">
        <v>68</v>
      </c>
      <c r="BD1882" s="2">
        <v>1.5</v>
      </c>
      <c r="BE1882" s="2">
        <v>135</v>
      </c>
      <c r="BF1882" s="2">
        <v>0</v>
      </c>
      <c r="BG1882" s="2">
        <v>162</v>
      </c>
      <c r="BH1882" s="2">
        <v>9.1</v>
      </c>
      <c r="BI1882" s="2">
        <v>9.1999999999999993</v>
      </c>
      <c r="BJ1882" s="2">
        <v>18.3</v>
      </c>
      <c r="BK1882" s="2">
        <v>0.34</v>
      </c>
      <c r="BL1882" s="2">
        <v>7.3</v>
      </c>
      <c r="BM1882" s="2">
        <v>0.9</v>
      </c>
      <c r="BN1882" s="2">
        <v>7.5</v>
      </c>
      <c r="BO1882" s="2">
        <v>2.9</v>
      </c>
      <c r="BP1882" s="2">
        <f t="shared" si="58"/>
        <v>1.9533503129966692</v>
      </c>
      <c r="BQ1882" s="2">
        <f t="shared" si="59"/>
        <v>9.8642929634596737</v>
      </c>
    </row>
    <row r="1883" spans="1:69" x14ac:dyDescent="0.2">
      <c r="A1883" s="2" t="s">
        <v>3961</v>
      </c>
      <c r="B1883" s="2" t="s">
        <v>47</v>
      </c>
      <c r="C1883" s="2" t="s">
        <v>3273</v>
      </c>
      <c r="D1883" s="2" t="s">
        <v>49</v>
      </c>
      <c r="E1883" s="2" t="s">
        <v>1053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89</v>
      </c>
      <c r="L1883" s="6" t="s">
        <v>90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3962</v>
      </c>
      <c r="R1883" s="2">
        <v>14000000</v>
      </c>
      <c r="S1883" s="2">
        <v>0</v>
      </c>
      <c r="T1883" s="2" t="s">
        <v>83</v>
      </c>
      <c r="U1883" s="2" t="s">
        <v>84</v>
      </c>
      <c r="V1883" s="2" t="s">
        <v>56</v>
      </c>
      <c r="W1883" s="2" t="s">
        <v>83</v>
      </c>
      <c r="X1883" s="2" t="s">
        <v>85</v>
      </c>
      <c r="Y1883" s="2">
        <v>4.14302979186738</v>
      </c>
      <c r="Z1883" s="2">
        <v>4143.0297918673796</v>
      </c>
      <c r="AA1883" s="2">
        <v>4.71035</v>
      </c>
      <c r="AB1883" s="2">
        <v>-74.030416666666696</v>
      </c>
      <c r="AC1883" s="2">
        <v>2570</v>
      </c>
      <c r="AD1883" s="2">
        <v>10</v>
      </c>
      <c r="AE1883" s="2" t="s">
        <v>59</v>
      </c>
      <c r="AF1883" s="2" t="s">
        <v>86</v>
      </c>
      <c r="AG1883" s="2" t="s">
        <v>61</v>
      </c>
      <c r="AH1883" s="2" t="s">
        <v>62</v>
      </c>
      <c r="AI1883" s="2" t="s">
        <v>109</v>
      </c>
      <c r="AJ1883" s="2">
        <v>0.207668106354437</v>
      </c>
      <c r="AK1883" s="2">
        <v>2.09329747401237</v>
      </c>
      <c r="AL1883" s="2">
        <v>0.45002325994134401</v>
      </c>
      <c r="AM1883" s="2">
        <v>0.103851541631804</v>
      </c>
      <c r="AN1883" s="2">
        <v>3.0520333267352102</v>
      </c>
      <c r="AO1883" s="2">
        <v>0.25056051684137098</v>
      </c>
      <c r="AP1883" s="2">
        <v>0.25056051684137098</v>
      </c>
      <c r="AQ1883" s="2">
        <v>1</v>
      </c>
      <c r="AR1883" s="2">
        <v>3</v>
      </c>
      <c r="AS1883" s="2">
        <v>0</v>
      </c>
      <c r="AT1883" s="2">
        <v>0</v>
      </c>
      <c r="AU1883" s="2">
        <v>5</v>
      </c>
      <c r="AV1883" s="2">
        <v>249</v>
      </c>
      <c r="AW1883" s="2">
        <v>0</v>
      </c>
      <c r="AX1883" s="2">
        <v>0</v>
      </c>
      <c r="AY1883" s="2">
        <v>15.5</v>
      </c>
      <c r="AZ1883" s="2">
        <v>2.4</v>
      </c>
      <c r="BA1883" s="2">
        <v>10.9</v>
      </c>
      <c r="BB1883" s="2">
        <v>564</v>
      </c>
      <c r="BC1883" s="2">
        <v>68</v>
      </c>
      <c r="BD1883" s="2">
        <v>1.5</v>
      </c>
      <c r="BE1883" s="2">
        <v>135</v>
      </c>
      <c r="BF1883" s="2">
        <v>0</v>
      </c>
      <c r="BG1883" s="2">
        <v>162</v>
      </c>
      <c r="BH1883" s="2">
        <v>9.1</v>
      </c>
      <c r="BI1883" s="2">
        <v>9.1999999999999993</v>
      </c>
      <c r="BJ1883" s="2">
        <v>18.3</v>
      </c>
      <c r="BK1883" s="2">
        <v>0.34</v>
      </c>
      <c r="BL1883" s="2">
        <v>7.3</v>
      </c>
      <c r="BM1883" s="2">
        <v>0.9</v>
      </c>
      <c r="BN1883" s="2">
        <v>7.5</v>
      </c>
      <c r="BO1883" s="2">
        <v>2.9</v>
      </c>
      <c r="BP1883" s="2">
        <f t="shared" si="58"/>
        <v>1.9549972028254108</v>
      </c>
      <c r="BQ1883" s="2">
        <f t="shared" si="59"/>
        <v>9.8683244213901062</v>
      </c>
    </row>
    <row r="1884" spans="1:69" x14ac:dyDescent="0.2">
      <c r="A1884" s="2" t="s">
        <v>3965</v>
      </c>
      <c r="B1884" s="2" t="s">
        <v>47</v>
      </c>
      <c r="C1884" s="2" t="s">
        <v>3273</v>
      </c>
      <c r="D1884" s="2" t="s">
        <v>49</v>
      </c>
      <c r="E1884" s="2" t="s">
        <v>1053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89</v>
      </c>
      <c r="L1884" s="6" t="s">
        <v>90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3966</v>
      </c>
      <c r="R1884" s="2">
        <v>14000000</v>
      </c>
      <c r="S1884" s="2">
        <v>0</v>
      </c>
      <c r="T1884" s="2" t="s">
        <v>83</v>
      </c>
      <c r="U1884" s="2" t="s">
        <v>84</v>
      </c>
      <c r="V1884" s="2" t="s">
        <v>56</v>
      </c>
      <c r="W1884" s="2" t="s">
        <v>83</v>
      </c>
      <c r="X1884" s="2" t="s">
        <v>85</v>
      </c>
      <c r="Y1884" s="2">
        <v>4.14302979186738</v>
      </c>
      <c r="Z1884" s="2">
        <v>4143.0297918673796</v>
      </c>
      <c r="AA1884" s="2">
        <v>4.71035</v>
      </c>
      <c r="AB1884" s="2">
        <v>-74.030416666666696</v>
      </c>
      <c r="AC1884" s="2">
        <v>2570</v>
      </c>
      <c r="AD1884" s="2">
        <v>10</v>
      </c>
      <c r="AE1884" s="2" t="s">
        <v>59</v>
      </c>
      <c r="AF1884" s="2" t="s">
        <v>86</v>
      </c>
      <c r="AG1884" s="2" t="s">
        <v>61</v>
      </c>
      <c r="AH1884" s="2" t="s">
        <v>62</v>
      </c>
      <c r="AI1884" s="2" t="s">
        <v>109</v>
      </c>
      <c r="AJ1884" s="2">
        <v>0.207668106354437</v>
      </c>
      <c r="AK1884" s="2">
        <v>2.09329747401237</v>
      </c>
      <c r="AL1884" s="2">
        <v>0.45002325994134401</v>
      </c>
      <c r="AM1884" s="2">
        <v>0.103851541631804</v>
      </c>
      <c r="AN1884" s="2">
        <v>3.0520333267352102</v>
      </c>
      <c r="AO1884" s="2">
        <v>0.25056051684137098</v>
      </c>
      <c r="AP1884" s="2">
        <v>0.25056051684137098</v>
      </c>
      <c r="AQ1884" s="2">
        <v>1</v>
      </c>
      <c r="AR1884" s="2">
        <v>3</v>
      </c>
      <c r="AS1884" s="2">
        <v>0</v>
      </c>
      <c r="AT1884" s="2">
        <v>0</v>
      </c>
      <c r="AU1884" s="2">
        <v>5</v>
      </c>
      <c r="AV1884" s="2">
        <v>249</v>
      </c>
      <c r="AW1884" s="2">
        <v>0</v>
      </c>
      <c r="AX1884" s="2">
        <v>0</v>
      </c>
      <c r="AY1884" s="2">
        <v>15.5</v>
      </c>
      <c r="AZ1884" s="2">
        <v>2.4</v>
      </c>
      <c r="BA1884" s="2">
        <v>10.9</v>
      </c>
      <c r="BB1884" s="2">
        <v>564</v>
      </c>
      <c r="BC1884" s="2">
        <v>68</v>
      </c>
      <c r="BD1884" s="2">
        <v>1.5</v>
      </c>
      <c r="BE1884" s="2">
        <v>135</v>
      </c>
      <c r="BF1884" s="2">
        <v>0</v>
      </c>
      <c r="BG1884" s="2">
        <v>162</v>
      </c>
      <c r="BH1884" s="2">
        <v>9.1</v>
      </c>
      <c r="BI1884" s="2">
        <v>9.1999999999999993</v>
      </c>
      <c r="BJ1884" s="2">
        <v>18.3</v>
      </c>
      <c r="BK1884" s="2">
        <v>0.34</v>
      </c>
      <c r="BL1884" s="2">
        <v>7.3</v>
      </c>
      <c r="BM1884" s="2">
        <v>0.9</v>
      </c>
      <c r="BN1884" s="2">
        <v>7.5</v>
      </c>
      <c r="BO1884" s="2">
        <v>2.9</v>
      </c>
      <c r="BP1884" s="2">
        <f t="shared" si="58"/>
        <v>1.9549972028254108</v>
      </c>
      <c r="BQ1884" s="2">
        <f t="shared" si="59"/>
        <v>9.8683244213901062</v>
      </c>
    </row>
    <row r="1885" spans="1:69" x14ac:dyDescent="0.2">
      <c r="A1885" s="2" t="s">
        <v>3933</v>
      </c>
      <c r="B1885" s="2" t="s">
        <v>47</v>
      </c>
      <c r="C1885" s="2" t="s">
        <v>3273</v>
      </c>
      <c r="D1885" s="2" t="s">
        <v>49</v>
      </c>
      <c r="E1885" s="2" t="s">
        <v>111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89</v>
      </c>
      <c r="L1885" s="6" t="s">
        <v>90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3934</v>
      </c>
      <c r="R1885" s="2">
        <v>14000000</v>
      </c>
      <c r="S1885" s="2">
        <v>0</v>
      </c>
      <c r="T1885" s="2" t="s">
        <v>83</v>
      </c>
      <c r="U1885" s="2" t="s">
        <v>84</v>
      </c>
      <c r="V1885" s="2" t="s">
        <v>56</v>
      </c>
      <c r="W1885" s="2" t="s">
        <v>83</v>
      </c>
      <c r="X1885" s="2" t="s">
        <v>85</v>
      </c>
      <c r="Y1885" s="2">
        <v>4.1429088536875804</v>
      </c>
      <c r="Z1885" s="2">
        <v>4142.9088536875797</v>
      </c>
      <c r="AA1885" s="2">
        <v>4.71035</v>
      </c>
      <c r="AB1885" s="2">
        <v>-74.030416666666696</v>
      </c>
      <c r="AC1885" s="2">
        <v>2570</v>
      </c>
      <c r="AD1885" s="2">
        <v>10</v>
      </c>
      <c r="AE1885" s="2" t="s">
        <v>59</v>
      </c>
      <c r="AF1885" s="2" t="s">
        <v>86</v>
      </c>
      <c r="AG1885" s="2" t="s">
        <v>61</v>
      </c>
      <c r="AH1885" s="2" t="s">
        <v>62</v>
      </c>
      <c r="AI1885" s="2" t="s">
        <v>109</v>
      </c>
      <c r="AJ1885" s="2">
        <v>0.20784631608352799</v>
      </c>
      <c r="AK1885" s="2">
        <v>2.09312842343143</v>
      </c>
      <c r="AL1885" s="2">
        <v>0.44988270891597099</v>
      </c>
      <c r="AM1885" s="2">
        <v>0.104016267640442</v>
      </c>
      <c r="AN1885" s="2">
        <v>3.0522067366010002</v>
      </c>
      <c r="AO1885" s="2">
        <v>0.25074803894300801</v>
      </c>
      <c r="AP1885" s="2">
        <v>0.25074803894300801</v>
      </c>
      <c r="AQ1885" s="2">
        <v>1</v>
      </c>
      <c r="AR1885" s="2">
        <v>3</v>
      </c>
      <c r="AS1885" s="2">
        <v>0</v>
      </c>
      <c r="AT1885" s="2">
        <v>0</v>
      </c>
      <c r="AU1885" s="2">
        <v>5</v>
      </c>
      <c r="AV1885" s="2">
        <v>249</v>
      </c>
      <c r="AW1885" s="2">
        <v>0</v>
      </c>
      <c r="AX1885" s="2">
        <v>0</v>
      </c>
      <c r="AY1885" s="2">
        <v>15.5</v>
      </c>
      <c r="AZ1885" s="2">
        <v>2.4</v>
      </c>
      <c r="BA1885" s="2">
        <v>10.9</v>
      </c>
      <c r="BB1885" s="2">
        <v>564</v>
      </c>
      <c r="BC1885" s="2">
        <v>68</v>
      </c>
      <c r="BD1885" s="2">
        <v>1.5</v>
      </c>
      <c r="BE1885" s="2">
        <v>135</v>
      </c>
      <c r="BF1885" s="2">
        <v>0</v>
      </c>
      <c r="BG1885" s="2">
        <v>162</v>
      </c>
      <c r="BH1885" s="2">
        <v>9.1</v>
      </c>
      <c r="BI1885" s="2">
        <v>9.1999999999999993</v>
      </c>
      <c r="BJ1885" s="2">
        <v>18.3</v>
      </c>
      <c r="BK1885" s="2">
        <v>0.34</v>
      </c>
      <c r="BL1885" s="2">
        <v>7.3</v>
      </c>
      <c r="BM1885" s="2">
        <v>0.9</v>
      </c>
      <c r="BN1885" s="2">
        <v>7.5</v>
      </c>
      <c r="BO1885" s="2">
        <v>2.9</v>
      </c>
      <c r="BP1885" s="2">
        <f t="shared" si="58"/>
        <v>1.9550089063337017</v>
      </c>
      <c r="BQ1885" s="2">
        <f t="shared" si="59"/>
        <v>9.868353064404312</v>
      </c>
    </row>
    <row r="1886" spans="1:69" x14ac:dyDescent="0.2">
      <c r="A1886" s="2" t="s">
        <v>4313</v>
      </c>
      <c r="B1886" s="2" t="s">
        <v>47</v>
      </c>
      <c r="C1886" s="2" t="s">
        <v>3273</v>
      </c>
      <c r="D1886" s="2" t="s">
        <v>49</v>
      </c>
      <c r="E1886" s="2" t="s">
        <v>172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89</v>
      </c>
      <c r="L1886" s="6" t="s">
        <v>90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4314</v>
      </c>
      <c r="R1886" s="2">
        <v>10315186.25</v>
      </c>
      <c r="S1886" s="2">
        <v>0</v>
      </c>
      <c r="T1886" s="2" t="s">
        <v>83</v>
      </c>
      <c r="U1886" s="2" t="s">
        <v>84</v>
      </c>
      <c r="V1886" s="2" t="s">
        <v>56</v>
      </c>
      <c r="W1886" s="2" t="s">
        <v>83</v>
      </c>
      <c r="X1886" s="2" t="s">
        <v>85</v>
      </c>
      <c r="Y1886" s="2">
        <v>1.5087400523179999</v>
      </c>
      <c r="Z1886" s="2">
        <v>1508.7400523179999</v>
      </c>
      <c r="AA1886" s="2">
        <v>4.71035</v>
      </c>
      <c r="AB1886" s="2">
        <v>-74.030416666666696</v>
      </c>
      <c r="AC1886" s="2">
        <v>2570</v>
      </c>
      <c r="AD1886" s="2">
        <v>10</v>
      </c>
      <c r="AE1886" s="2" t="s">
        <v>59</v>
      </c>
      <c r="AF1886" s="2" t="s">
        <v>86</v>
      </c>
      <c r="AG1886" s="2" t="s">
        <v>61</v>
      </c>
      <c r="AH1886" s="2" t="s">
        <v>62</v>
      </c>
      <c r="AI1886" s="2" t="s">
        <v>87</v>
      </c>
      <c r="AJ1886" s="2">
        <v>2.5120856105127198</v>
      </c>
      <c r="AK1886" s="2">
        <v>0.75784026608077903</v>
      </c>
      <c r="AL1886" s="2">
        <v>0.43211103286762298</v>
      </c>
      <c r="AM1886" s="2">
        <v>5.3394259741391802E-2</v>
      </c>
      <c r="AN1886" s="2">
        <v>4.9674135295922</v>
      </c>
      <c r="AO1886" s="2">
        <v>9.8890011000324005E-2</v>
      </c>
      <c r="AP1886" s="2">
        <v>9.8890011000324005E-2</v>
      </c>
      <c r="AQ1886" s="2">
        <v>0</v>
      </c>
      <c r="AR1886" s="2">
        <v>0</v>
      </c>
      <c r="AS1886" s="2">
        <v>0</v>
      </c>
      <c r="AT1886" s="2">
        <v>17</v>
      </c>
      <c r="AU1886" s="2">
        <v>2</v>
      </c>
      <c r="AV1886" s="2">
        <v>140</v>
      </c>
      <c r="AW1886" s="2">
        <v>0</v>
      </c>
      <c r="AX1886" s="2">
        <v>0</v>
      </c>
      <c r="AY1886" s="2">
        <v>15.5</v>
      </c>
      <c r="AZ1886" s="2">
        <v>2.4</v>
      </c>
      <c r="BA1886" s="2">
        <v>10.9</v>
      </c>
      <c r="BB1886" s="2">
        <v>564</v>
      </c>
      <c r="BC1886" s="2">
        <v>68</v>
      </c>
      <c r="BD1886" s="2">
        <v>1.5</v>
      </c>
      <c r="BE1886" s="2">
        <v>135</v>
      </c>
      <c r="BF1886" s="2">
        <v>0</v>
      </c>
      <c r="BG1886" s="2">
        <v>162</v>
      </c>
      <c r="BH1886" s="2">
        <v>9.1</v>
      </c>
      <c r="BI1886" s="2">
        <v>9.1999999999999993</v>
      </c>
      <c r="BJ1886" s="2">
        <v>18.3</v>
      </c>
      <c r="BK1886" s="2">
        <v>0.34</v>
      </c>
      <c r="BL1886" s="2">
        <v>7.3</v>
      </c>
      <c r="BM1886" s="2">
        <v>0.9</v>
      </c>
      <c r="BN1886" s="2">
        <v>7.5</v>
      </c>
      <c r="BO1886" s="2">
        <v>2.9</v>
      </c>
      <c r="BP1886" s="2">
        <f t="shared" si="58"/>
        <v>2.2272911246478246</v>
      </c>
      <c r="BQ1886" s="2">
        <f t="shared" si="59"/>
        <v>10.512373878934261</v>
      </c>
    </row>
    <row r="1887" spans="1:69" x14ac:dyDescent="0.2">
      <c r="A1887" s="2" t="s">
        <v>4542</v>
      </c>
      <c r="B1887" s="2" t="s">
        <v>47</v>
      </c>
      <c r="C1887" s="2" t="s">
        <v>3273</v>
      </c>
      <c r="D1887" s="2" t="s">
        <v>49</v>
      </c>
      <c r="E1887" s="2" t="s">
        <v>373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89</v>
      </c>
      <c r="L1887" s="6" t="s">
        <v>141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4543</v>
      </c>
      <c r="R1887" s="2">
        <v>8944281.5250000004</v>
      </c>
      <c r="S1887" s="2">
        <v>0</v>
      </c>
      <c r="T1887" s="2" t="s">
        <v>83</v>
      </c>
      <c r="U1887" s="2" t="s">
        <v>84</v>
      </c>
      <c r="V1887" s="2" t="s">
        <v>56</v>
      </c>
      <c r="W1887" s="2" t="s">
        <v>83</v>
      </c>
      <c r="X1887" s="2" t="s">
        <v>85</v>
      </c>
      <c r="Y1887" s="2">
        <v>1.5324959708308801</v>
      </c>
      <c r="Z1887" s="2">
        <v>1532.49597083088</v>
      </c>
      <c r="AA1887" s="2">
        <v>4.71035</v>
      </c>
      <c r="AB1887" s="2">
        <v>-74.030416666666696</v>
      </c>
      <c r="AC1887" s="2">
        <v>2570</v>
      </c>
      <c r="AD1887" s="2">
        <v>10</v>
      </c>
      <c r="AE1887" s="2" t="s">
        <v>59</v>
      </c>
      <c r="AF1887" s="2" t="s">
        <v>86</v>
      </c>
      <c r="AG1887" s="2" t="s">
        <v>61</v>
      </c>
      <c r="AH1887" s="2" t="s">
        <v>62</v>
      </c>
      <c r="AI1887" s="2" t="s">
        <v>87</v>
      </c>
      <c r="AJ1887" s="2">
        <v>1.8008651917848999</v>
      </c>
      <c r="AK1887" s="2">
        <v>1.29390741779257</v>
      </c>
      <c r="AL1887" s="2">
        <v>1.1984289013663101</v>
      </c>
      <c r="AM1887" s="2">
        <v>0.43323795691124201</v>
      </c>
      <c r="AN1887" s="2">
        <v>2.1800233223363099</v>
      </c>
      <c r="AO1887" s="2">
        <v>8.00606232200291E-3</v>
      </c>
      <c r="AP1887" s="2">
        <v>8.00606232200291E-3</v>
      </c>
      <c r="AQ1887" s="2">
        <v>0</v>
      </c>
      <c r="AR1887" s="2">
        <v>0</v>
      </c>
      <c r="AS1887" s="2">
        <v>0</v>
      </c>
      <c r="AT1887" s="2">
        <v>0</v>
      </c>
      <c r="AU1887" s="2">
        <v>0</v>
      </c>
      <c r="AV1887" s="2">
        <v>31</v>
      </c>
      <c r="AW1887" s="2">
        <v>0</v>
      </c>
      <c r="AX1887" s="2">
        <v>0</v>
      </c>
      <c r="AY1887" s="2">
        <v>15.5</v>
      </c>
      <c r="AZ1887" s="2">
        <v>2.4</v>
      </c>
      <c r="BA1887" s="2">
        <v>10.9</v>
      </c>
      <c r="BB1887" s="2">
        <v>564</v>
      </c>
      <c r="BC1887" s="2">
        <v>68</v>
      </c>
      <c r="BD1887" s="2">
        <v>1.5</v>
      </c>
      <c r="BE1887" s="2">
        <v>135</v>
      </c>
      <c r="BF1887" s="2">
        <v>0</v>
      </c>
      <c r="BG1887" s="2">
        <v>162</v>
      </c>
      <c r="BH1887" s="2">
        <v>9.1</v>
      </c>
      <c r="BI1887" s="2">
        <v>9.1999999999999993</v>
      </c>
      <c r="BJ1887" s="2">
        <v>18.3</v>
      </c>
      <c r="BK1887" s="2">
        <v>0.34</v>
      </c>
      <c r="BL1887" s="2">
        <v>7.3</v>
      </c>
      <c r="BM1887" s="2">
        <v>0.9</v>
      </c>
      <c r="BN1887" s="2">
        <v>7.5</v>
      </c>
      <c r="BO1887" s="2">
        <v>2.9</v>
      </c>
      <c r="BP1887" s="2">
        <f t="shared" si="58"/>
        <v>2.2246735523247652</v>
      </c>
      <c r="BQ1887" s="2">
        <f t="shared" si="59"/>
        <v>10.506382040862096</v>
      </c>
    </row>
    <row r="1888" spans="1:69" x14ac:dyDescent="0.2">
      <c r="A1888" s="2" t="s">
        <v>4399</v>
      </c>
      <c r="B1888" s="2" t="s">
        <v>47</v>
      </c>
      <c r="C1888" s="2" t="s">
        <v>3273</v>
      </c>
      <c r="D1888" s="2" t="s">
        <v>49</v>
      </c>
      <c r="E1888" s="2" t="s">
        <v>989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89</v>
      </c>
      <c r="L1888" s="6" t="s">
        <v>141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4400</v>
      </c>
      <c r="R1888" s="2">
        <v>9705882.3530000001</v>
      </c>
      <c r="S1888" s="2">
        <v>0</v>
      </c>
      <c r="T1888" s="2" t="s">
        <v>83</v>
      </c>
      <c r="U1888" s="2" t="s">
        <v>84</v>
      </c>
      <c r="V1888" s="2" t="s">
        <v>56</v>
      </c>
      <c r="W1888" s="2" t="s">
        <v>83</v>
      </c>
      <c r="X1888" s="2" t="s">
        <v>85</v>
      </c>
      <c r="Y1888" s="2">
        <v>3.94366780084186</v>
      </c>
      <c r="Z1888" s="2">
        <v>3943.6678008418598</v>
      </c>
      <c r="AA1888" s="2">
        <v>4.71035</v>
      </c>
      <c r="AB1888" s="2">
        <v>-74.030416666666696</v>
      </c>
      <c r="AC1888" s="2">
        <v>2570</v>
      </c>
      <c r="AD1888" s="2">
        <v>10</v>
      </c>
      <c r="AE1888" s="2" t="s">
        <v>59</v>
      </c>
      <c r="AF1888" s="2" t="s">
        <v>86</v>
      </c>
      <c r="AG1888" s="2" t="s">
        <v>61</v>
      </c>
      <c r="AH1888" s="2" t="s">
        <v>62</v>
      </c>
      <c r="AI1888" s="2" t="s">
        <v>100</v>
      </c>
      <c r="AJ1888" s="2">
        <v>0.55237414807976903</v>
      </c>
      <c r="AK1888" s="2">
        <v>3.4808350843065501</v>
      </c>
      <c r="AL1888" s="2">
        <v>0.80016779760589396</v>
      </c>
      <c r="AM1888" s="2">
        <v>0.13032911905208</v>
      </c>
      <c r="AN1888" s="2">
        <v>3.2091216675737302</v>
      </c>
      <c r="AO1888" s="2">
        <v>2.3623444433478798E-3</v>
      </c>
      <c r="AP1888" s="2">
        <v>2.3623444433478798E-3</v>
      </c>
      <c r="AQ1888" s="2">
        <v>0</v>
      </c>
      <c r="AR1888" s="2">
        <v>5</v>
      </c>
      <c r="AS1888" s="2">
        <v>0</v>
      </c>
      <c r="AT1888" s="2">
        <v>0</v>
      </c>
      <c r="AU1888" s="2">
        <v>1</v>
      </c>
      <c r="AV1888" s="2">
        <v>104</v>
      </c>
      <c r="AW1888" s="2">
        <v>0</v>
      </c>
      <c r="AX1888" s="2">
        <v>0</v>
      </c>
      <c r="AY1888" s="2">
        <v>15.5</v>
      </c>
      <c r="AZ1888" s="2">
        <v>2.4</v>
      </c>
      <c r="BA1888" s="2">
        <v>10.9</v>
      </c>
      <c r="BB1888" s="2">
        <v>564</v>
      </c>
      <c r="BC1888" s="2">
        <v>68</v>
      </c>
      <c r="BD1888" s="2">
        <v>1.5</v>
      </c>
      <c r="BE1888" s="2">
        <v>135</v>
      </c>
      <c r="BF1888" s="2">
        <v>0</v>
      </c>
      <c r="BG1888" s="2">
        <v>162</v>
      </c>
      <c r="BH1888" s="2">
        <v>9.1</v>
      </c>
      <c r="BI1888" s="2">
        <v>9.1999999999999993</v>
      </c>
      <c r="BJ1888" s="2">
        <v>18.3</v>
      </c>
      <c r="BK1888" s="2">
        <v>0.34</v>
      </c>
      <c r="BL1888" s="2">
        <v>7.3</v>
      </c>
      <c r="BM1888" s="2">
        <v>0.9</v>
      </c>
      <c r="BN1888" s="2">
        <v>7.5</v>
      </c>
      <c r="BO1888" s="2">
        <v>2.9</v>
      </c>
      <c r="BP1888" s="2">
        <f t="shared" si="58"/>
        <v>1.9743854417822928</v>
      </c>
      <c r="BQ1888" s="2">
        <f t="shared" si="59"/>
        <v>9.9156544120230485</v>
      </c>
    </row>
    <row r="1889" spans="1:69" x14ac:dyDescent="0.2">
      <c r="A1889" s="2" t="s">
        <v>3828</v>
      </c>
      <c r="B1889" s="2" t="s">
        <v>47</v>
      </c>
      <c r="C1889" s="2" t="s">
        <v>3273</v>
      </c>
      <c r="D1889" s="2" t="s">
        <v>49</v>
      </c>
      <c r="E1889" s="2" t="s">
        <v>1004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89</v>
      </c>
      <c r="L1889" s="6" t="s">
        <v>90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3829</v>
      </c>
      <c r="R1889" s="2">
        <v>7922272.0480000004</v>
      </c>
      <c r="S1889" s="2">
        <v>0</v>
      </c>
      <c r="T1889" s="2" t="s">
        <v>83</v>
      </c>
      <c r="U1889" s="2" t="s">
        <v>84</v>
      </c>
      <c r="V1889" s="2" t="s">
        <v>56</v>
      </c>
      <c r="W1889" s="2" t="s">
        <v>83</v>
      </c>
      <c r="X1889" s="2" t="s">
        <v>85</v>
      </c>
      <c r="Y1889" s="2">
        <v>4.1163697556817702</v>
      </c>
      <c r="Z1889" s="2">
        <v>4116.3697556817697</v>
      </c>
      <c r="AA1889" s="2">
        <v>4.71035</v>
      </c>
      <c r="AB1889" s="2">
        <v>-74.030416666666696</v>
      </c>
      <c r="AC1889" s="2">
        <v>2570</v>
      </c>
      <c r="AD1889" s="2">
        <v>10</v>
      </c>
      <c r="AE1889" s="2" t="s">
        <v>59</v>
      </c>
      <c r="AF1889" s="2" t="s">
        <v>86</v>
      </c>
      <c r="AG1889" s="2" t="s">
        <v>61</v>
      </c>
      <c r="AH1889" s="2" t="s">
        <v>62</v>
      </c>
      <c r="AI1889" s="2" t="s">
        <v>87</v>
      </c>
      <c r="AJ1889" s="2">
        <v>2.6338789860962</v>
      </c>
      <c r="AK1889" s="2">
        <v>0.42444877782194101</v>
      </c>
      <c r="AL1889" s="2">
        <v>0.41562887648425301</v>
      </c>
      <c r="AM1889" s="2">
        <v>0.50027122222223097</v>
      </c>
      <c r="AN1889" s="2">
        <v>0.67169544207848497</v>
      </c>
      <c r="AO1889" s="2">
        <v>0.39144339377048898</v>
      </c>
      <c r="AP1889" s="2">
        <v>0.39144339377048898</v>
      </c>
      <c r="AQ1889" s="2">
        <v>0</v>
      </c>
      <c r="AR1889" s="2">
        <v>0</v>
      </c>
      <c r="AS1889" s="2">
        <v>3</v>
      </c>
      <c r="AT1889" s="2">
        <v>40</v>
      </c>
      <c r="AU1889" s="2">
        <v>3</v>
      </c>
      <c r="AV1889" s="2">
        <v>5</v>
      </c>
      <c r="AW1889" s="2">
        <v>1</v>
      </c>
      <c r="AX1889" s="2">
        <v>0</v>
      </c>
      <c r="AY1889" s="2">
        <v>15.5</v>
      </c>
      <c r="AZ1889" s="2">
        <v>2.4</v>
      </c>
      <c r="BA1889" s="2">
        <v>10.9</v>
      </c>
      <c r="BB1889" s="2">
        <v>564</v>
      </c>
      <c r="BC1889" s="2">
        <v>68</v>
      </c>
      <c r="BD1889" s="2">
        <v>1.5</v>
      </c>
      <c r="BE1889" s="2">
        <v>135</v>
      </c>
      <c r="BF1889" s="2">
        <v>0</v>
      </c>
      <c r="BG1889" s="2">
        <v>162</v>
      </c>
      <c r="BH1889" s="2">
        <v>9.1</v>
      </c>
      <c r="BI1889" s="2">
        <v>9.1999999999999993</v>
      </c>
      <c r="BJ1889" s="2">
        <v>18.3</v>
      </c>
      <c r="BK1889" s="2">
        <v>0.34</v>
      </c>
      <c r="BL1889" s="2">
        <v>7.3</v>
      </c>
      <c r="BM1889" s="2">
        <v>0.9</v>
      </c>
      <c r="BN1889" s="2">
        <v>7.5</v>
      </c>
      <c r="BO1889" s="2">
        <v>2.9</v>
      </c>
      <c r="BP1889" s="2">
        <f t="shared" si="58"/>
        <v>1.9575788605816178</v>
      </c>
      <c r="BQ1889" s="2">
        <f t="shared" si="59"/>
        <v>9.8746405991169173</v>
      </c>
    </row>
    <row r="1890" spans="1:69" x14ac:dyDescent="0.2">
      <c r="A1890" s="2" t="s">
        <v>4299</v>
      </c>
      <c r="B1890" s="2" t="s">
        <v>47</v>
      </c>
      <c r="C1890" s="2" t="s">
        <v>3273</v>
      </c>
      <c r="D1890" s="2" t="s">
        <v>49</v>
      </c>
      <c r="E1890" s="2" t="s">
        <v>727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89</v>
      </c>
      <c r="L1890" s="6" t="s">
        <v>90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4300</v>
      </c>
      <c r="R1890" s="2">
        <v>14696969.699999999</v>
      </c>
      <c r="S1890" s="2">
        <v>0</v>
      </c>
      <c r="T1890" s="2" t="s">
        <v>83</v>
      </c>
      <c r="U1890" s="2" t="s">
        <v>84</v>
      </c>
      <c r="V1890" s="2" t="s">
        <v>56</v>
      </c>
      <c r="W1890" s="2" t="s">
        <v>83</v>
      </c>
      <c r="X1890" s="2" t="s">
        <v>85</v>
      </c>
      <c r="Y1890" s="2">
        <v>2.4945499957916599</v>
      </c>
      <c r="Z1890" s="2">
        <v>2494.54999579166</v>
      </c>
      <c r="AA1890" s="2">
        <v>4.71035</v>
      </c>
      <c r="AB1890" s="2">
        <v>-74.030416666666696</v>
      </c>
      <c r="AC1890" s="2">
        <v>2570</v>
      </c>
      <c r="AD1890" s="2">
        <v>10</v>
      </c>
      <c r="AE1890" s="2" t="s">
        <v>59</v>
      </c>
      <c r="AF1890" s="2" t="s">
        <v>86</v>
      </c>
      <c r="AG1890" s="2" t="s">
        <v>61</v>
      </c>
      <c r="AH1890" s="2" t="s">
        <v>62</v>
      </c>
      <c r="AI1890" s="2" t="s">
        <v>87</v>
      </c>
      <c r="AJ1890" s="2">
        <v>1.3507165133889001</v>
      </c>
      <c r="AK1890" s="2">
        <v>1.75424828386524</v>
      </c>
      <c r="AL1890" s="2">
        <v>0.65350620488393396</v>
      </c>
      <c r="AM1890" s="2">
        <v>0.10316499666072999</v>
      </c>
      <c r="AN1890" s="2">
        <v>4.6776413668190697</v>
      </c>
      <c r="AO1890" s="2">
        <v>9.7001735012145901E-2</v>
      </c>
      <c r="AP1890" s="2">
        <v>9.7001735012145901E-2</v>
      </c>
      <c r="AQ1890" s="2">
        <v>0</v>
      </c>
      <c r="AR1890" s="2">
        <v>0</v>
      </c>
      <c r="AS1890" s="2">
        <v>0</v>
      </c>
      <c r="AT1890" s="2">
        <v>0</v>
      </c>
      <c r="AU1890" s="2">
        <v>3</v>
      </c>
      <c r="AV1890" s="2">
        <v>104</v>
      </c>
      <c r="AW1890" s="2">
        <v>0</v>
      </c>
      <c r="AX1890" s="2">
        <v>0</v>
      </c>
      <c r="AY1890" s="2">
        <v>15.5</v>
      </c>
      <c r="AZ1890" s="2">
        <v>2.4</v>
      </c>
      <c r="BA1890" s="2">
        <v>10.9</v>
      </c>
      <c r="BB1890" s="2">
        <v>564</v>
      </c>
      <c r="BC1890" s="2">
        <v>68</v>
      </c>
      <c r="BD1890" s="2">
        <v>1.5</v>
      </c>
      <c r="BE1890" s="2">
        <v>135</v>
      </c>
      <c r="BF1890" s="2">
        <v>0</v>
      </c>
      <c r="BG1890" s="2">
        <v>162</v>
      </c>
      <c r="BH1890" s="2">
        <v>9.1</v>
      </c>
      <c r="BI1890" s="2">
        <v>9.1999999999999993</v>
      </c>
      <c r="BJ1890" s="2">
        <v>18.3</v>
      </c>
      <c r="BK1890" s="2">
        <v>0.34</v>
      </c>
      <c r="BL1890" s="2">
        <v>7.3</v>
      </c>
      <c r="BM1890" s="2">
        <v>0.9</v>
      </c>
      <c r="BN1890" s="2">
        <v>7.5</v>
      </c>
      <c r="BO1890" s="2">
        <v>2.9</v>
      </c>
      <c r="BP1890" s="2">
        <f t="shared" si="58"/>
        <v>2.1212138860175034</v>
      </c>
      <c r="BQ1890" s="2">
        <f t="shared" si="59"/>
        <v>10.266576197451979</v>
      </c>
    </row>
    <row r="1891" spans="1:69" x14ac:dyDescent="0.2">
      <c r="A1891" s="2" t="s">
        <v>4256</v>
      </c>
      <c r="B1891" s="2" t="s">
        <v>47</v>
      </c>
      <c r="C1891" s="2" t="s">
        <v>3273</v>
      </c>
      <c r="D1891" s="2" t="s">
        <v>49</v>
      </c>
      <c r="E1891" s="2" t="s">
        <v>208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89</v>
      </c>
      <c r="L1891" s="6" t="s">
        <v>90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4257</v>
      </c>
      <c r="R1891" s="2">
        <v>15774992.359999999</v>
      </c>
      <c r="S1891" s="2">
        <v>0</v>
      </c>
      <c r="T1891" s="2" t="s">
        <v>83</v>
      </c>
      <c r="U1891" s="2" t="s">
        <v>84</v>
      </c>
      <c r="V1891" s="2" t="s">
        <v>56</v>
      </c>
      <c r="W1891" s="2" t="s">
        <v>83</v>
      </c>
      <c r="X1891" s="2" t="s">
        <v>85</v>
      </c>
      <c r="Y1891" s="2">
        <v>3.9102801956763402</v>
      </c>
      <c r="Z1891" s="2">
        <v>3910.2801956763401</v>
      </c>
      <c r="AA1891" s="2">
        <v>4.71035</v>
      </c>
      <c r="AB1891" s="2">
        <v>-74.030416666666696</v>
      </c>
      <c r="AC1891" s="2">
        <v>2570</v>
      </c>
      <c r="AD1891" s="2">
        <v>10</v>
      </c>
      <c r="AE1891" s="2" t="s">
        <v>59</v>
      </c>
      <c r="AF1891" s="2" t="s">
        <v>86</v>
      </c>
      <c r="AG1891" s="2" t="s">
        <v>61</v>
      </c>
      <c r="AH1891" s="2" t="s">
        <v>62</v>
      </c>
      <c r="AI1891" s="2" t="s">
        <v>109</v>
      </c>
      <c r="AJ1891" s="2">
        <v>0.96768736969246005</v>
      </c>
      <c r="AK1891" s="2">
        <v>1.34757869465154</v>
      </c>
      <c r="AL1891" s="2">
        <v>0.59656586523973498</v>
      </c>
      <c r="AM1891" s="2">
        <v>8.3875531942313494E-2</v>
      </c>
      <c r="AN1891" s="2">
        <v>3.6662367035488401</v>
      </c>
      <c r="AO1891" s="2">
        <v>1.0078348188533299</v>
      </c>
      <c r="AP1891" s="2">
        <v>1.0078348188533299</v>
      </c>
      <c r="AQ1891" s="2">
        <v>0</v>
      </c>
      <c r="AR1891" s="2">
        <v>1</v>
      </c>
      <c r="AS1891" s="2">
        <v>0</v>
      </c>
      <c r="AT1891" s="2">
        <v>0</v>
      </c>
      <c r="AU1891" s="2">
        <v>4</v>
      </c>
      <c r="AV1891" s="2">
        <v>182</v>
      </c>
      <c r="AW1891" s="2">
        <v>0</v>
      </c>
      <c r="AX1891" s="2">
        <v>0</v>
      </c>
      <c r="AY1891" s="2">
        <v>15.5</v>
      </c>
      <c r="AZ1891" s="2">
        <v>2.4</v>
      </c>
      <c r="BA1891" s="2">
        <v>10.9</v>
      </c>
      <c r="BB1891" s="2">
        <v>564</v>
      </c>
      <c r="BC1891" s="2">
        <v>68</v>
      </c>
      <c r="BD1891" s="2">
        <v>1.5</v>
      </c>
      <c r="BE1891" s="2">
        <v>135</v>
      </c>
      <c r="BF1891" s="2">
        <v>0</v>
      </c>
      <c r="BG1891" s="2">
        <v>162</v>
      </c>
      <c r="BH1891" s="2">
        <v>9.1</v>
      </c>
      <c r="BI1891" s="2">
        <v>9.1999999999999993</v>
      </c>
      <c r="BJ1891" s="2">
        <v>18.3</v>
      </c>
      <c r="BK1891" s="2">
        <v>0.34</v>
      </c>
      <c r="BL1891" s="2">
        <v>7.3</v>
      </c>
      <c r="BM1891" s="2">
        <v>0.9</v>
      </c>
      <c r="BN1891" s="2">
        <v>7.5</v>
      </c>
      <c r="BO1891" s="2">
        <v>2.9</v>
      </c>
      <c r="BP1891" s="2">
        <f t="shared" si="58"/>
        <v>1.9776511797373584</v>
      </c>
      <c r="BQ1891" s="2">
        <f t="shared" si="59"/>
        <v>9.923603035130812</v>
      </c>
    </row>
    <row r="1892" spans="1:69" x14ac:dyDescent="0.2">
      <c r="A1892" s="2" t="s">
        <v>4638</v>
      </c>
      <c r="B1892" s="2" t="s">
        <v>47</v>
      </c>
      <c r="C1892" s="2" t="s">
        <v>3273</v>
      </c>
      <c r="D1892" s="2" t="s">
        <v>49</v>
      </c>
      <c r="E1892" s="2" t="s">
        <v>2271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89</v>
      </c>
      <c r="L1892" s="6" t="s">
        <v>90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4639</v>
      </c>
      <c r="R1892" s="2">
        <v>8125000</v>
      </c>
      <c r="S1892" s="2">
        <v>0</v>
      </c>
      <c r="T1892" s="2" t="s">
        <v>83</v>
      </c>
      <c r="U1892" s="2" t="s">
        <v>84</v>
      </c>
      <c r="V1892" s="2" t="s">
        <v>56</v>
      </c>
      <c r="W1892" s="2" t="s">
        <v>83</v>
      </c>
      <c r="X1892" s="2" t="s">
        <v>85</v>
      </c>
      <c r="Y1892" s="2">
        <v>2.5142595591491101</v>
      </c>
      <c r="Z1892" s="2">
        <v>2514.2595591491099</v>
      </c>
      <c r="AA1892" s="2">
        <v>4.71035</v>
      </c>
      <c r="AB1892" s="2">
        <v>-74.030416666666696</v>
      </c>
      <c r="AC1892" s="2">
        <v>2570</v>
      </c>
      <c r="AD1892" s="2">
        <v>10</v>
      </c>
      <c r="AE1892" s="2" t="s">
        <v>59</v>
      </c>
      <c r="AF1892" s="2" t="s">
        <v>86</v>
      </c>
      <c r="AG1892" s="2" t="s">
        <v>61</v>
      </c>
      <c r="AH1892" s="2" t="s">
        <v>62</v>
      </c>
      <c r="AI1892" s="2" t="s">
        <v>87</v>
      </c>
      <c r="AJ1892" s="2">
        <v>2.9711347460175599</v>
      </c>
      <c r="AK1892" s="2">
        <v>0.117174286426988</v>
      </c>
      <c r="AL1892" s="2">
        <v>1.8110797654255799</v>
      </c>
      <c r="AM1892" s="2">
        <v>0.23925116547598499</v>
      </c>
      <c r="AN1892" s="2">
        <v>1.19501476528981</v>
      </c>
      <c r="AO1892" s="2">
        <v>0.17459008640104801</v>
      </c>
      <c r="AP1892" s="2">
        <v>0.17459008640104801</v>
      </c>
      <c r="AQ1892" s="2">
        <v>0</v>
      </c>
      <c r="AR1892" s="2">
        <v>0</v>
      </c>
      <c r="AS1892" s="2">
        <v>12</v>
      </c>
      <c r="AT1892" s="2">
        <v>34</v>
      </c>
      <c r="AU1892" s="2">
        <v>0</v>
      </c>
      <c r="AV1892" s="2">
        <v>9</v>
      </c>
      <c r="AW1892" s="2">
        <v>0</v>
      </c>
      <c r="AX1892" s="2">
        <v>0</v>
      </c>
      <c r="AY1892" s="2">
        <v>15.5</v>
      </c>
      <c r="AZ1892" s="2">
        <v>2.4</v>
      </c>
      <c r="BA1892" s="2">
        <v>10.9</v>
      </c>
      <c r="BB1892" s="2">
        <v>564</v>
      </c>
      <c r="BC1892" s="2">
        <v>68</v>
      </c>
      <c r="BD1892" s="2">
        <v>1.5</v>
      </c>
      <c r="BE1892" s="2">
        <v>135</v>
      </c>
      <c r="BF1892" s="2">
        <v>0</v>
      </c>
      <c r="BG1892" s="2">
        <v>162</v>
      </c>
      <c r="BH1892" s="2">
        <v>9.1</v>
      </c>
      <c r="BI1892" s="2">
        <v>9.1999999999999993</v>
      </c>
      <c r="BJ1892" s="2">
        <v>18.3</v>
      </c>
      <c r="BK1892" s="2">
        <v>0.34</v>
      </c>
      <c r="BL1892" s="2">
        <v>7.3</v>
      </c>
      <c r="BM1892" s="2">
        <v>0.9</v>
      </c>
      <c r="BN1892" s="2">
        <v>7.5</v>
      </c>
      <c r="BO1892" s="2">
        <v>2.9</v>
      </c>
      <c r="BP1892" s="2">
        <f t="shared" si="58"/>
        <v>2.1191453893441232</v>
      </c>
      <c r="BQ1892" s="2">
        <f t="shared" si="59"/>
        <v>10.261720952262998</v>
      </c>
    </row>
    <row r="1893" spans="1:69" x14ac:dyDescent="0.2">
      <c r="A1893" s="2" t="s">
        <v>1070</v>
      </c>
      <c r="B1893" s="2" t="s">
        <v>47</v>
      </c>
      <c r="C1893" s="2" t="s">
        <v>48</v>
      </c>
      <c r="D1893" s="2" t="s">
        <v>49</v>
      </c>
      <c r="E1893" s="2" t="s">
        <v>373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89</v>
      </c>
      <c r="L1893" s="6" t="s">
        <v>90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1071</v>
      </c>
      <c r="R1893" s="2">
        <v>9218750</v>
      </c>
      <c r="S1893" s="2">
        <v>0</v>
      </c>
      <c r="T1893" s="2" t="s">
        <v>83</v>
      </c>
      <c r="U1893" s="2" t="s">
        <v>84</v>
      </c>
      <c r="V1893" s="2" t="s">
        <v>56</v>
      </c>
      <c r="W1893" s="2" t="s">
        <v>83</v>
      </c>
      <c r="X1893" s="2" t="s">
        <v>85</v>
      </c>
      <c r="Y1893" s="2">
        <v>2.0446458205176099</v>
      </c>
      <c r="Z1893" s="2">
        <v>2044.64582051761</v>
      </c>
      <c r="AA1893" s="2">
        <v>4.71035</v>
      </c>
      <c r="AB1893" s="2">
        <v>-74.030416666666696</v>
      </c>
      <c r="AC1893" s="2">
        <v>2570</v>
      </c>
      <c r="AD1893" s="2">
        <v>10</v>
      </c>
      <c r="AE1893" s="2" t="s">
        <v>59</v>
      </c>
      <c r="AF1893" s="2" t="s">
        <v>86</v>
      </c>
      <c r="AG1893" s="2" t="s">
        <v>61</v>
      </c>
      <c r="AH1893" s="2" t="s">
        <v>62</v>
      </c>
      <c r="AI1893" s="2" t="s">
        <v>87</v>
      </c>
      <c r="AJ1893" s="2">
        <v>1.1622997361799601</v>
      </c>
      <c r="AK1893" s="2">
        <v>1.9559269550678</v>
      </c>
      <c r="AL1893" s="2">
        <v>0.76015812780472003</v>
      </c>
      <c r="AM1893" s="2">
        <v>0.436967775795851</v>
      </c>
      <c r="AN1893" s="2">
        <v>2.2644231103952102</v>
      </c>
      <c r="AO1893" s="2">
        <v>1.09310648498745E-2</v>
      </c>
      <c r="AP1893" s="2">
        <v>1.09310648498745E-2</v>
      </c>
      <c r="AQ1893" s="2">
        <v>0</v>
      </c>
      <c r="AR1893" s="2">
        <v>0</v>
      </c>
      <c r="AS1893" s="2">
        <v>0</v>
      </c>
      <c r="AT1893" s="2">
        <v>0</v>
      </c>
      <c r="AU1893" s="2">
        <v>1</v>
      </c>
      <c r="AV1893" s="2">
        <v>27</v>
      </c>
      <c r="AW1893" s="2">
        <v>0</v>
      </c>
      <c r="AX1893" s="2">
        <v>0</v>
      </c>
      <c r="AY1893" s="2">
        <v>15.5</v>
      </c>
      <c r="AZ1893" s="2">
        <v>2.4</v>
      </c>
      <c r="BA1893" s="2">
        <v>10.9</v>
      </c>
      <c r="BB1893" s="2">
        <v>564</v>
      </c>
      <c r="BC1893" s="2">
        <v>68</v>
      </c>
      <c r="BD1893" s="2">
        <v>1.5</v>
      </c>
      <c r="BE1893" s="2">
        <v>135</v>
      </c>
      <c r="BF1893" s="2">
        <v>0</v>
      </c>
      <c r="BG1893" s="2">
        <v>162</v>
      </c>
      <c r="BH1893" s="2">
        <v>9.1</v>
      </c>
      <c r="BI1893" s="2">
        <v>9.1999999999999993</v>
      </c>
      <c r="BJ1893" s="2">
        <v>18.3</v>
      </c>
      <c r="BK1893" s="2">
        <v>0.34</v>
      </c>
      <c r="BL1893" s="2">
        <v>7.3</v>
      </c>
      <c r="BM1893" s="2">
        <v>0.9</v>
      </c>
      <c r="BN1893" s="2">
        <v>7.5</v>
      </c>
      <c r="BO1893" s="2">
        <v>2.9</v>
      </c>
      <c r="BP1893" s="2">
        <f t="shared" si="58"/>
        <v>2.1689838136669866</v>
      </c>
      <c r="BQ1893" s="2">
        <f t="shared" si="59"/>
        <v>10.378032261071134</v>
      </c>
    </row>
    <row r="1894" spans="1:69" x14ac:dyDescent="0.2">
      <c r="A1894" s="2" t="s">
        <v>4053</v>
      </c>
      <c r="B1894" s="2" t="s">
        <v>47</v>
      </c>
      <c r="C1894" s="2" t="s">
        <v>3273</v>
      </c>
      <c r="D1894" s="2" t="s">
        <v>49</v>
      </c>
      <c r="E1894" s="2" t="s">
        <v>172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89</v>
      </c>
      <c r="L1894" s="6" t="s">
        <v>90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4054</v>
      </c>
      <c r="R1894" s="2">
        <v>12187500</v>
      </c>
      <c r="S1894" s="2">
        <v>0</v>
      </c>
      <c r="T1894" s="2" t="s">
        <v>83</v>
      </c>
      <c r="U1894" s="2" t="s">
        <v>84</v>
      </c>
      <c r="V1894" s="2" t="s">
        <v>56</v>
      </c>
      <c r="W1894" s="2" t="s">
        <v>83</v>
      </c>
      <c r="X1894" s="2" t="s">
        <v>85</v>
      </c>
      <c r="Y1894" s="2">
        <v>1.49440910289608</v>
      </c>
      <c r="Z1894" s="2">
        <v>1494.40910289608</v>
      </c>
      <c r="AA1894" s="2">
        <v>4.71035</v>
      </c>
      <c r="AB1894" s="2">
        <v>-74.030416666666696</v>
      </c>
      <c r="AC1894" s="2">
        <v>2570</v>
      </c>
      <c r="AD1894" s="2">
        <v>10</v>
      </c>
      <c r="AE1894" s="2" t="s">
        <v>59</v>
      </c>
      <c r="AF1894" s="2" t="s">
        <v>86</v>
      </c>
      <c r="AG1894" s="2" t="s">
        <v>61</v>
      </c>
      <c r="AH1894" s="2" t="s">
        <v>62</v>
      </c>
      <c r="AI1894" s="2" t="s">
        <v>87</v>
      </c>
      <c r="AJ1894" s="2">
        <v>2.5626243482554001</v>
      </c>
      <c r="AK1894" s="2">
        <v>0.70654262396220602</v>
      </c>
      <c r="AL1894" s="2">
        <v>0.39942484468820599</v>
      </c>
      <c r="AM1894" s="2">
        <v>3.3317300986875499E-2</v>
      </c>
      <c r="AN1894" s="2">
        <v>4.9542596820476303</v>
      </c>
      <c r="AO1894" s="2">
        <v>0.15009471552465001</v>
      </c>
      <c r="AP1894" s="2">
        <v>0.15009471552465001</v>
      </c>
      <c r="AQ1894" s="2">
        <v>0</v>
      </c>
      <c r="AR1894" s="2">
        <v>0</v>
      </c>
      <c r="AS1894" s="2">
        <v>0</v>
      </c>
      <c r="AT1894" s="2">
        <v>17</v>
      </c>
      <c r="AU1894" s="2">
        <v>2</v>
      </c>
      <c r="AV1894" s="2">
        <v>137</v>
      </c>
      <c r="AW1894" s="2">
        <v>0</v>
      </c>
      <c r="AX1894" s="2">
        <v>0</v>
      </c>
      <c r="AY1894" s="2">
        <v>15.5</v>
      </c>
      <c r="AZ1894" s="2">
        <v>2.4</v>
      </c>
      <c r="BA1894" s="2">
        <v>10.9</v>
      </c>
      <c r="BB1894" s="2">
        <v>564</v>
      </c>
      <c r="BC1894" s="2">
        <v>68</v>
      </c>
      <c r="BD1894" s="2">
        <v>1.5</v>
      </c>
      <c r="BE1894" s="2">
        <v>135</v>
      </c>
      <c r="BF1894" s="2">
        <v>0</v>
      </c>
      <c r="BG1894" s="2">
        <v>162</v>
      </c>
      <c r="BH1894" s="2">
        <v>9.1</v>
      </c>
      <c r="BI1894" s="2">
        <v>9.1999999999999993</v>
      </c>
      <c r="BJ1894" s="2">
        <v>18.3</v>
      </c>
      <c r="BK1894" s="2">
        <v>0.34</v>
      </c>
      <c r="BL1894" s="2">
        <v>7.3</v>
      </c>
      <c r="BM1894" s="2">
        <v>0.9</v>
      </c>
      <c r="BN1894" s="2">
        <v>7.5</v>
      </c>
      <c r="BO1894" s="2">
        <v>2.9</v>
      </c>
      <c r="BP1894" s="2">
        <f t="shared" si="58"/>
        <v>2.2288716854167538</v>
      </c>
      <c r="BQ1894" s="2">
        <f t="shared" si="59"/>
        <v>10.515990155955528</v>
      </c>
    </row>
    <row r="1895" spans="1:69" x14ac:dyDescent="0.2">
      <c r="A1895" s="2" t="s">
        <v>3448</v>
      </c>
      <c r="B1895" s="2" t="s">
        <v>47</v>
      </c>
      <c r="C1895" s="2" t="s">
        <v>3273</v>
      </c>
      <c r="D1895" s="2" t="s">
        <v>49</v>
      </c>
      <c r="E1895" s="2" t="s">
        <v>198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89</v>
      </c>
      <c r="L1895" s="6" t="s">
        <v>90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3449</v>
      </c>
      <c r="R1895" s="2">
        <v>7929373.9970000004</v>
      </c>
      <c r="S1895" s="2">
        <v>0</v>
      </c>
      <c r="T1895" s="2" t="s">
        <v>83</v>
      </c>
      <c r="U1895" s="2" t="s">
        <v>84</v>
      </c>
      <c r="V1895" s="2" t="s">
        <v>56</v>
      </c>
      <c r="W1895" s="2" t="s">
        <v>83</v>
      </c>
      <c r="X1895" s="2" t="s">
        <v>85</v>
      </c>
      <c r="Y1895" s="2">
        <v>2.5468166686135301</v>
      </c>
      <c r="Z1895" s="2">
        <v>2546.8166686135301</v>
      </c>
      <c r="AA1895" s="2">
        <v>4.71035</v>
      </c>
      <c r="AB1895" s="2">
        <v>-74.030416666666696</v>
      </c>
      <c r="AC1895" s="2">
        <v>2570</v>
      </c>
      <c r="AD1895" s="2">
        <v>10</v>
      </c>
      <c r="AE1895" s="2" t="s">
        <v>59</v>
      </c>
      <c r="AF1895" s="2" t="s">
        <v>86</v>
      </c>
      <c r="AG1895" s="2" t="s">
        <v>61</v>
      </c>
      <c r="AH1895" s="2" t="s">
        <v>62</v>
      </c>
      <c r="AI1895" s="2" t="s">
        <v>87</v>
      </c>
      <c r="AJ1895" s="2">
        <v>2.98247911088297</v>
      </c>
      <c r="AK1895" s="2">
        <v>9.9979562617553697E-2</v>
      </c>
      <c r="AL1895" s="2">
        <v>1.7873945447483</v>
      </c>
      <c r="AM1895" s="2">
        <v>0.232690751419248</v>
      </c>
      <c r="AN1895" s="2">
        <v>1.1739712717522099</v>
      </c>
      <c r="AO1895" s="2">
        <v>0.18961918266319999</v>
      </c>
      <c r="AP1895" s="2">
        <v>0.18961918266319999</v>
      </c>
      <c r="AQ1895" s="2">
        <v>0</v>
      </c>
      <c r="AR1895" s="2">
        <v>0</v>
      </c>
      <c r="AS1895" s="2">
        <v>12</v>
      </c>
      <c r="AT1895" s="2">
        <v>34</v>
      </c>
      <c r="AU1895" s="2">
        <v>0</v>
      </c>
      <c r="AV1895" s="2">
        <v>9</v>
      </c>
      <c r="AW1895" s="2">
        <v>0</v>
      </c>
      <c r="AX1895" s="2">
        <v>0</v>
      </c>
      <c r="AY1895" s="2">
        <v>15.5</v>
      </c>
      <c r="AZ1895" s="2">
        <v>2.4</v>
      </c>
      <c r="BA1895" s="2">
        <v>10.9</v>
      </c>
      <c r="BB1895" s="2">
        <v>564</v>
      </c>
      <c r="BC1895" s="2">
        <v>68</v>
      </c>
      <c r="BD1895" s="2">
        <v>1.5</v>
      </c>
      <c r="BE1895" s="2">
        <v>135</v>
      </c>
      <c r="BF1895" s="2">
        <v>0</v>
      </c>
      <c r="BG1895" s="2">
        <v>162</v>
      </c>
      <c r="BH1895" s="2">
        <v>9.1</v>
      </c>
      <c r="BI1895" s="2">
        <v>9.1999999999999993</v>
      </c>
      <c r="BJ1895" s="2">
        <v>18.3</v>
      </c>
      <c r="BK1895" s="2">
        <v>0.34</v>
      </c>
      <c r="BL1895" s="2">
        <v>7.3</v>
      </c>
      <c r="BM1895" s="2">
        <v>0.9</v>
      </c>
      <c r="BN1895" s="2">
        <v>7.5</v>
      </c>
      <c r="BO1895" s="2">
        <v>2.9</v>
      </c>
      <c r="BP1895" s="2">
        <f t="shared" si="58"/>
        <v>2.1157329739712147</v>
      </c>
      <c r="BQ1895" s="2">
        <f t="shared" si="59"/>
        <v>10.253705876707031</v>
      </c>
    </row>
    <row r="1896" spans="1:69" x14ac:dyDescent="0.2">
      <c r="A1896" s="2" t="s">
        <v>4414</v>
      </c>
      <c r="B1896" s="2" t="s">
        <v>47</v>
      </c>
      <c r="C1896" s="2" t="s">
        <v>3273</v>
      </c>
      <c r="D1896" s="2" t="s">
        <v>49</v>
      </c>
      <c r="E1896" s="2" t="s">
        <v>172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89</v>
      </c>
      <c r="L1896" s="6" t="s">
        <v>141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4415</v>
      </c>
      <c r="R1896" s="2">
        <v>8870967.7420000006</v>
      </c>
      <c r="S1896" s="2">
        <v>0</v>
      </c>
      <c r="T1896" s="2" t="s">
        <v>83</v>
      </c>
      <c r="U1896" s="2" t="s">
        <v>84</v>
      </c>
      <c r="V1896" s="2" t="s">
        <v>56</v>
      </c>
      <c r="W1896" s="2" t="s">
        <v>83</v>
      </c>
      <c r="X1896" s="2" t="s">
        <v>85</v>
      </c>
      <c r="Y1896" s="2">
        <v>1.8226086828906001</v>
      </c>
      <c r="Z1896" s="2">
        <v>1822.6086828906</v>
      </c>
      <c r="AA1896" s="2">
        <v>4.71035</v>
      </c>
      <c r="AB1896" s="2">
        <v>-74.030416666666696</v>
      </c>
      <c r="AC1896" s="2">
        <v>2570</v>
      </c>
      <c r="AD1896" s="2">
        <v>10</v>
      </c>
      <c r="AE1896" s="2" t="s">
        <v>59</v>
      </c>
      <c r="AF1896" s="2" t="s">
        <v>86</v>
      </c>
      <c r="AG1896" s="2" t="s">
        <v>61</v>
      </c>
      <c r="AH1896" s="2" t="s">
        <v>62</v>
      </c>
      <c r="AI1896" s="2" t="s">
        <v>87</v>
      </c>
      <c r="AJ1896" s="2">
        <v>1.87008724982177</v>
      </c>
      <c r="AK1896" s="2">
        <v>1.41290271281609</v>
      </c>
      <c r="AL1896" s="2">
        <v>0.88740935522117104</v>
      </c>
      <c r="AM1896" s="2">
        <v>8.60626047699867E-2</v>
      </c>
      <c r="AN1896" s="2">
        <v>5.1865123903179704</v>
      </c>
      <c r="AO1896" s="2">
        <v>0.15732796945729299</v>
      </c>
      <c r="AP1896" s="2">
        <v>0.15732796945729299</v>
      </c>
      <c r="AQ1896" s="2">
        <v>0</v>
      </c>
      <c r="AR1896" s="2">
        <v>0</v>
      </c>
      <c r="AS1896" s="2">
        <v>0</v>
      </c>
      <c r="AT1896" s="2">
        <v>0</v>
      </c>
      <c r="AU1896" s="2">
        <v>2</v>
      </c>
      <c r="AV1896" s="2">
        <v>166</v>
      </c>
      <c r="AW1896" s="2">
        <v>0</v>
      </c>
      <c r="AX1896" s="2">
        <v>0</v>
      </c>
      <c r="AY1896" s="2">
        <v>15.5</v>
      </c>
      <c r="AZ1896" s="2">
        <v>2.4</v>
      </c>
      <c r="BA1896" s="2">
        <v>10.9</v>
      </c>
      <c r="BB1896" s="2">
        <v>564</v>
      </c>
      <c r="BC1896" s="2">
        <v>68</v>
      </c>
      <c r="BD1896" s="2">
        <v>1.5</v>
      </c>
      <c r="BE1896" s="2">
        <v>135</v>
      </c>
      <c r="BF1896" s="2">
        <v>0</v>
      </c>
      <c r="BG1896" s="2">
        <v>162</v>
      </c>
      <c r="BH1896" s="2">
        <v>9.1</v>
      </c>
      <c r="BI1896" s="2">
        <v>9.1999999999999993</v>
      </c>
      <c r="BJ1896" s="2">
        <v>18.3</v>
      </c>
      <c r="BK1896" s="2">
        <v>0.34</v>
      </c>
      <c r="BL1896" s="2">
        <v>7.3</v>
      </c>
      <c r="BM1896" s="2">
        <v>0.9</v>
      </c>
      <c r="BN1896" s="2">
        <v>7.5</v>
      </c>
      <c r="BO1896" s="2">
        <v>2.9</v>
      </c>
      <c r="BP1896" s="2">
        <f t="shared" si="58"/>
        <v>2.1929542503635489</v>
      </c>
      <c r="BQ1896" s="2">
        <f t="shared" si="59"/>
        <v>10.433483281940799</v>
      </c>
    </row>
    <row r="1897" spans="1:69" x14ac:dyDescent="0.2">
      <c r="A1897" s="2" t="s">
        <v>4599</v>
      </c>
      <c r="B1897" s="2" t="s">
        <v>47</v>
      </c>
      <c r="C1897" s="2" t="s">
        <v>3273</v>
      </c>
      <c r="D1897" s="2" t="s">
        <v>49</v>
      </c>
      <c r="E1897" s="2" t="s">
        <v>305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89</v>
      </c>
      <c r="L1897" s="6" t="s">
        <v>90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4600</v>
      </c>
      <c r="R1897" s="2">
        <v>7976653.6960000005</v>
      </c>
      <c r="S1897" s="2">
        <v>0</v>
      </c>
      <c r="T1897" s="2" t="s">
        <v>83</v>
      </c>
      <c r="U1897" s="2" t="s">
        <v>84</v>
      </c>
      <c r="V1897" s="2" t="s">
        <v>56</v>
      </c>
      <c r="W1897" s="2" t="s">
        <v>83</v>
      </c>
      <c r="X1897" s="2" t="s">
        <v>85</v>
      </c>
      <c r="Y1897" s="2">
        <v>4.1981547336817799</v>
      </c>
      <c r="Z1897" s="2">
        <v>4198.1547336817803</v>
      </c>
      <c r="AA1897" s="2">
        <v>4.71035</v>
      </c>
      <c r="AB1897" s="2">
        <v>-74.030416666666696</v>
      </c>
      <c r="AC1897" s="2">
        <v>2570</v>
      </c>
      <c r="AD1897" s="2">
        <v>10</v>
      </c>
      <c r="AE1897" s="2" t="s">
        <v>59</v>
      </c>
      <c r="AF1897" s="2" t="s">
        <v>86</v>
      </c>
      <c r="AG1897" s="2" t="s">
        <v>61</v>
      </c>
      <c r="AH1897" s="2" t="s">
        <v>62</v>
      </c>
      <c r="AI1897" s="2" t="s">
        <v>87</v>
      </c>
      <c r="AJ1897" s="2">
        <v>2.2734646765875399</v>
      </c>
      <c r="AK1897" s="2">
        <v>0.69889194804321197</v>
      </c>
      <c r="AL1897" s="2">
        <v>8.9163675748887894E-2</v>
      </c>
      <c r="AM1897" s="2">
        <v>0.74702321168520103</v>
      </c>
      <c r="AN1897" s="2">
        <v>0.70069776005708395</v>
      </c>
      <c r="AO1897" s="2">
        <v>0.28679128773746498</v>
      </c>
      <c r="AP1897" s="2">
        <v>0.28679128773746498</v>
      </c>
      <c r="AQ1897" s="2">
        <v>0</v>
      </c>
      <c r="AR1897" s="2">
        <v>0</v>
      </c>
      <c r="AS1897" s="2">
        <v>0</v>
      </c>
      <c r="AT1897" s="2">
        <v>19</v>
      </c>
      <c r="AU1897" s="2">
        <v>3</v>
      </c>
      <c r="AV1897" s="2">
        <v>3</v>
      </c>
      <c r="AW1897" s="2">
        <v>1</v>
      </c>
      <c r="AX1897" s="2">
        <v>0</v>
      </c>
      <c r="AY1897" s="2">
        <v>15.5</v>
      </c>
      <c r="AZ1897" s="2">
        <v>2.4</v>
      </c>
      <c r="BA1897" s="2">
        <v>10.9</v>
      </c>
      <c r="BB1897" s="2">
        <v>564</v>
      </c>
      <c r="BC1897" s="2">
        <v>68</v>
      </c>
      <c r="BD1897" s="2">
        <v>1.5</v>
      </c>
      <c r="BE1897" s="2">
        <v>135</v>
      </c>
      <c r="BF1897" s="2">
        <v>0</v>
      </c>
      <c r="BG1897" s="2">
        <v>162</v>
      </c>
      <c r="BH1897" s="2">
        <v>9.1</v>
      </c>
      <c r="BI1897" s="2">
        <v>9.1999999999999993</v>
      </c>
      <c r="BJ1897" s="2">
        <v>18.3</v>
      </c>
      <c r="BK1897" s="2">
        <v>0.34</v>
      </c>
      <c r="BL1897" s="2">
        <v>7.3</v>
      </c>
      <c r="BM1897" s="2">
        <v>0.9</v>
      </c>
      <c r="BN1897" s="2">
        <v>7.5</v>
      </c>
      <c r="BO1897" s="2">
        <v>2.9</v>
      </c>
      <c r="BP1897" s="2">
        <f t="shared" si="58"/>
        <v>1.9496699035914911</v>
      </c>
      <c r="BQ1897" s="2">
        <f t="shared" si="59"/>
        <v>9.8552772745428658</v>
      </c>
    </row>
    <row r="1898" spans="1:69" x14ac:dyDescent="0.2">
      <c r="A1898" s="2" t="s">
        <v>3320</v>
      </c>
      <c r="B1898" s="2" t="s">
        <v>47</v>
      </c>
      <c r="C1898" s="2" t="s">
        <v>3273</v>
      </c>
      <c r="D1898" s="2" t="s">
        <v>49</v>
      </c>
      <c r="E1898" s="2" t="s">
        <v>989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89</v>
      </c>
      <c r="L1898" s="6" t="s">
        <v>90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3321</v>
      </c>
      <c r="R1898" s="2">
        <v>11963290.720000001</v>
      </c>
      <c r="S1898" s="2">
        <v>0</v>
      </c>
      <c r="T1898" s="2" t="s">
        <v>83</v>
      </c>
      <c r="U1898" s="2" t="s">
        <v>84</v>
      </c>
      <c r="V1898" s="2" t="s">
        <v>56</v>
      </c>
      <c r="W1898" s="2" t="s">
        <v>83</v>
      </c>
      <c r="X1898" s="2" t="s">
        <v>85</v>
      </c>
      <c r="Y1898" s="2">
        <v>4.1060365094645501</v>
      </c>
      <c r="Z1898" s="2">
        <v>4106.0365094645504</v>
      </c>
      <c r="AA1898" s="2">
        <v>4.71035</v>
      </c>
      <c r="AB1898" s="2">
        <v>-74.030416666666696</v>
      </c>
      <c r="AC1898" s="2">
        <v>2570</v>
      </c>
      <c r="AD1898" s="2">
        <v>10</v>
      </c>
      <c r="AE1898" s="2" t="s">
        <v>59</v>
      </c>
      <c r="AF1898" s="2" t="s">
        <v>86</v>
      </c>
      <c r="AG1898" s="2" t="s">
        <v>61</v>
      </c>
      <c r="AH1898" s="2" t="s">
        <v>62</v>
      </c>
      <c r="AI1898" s="2" t="s">
        <v>100</v>
      </c>
      <c r="AJ1898" s="2">
        <v>0.48625971962562398</v>
      </c>
      <c r="AK1898" s="2">
        <v>2.8422555165182</v>
      </c>
      <c r="AL1898" s="2">
        <v>0.91296222255048998</v>
      </c>
      <c r="AM1898" s="2">
        <v>2.4469659980457501E-2</v>
      </c>
      <c r="AN1898" s="2">
        <v>2.8945796070264</v>
      </c>
      <c r="AO1898" s="2">
        <v>0.13289012363238201</v>
      </c>
      <c r="AP1898" s="2">
        <v>0.13289012363238201</v>
      </c>
      <c r="AQ1898" s="2">
        <v>1</v>
      </c>
      <c r="AR1898" s="2">
        <v>5</v>
      </c>
      <c r="AS1898" s="2">
        <v>0</v>
      </c>
      <c r="AT1898" s="2">
        <v>0</v>
      </c>
      <c r="AU1898" s="2">
        <v>1</v>
      </c>
      <c r="AV1898" s="2">
        <v>198</v>
      </c>
      <c r="AW1898" s="2">
        <v>0</v>
      </c>
      <c r="AX1898" s="2">
        <v>0</v>
      </c>
      <c r="AY1898" s="2">
        <v>15.5</v>
      </c>
      <c r="AZ1898" s="2">
        <v>2.4</v>
      </c>
      <c r="BA1898" s="2">
        <v>10.9</v>
      </c>
      <c r="BB1898" s="2">
        <v>564</v>
      </c>
      <c r="BC1898" s="2">
        <v>68</v>
      </c>
      <c r="BD1898" s="2">
        <v>1.5</v>
      </c>
      <c r="BE1898" s="2">
        <v>135</v>
      </c>
      <c r="BF1898" s="2">
        <v>0</v>
      </c>
      <c r="BG1898" s="2">
        <v>162</v>
      </c>
      <c r="BH1898" s="2">
        <v>9.1</v>
      </c>
      <c r="BI1898" s="2">
        <v>9.1999999999999993</v>
      </c>
      <c r="BJ1898" s="2">
        <v>18.3</v>
      </c>
      <c r="BK1898" s="2">
        <v>0.34</v>
      </c>
      <c r="BL1898" s="2">
        <v>7.3</v>
      </c>
      <c r="BM1898" s="2">
        <v>0.9</v>
      </c>
      <c r="BN1898" s="2">
        <v>7.5</v>
      </c>
      <c r="BO1898" s="2">
        <v>2.9</v>
      </c>
      <c r="BP1898" s="2">
        <f t="shared" si="58"/>
        <v>1.9585804098494703</v>
      </c>
      <c r="BQ1898" s="2">
        <f t="shared" si="59"/>
        <v>9.8770897930246626</v>
      </c>
    </row>
    <row r="1899" spans="1:69" x14ac:dyDescent="0.2">
      <c r="A1899" s="2" t="s">
        <v>4636</v>
      </c>
      <c r="B1899" s="2" t="s">
        <v>47</v>
      </c>
      <c r="C1899" s="2" t="s">
        <v>3273</v>
      </c>
      <c r="D1899" s="2" t="s">
        <v>49</v>
      </c>
      <c r="E1899" s="2" t="s">
        <v>87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89</v>
      </c>
      <c r="L1899" s="6" t="s">
        <v>90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4637</v>
      </c>
      <c r="R1899" s="2">
        <v>7377049.1799999997</v>
      </c>
      <c r="S1899" s="2">
        <v>0</v>
      </c>
      <c r="T1899" s="2" t="s">
        <v>83</v>
      </c>
      <c r="U1899" s="2" t="s">
        <v>84</v>
      </c>
      <c r="V1899" s="2" t="s">
        <v>56</v>
      </c>
      <c r="W1899" s="2" t="s">
        <v>83</v>
      </c>
      <c r="X1899" s="2" t="s">
        <v>85</v>
      </c>
      <c r="Y1899" s="2">
        <v>2.54690063524647</v>
      </c>
      <c r="Z1899" s="2">
        <v>2546.9006352464698</v>
      </c>
      <c r="AA1899" s="2">
        <v>4.71035</v>
      </c>
      <c r="AB1899" s="2">
        <v>-74.030416666666696</v>
      </c>
      <c r="AC1899" s="2">
        <v>2570</v>
      </c>
      <c r="AD1899" s="2">
        <v>10</v>
      </c>
      <c r="AE1899" s="2" t="s">
        <v>59</v>
      </c>
      <c r="AF1899" s="2" t="s">
        <v>86</v>
      </c>
      <c r="AG1899" s="2" t="s">
        <v>61</v>
      </c>
      <c r="AH1899" s="2" t="s">
        <v>62</v>
      </c>
      <c r="AI1899" s="2" t="s">
        <v>87</v>
      </c>
      <c r="AJ1899" s="2">
        <v>2.9827298070096102</v>
      </c>
      <c r="AK1899" s="2">
        <v>9.9822699924580705E-2</v>
      </c>
      <c r="AL1899" s="2">
        <v>1.7874717820480699</v>
      </c>
      <c r="AM1899" s="2">
        <v>0.232900600376058</v>
      </c>
      <c r="AN1899" s="2">
        <v>1.1740757658537899</v>
      </c>
      <c r="AO1899" s="2">
        <v>0.18986944181578799</v>
      </c>
      <c r="AP1899" s="2">
        <v>0.18986944181578799</v>
      </c>
      <c r="AQ1899" s="2">
        <v>0</v>
      </c>
      <c r="AR1899" s="2">
        <v>0</v>
      </c>
      <c r="AS1899" s="2">
        <v>12</v>
      </c>
      <c r="AT1899" s="2">
        <v>34</v>
      </c>
      <c r="AU1899" s="2">
        <v>0</v>
      </c>
      <c r="AV1899" s="2">
        <v>9</v>
      </c>
      <c r="AW1899" s="2">
        <v>0</v>
      </c>
      <c r="AX1899" s="2">
        <v>0</v>
      </c>
      <c r="AY1899" s="2">
        <v>15.5</v>
      </c>
      <c r="AZ1899" s="2">
        <v>2.4</v>
      </c>
      <c r="BA1899" s="2">
        <v>10.9</v>
      </c>
      <c r="BB1899" s="2">
        <v>564</v>
      </c>
      <c r="BC1899" s="2">
        <v>68</v>
      </c>
      <c r="BD1899" s="2">
        <v>1.5</v>
      </c>
      <c r="BE1899" s="2">
        <v>135</v>
      </c>
      <c r="BF1899" s="2">
        <v>0</v>
      </c>
      <c r="BG1899" s="2">
        <v>162</v>
      </c>
      <c r="BH1899" s="2">
        <v>9.1</v>
      </c>
      <c r="BI1899" s="2">
        <v>9.1999999999999993</v>
      </c>
      <c r="BJ1899" s="2">
        <v>18.3</v>
      </c>
      <c r="BK1899" s="2">
        <v>0.34</v>
      </c>
      <c r="BL1899" s="2">
        <v>7.3</v>
      </c>
      <c r="BM1899" s="2">
        <v>0.9</v>
      </c>
      <c r="BN1899" s="2">
        <v>7.5</v>
      </c>
      <c r="BO1899" s="2">
        <v>2.9</v>
      </c>
      <c r="BP1899" s="2">
        <f t="shared" si="58"/>
        <v>2.1157241802662754</v>
      </c>
      <c r="BQ1899" s="2">
        <f t="shared" si="59"/>
        <v>10.253685213468067</v>
      </c>
    </row>
    <row r="1900" spans="1:69" x14ac:dyDescent="0.2">
      <c r="A1900" s="2" t="s">
        <v>3666</v>
      </c>
      <c r="B1900" s="2" t="s">
        <v>47</v>
      </c>
      <c r="C1900" s="2" t="s">
        <v>3273</v>
      </c>
      <c r="D1900" s="2" t="s">
        <v>49</v>
      </c>
      <c r="E1900" s="2" t="s">
        <v>559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89</v>
      </c>
      <c r="L1900" s="6" t="s">
        <v>90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3667</v>
      </c>
      <c r="R1900" s="2">
        <v>8199409.6430000002</v>
      </c>
      <c r="S1900" s="2">
        <v>0</v>
      </c>
      <c r="T1900" s="2" t="s">
        <v>83</v>
      </c>
      <c r="U1900" s="2" t="s">
        <v>84</v>
      </c>
      <c r="V1900" s="2" t="s">
        <v>56</v>
      </c>
      <c r="W1900" s="2" t="s">
        <v>83</v>
      </c>
      <c r="X1900" s="2" t="s">
        <v>85</v>
      </c>
      <c r="Y1900" s="2">
        <v>3.3511767408325599</v>
      </c>
      <c r="Z1900" s="2">
        <v>3351.17674083256</v>
      </c>
      <c r="AA1900" s="2">
        <v>4.71035</v>
      </c>
      <c r="AB1900" s="2">
        <v>-74.030416666666696</v>
      </c>
      <c r="AC1900" s="2">
        <v>2570</v>
      </c>
      <c r="AD1900" s="2">
        <v>10</v>
      </c>
      <c r="AE1900" s="2" t="s">
        <v>59</v>
      </c>
      <c r="AF1900" s="2" t="s">
        <v>86</v>
      </c>
      <c r="AG1900" s="2" t="s">
        <v>61</v>
      </c>
      <c r="AH1900" s="2" t="s">
        <v>62</v>
      </c>
      <c r="AI1900" s="2" t="s">
        <v>87</v>
      </c>
      <c r="AJ1900" s="2">
        <v>2.8937236701939799</v>
      </c>
      <c r="AK1900" s="2">
        <v>0.31814474964195499</v>
      </c>
      <c r="AL1900" s="2">
        <v>1.0539119085458599</v>
      </c>
      <c r="AM1900" s="2">
        <v>0.130083741570274</v>
      </c>
      <c r="AN1900" s="2">
        <v>0.57795931007566204</v>
      </c>
      <c r="AO1900" s="2">
        <v>0.15510707214339201</v>
      </c>
      <c r="AP1900" s="2">
        <v>0.15510707214339201</v>
      </c>
      <c r="AQ1900" s="2">
        <v>0</v>
      </c>
      <c r="AR1900" s="2">
        <v>0</v>
      </c>
      <c r="AS1900" s="2">
        <v>11</v>
      </c>
      <c r="AT1900" s="2">
        <v>59</v>
      </c>
      <c r="AU1900" s="2">
        <v>0</v>
      </c>
      <c r="AV1900" s="2">
        <v>9</v>
      </c>
      <c r="AW1900" s="2">
        <v>1</v>
      </c>
      <c r="AX1900" s="2">
        <v>0</v>
      </c>
      <c r="AY1900" s="2">
        <v>15.5</v>
      </c>
      <c r="AZ1900" s="2">
        <v>2.4</v>
      </c>
      <c r="BA1900" s="2">
        <v>10.9</v>
      </c>
      <c r="BB1900" s="2">
        <v>564</v>
      </c>
      <c r="BC1900" s="2">
        <v>68</v>
      </c>
      <c r="BD1900" s="2">
        <v>1.5</v>
      </c>
      <c r="BE1900" s="2">
        <v>135</v>
      </c>
      <c r="BF1900" s="2">
        <v>0</v>
      </c>
      <c r="BG1900" s="2">
        <v>162</v>
      </c>
      <c r="BH1900" s="2">
        <v>9.1</v>
      </c>
      <c r="BI1900" s="2">
        <v>9.1999999999999993</v>
      </c>
      <c r="BJ1900" s="2">
        <v>18.3</v>
      </c>
      <c r="BK1900" s="2">
        <v>0.34</v>
      </c>
      <c r="BL1900" s="2">
        <v>7.3</v>
      </c>
      <c r="BM1900" s="2">
        <v>0.9</v>
      </c>
      <c r="BN1900" s="2">
        <v>7.5</v>
      </c>
      <c r="BO1900" s="2">
        <v>2.9</v>
      </c>
      <c r="BP1900" s="2">
        <f t="shared" si="58"/>
        <v>2.0331483209664016</v>
      </c>
      <c r="BQ1900" s="2">
        <f t="shared" si="59"/>
        <v>10.057660142958312</v>
      </c>
    </row>
    <row r="1901" spans="1:69" x14ac:dyDescent="0.2">
      <c r="A1901" s="2" t="s">
        <v>1492</v>
      </c>
      <c r="B1901" s="2" t="s">
        <v>47</v>
      </c>
      <c r="C1901" s="2" t="s">
        <v>48</v>
      </c>
      <c r="D1901" s="2" t="s">
        <v>49</v>
      </c>
      <c r="E1901" s="2" t="s">
        <v>1493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89</v>
      </c>
      <c r="L1901" s="6" t="s">
        <v>90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1494</v>
      </c>
      <c r="R1901" s="2">
        <v>9890836.9169999994</v>
      </c>
      <c r="S1901" s="2">
        <v>0</v>
      </c>
      <c r="T1901" s="2" t="s">
        <v>83</v>
      </c>
      <c r="U1901" s="2" t="s">
        <v>84</v>
      </c>
      <c r="V1901" s="2" t="s">
        <v>56</v>
      </c>
      <c r="W1901" s="2" t="s">
        <v>83</v>
      </c>
      <c r="X1901" s="2" t="s">
        <v>85</v>
      </c>
      <c r="Y1901" s="2">
        <v>4.1410645974576497</v>
      </c>
      <c r="Z1901" s="2">
        <v>4141.0645974576501</v>
      </c>
      <c r="AA1901" s="2">
        <v>4.71035</v>
      </c>
      <c r="AB1901" s="2">
        <v>-74.030416666666696</v>
      </c>
      <c r="AC1901" s="2">
        <v>2570</v>
      </c>
      <c r="AD1901" s="2">
        <v>10</v>
      </c>
      <c r="AE1901" s="2" t="s">
        <v>59</v>
      </c>
      <c r="AF1901" s="2" t="s">
        <v>86</v>
      </c>
      <c r="AG1901" s="2" t="s">
        <v>61</v>
      </c>
      <c r="AH1901" s="2" t="s">
        <v>62</v>
      </c>
      <c r="AI1901" s="2" t="s">
        <v>109</v>
      </c>
      <c r="AJ1901" s="2">
        <v>7.8916409255592804E-2</v>
      </c>
      <c r="AK1901" s="2">
        <v>2.2713820162593801</v>
      </c>
      <c r="AL1901" s="2">
        <v>0.505334387126538</v>
      </c>
      <c r="AM1901" s="2">
        <v>2.80841291755786E-2</v>
      </c>
      <c r="AN1901" s="2">
        <v>2.9784622358682</v>
      </c>
      <c r="AO1901" s="2">
        <v>0.144571219649474</v>
      </c>
      <c r="AP1901" s="2">
        <v>0.144571219649474</v>
      </c>
      <c r="AQ1901" s="2">
        <v>1</v>
      </c>
      <c r="AR1901" s="2">
        <v>6</v>
      </c>
      <c r="AS1901" s="2">
        <v>0</v>
      </c>
      <c r="AT1901" s="2">
        <v>0</v>
      </c>
      <c r="AU1901" s="2">
        <v>5</v>
      </c>
      <c r="AV1901" s="2">
        <v>234</v>
      </c>
      <c r="AW1901" s="2">
        <v>0</v>
      </c>
      <c r="AX1901" s="2">
        <v>0</v>
      </c>
      <c r="AY1901" s="2">
        <v>15.5</v>
      </c>
      <c r="AZ1901" s="2">
        <v>2.4</v>
      </c>
      <c r="BA1901" s="2">
        <v>10.9</v>
      </c>
      <c r="BB1901" s="2">
        <v>564</v>
      </c>
      <c r="BC1901" s="2">
        <v>68</v>
      </c>
      <c r="BD1901" s="2">
        <v>1.5</v>
      </c>
      <c r="BE1901" s="2">
        <v>135</v>
      </c>
      <c r="BF1901" s="2">
        <v>0</v>
      </c>
      <c r="BG1901" s="2">
        <v>162</v>
      </c>
      <c r="BH1901" s="2">
        <v>9.1</v>
      </c>
      <c r="BI1901" s="2">
        <v>9.1999999999999993</v>
      </c>
      <c r="BJ1901" s="2">
        <v>18.3</v>
      </c>
      <c r="BK1901" s="2">
        <v>0.34</v>
      </c>
      <c r="BL1901" s="2">
        <v>7.3</v>
      </c>
      <c r="BM1901" s="2">
        <v>0.9</v>
      </c>
      <c r="BN1901" s="2">
        <v>7.5</v>
      </c>
      <c r="BO1901" s="2">
        <v>2.9</v>
      </c>
      <c r="BP1901" s="2">
        <f t="shared" si="58"/>
        <v>1.955187388579537</v>
      </c>
      <c r="BQ1901" s="2">
        <f t="shared" si="59"/>
        <v>9.8687898685900244</v>
      </c>
    </row>
    <row r="1902" spans="1:69" x14ac:dyDescent="0.2">
      <c r="A1902" s="2" t="s">
        <v>4060</v>
      </c>
      <c r="B1902" s="2" t="s">
        <v>47</v>
      </c>
      <c r="C1902" s="2" t="s">
        <v>3273</v>
      </c>
      <c r="D1902" s="2" t="s">
        <v>49</v>
      </c>
      <c r="E1902" s="2" t="s">
        <v>184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89</v>
      </c>
      <c r="L1902" s="6" t="s">
        <v>141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4061</v>
      </c>
      <c r="R1902" s="2">
        <v>9427720.807</v>
      </c>
      <c r="S1902" s="2">
        <v>0</v>
      </c>
      <c r="T1902" s="2" t="s">
        <v>83</v>
      </c>
      <c r="U1902" s="2" t="s">
        <v>84</v>
      </c>
      <c r="V1902" s="2" t="s">
        <v>56</v>
      </c>
      <c r="W1902" s="2" t="s">
        <v>83</v>
      </c>
      <c r="X1902" s="2" t="s">
        <v>85</v>
      </c>
      <c r="Y1902" s="2">
        <v>2.1900645461394501</v>
      </c>
      <c r="Z1902" s="2">
        <v>2190.0645461394502</v>
      </c>
      <c r="AA1902" s="2">
        <v>4.71035</v>
      </c>
      <c r="AB1902" s="2">
        <v>-74.030416666666696</v>
      </c>
      <c r="AC1902" s="2">
        <v>2570</v>
      </c>
      <c r="AD1902" s="2">
        <v>10</v>
      </c>
      <c r="AE1902" s="2" t="s">
        <v>59</v>
      </c>
      <c r="AF1902" s="2" t="s">
        <v>86</v>
      </c>
      <c r="AG1902" s="2" t="s">
        <v>61</v>
      </c>
      <c r="AH1902" s="2" t="s">
        <v>62</v>
      </c>
      <c r="AI1902" s="2" t="s">
        <v>87</v>
      </c>
      <c r="AJ1902" s="2">
        <v>0.949573067124446</v>
      </c>
      <c r="AK1902" s="2">
        <v>2.1657504360411601</v>
      </c>
      <c r="AL1902" s="2">
        <v>0.75876864599722305</v>
      </c>
      <c r="AM1902" s="2">
        <v>0.30368454974172598</v>
      </c>
      <c r="AN1902" s="2">
        <v>2.3832072992173501</v>
      </c>
      <c r="AO1902" s="2">
        <v>1.3784862024644601E-2</v>
      </c>
      <c r="AP1902" s="2">
        <v>1.3784862024644601E-2</v>
      </c>
      <c r="AQ1902" s="2">
        <v>0</v>
      </c>
      <c r="AR1902" s="2">
        <v>1</v>
      </c>
      <c r="AS1902" s="2">
        <v>0</v>
      </c>
      <c r="AT1902" s="2">
        <v>0</v>
      </c>
      <c r="AU1902" s="2">
        <v>1</v>
      </c>
      <c r="AV1902" s="2">
        <v>37</v>
      </c>
      <c r="AW1902" s="2">
        <v>0</v>
      </c>
      <c r="AX1902" s="2">
        <v>0</v>
      </c>
      <c r="AY1902" s="2">
        <v>15.5</v>
      </c>
      <c r="AZ1902" s="2">
        <v>2.4</v>
      </c>
      <c r="BA1902" s="2">
        <v>10.9</v>
      </c>
      <c r="BB1902" s="2">
        <v>564</v>
      </c>
      <c r="BC1902" s="2">
        <v>68</v>
      </c>
      <c r="BD1902" s="2">
        <v>1.5</v>
      </c>
      <c r="BE1902" s="2">
        <v>135</v>
      </c>
      <c r="BF1902" s="2">
        <v>0</v>
      </c>
      <c r="BG1902" s="2">
        <v>162</v>
      </c>
      <c r="BH1902" s="2">
        <v>9.1</v>
      </c>
      <c r="BI1902" s="2">
        <v>9.1999999999999993</v>
      </c>
      <c r="BJ1902" s="2">
        <v>18.3</v>
      </c>
      <c r="BK1902" s="2">
        <v>0.34</v>
      </c>
      <c r="BL1902" s="2">
        <v>7.3</v>
      </c>
      <c r="BM1902" s="2">
        <v>0.9</v>
      </c>
      <c r="BN1902" s="2">
        <v>7.5</v>
      </c>
      <c r="BO1902" s="2">
        <v>2.9</v>
      </c>
      <c r="BP1902" s="2">
        <f t="shared" si="58"/>
        <v>2.1534270337821324</v>
      </c>
      <c r="BQ1902" s="2">
        <f t="shared" si="59"/>
        <v>10.341875546710614</v>
      </c>
    </row>
    <row r="1903" spans="1:69" x14ac:dyDescent="0.2">
      <c r="A1903" s="2" t="s">
        <v>4082</v>
      </c>
      <c r="B1903" s="2" t="s">
        <v>47</v>
      </c>
      <c r="C1903" s="2" t="s">
        <v>3273</v>
      </c>
      <c r="D1903" s="2" t="s">
        <v>49</v>
      </c>
      <c r="E1903" s="2" t="s">
        <v>184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89</v>
      </c>
      <c r="L1903" s="6" t="s">
        <v>141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4083</v>
      </c>
      <c r="R1903" s="2">
        <v>9427720.807</v>
      </c>
      <c r="S1903" s="2">
        <v>0</v>
      </c>
      <c r="T1903" s="2" t="s">
        <v>83</v>
      </c>
      <c r="U1903" s="2" t="s">
        <v>84</v>
      </c>
      <c r="V1903" s="2" t="s">
        <v>56</v>
      </c>
      <c r="W1903" s="2" t="s">
        <v>83</v>
      </c>
      <c r="X1903" s="2" t="s">
        <v>85</v>
      </c>
      <c r="Y1903" s="2">
        <v>2.1900645461394501</v>
      </c>
      <c r="Z1903" s="2">
        <v>2190.0645461394502</v>
      </c>
      <c r="AA1903" s="2">
        <v>4.71035</v>
      </c>
      <c r="AB1903" s="2">
        <v>-74.030416666666696</v>
      </c>
      <c r="AC1903" s="2">
        <v>2570</v>
      </c>
      <c r="AD1903" s="2">
        <v>10</v>
      </c>
      <c r="AE1903" s="2" t="s">
        <v>59</v>
      </c>
      <c r="AF1903" s="2" t="s">
        <v>86</v>
      </c>
      <c r="AG1903" s="2" t="s">
        <v>61</v>
      </c>
      <c r="AH1903" s="2" t="s">
        <v>62</v>
      </c>
      <c r="AI1903" s="2" t="s">
        <v>87</v>
      </c>
      <c r="AJ1903" s="2">
        <v>0.949573067124446</v>
      </c>
      <c r="AK1903" s="2">
        <v>2.1657504360411601</v>
      </c>
      <c r="AL1903" s="2">
        <v>0.75876864599722305</v>
      </c>
      <c r="AM1903" s="2">
        <v>0.30368454974172598</v>
      </c>
      <c r="AN1903" s="2">
        <v>2.3832072992173501</v>
      </c>
      <c r="AO1903" s="2">
        <v>1.3784862024644601E-2</v>
      </c>
      <c r="AP1903" s="2">
        <v>1.3784862024644601E-2</v>
      </c>
      <c r="AQ1903" s="2">
        <v>0</v>
      </c>
      <c r="AR1903" s="2">
        <v>1</v>
      </c>
      <c r="AS1903" s="2">
        <v>0</v>
      </c>
      <c r="AT1903" s="2">
        <v>0</v>
      </c>
      <c r="AU1903" s="2">
        <v>1</v>
      </c>
      <c r="AV1903" s="2">
        <v>37</v>
      </c>
      <c r="AW1903" s="2">
        <v>0</v>
      </c>
      <c r="AX1903" s="2">
        <v>0</v>
      </c>
      <c r="AY1903" s="2">
        <v>15.5</v>
      </c>
      <c r="AZ1903" s="2">
        <v>2.4</v>
      </c>
      <c r="BA1903" s="2">
        <v>10.9</v>
      </c>
      <c r="BB1903" s="2">
        <v>564</v>
      </c>
      <c r="BC1903" s="2">
        <v>68</v>
      </c>
      <c r="BD1903" s="2">
        <v>1.5</v>
      </c>
      <c r="BE1903" s="2">
        <v>135</v>
      </c>
      <c r="BF1903" s="2">
        <v>0</v>
      </c>
      <c r="BG1903" s="2">
        <v>162</v>
      </c>
      <c r="BH1903" s="2">
        <v>9.1</v>
      </c>
      <c r="BI1903" s="2">
        <v>9.1999999999999993</v>
      </c>
      <c r="BJ1903" s="2">
        <v>18.3</v>
      </c>
      <c r="BK1903" s="2">
        <v>0.34</v>
      </c>
      <c r="BL1903" s="2">
        <v>7.3</v>
      </c>
      <c r="BM1903" s="2">
        <v>0.9</v>
      </c>
      <c r="BN1903" s="2">
        <v>7.5</v>
      </c>
      <c r="BO1903" s="2">
        <v>2.9</v>
      </c>
      <c r="BP1903" s="2">
        <f t="shared" si="58"/>
        <v>2.1534270337821324</v>
      </c>
      <c r="BQ1903" s="2">
        <f t="shared" si="59"/>
        <v>10.341875546710614</v>
      </c>
    </row>
    <row r="1904" spans="1:69" x14ac:dyDescent="0.2">
      <c r="A1904" s="2" t="s">
        <v>3324</v>
      </c>
      <c r="B1904" s="2" t="s">
        <v>47</v>
      </c>
      <c r="C1904" s="2" t="s">
        <v>3273</v>
      </c>
      <c r="D1904" s="2" t="s">
        <v>49</v>
      </c>
      <c r="E1904" s="2" t="s">
        <v>2271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89</v>
      </c>
      <c r="L1904" s="6" t="s">
        <v>90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3325</v>
      </c>
      <c r="R1904" s="2">
        <v>7922769.6399999997</v>
      </c>
      <c r="S1904" s="2">
        <v>0</v>
      </c>
      <c r="T1904" s="2" t="s">
        <v>83</v>
      </c>
      <c r="U1904" s="2" t="s">
        <v>84</v>
      </c>
      <c r="V1904" s="2" t="s">
        <v>56</v>
      </c>
      <c r="W1904" s="2" t="s">
        <v>83</v>
      </c>
      <c r="X1904" s="2" t="s">
        <v>85</v>
      </c>
      <c r="Y1904" s="2">
        <v>2.4650260421176302</v>
      </c>
      <c r="Z1904" s="2">
        <v>2465.0260421176299</v>
      </c>
      <c r="AA1904" s="2">
        <v>4.71035</v>
      </c>
      <c r="AB1904" s="2">
        <v>-74.030416666666696</v>
      </c>
      <c r="AC1904" s="2">
        <v>2570</v>
      </c>
      <c r="AD1904" s="2">
        <v>10</v>
      </c>
      <c r="AE1904" s="2" t="s">
        <v>59</v>
      </c>
      <c r="AF1904" s="2" t="s">
        <v>86</v>
      </c>
      <c r="AG1904" s="2" t="s">
        <v>61</v>
      </c>
      <c r="AH1904" s="2" t="s">
        <v>62</v>
      </c>
      <c r="AI1904" s="2" t="s">
        <v>87</v>
      </c>
      <c r="AJ1904" s="2">
        <v>2.9061713715426101</v>
      </c>
      <c r="AK1904" s="2">
        <v>0.185712414394894</v>
      </c>
      <c r="AL1904" s="2">
        <v>1.81970185697041</v>
      </c>
      <c r="AM1904" s="2">
        <v>0.217179238185951</v>
      </c>
      <c r="AN1904" s="2">
        <v>1.19647519291853</v>
      </c>
      <c r="AO1904" s="2">
        <v>0.11246448652397301</v>
      </c>
      <c r="AP1904" s="2">
        <v>0.11246448652397301</v>
      </c>
      <c r="AQ1904" s="2">
        <v>0</v>
      </c>
      <c r="AR1904" s="2">
        <v>0</v>
      </c>
      <c r="AS1904" s="2">
        <v>11</v>
      </c>
      <c r="AT1904" s="2">
        <v>32</v>
      </c>
      <c r="AU1904" s="2">
        <v>0</v>
      </c>
      <c r="AV1904" s="2">
        <v>9</v>
      </c>
      <c r="AW1904" s="2">
        <v>0</v>
      </c>
      <c r="AX1904" s="2">
        <v>0</v>
      </c>
      <c r="AY1904" s="2">
        <v>15.5</v>
      </c>
      <c r="AZ1904" s="2">
        <v>2.4</v>
      </c>
      <c r="BA1904" s="2">
        <v>10.9</v>
      </c>
      <c r="BB1904" s="2">
        <v>564</v>
      </c>
      <c r="BC1904" s="2">
        <v>68</v>
      </c>
      <c r="BD1904" s="2">
        <v>1.5</v>
      </c>
      <c r="BE1904" s="2">
        <v>135</v>
      </c>
      <c r="BF1904" s="2">
        <v>0</v>
      </c>
      <c r="BG1904" s="2">
        <v>162</v>
      </c>
      <c r="BH1904" s="2">
        <v>9.1</v>
      </c>
      <c r="BI1904" s="2">
        <v>9.1999999999999993</v>
      </c>
      <c r="BJ1904" s="2">
        <v>18.3</v>
      </c>
      <c r="BK1904" s="2">
        <v>0.34</v>
      </c>
      <c r="BL1904" s="2">
        <v>7.3</v>
      </c>
      <c r="BM1904" s="2">
        <v>0.9</v>
      </c>
      <c r="BN1904" s="2">
        <v>7.5</v>
      </c>
      <c r="BO1904" s="2">
        <v>2.9</v>
      </c>
      <c r="BP1904" s="2">
        <f t="shared" si="58"/>
        <v>2.1243161700746191</v>
      </c>
      <c r="BQ1904" s="2">
        <f t="shared" si="59"/>
        <v>10.273853413454827</v>
      </c>
    </row>
    <row r="1905" spans="1:69" x14ac:dyDescent="0.2">
      <c r="A1905" s="2" t="s">
        <v>3427</v>
      </c>
      <c r="B1905" s="2" t="s">
        <v>47</v>
      </c>
      <c r="C1905" s="2" t="s">
        <v>3273</v>
      </c>
      <c r="D1905" s="2" t="s">
        <v>49</v>
      </c>
      <c r="E1905" s="2" t="s">
        <v>3423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89</v>
      </c>
      <c r="L1905" s="6" t="s">
        <v>90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3428</v>
      </c>
      <c r="R1905" s="2">
        <v>13866666.67</v>
      </c>
      <c r="S1905" s="2">
        <v>0</v>
      </c>
      <c r="T1905" s="2" t="s">
        <v>83</v>
      </c>
      <c r="U1905" s="2" t="s">
        <v>84</v>
      </c>
      <c r="V1905" s="2" t="s">
        <v>56</v>
      </c>
      <c r="W1905" s="2" t="s">
        <v>83</v>
      </c>
      <c r="X1905" s="2" t="s">
        <v>85</v>
      </c>
      <c r="Y1905" s="2">
        <v>3.70051956049703</v>
      </c>
      <c r="Z1905" s="2">
        <v>3700.5195604970299</v>
      </c>
      <c r="AA1905" s="2">
        <v>4.71035</v>
      </c>
      <c r="AB1905" s="2">
        <v>-74.030416666666696</v>
      </c>
      <c r="AC1905" s="2">
        <v>2570</v>
      </c>
      <c r="AD1905" s="2">
        <v>10</v>
      </c>
      <c r="AE1905" s="2" t="s">
        <v>59</v>
      </c>
      <c r="AF1905" s="2" t="s">
        <v>86</v>
      </c>
      <c r="AG1905" s="2" t="s">
        <v>61</v>
      </c>
      <c r="AH1905" s="2" t="s">
        <v>62</v>
      </c>
      <c r="AI1905" s="2" t="s">
        <v>109</v>
      </c>
      <c r="AJ1905" s="2">
        <v>1.20443720653357</v>
      </c>
      <c r="AK1905" s="2">
        <v>1.1828957651232499</v>
      </c>
      <c r="AL1905" s="2">
        <v>0.66107939540462701</v>
      </c>
      <c r="AM1905" s="2">
        <v>9.5329901531055902E-2</v>
      </c>
      <c r="AN1905" s="2">
        <v>3.9474311373359301</v>
      </c>
      <c r="AO1905" s="2">
        <v>0.926553221130472</v>
      </c>
      <c r="AP1905" s="2">
        <v>0.926553221130472</v>
      </c>
      <c r="AQ1905" s="2">
        <v>0</v>
      </c>
      <c r="AR1905" s="2">
        <v>0</v>
      </c>
      <c r="AS1905" s="2">
        <v>0</v>
      </c>
      <c r="AT1905" s="2">
        <v>0</v>
      </c>
      <c r="AU1905" s="2">
        <v>5</v>
      </c>
      <c r="AV1905" s="2">
        <v>126</v>
      </c>
      <c r="AW1905" s="2">
        <v>0</v>
      </c>
      <c r="AX1905" s="2">
        <v>0</v>
      </c>
      <c r="AY1905" s="2">
        <v>15.5</v>
      </c>
      <c r="AZ1905" s="2">
        <v>2.4</v>
      </c>
      <c r="BA1905" s="2">
        <v>10.9</v>
      </c>
      <c r="BB1905" s="2">
        <v>564</v>
      </c>
      <c r="BC1905" s="2">
        <v>68</v>
      </c>
      <c r="BD1905" s="2">
        <v>1.5</v>
      </c>
      <c r="BE1905" s="2">
        <v>135</v>
      </c>
      <c r="BF1905" s="2">
        <v>0</v>
      </c>
      <c r="BG1905" s="2">
        <v>162</v>
      </c>
      <c r="BH1905" s="2">
        <v>9.1</v>
      </c>
      <c r="BI1905" s="2">
        <v>9.1999999999999993</v>
      </c>
      <c r="BJ1905" s="2">
        <v>18.3</v>
      </c>
      <c r="BK1905" s="2">
        <v>0.34</v>
      </c>
      <c r="BL1905" s="2">
        <v>7.3</v>
      </c>
      <c r="BM1905" s="2">
        <v>0.9</v>
      </c>
      <c r="BN1905" s="2">
        <v>7.5</v>
      </c>
      <c r="BO1905" s="2">
        <v>2.9</v>
      </c>
      <c r="BP1905" s="2">
        <f t="shared" si="58"/>
        <v>1.9982924064828016</v>
      </c>
      <c r="BQ1905" s="2">
        <f t="shared" si="59"/>
        <v>9.973686947576212</v>
      </c>
    </row>
    <row r="1906" spans="1:69" x14ac:dyDescent="0.2">
      <c r="A1906" s="2" t="s">
        <v>4068</v>
      </c>
      <c r="B1906" s="2" t="s">
        <v>47</v>
      </c>
      <c r="C1906" s="2" t="s">
        <v>3273</v>
      </c>
      <c r="D1906" s="2" t="s">
        <v>49</v>
      </c>
      <c r="E1906" s="2" t="s">
        <v>208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89</v>
      </c>
      <c r="L1906" s="6" t="s">
        <v>90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4069</v>
      </c>
      <c r="R1906" s="2">
        <v>13666666.67</v>
      </c>
      <c r="S1906" s="2">
        <v>0</v>
      </c>
      <c r="T1906" s="2" t="s">
        <v>83</v>
      </c>
      <c r="U1906" s="2" t="s">
        <v>84</v>
      </c>
      <c r="V1906" s="2" t="s">
        <v>56</v>
      </c>
      <c r="W1906" s="2" t="s">
        <v>83</v>
      </c>
      <c r="X1906" s="2" t="s">
        <v>85</v>
      </c>
      <c r="Y1906" s="2">
        <v>3.6974300751556402</v>
      </c>
      <c r="Z1906" s="2">
        <v>3697.4300751556402</v>
      </c>
      <c r="AA1906" s="2">
        <v>4.71035</v>
      </c>
      <c r="AB1906" s="2">
        <v>-74.030416666666696</v>
      </c>
      <c r="AC1906" s="2">
        <v>2570</v>
      </c>
      <c r="AD1906" s="2">
        <v>10</v>
      </c>
      <c r="AE1906" s="2" t="s">
        <v>59</v>
      </c>
      <c r="AF1906" s="2" t="s">
        <v>86</v>
      </c>
      <c r="AG1906" s="2" t="s">
        <v>61</v>
      </c>
      <c r="AH1906" s="2" t="s">
        <v>62</v>
      </c>
      <c r="AI1906" s="2" t="s">
        <v>109</v>
      </c>
      <c r="AJ1906" s="2">
        <v>1.20019307229707</v>
      </c>
      <c r="AK1906" s="2">
        <v>1.18883715800353</v>
      </c>
      <c r="AL1906" s="2">
        <v>0.65498137780241705</v>
      </c>
      <c r="AM1906" s="2">
        <v>9.2125053842393195E-2</v>
      </c>
      <c r="AN1906" s="2">
        <v>3.9455166185888699</v>
      </c>
      <c r="AO1906" s="2">
        <v>0.92328563608887004</v>
      </c>
      <c r="AP1906" s="2">
        <v>0.92328563608887004</v>
      </c>
      <c r="AQ1906" s="2">
        <v>0</v>
      </c>
      <c r="AR1906" s="2">
        <v>0</v>
      </c>
      <c r="AS1906" s="2">
        <v>0</v>
      </c>
      <c r="AT1906" s="2">
        <v>0</v>
      </c>
      <c r="AU1906" s="2">
        <v>5</v>
      </c>
      <c r="AV1906" s="2">
        <v>127</v>
      </c>
      <c r="AW1906" s="2">
        <v>0</v>
      </c>
      <c r="AX1906" s="2">
        <v>0</v>
      </c>
      <c r="AY1906" s="2">
        <v>15.5</v>
      </c>
      <c r="AZ1906" s="2">
        <v>2.4</v>
      </c>
      <c r="BA1906" s="2">
        <v>10.9</v>
      </c>
      <c r="BB1906" s="2">
        <v>564</v>
      </c>
      <c r="BC1906" s="2">
        <v>68</v>
      </c>
      <c r="BD1906" s="2">
        <v>1.5</v>
      </c>
      <c r="BE1906" s="2">
        <v>135</v>
      </c>
      <c r="BF1906" s="2">
        <v>0</v>
      </c>
      <c r="BG1906" s="2">
        <v>162</v>
      </c>
      <c r="BH1906" s="2">
        <v>9.1</v>
      </c>
      <c r="BI1906" s="2">
        <v>9.1999999999999993</v>
      </c>
      <c r="BJ1906" s="2">
        <v>18.3</v>
      </c>
      <c r="BK1906" s="2">
        <v>0.34</v>
      </c>
      <c r="BL1906" s="2">
        <v>7.3</v>
      </c>
      <c r="BM1906" s="2">
        <v>0.9</v>
      </c>
      <c r="BN1906" s="2">
        <v>7.5</v>
      </c>
      <c r="BO1906" s="2">
        <v>2.9</v>
      </c>
      <c r="BP1906" s="2">
        <f t="shared" si="58"/>
        <v>1.9985980277587974</v>
      </c>
      <c r="BQ1906" s="2">
        <f t="shared" si="59"/>
        <v>9.9744265004249044</v>
      </c>
    </row>
    <row r="1907" spans="1:69" x14ac:dyDescent="0.2">
      <c r="A1907" s="2" t="s">
        <v>805</v>
      </c>
      <c r="B1907" s="2" t="s">
        <v>47</v>
      </c>
      <c r="C1907" s="2" t="s">
        <v>48</v>
      </c>
      <c r="D1907" s="2" t="s">
        <v>49</v>
      </c>
      <c r="E1907" s="2" t="s">
        <v>205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89</v>
      </c>
      <c r="L1907" s="6" t="s">
        <v>90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806</v>
      </c>
      <c r="R1907" s="2">
        <v>14000000</v>
      </c>
      <c r="S1907" s="2">
        <v>0</v>
      </c>
      <c r="T1907" s="2" t="s">
        <v>83</v>
      </c>
      <c r="U1907" s="2" t="s">
        <v>84</v>
      </c>
      <c r="V1907" s="2" t="s">
        <v>56</v>
      </c>
      <c r="W1907" s="2" t="s">
        <v>83</v>
      </c>
      <c r="X1907" s="2" t="s">
        <v>85</v>
      </c>
      <c r="Y1907" s="2">
        <v>2.692811235098</v>
      </c>
      <c r="Z1907" s="2">
        <v>2692.811235098</v>
      </c>
      <c r="AA1907" s="2">
        <v>4.71035</v>
      </c>
      <c r="AB1907" s="2">
        <v>-74.030416666666696</v>
      </c>
      <c r="AC1907" s="2">
        <v>2570</v>
      </c>
      <c r="AD1907" s="2">
        <v>10</v>
      </c>
      <c r="AE1907" s="2" t="s">
        <v>59</v>
      </c>
      <c r="AF1907" s="2" t="s">
        <v>86</v>
      </c>
      <c r="AG1907" s="2" t="s">
        <v>61</v>
      </c>
      <c r="AH1907" s="2" t="s">
        <v>62</v>
      </c>
      <c r="AI1907" s="2" t="s">
        <v>87</v>
      </c>
      <c r="AJ1907" s="2">
        <v>1.6780012466688401</v>
      </c>
      <c r="AK1907" s="2">
        <v>1.2755607094858099</v>
      </c>
      <c r="AL1907" s="2">
        <v>0.76249044381227404</v>
      </c>
      <c r="AM1907" s="2">
        <v>0.27827109945364298</v>
      </c>
      <c r="AN1907" s="2">
        <v>4.7639089227974498</v>
      </c>
      <c r="AO1907" s="2">
        <v>6.5620508835930999E-2</v>
      </c>
      <c r="AP1907" s="2">
        <v>6.5620508835930999E-2</v>
      </c>
      <c r="AQ1907" s="2">
        <v>0</v>
      </c>
      <c r="AR1907" s="2">
        <v>0</v>
      </c>
      <c r="AS1907" s="2">
        <v>0</v>
      </c>
      <c r="AT1907" s="2">
        <v>0</v>
      </c>
      <c r="AU1907" s="2">
        <v>3</v>
      </c>
      <c r="AV1907" s="2">
        <v>95</v>
      </c>
      <c r="AW1907" s="2">
        <v>0</v>
      </c>
      <c r="AX1907" s="2">
        <v>0</v>
      </c>
      <c r="AY1907" s="2">
        <v>15.5</v>
      </c>
      <c r="AZ1907" s="2">
        <v>2.4</v>
      </c>
      <c r="BA1907" s="2">
        <v>10.9</v>
      </c>
      <c r="BB1907" s="2">
        <v>564</v>
      </c>
      <c r="BC1907" s="2">
        <v>68</v>
      </c>
      <c r="BD1907" s="2">
        <v>1.5</v>
      </c>
      <c r="BE1907" s="2">
        <v>135</v>
      </c>
      <c r="BF1907" s="2">
        <v>0</v>
      </c>
      <c r="BG1907" s="2">
        <v>162</v>
      </c>
      <c r="BH1907" s="2">
        <v>9.1</v>
      </c>
      <c r="BI1907" s="2">
        <v>9.1999999999999993</v>
      </c>
      <c r="BJ1907" s="2">
        <v>18.3</v>
      </c>
      <c r="BK1907" s="2">
        <v>0.34</v>
      </c>
      <c r="BL1907" s="2">
        <v>7.3</v>
      </c>
      <c r="BM1907" s="2">
        <v>0.9</v>
      </c>
      <c r="BN1907" s="2">
        <v>7.5</v>
      </c>
      <c r="BO1907" s="2">
        <v>2.9</v>
      </c>
      <c r="BP1907" s="2">
        <f t="shared" si="58"/>
        <v>2.1004982557229419</v>
      </c>
      <c r="BQ1907" s="2">
        <f t="shared" si="59"/>
        <v>10.217841097890112</v>
      </c>
    </row>
    <row r="1908" spans="1:69" x14ac:dyDescent="0.2">
      <c r="A1908" s="2" t="s">
        <v>3370</v>
      </c>
      <c r="B1908" s="2" t="s">
        <v>47</v>
      </c>
      <c r="C1908" s="2" t="s">
        <v>3273</v>
      </c>
      <c r="D1908" s="2" t="s">
        <v>49</v>
      </c>
      <c r="E1908" s="2" t="s">
        <v>349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89</v>
      </c>
      <c r="L1908" s="6" t="s">
        <v>90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3371</v>
      </c>
      <c r="R1908" s="2">
        <v>8166666.6670000004</v>
      </c>
      <c r="S1908" s="2">
        <v>0</v>
      </c>
      <c r="T1908" s="2" t="s">
        <v>83</v>
      </c>
      <c r="U1908" s="2" t="s">
        <v>84</v>
      </c>
      <c r="V1908" s="2" t="s">
        <v>56</v>
      </c>
      <c r="W1908" s="2" t="s">
        <v>83</v>
      </c>
      <c r="X1908" s="2" t="s">
        <v>85</v>
      </c>
      <c r="Y1908" s="2">
        <v>2.5446020604132702</v>
      </c>
      <c r="Z1908" s="2">
        <v>2544.60206041327</v>
      </c>
      <c r="AA1908" s="2">
        <v>4.71035</v>
      </c>
      <c r="AB1908" s="2">
        <v>-74.030416666666696</v>
      </c>
      <c r="AC1908" s="2">
        <v>2570</v>
      </c>
      <c r="AD1908" s="2">
        <v>10</v>
      </c>
      <c r="AE1908" s="2" t="s">
        <v>59</v>
      </c>
      <c r="AF1908" s="2" t="s">
        <v>86</v>
      </c>
      <c r="AG1908" s="2" t="s">
        <v>61</v>
      </c>
      <c r="AH1908" s="2" t="s">
        <v>62</v>
      </c>
      <c r="AI1908" s="2" t="s">
        <v>87</v>
      </c>
      <c r="AJ1908" s="2">
        <v>3.0011495978562501</v>
      </c>
      <c r="AK1908" s="2">
        <v>9.0422092883768707E-2</v>
      </c>
      <c r="AL1908" s="2">
        <v>1.8012605592655</v>
      </c>
      <c r="AM1908" s="2">
        <v>0.25248867785946699</v>
      </c>
      <c r="AN1908" s="2">
        <v>1.1894254114373499</v>
      </c>
      <c r="AO1908" s="2">
        <v>0.20680978865952801</v>
      </c>
      <c r="AP1908" s="2">
        <v>0.20680978865952801</v>
      </c>
      <c r="AQ1908" s="2">
        <v>0</v>
      </c>
      <c r="AR1908" s="2">
        <v>0</v>
      </c>
      <c r="AS1908" s="2">
        <v>12</v>
      </c>
      <c r="AT1908" s="2">
        <v>36</v>
      </c>
      <c r="AU1908" s="2">
        <v>0</v>
      </c>
      <c r="AV1908" s="2">
        <v>9</v>
      </c>
      <c r="AW1908" s="2">
        <v>0</v>
      </c>
      <c r="AX1908" s="2">
        <v>0</v>
      </c>
      <c r="AY1908" s="2">
        <v>15.5</v>
      </c>
      <c r="AZ1908" s="2">
        <v>2.4</v>
      </c>
      <c r="BA1908" s="2">
        <v>10.9</v>
      </c>
      <c r="BB1908" s="2">
        <v>564</v>
      </c>
      <c r="BC1908" s="2">
        <v>68</v>
      </c>
      <c r="BD1908" s="2">
        <v>1.5</v>
      </c>
      <c r="BE1908" s="2">
        <v>135</v>
      </c>
      <c r="BF1908" s="2">
        <v>0</v>
      </c>
      <c r="BG1908" s="2">
        <v>162</v>
      </c>
      <c r="BH1908" s="2">
        <v>9.1</v>
      </c>
      <c r="BI1908" s="2">
        <v>9.1999999999999993</v>
      </c>
      <c r="BJ1908" s="2">
        <v>18.3</v>
      </c>
      <c r="BK1908" s="2">
        <v>0.34</v>
      </c>
      <c r="BL1908" s="2">
        <v>7.3</v>
      </c>
      <c r="BM1908" s="2">
        <v>0.9</v>
      </c>
      <c r="BN1908" s="2">
        <v>7.5</v>
      </c>
      <c r="BO1908" s="2">
        <v>2.9</v>
      </c>
      <c r="BP1908" s="2">
        <f t="shared" si="58"/>
        <v>2.1159649199041879</v>
      </c>
      <c r="BQ1908" s="2">
        <f t="shared" si="59"/>
        <v>10.254250881777397</v>
      </c>
    </row>
    <row r="1909" spans="1:69" x14ac:dyDescent="0.2">
      <c r="A1909" s="2" t="s">
        <v>3596</v>
      </c>
      <c r="B1909" s="2" t="s">
        <v>47</v>
      </c>
      <c r="C1909" s="2" t="s">
        <v>3273</v>
      </c>
      <c r="D1909" s="2" t="s">
        <v>49</v>
      </c>
      <c r="E1909" s="2" t="s">
        <v>198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89</v>
      </c>
      <c r="L1909" s="6" t="s">
        <v>90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3597</v>
      </c>
      <c r="R1909" s="2">
        <v>7333333.3329999996</v>
      </c>
      <c r="S1909" s="2">
        <v>0</v>
      </c>
      <c r="T1909" s="2" t="s">
        <v>83</v>
      </c>
      <c r="U1909" s="2" t="s">
        <v>84</v>
      </c>
      <c r="V1909" s="2" t="s">
        <v>56</v>
      </c>
      <c r="W1909" s="2" t="s">
        <v>83</v>
      </c>
      <c r="X1909" s="2" t="s">
        <v>85</v>
      </c>
      <c r="Y1909" s="2">
        <v>2.54196032945053</v>
      </c>
      <c r="Z1909" s="2">
        <v>2541.96032945053</v>
      </c>
      <c r="AA1909" s="2">
        <v>4.71035</v>
      </c>
      <c r="AB1909" s="2">
        <v>-74.030416666666696</v>
      </c>
      <c r="AC1909" s="2">
        <v>2570</v>
      </c>
      <c r="AD1909" s="2">
        <v>10</v>
      </c>
      <c r="AE1909" s="2" t="s">
        <v>59</v>
      </c>
      <c r="AF1909" s="2" t="s">
        <v>86</v>
      </c>
      <c r="AG1909" s="2" t="s">
        <v>61</v>
      </c>
      <c r="AH1909" s="2" t="s">
        <v>62</v>
      </c>
      <c r="AI1909" s="2" t="s">
        <v>87</v>
      </c>
      <c r="AJ1909" s="2">
        <v>2.9795184107983501</v>
      </c>
      <c r="AK1909" s="2">
        <v>0.105139987549831</v>
      </c>
      <c r="AL1909" s="2">
        <v>1.7901333957296</v>
      </c>
      <c r="AM1909" s="2">
        <v>0.232151677575855</v>
      </c>
      <c r="AN1909" s="2">
        <v>1.17618795041769</v>
      </c>
      <c r="AO1909" s="2">
        <v>0.185921151547154</v>
      </c>
      <c r="AP1909" s="2">
        <v>0.185921151547154</v>
      </c>
      <c r="AQ1909" s="2">
        <v>0</v>
      </c>
      <c r="AR1909" s="2">
        <v>0</v>
      </c>
      <c r="AS1909" s="2">
        <v>12</v>
      </c>
      <c r="AT1909" s="2">
        <v>34</v>
      </c>
      <c r="AU1909" s="2">
        <v>0</v>
      </c>
      <c r="AV1909" s="2">
        <v>9</v>
      </c>
      <c r="AW1909" s="2">
        <v>0</v>
      </c>
      <c r="AX1909" s="2">
        <v>0</v>
      </c>
      <c r="AY1909" s="2">
        <v>15.5</v>
      </c>
      <c r="AZ1909" s="2">
        <v>2.4</v>
      </c>
      <c r="BA1909" s="2">
        <v>10.9</v>
      </c>
      <c r="BB1909" s="2">
        <v>564</v>
      </c>
      <c r="BC1909" s="2">
        <v>68</v>
      </c>
      <c r="BD1909" s="2">
        <v>1.5</v>
      </c>
      <c r="BE1909" s="2">
        <v>135</v>
      </c>
      <c r="BF1909" s="2">
        <v>0</v>
      </c>
      <c r="BG1909" s="2">
        <v>162</v>
      </c>
      <c r="BH1909" s="2">
        <v>9.1</v>
      </c>
      <c r="BI1909" s="2">
        <v>9.1999999999999993</v>
      </c>
      <c r="BJ1909" s="2">
        <v>18.3</v>
      </c>
      <c r="BK1909" s="2">
        <v>0.34</v>
      </c>
      <c r="BL1909" s="2">
        <v>7.3</v>
      </c>
      <c r="BM1909" s="2">
        <v>0.9</v>
      </c>
      <c r="BN1909" s="2">
        <v>7.5</v>
      </c>
      <c r="BO1909" s="2">
        <v>2.9</v>
      </c>
      <c r="BP1909" s="2">
        <f t="shared" si="58"/>
        <v>2.1162416335933476</v>
      </c>
      <c r="BQ1909" s="2">
        <f t="shared" si="59"/>
        <v>10.254901037716921</v>
      </c>
    </row>
    <row r="1910" spans="1:69" x14ac:dyDescent="0.2">
      <c r="A1910" s="2" t="s">
        <v>4249</v>
      </c>
      <c r="B1910" s="2" t="s">
        <v>47</v>
      </c>
      <c r="C1910" s="2" t="s">
        <v>3273</v>
      </c>
      <c r="D1910" s="2" t="s">
        <v>49</v>
      </c>
      <c r="E1910" s="2" t="s">
        <v>4250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89</v>
      </c>
      <c r="L1910" s="6" t="s">
        <v>90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4251</v>
      </c>
      <c r="R1910" s="2">
        <v>8000000</v>
      </c>
      <c r="S1910" s="2">
        <v>0</v>
      </c>
      <c r="T1910" s="2" t="s">
        <v>83</v>
      </c>
      <c r="U1910" s="2" t="s">
        <v>84</v>
      </c>
      <c r="V1910" s="2" t="s">
        <v>56</v>
      </c>
      <c r="W1910" s="2" t="s">
        <v>83</v>
      </c>
      <c r="X1910" s="2" t="s">
        <v>85</v>
      </c>
      <c r="Y1910" s="2">
        <v>2.51406548710401</v>
      </c>
      <c r="Z1910" s="2">
        <v>2514.0654871040101</v>
      </c>
      <c r="AA1910" s="2">
        <v>4.71035</v>
      </c>
      <c r="AB1910" s="2">
        <v>-74.030416666666696</v>
      </c>
      <c r="AC1910" s="2">
        <v>2570</v>
      </c>
      <c r="AD1910" s="2">
        <v>10</v>
      </c>
      <c r="AE1910" s="2" t="s">
        <v>59</v>
      </c>
      <c r="AF1910" s="2" t="s">
        <v>86</v>
      </c>
      <c r="AG1910" s="2" t="s">
        <v>61</v>
      </c>
      <c r="AH1910" s="2" t="s">
        <v>62</v>
      </c>
      <c r="AI1910" s="2" t="s">
        <v>87</v>
      </c>
      <c r="AJ1910" s="2">
        <v>2.9706072235857599</v>
      </c>
      <c r="AK1910" s="2">
        <v>0.11770180254054299</v>
      </c>
      <c r="AL1910" s="2">
        <v>1.81094040492997</v>
      </c>
      <c r="AM1910" s="2">
        <v>0.23886375166889701</v>
      </c>
      <c r="AN1910" s="2">
        <v>1.1948210589327499</v>
      </c>
      <c r="AO1910" s="2">
        <v>0.17405976493016201</v>
      </c>
      <c r="AP1910" s="2">
        <v>0.17405976493016201</v>
      </c>
      <c r="AQ1910" s="2">
        <v>0</v>
      </c>
      <c r="AR1910" s="2">
        <v>0</v>
      </c>
      <c r="AS1910" s="2">
        <v>12</v>
      </c>
      <c r="AT1910" s="2">
        <v>34</v>
      </c>
      <c r="AU1910" s="2">
        <v>0</v>
      </c>
      <c r="AV1910" s="2">
        <v>9</v>
      </c>
      <c r="AW1910" s="2">
        <v>0</v>
      </c>
      <c r="AX1910" s="2">
        <v>0</v>
      </c>
      <c r="AY1910" s="2">
        <v>15.5</v>
      </c>
      <c r="AZ1910" s="2">
        <v>2.4</v>
      </c>
      <c r="BA1910" s="2">
        <v>10.9</v>
      </c>
      <c r="BB1910" s="2">
        <v>564</v>
      </c>
      <c r="BC1910" s="2">
        <v>68</v>
      </c>
      <c r="BD1910" s="2">
        <v>1.5</v>
      </c>
      <c r="BE1910" s="2">
        <v>135</v>
      </c>
      <c r="BF1910" s="2">
        <v>0</v>
      </c>
      <c r="BG1910" s="2">
        <v>162</v>
      </c>
      <c r="BH1910" s="2">
        <v>9.1</v>
      </c>
      <c r="BI1910" s="2">
        <v>9.1999999999999993</v>
      </c>
      <c r="BJ1910" s="2">
        <v>18.3</v>
      </c>
      <c r="BK1910" s="2">
        <v>0.34</v>
      </c>
      <c r="BL1910" s="2">
        <v>7.3</v>
      </c>
      <c r="BM1910" s="2">
        <v>0.9</v>
      </c>
      <c r="BN1910" s="2">
        <v>7.5</v>
      </c>
      <c r="BO1910" s="2">
        <v>2.9</v>
      </c>
      <c r="BP1910" s="2">
        <f t="shared" si="58"/>
        <v>2.1191657471524463</v>
      </c>
      <c r="BQ1910" s="2">
        <f t="shared" si="59"/>
        <v>10.261768748690423</v>
      </c>
    </row>
    <row r="1911" spans="1:69" x14ac:dyDescent="0.2">
      <c r="A1911" s="2" t="s">
        <v>4548</v>
      </c>
      <c r="B1911" s="2" t="s">
        <v>47</v>
      </c>
      <c r="C1911" s="2" t="s">
        <v>3273</v>
      </c>
      <c r="D1911" s="2" t="s">
        <v>49</v>
      </c>
      <c r="E1911" s="2" t="s">
        <v>2271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89</v>
      </c>
      <c r="L1911" s="6" t="s">
        <v>90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4549</v>
      </c>
      <c r="R1911" s="2">
        <v>7666666.6670000004</v>
      </c>
      <c r="S1911" s="2">
        <v>0</v>
      </c>
      <c r="T1911" s="2" t="s">
        <v>83</v>
      </c>
      <c r="U1911" s="2" t="s">
        <v>84</v>
      </c>
      <c r="V1911" s="2" t="s">
        <v>56</v>
      </c>
      <c r="W1911" s="2" t="s">
        <v>83</v>
      </c>
      <c r="X1911" s="2" t="s">
        <v>85</v>
      </c>
      <c r="Y1911" s="2">
        <v>2.4650260421176302</v>
      </c>
      <c r="Z1911" s="2">
        <v>2465.0260421176299</v>
      </c>
      <c r="AA1911" s="2">
        <v>4.71035</v>
      </c>
      <c r="AB1911" s="2">
        <v>-74.030416666666696</v>
      </c>
      <c r="AC1911" s="2">
        <v>2570</v>
      </c>
      <c r="AD1911" s="2">
        <v>10</v>
      </c>
      <c r="AE1911" s="2" t="s">
        <v>59</v>
      </c>
      <c r="AF1911" s="2" t="s">
        <v>86</v>
      </c>
      <c r="AG1911" s="2" t="s">
        <v>61</v>
      </c>
      <c r="AH1911" s="2" t="s">
        <v>62</v>
      </c>
      <c r="AI1911" s="2" t="s">
        <v>87</v>
      </c>
      <c r="AJ1911" s="2">
        <v>2.9061713715426101</v>
      </c>
      <c r="AK1911" s="2">
        <v>0.185712414394894</v>
      </c>
      <c r="AL1911" s="2">
        <v>1.81970185697041</v>
      </c>
      <c r="AM1911" s="2">
        <v>0.217179238185951</v>
      </c>
      <c r="AN1911" s="2">
        <v>1.19647519291853</v>
      </c>
      <c r="AO1911" s="2">
        <v>0.11246448652397301</v>
      </c>
      <c r="AP1911" s="2">
        <v>0.11246448652397301</v>
      </c>
      <c r="AQ1911" s="2">
        <v>0</v>
      </c>
      <c r="AR1911" s="2">
        <v>0</v>
      </c>
      <c r="AS1911" s="2">
        <v>11</v>
      </c>
      <c r="AT1911" s="2">
        <v>32</v>
      </c>
      <c r="AU1911" s="2">
        <v>0</v>
      </c>
      <c r="AV1911" s="2">
        <v>9</v>
      </c>
      <c r="AW1911" s="2">
        <v>0</v>
      </c>
      <c r="AX1911" s="2">
        <v>0</v>
      </c>
      <c r="AY1911" s="2">
        <v>15.5</v>
      </c>
      <c r="AZ1911" s="2">
        <v>2.4</v>
      </c>
      <c r="BA1911" s="2">
        <v>10.9</v>
      </c>
      <c r="BB1911" s="2">
        <v>564</v>
      </c>
      <c r="BC1911" s="2">
        <v>68</v>
      </c>
      <c r="BD1911" s="2">
        <v>1.5</v>
      </c>
      <c r="BE1911" s="2">
        <v>135</v>
      </c>
      <c r="BF1911" s="2">
        <v>0</v>
      </c>
      <c r="BG1911" s="2">
        <v>162</v>
      </c>
      <c r="BH1911" s="2">
        <v>9.1</v>
      </c>
      <c r="BI1911" s="2">
        <v>9.1999999999999993</v>
      </c>
      <c r="BJ1911" s="2">
        <v>18.3</v>
      </c>
      <c r="BK1911" s="2">
        <v>0.34</v>
      </c>
      <c r="BL1911" s="2">
        <v>7.3</v>
      </c>
      <c r="BM1911" s="2">
        <v>0.9</v>
      </c>
      <c r="BN1911" s="2">
        <v>7.5</v>
      </c>
      <c r="BO1911" s="2">
        <v>2.9</v>
      </c>
      <c r="BP1911" s="2">
        <f t="shared" si="58"/>
        <v>2.1243161700746191</v>
      </c>
      <c r="BQ1911" s="2">
        <f t="shared" si="59"/>
        <v>10.273853413454827</v>
      </c>
    </row>
    <row r="1912" spans="1:69" x14ac:dyDescent="0.2">
      <c r="A1912" s="2" t="s">
        <v>1868</v>
      </c>
      <c r="B1912" s="2" t="s">
        <v>47</v>
      </c>
      <c r="C1912" s="2" t="s">
        <v>48</v>
      </c>
      <c r="D1912" s="2" t="s">
        <v>49</v>
      </c>
      <c r="E1912" s="2" t="s">
        <v>81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89</v>
      </c>
      <c r="L1912" s="6" t="s">
        <v>112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1869</v>
      </c>
      <c r="R1912" s="2">
        <v>13833333.33</v>
      </c>
      <c r="S1912" s="2">
        <v>0</v>
      </c>
      <c r="T1912" s="2" t="s">
        <v>83</v>
      </c>
      <c r="U1912" s="2" t="s">
        <v>84</v>
      </c>
      <c r="V1912" s="2" t="s">
        <v>56</v>
      </c>
      <c r="W1912" s="2" t="s">
        <v>83</v>
      </c>
      <c r="X1912" s="2" t="s">
        <v>85</v>
      </c>
      <c r="Y1912" s="2">
        <v>1.8798270452232499</v>
      </c>
      <c r="Z1912" s="2">
        <v>1879.82704522325</v>
      </c>
      <c r="AA1912" s="2">
        <v>4.71035</v>
      </c>
      <c r="AB1912" s="2">
        <v>-74.030416666666696</v>
      </c>
      <c r="AC1912" s="2">
        <v>2570</v>
      </c>
      <c r="AD1912" s="2">
        <v>10</v>
      </c>
      <c r="AE1912" s="2" t="s">
        <v>59</v>
      </c>
      <c r="AF1912" s="2" t="s">
        <v>86</v>
      </c>
      <c r="AG1912" s="2" t="s">
        <v>61</v>
      </c>
      <c r="AH1912" s="2" t="s">
        <v>62</v>
      </c>
      <c r="AI1912" s="2" t="s">
        <v>87</v>
      </c>
      <c r="AJ1912" s="2">
        <v>1.5426248557867299</v>
      </c>
      <c r="AK1912" s="2">
        <v>1.72311195651267</v>
      </c>
      <c r="AL1912" s="2">
        <v>1.0449798793457299</v>
      </c>
      <c r="AM1912" s="2">
        <v>0.13868346002323001</v>
      </c>
      <c r="AN1912" s="2">
        <v>5.1315205321761699</v>
      </c>
      <c r="AO1912" s="2">
        <v>0.13913018548756401</v>
      </c>
      <c r="AP1912" s="2">
        <v>0.13913018548756401</v>
      </c>
      <c r="AQ1912" s="2">
        <v>0</v>
      </c>
      <c r="AR1912" s="2">
        <v>0</v>
      </c>
      <c r="AS1912" s="2">
        <v>0</v>
      </c>
      <c r="AT1912" s="2">
        <v>0</v>
      </c>
      <c r="AU1912" s="2">
        <v>0</v>
      </c>
      <c r="AV1912" s="2">
        <v>124</v>
      </c>
      <c r="AW1912" s="2">
        <v>0</v>
      </c>
      <c r="AX1912" s="2">
        <v>0</v>
      </c>
      <c r="AY1912" s="2">
        <v>15.5</v>
      </c>
      <c r="AZ1912" s="2">
        <v>2.4</v>
      </c>
      <c r="BA1912" s="2">
        <v>10.9</v>
      </c>
      <c r="BB1912" s="2">
        <v>564</v>
      </c>
      <c r="BC1912" s="2">
        <v>68</v>
      </c>
      <c r="BD1912" s="2">
        <v>1.5</v>
      </c>
      <c r="BE1912" s="2">
        <v>135</v>
      </c>
      <c r="BF1912" s="2">
        <v>0</v>
      </c>
      <c r="BG1912" s="2">
        <v>162</v>
      </c>
      <c r="BH1912" s="2">
        <v>9.1</v>
      </c>
      <c r="BI1912" s="2">
        <v>9.1999999999999993</v>
      </c>
      <c r="BJ1912" s="2">
        <v>18.3</v>
      </c>
      <c r="BK1912" s="2">
        <v>0.34</v>
      </c>
      <c r="BL1912" s="2">
        <v>7.3</v>
      </c>
      <c r="BM1912" s="2">
        <v>0.9</v>
      </c>
      <c r="BN1912" s="2">
        <v>7.5</v>
      </c>
      <c r="BO1912" s="2">
        <v>2.9</v>
      </c>
      <c r="BP1912" s="2">
        <f t="shared" si="58"/>
        <v>2.1867519140576936</v>
      </c>
      <c r="BQ1912" s="2">
        <f t="shared" si="59"/>
        <v>10.419165431274818</v>
      </c>
    </row>
    <row r="1913" spans="1:69" x14ac:dyDescent="0.2">
      <c r="A1913" s="2" t="s">
        <v>3990</v>
      </c>
      <c r="B1913" s="2" t="s">
        <v>47</v>
      </c>
      <c r="C1913" s="2" t="s">
        <v>3273</v>
      </c>
      <c r="D1913" s="2" t="s">
        <v>49</v>
      </c>
      <c r="E1913" s="2" t="s">
        <v>192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89</v>
      </c>
      <c r="L1913" s="6" t="s">
        <v>103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3991</v>
      </c>
      <c r="R1913" s="2">
        <v>10500000</v>
      </c>
      <c r="S1913" s="2">
        <v>0</v>
      </c>
      <c r="T1913" s="2" t="s">
        <v>83</v>
      </c>
      <c r="U1913" s="2" t="s">
        <v>84</v>
      </c>
      <c r="V1913" s="2" t="s">
        <v>56</v>
      </c>
      <c r="W1913" s="2" t="s">
        <v>83</v>
      </c>
      <c r="X1913" s="2" t="s">
        <v>85</v>
      </c>
      <c r="Y1913" s="2">
        <v>1.8637504916774901</v>
      </c>
      <c r="Z1913" s="2">
        <v>1863.7504916774899</v>
      </c>
      <c r="AA1913" s="2">
        <v>4.71035</v>
      </c>
      <c r="AB1913" s="2">
        <v>-74.030416666666696</v>
      </c>
      <c r="AC1913" s="2">
        <v>2570</v>
      </c>
      <c r="AD1913" s="2">
        <v>10</v>
      </c>
      <c r="AE1913" s="2" t="s">
        <v>59</v>
      </c>
      <c r="AF1913" s="2" t="s">
        <v>86</v>
      </c>
      <c r="AG1913" s="2" t="s">
        <v>61</v>
      </c>
      <c r="AH1913" s="2" t="s">
        <v>62</v>
      </c>
      <c r="AI1913" s="2" t="s">
        <v>87</v>
      </c>
      <c r="AJ1913" s="2">
        <v>1.74170913261755</v>
      </c>
      <c r="AK1913" s="2">
        <v>1.5383692377937299</v>
      </c>
      <c r="AL1913" s="2">
        <v>0.97002313966184694</v>
      </c>
      <c r="AM1913" s="2">
        <v>0.120095682751647</v>
      </c>
      <c r="AN1913" s="2">
        <v>5.1918339481690001</v>
      </c>
      <c r="AO1913" s="2">
        <v>3.0124725053893402E-2</v>
      </c>
      <c r="AP1913" s="2">
        <v>3.0124725053893402E-2</v>
      </c>
      <c r="AQ1913" s="2">
        <v>0</v>
      </c>
      <c r="AR1913" s="2">
        <v>0</v>
      </c>
      <c r="AS1913" s="2">
        <v>0</v>
      </c>
      <c r="AT1913" s="2">
        <v>0</v>
      </c>
      <c r="AU1913" s="2">
        <v>1</v>
      </c>
      <c r="AV1913" s="2">
        <v>154</v>
      </c>
      <c r="AW1913" s="2">
        <v>0</v>
      </c>
      <c r="AX1913" s="2">
        <v>0</v>
      </c>
      <c r="AY1913" s="2">
        <v>15.5</v>
      </c>
      <c r="AZ1913" s="2">
        <v>2.4</v>
      </c>
      <c r="BA1913" s="2">
        <v>10.9</v>
      </c>
      <c r="BB1913" s="2">
        <v>564</v>
      </c>
      <c r="BC1913" s="2">
        <v>68</v>
      </c>
      <c r="BD1913" s="2">
        <v>1.5</v>
      </c>
      <c r="BE1913" s="2">
        <v>135</v>
      </c>
      <c r="BF1913" s="2">
        <v>0</v>
      </c>
      <c r="BG1913" s="2">
        <v>162</v>
      </c>
      <c r="BH1913" s="2">
        <v>9.1</v>
      </c>
      <c r="BI1913" s="2">
        <v>9.1999999999999993</v>
      </c>
      <c r="BJ1913" s="2">
        <v>18.3</v>
      </c>
      <c r="BK1913" s="2">
        <v>0.34</v>
      </c>
      <c r="BL1913" s="2">
        <v>7.3</v>
      </c>
      <c r="BM1913" s="2">
        <v>0.9</v>
      </c>
      <c r="BN1913" s="2">
        <v>7.5</v>
      </c>
      <c r="BO1913" s="2">
        <v>2.9</v>
      </c>
      <c r="BP1913" s="2">
        <f t="shared" si="58"/>
        <v>2.188492800650133</v>
      </c>
      <c r="BQ1913" s="2">
        <f t="shared" si="59"/>
        <v>10.423186309430283</v>
      </c>
    </row>
    <row r="1914" spans="1:69" x14ac:dyDescent="0.2">
      <c r="A1914" s="2" t="s">
        <v>3479</v>
      </c>
      <c r="B1914" s="2" t="s">
        <v>47</v>
      </c>
      <c r="C1914" s="2" t="s">
        <v>3273</v>
      </c>
      <c r="D1914" s="2" t="s">
        <v>49</v>
      </c>
      <c r="E1914" s="2" t="s">
        <v>109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89</v>
      </c>
      <c r="L1914" s="6" t="s">
        <v>90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3480</v>
      </c>
      <c r="R1914" s="2">
        <v>10000000</v>
      </c>
      <c r="S1914" s="2">
        <v>0</v>
      </c>
      <c r="T1914" s="2" t="s">
        <v>83</v>
      </c>
      <c r="U1914" s="2" t="s">
        <v>84</v>
      </c>
      <c r="V1914" s="2" t="s">
        <v>56</v>
      </c>
      <c r="W1914" s="2" t="s">
        <v>83</v>
      </c>
      <c r="X1914" s="2" t="s">
        <v>85</v>
      </c>
      <c r="Y1914" s="2">
        <v>1.71238787275652</v>
      </c>
      <c r="Z1914" s="2">
        <v>1712.38787275652</v>
      </c>
      <c r="AA1914" s="2">
        <v>4.71035</v>
      </c>
      <c r="AB1914" s="2">
        <v>-74.030416666666696</v>
      </c>
      <c r="AC1914" s="2">
        <v>2570</v>
      </c>
      <c r="AD1914" s="2">
        <v>10</v>
      </c>
      <c r="AE1914" s="2" t="s">
        <v>59</v>
      </c>
      <c r="AF1914" s="2" t="s">
        <v>86</v>
      </c>
      <c r="AG1914" s="2" t="s">
        <v>61</v>
      </c>
      <c r="AH1914" s="2" t="s">
        <v>62</v>
      </c>
      <c r="AI1914" s="2" t="s">
        <v>87</v>
      </c>
      <c r="AJ1914" s="2">
        <v>1.4714764570483001</v>
      </c>
      <c r="AK1914" s="2">
        <v>1.62073392617005</v>
      </c>
      <c r="AL1914" s="2">
        <v>1.0185295898990201</v>
      </c>
      <c r="AM1914" s="2">
        <v>0.47703354267353099</v>
      </c>
      <c r="AN1914" s="2">
        <v>2.27893811124162</v>
      </c>
      <c r="AO1914" s="2">
        <v>7.4246388033248706E-2</v>
      </c>
      <c r="AP1914" s="2">
        <v>7.4246388033248706E-2</v>
      </c>
      <c r="AQ1914" s="2">
        <v>0</v>
      </c>
      <c r="AR1914" s="2">
        <v>0</v>
      </c>
      <c r="AS1914" s="2">
        <v>0</v>
      </c>
      <c r="AT1914" s="2">
        <v>0</v>
      </c>
      <c r="AU1914" s="2">
        <v>0</v>
      </c>
      <c r="AV1914" s="2">
        <v>21</v>
      </c>
      <c r="AW1914" s="2">
        <v>0</v>
      </c>
      <c r="AX1914" s="2">
        <v>0</v>
      </c>
      <c r="AY1914" s="2">
        <v>15.5</v>
      </c>
      <c r="AZ1914" s="2">
        <v>2.4</v>
      </c>
      <c r="BA1914" s="2">
        <v>10.9</v>
      </c>
      <c r="BB1914" s="2">
        <v>564</v>
      </c>
      <c r="BC1914" s="2">
        <v>68</v>
      </c>
      <c r="BD1914" s="2">
        <v>1.5</v>
      </c>
      <c r="BE1914" s="2">
        <v>135</v>
      </c>
      <c r="BF1914" s="2">
        <v>0</v>
      </c>
      <c r="BG1914" s="2">
        <v>162</v>
      </c>
      <c r="BH1914" s="2">
        <v>9.1</v>
      </c>
      <c r="BI1914" s="2">
        <v>9.1999999999999993</v>
      </c>
      <c r="BJ1914" s="2">
        <v>18.3</v>
      </c>
      <c r="BK1914" s="2">
        <v>0.34</v>
      </c>
      <c r="BL1914" s="2">
        <v>7.3</v>
      </c>
      <c r="BM1914" s="2">
        <v>0.9</v>
      </c>
      <c r="BN1914" s="2">
        <v>7.5</v>
      </c>
      <c r="BO1914" s="2">
        <v>2.9</v>
      </c>
      <c r="BP1914" s="2">
        <f t="shared" si="58"/>
        <v>2.2049515539339946</v>
      </c>
      <c r="BQ1914" s="2">
        <f t="shared" si="59"/>
        <v>10.461119506386286</v>
      </c>
    </row>
    <row r="1915" spans="1:69" x14ac:dyDescent="0.2">
      <c r="A1915" s="2" t="s">
        <v>3912</v>
      </c>
      <c r="B1915" s="2" t="s">
        <v>47</v>
      </c>
      <c r="C1915" s="2" t="s">
        <v>3273</v>
      </c>
      <c r="D1915" s="2" t="s">
        <v>49</v>
      </c>
      <c r="E1915" s="2" t="s">
        <v>241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89</v>
      </c>
      <c r="L1915" s="6" t="s">
        <v>90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3913</v>
      </c>
      <c r="R1915" s="2">
        <v>13022618.23</v>
      </c>
      <c r="S1915" s="2">
        <v>0</v>
      </c>
      <c r="T1915" s="2" t="s">
        <v>83</v>
      </c>
      <c r="U1915" s="2" t="s">
        <v>84</v>
      </c>
      <c r="V1915" s="2" t="s">
        <v>56</v>
      </c>
      <c r="W1915" s="2" t="s">
        <v>83</v>
      </c>
      <c r="X1915" s="2" t="s">
        <v>85</v>
      </c>
      <c r="Y1915" s="2">
        <v>0.268092408504149</v>
      </c>
      <c r="Z1915" s="2">
        <v>268.09240850414898</v>
      </c>
      <c r="AA1915" s="2">
        <v>4.71035</v>
      </c>
      <c r="AB1915" s="2">
        <v>-74.030416666666696</v>
      </c>
      <c r="AC1915" s="2">
        <v>2570</v>
      </c>
      <c r="AD1915" s="2">
        <v>10</v>
      </c>
      <c r="AE1915" s="2" t="s">
        <v>59</v>
      </c>
      <c r="AF1915" s="2" t="s">
        <v>86</v>
      </c>
      <c r="AG1915" s="2" t="s">
        <v>61</v>
      </c>
      <c r="AH1915" s="2" t="s">
        <v>62</v>
      </c>
      <c r="AI1915" s="2" t="s">
        <v>87</v>
      </c>
      <c r="AJ1915" s="2">
        <v>2.44713607405739</v>
      </c>
      <c r="AK1915" s="2">
        <v>0.71423104424506401</v>
      </c>
      <c r="AL1915" s="2">
        <v>0.32194808016231002</v>
      </c>
      <c r="AM1915" s="2">
        <v>0.269855200129481</v>
      </c>
      <c r="AN1915" s="2">
        <v>3.72483941057867</v>
      </c>
      <c r="AO1915" s="2">
        <v>0.20474179692008401</v>
      </c>
      <c r="AP1915" s="2">
        <v>0.20474179692008401</v>
      </c>
      <c r="AQ1915" s="2">
        <v>0</v>
      </c>
      <c r="AR1915" s="2">
        <v>0</v>
      </c>
      <c r="AS1915" s="2">
        <v>0</v>
      </c>
      <c r="AT1915" s="2">
        <v>21</v>
      </c>
      <c r="AU1915" s="2">
        <v>2</v>
      </c>
      <c r="AV1915" s="2">
        <v>106</v>
      </c>
      <c r="AW1915" s="2">
        <v>0</v>
      </c>
      <c r="AX1915" s="2">
        <v>0</v>
      </c>
      <c r="AY1915" s="2">
        <v>15.5</v>
      </c>
      <c r="AZ1915" s="2">
        <v>2.4</v>
      </c>
      <c r="BA1915" s="2">
        <v>10.9</v>
      </c>
      <c r="BB1915" s="2">
        <v>564</v>
      </c>
      <c r="BC1915" s="2">
        <v>68</v>
      </c>
      <c r="BD1915" s="2">
        <v>1.5</v>
      </c>
      <c r="BE1915" s="2">
        <v>135</v>
      </c>
      <c r="BF1915" s="2">
        <v>0</v>
      </c>
      <c r="BG1915" s="2">
        <v>162</v>
      </c>
      <c r="BH1915" s="2">
        <v>9.1</v>
      </c>
      <c r="BI1915" s="2">
        <v>9.1999999999999993</v>
      </c>
      <c r="BJ1915" s="2">
        <v>18.3</v>
      </c>
      <c r="BK1915" s="2">
        <v>0.34</v>
      </c>
      <c r="BL1915" s="2">
        <v>7.3</v>
      </c>
      <c r="BM1915" s="2">
        <v>0.9</v>
      </c>
      <c r="BN1915" s="2">
        <v>7.5</v>
      </c>
      <c r="BO1915" s="2">
        <v>2.9</v>
      </c>
      <c r="BP1915" s="2">
        <f t="shared" si="58"/>
        <v>2.3683610199086282</v>
      </c>
      <c r="BQ1915" s="2">
        <f t="shared" si="59"/>
        <v>10.83009216822021</v>
      </c>
    </row>
    <row r="1916" spans="1:69" x14ac:dyDescent="0.2">
      <c r="A1916" s="2" t="s">
        <v>3920</v>
      </c>
      <c r="B1916" s="2" t="s">
        <v>47</v>
      </c>
      <c r="C1916" s="2" t="s">
        <v>3273</v>
      </c>
      <c r="D1916" s="2" t="s">
        <v>49</v>
      </c>
      <c r="E1916" s="2" t="s">
        <v>3921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89</v>
      </c>
      <c r="L1916" s="6" t="s">
        <v>103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3922</v>
      </c>
      <c r="R1916" s="2">
        <v>8620689.6549999993</v>
      </c>
      <c r="S1916" s="2">
        <v>0</v>
      </c>
      <c r="T1916" s="2" t="s">
        <v>83</v>
      </c>
      <c r="U1916" s="2" t="s">
        <v>84</v>
      </c>
      <c r="V1916" s="2" t="s">
        <v>56</v>
      </c>
      <c r="W1916" s="2" t="s">
        <v>83</v>
      </c>
      <c r="X1916" s="2" t="s">
        <v>85</v>
      </c>
      <c r="Y1916" s="2">
        <v>4.0836826699688098</v>
      </c>
      <c r="Z1916" s="2">
        <v>4083.6826699688099</v>
      </c>
      <c r="AA1916" s="2">
        <v>4.71035</v>
      </c>
      <c r="AB1916" s="2">
        <v>-74.030416666666696</v>
      </c>
      <c r="AC1916" s="2">
        <v>2570</v>
      </c>
      <c r="AD1916" s="2">
        <v>10</v>
      </c>
      <c r="AE1916" s="2" t="s">
        <v>59</v>
      </c>
      <c r="AF1916" s="2" t="s">
        <v>86</v>
      </c>
      <c r="AG1916" s="2" t="s">
        <v>61</v>
      </c>
      <c r="AH1916" s="2" t="s">
        <v>62</v>
      </c>
      <c r="AI1916" s="2" t="s">
        <v>100</v>
      </c>
      <c r="AJ1916" s="2">
        <v>0.52197040801986505</v>
      </c>
      <c r="AK1916" s="2">
        <v>3.2750073295976998</v>
      </c>
      <c r="AL1916" s="2">
        <v>0.97511510340173702</v>
      </c>
      <c r="AM1916" s="2">
        <v>9.65231706738328E-2</v>
      </c>
      <c r="AN1916" s="2">
        <v>2.97370297489792</v>
      </c>
      <c r="AO1916" s="2">
        <v>8.7896968583359106E-3</v>
      </c>
      <c r="AP1916" s="2">
        <v>8.7896968583359106E-3</v>
      </c>
      <c r="AQ1916" s="2">
        <v>0</v>
      </c>
      <c r="AR1916" s="2">
        <v>4</v>
      </c>
      <c r="AS1916" s="2">
        <v>0</v>
      </c>
      <c r="AT1916" s="2">
        <v>0</v>
      </c>
      <c r="AU1916" s="2">
        <v>1</v>
      </c>
      <c r="AV1916" s="2">
        <v>121</v>
      </c>
      <c r="AW1916" s="2">
        <v>0</v>
      </c>
      <c r="AX1916" s="2">
        <v>0</v>
      </c>
      <c r="AY1916" s="2">
        <v>15.5</v>
      </c>
      <c r="AZ1916" s="2">
        <v>2.4</v>
      </c>
      <c r="BA1916" s="2">
        <v>10.9</v>
      </c>
      <c r="BB1916" s="2">
        <v>564</v>
      </c>
      <c r="BC1916" s="2">
        <v>68</v>
      </c>
      <c r="BD1916" s="2">
        <v>1.5</v>
      </c>
      <c r="BE1916" s="2">
        <v>135</v>
      </c>
      <c r="BF1916" s="2">
        <v>0</v>
      </c>
      <c r="BG1916" s="2">
        <v>162</v>
      </c>
      <c r="BH1916" s="2">
        <v>9.1</v>
      </c>
      <c r="BI1916" s="2">
        <v>9.1999999999999993</v>
      </c>
      <c r="BJ1916" s="2">
        <v>18.3</v>
      </c>
      <c r="BK1916" s="2">
        <v>0.34</v>
      </c>
      <c r="BL1916" s="2">
        <v>7.3</v>
      </c>
      <c r="BM1916" s="2">
        <v>0.9</v>
      </c>
      <c r="BN1916" s="2">
        <v>7.5</v>
      </c>
      <c r="BO1916" s="2">
        <v>2.9</v>
      </c>
      <c r="BP1916" s="2">
        <f t="shared" si="58"/>
        <v>1.9607488080208402</v>
      </c>
      <c r="BQ1916" s="2">
        <f t="shared" si="59"/>
        <v>9.8823901958278118</v>
      </c>
    </row>
    <row r="1917" spans="1:69" x14ac:dyDescent="0.2">
      <c r="A1917" s="2" t="s">
        <v>4199</v>
      </c>
      <c r="B1917" s="2" t="s">
        <v>47</v>
      </c>
      <c r="C1917" s="2" t="s">
        <v>3273</v>
      </c>
      <c r="D1917" s="2" t="s">
        <v>49</v>
      </c>
      <c r="E1917" s="2" t="s">
        <v>1543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89</v>
      </c>
      <c r="L1917" s="6" t="s">
        <v>90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4200</v>
      </c>
      <c r="R1917" s="2">
        <v>5793103.4479999999</v>
      </c>
      <c r="S1917" s="2">
        <v>0</v>
      </c>
      <c r="T1917" s="2" t="s">
        <v>83</v>
      </c>
      <c r="U1917" s="2" t="s">
        <v>84</v>
      </c>
      <c r="V1917" s="2" t="s">
        <v>56</v>
      </c>
      <c r="W1917" s="2" t="s">
        <v>83</v>
      </c>
      <c r="X1917" s="2" t="s">
        <v>85</v>
      </c>
      <c r="Y1917" s="2">
        <v>2.92452826181023</v>
      </c>
      <c r="Z1917" s="2">
        <v>2924.5282618102301</v>
      </c>
      <c r="AA1917" s="2">
        <v>4.71035</v>
      </c>
      <c r="AB1917" s="2">
        <v>-74.030416666666696</v>
      </c>
      <c r="AC1917" s="2">
        <v>2570</v>
      </c>
      <c r="AD1917" s="2">
        <v>10</v>
      </c>
      <c r="AE1917" s="2" t="s">
        <v>59</v>
      </c>
      <c r="AF1917" s="2" t="s">
        <v>86</v>
      </c>
      <c r="AG1917" s="2" t="s">
        <v>61</v>
      </c>
      <c r="AH1917" s="2" t="s">
        <v>62</v>
      </c>
      <c r="AI1917" s="2" t="s">
        <v>87</v>
      </c>
      <c r="AJ1917" s="2">
        <v>2.6022353303511498</v>
      </c>
      <c r="AK1917" s="2">
        <v>0.49106132297135802</v>
      </c>
      <c r="AL1917" s="2">
        <v>1.2522404888837599</v>
      </c>
      <c r="AM1917" s="2">
        <v>0.31269028977774799</v>
      </c>
      <c r="AN1917" s="2">
        <v>0.62151085233754699</v>
      </c>
      <c r="AO1917" s="2">
        <v>0.23268449132251801</v>
      </c>
      <c r="AP1917" s="2">
        <v>0.23268449132251801</v>
      </c>
      <c r="AQ1917" s="2">
        <v>0</v>
      </c>
      <c r="AR1917" s="2">
        <v>0</v>
      </c>
      <c r="AS1917" s="2">
        <v>1</v>
      </c>
      <c r="AT1917" s="2">
        <v>22</v>
      </c>
      <c r="AU1917" s="2">
        <v>0</v>
      </c>
      <c r="AV1917" s="2">
        <v>11</v>
      </c>
      <c r="AW1917" s="2">
        <v>1</v>
      </c>
      <c r="AX1917" s="2">
        <v>0</v>
      </c>
      <c r="AY1917" s="2">
        <v>15.5</v>
      </c>
      <c r="AZ1917" s="2">
        <v>2.4</v>
      </c>
      <c r="BA1917" s="2">
        <v>10.9</v>
      </c>
      <c r="BB1917" s="2">
        <v>564</v>
      </c>
      <c r="BC1917" s="2">
        <v>68</v>
      </c>
      <c r="BD1917" s="2">
        <v>1.5</v>
      </c>
      <c r="BE1917" s="2">
        <v>135</v>
      </c>
      <c r="BF1917" s="2">
        <v>0</v>
      </c>
      <c r="BG1917" s="2">
        <v>162</v>
      </c>
      <c r="BH1917" s="2">
        <v>9.1</v>
      </c>
      <c r="BI1917" s="2">
        <v>9.1999999999999993</v>
      </c>
      <c r="BJ1917" s="2">
        <v>18.3</v>
      </c>
      <c r="BK1917" s="2">
        <v>0.34</v>
      </c>
      <c r="BL1917" s="2">
        <v>7.3</v>
      </c>
      <c r="BM1917" s="2">
        <v>0.9</v>
      </c>
      <c r="BN1917" s="2">
        <v>7.5</v>
      </c>
      <c r="BO1917" s="2">
        <v>2.9</v>
      </c>
      <c r="BP1917" s="2">
        <f t="shared" si="58"/>
        <v>2.0765432005900024</v>
      </c>
      <c r="BQ1917" s="2">
        <f t="shared" si="59"/>
        <v>10.161175262990698</v>
      </c>
    </row>
    <row r="1918" spans="1:69" x14ac:dyDescent="0.2">
      <c r="A1918" s="2" t="s">
        <v>3746</v>
      </c>
      <c r="B1918" s="2" t="s">
        <v>47</v>
      </c>
      <c r="C1918" s="2" t="s">
        <v>3273</v>
      </c>
      <c r="D1918" s="2" t="s">
        <v>49</v>
      </c>
      <c r="E1918" s="2" t="s">
        <v>1858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89</v>
      </c>
      <c r="L1918" s="6" t="s">
        <v>90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3747</v>
      </c>
      <c r="R1918" s="2">
        <v>15517241.380000001</v>
      </c>
      <c r="S1918" s="2">
        <v>0</v>
      </c>
      <c r="T1918" s="2" t="s">
        <v>83</v>
      </c>
      <c r="U1918" s="2" t="s">
        <v>84</v>
      </c>
      <c r="V1918" s="2" t="s">
        <v>56</v>
      </c>
      <c r="W1918" s="2" t="s">
        <v>83</v>
      </c>
      <c r="X1918" s="2" t="s">
        <v>85</v>
      </c>
      <c r="Y1918" s="2">
        <v>2.74929939869594</v>
      </c>
      <c r="Z1918" s="2">
        <v>2749.29939869594</v>
      </c>
      <c r="AA1918" s="2">
        <v>4.71035</v>
      </c>
      <c r="AB1918" s="2">
        <v>-74.030416666666696</v>
      </c>
      <c r="AC1918" s="2">
        <v>2570</v>
      </c>
      <c r="AD1918" s="2">
        <v>10</v>
      </c>
      <c r="AE1918" s="2" t="s">
        <v>59</v>
      </c>
      <c r="AF1918" s="2" t="s">
        <v>86</v>
      </c>
      <c r="AG1918" s="2" t="s">
        <v>61</v>
      </c>
      <c r="AH1918" s="2" t="s">
        <v>62</v>
      </c>
      <c r="AI1918" s="2" t="s">
        <v>87</v>
      </c>
      <c r="AJ1918" s="2">
        <v>1.6786424364619099</v>
      </c>
      <c r="AK1918" s="2">
        <v>1.2356291420460099</v>
      </c>
      <c r="AL1918" s="2">
        <v>0.71704611766128701</v>
      </c>
      <c r="AM1918" s="2">
        <v>0.23275116489092099</v>
      </c>
      <c r="AN1918" s="2">
        <v>4.73011783858413</v>
      </c>
      <c r="AO1918" s="2">
        <v>4.8328023927265103E-2</v>
      </c>
      <c r="AP1918" s="2">
        <v>4.8328023927265103E-2</v>
      </c>
      <c r="AQ1918" s="2">
        <v>0</v>
      </c>
      <c r="AR1918" s="2">
        <v>0</v>
      </c>
      <c r="AS1918" s="2">
        <v>0</v>
      </c>
      <c r="AT1918" s="2">
        <v>0</v>
      </c>
      <c r="AU1918" s="2">
        <v>3</v>
      </c>
      <c r="AV1918" s="2">
        <v>90</v>
      </c>
      <c r="AW1918" s="2">
        <v>0</v>
      </c>
      <c r="AX1918" s="2">
        <v>0</v>
      </c>
      <c r="AY1918" s="2">
        <v>15.5</v>
      </c>
      <c r="AZ1918" s="2">
        <v>2.4</v>
      </c>
      <c r="BA1918" s="2">
        <v>10.9</v>
      </c>
      <c r="BB1918" s="2">
        <v>564</v>
      </c>
      <c r="BC1918" s="2">
        <v>68</v>
      </c>
      <c r="BD1918" s="2">
        <v>1.5</v>
      </c>
      <c r="BE1918" s="2">
        <v>135</v>
      </c>
      <c r="BF1918" s="2">
        <v>0</v>
      </c>
      <c r="BG1918" s="2">
        <v>162</v>
      </c>
      <c r="BH1918" s="2">
        <v>9.1</v>
      </c>
      <c r="BI1918" s="2">
        <v>9.1999999999999993</v>
      </c>
      <c r="BJ1918" s="2">
        <v>18.3</v>
      </c>
      <c r="BK1918" s="2">
        <v>0.34</v>
      </c>
      <c r="BL1918" s="2">
        <v>7.3</v>
      </c>
      <c r="BM1918" s="2">
        <v>0.9</v>
      </c>
      <c r="BN1918" s="2">
        <v>7.5</v>
      </c>
      <c r="BO1918" s="2">
        <v>2.9</v>
      </c>
      <c r="BP1918" s="2">
        <f t="shared" si="58"/>
        <v>2.0946331216721989</v>
      </c>
      <c r="BQ1918" s="2">
        <f t="shared" si="59"/>
        <v>10.203997993759415</v>
      </c>
    </row>
    <row r="1919" spans="1:69" x14ac:dyDescent="0.2">
      <c r="A1919" s="2" t="s">
        <v>4365</v>
      </c>
      <c r="B1919" s="2" t="s">
        <v>47</v>
      </c>
      <c r="C1919" s="2" t="s">
        <v>3273</v>
      </c>
      <c r="D1919" s="2" t="s">
        <v>49</v>
      </c>
      <c r="E1919" s="2" t="s">
        <v>192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89</v>
      </c>
      <c r="L1919" s="6" t="s">
        <v>90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4366</v>
      </c>
      <c r="R1919" s="2">
        <v>13965517.24</v>
      </c>
      <c r="S1919" s="2">
        <v>0</v>
      </c>
      <c r="T1919" s="2" t="s">
        <v>83</v>
      </c>
      <c r="U1919" s="2" t="s">
        <v>84</v>
      </c>
      <c r="V1919" s="2" t="s">
        <v>56</v>
      </c>
      <c r="W1919" s="2" t="s">
        <v>83</v>
      </c>
      <c r="X1919" s="2" t="s">
        <v>85</v>
      </c>
      <c r="Y1919" s="2">
        <v>1.6758914486936201</v>
      </c>
      <c r="Z1919" s="2">
        <v>1675.8914486936201</v>
      </c>
      <c r="AA1919" s="2">
        <v>4.71035</v>
      </c>
      <c r="AB1919" s="2">
        <v>-74.030416666666696</v>
      </c>
      <c r="AC1919" s="2">
        <v>2570</v>
      </c>
      <c r="AD1919" s="2">
        <v>10</v>
      </c>
      <c r="AE1919" s="2" t="s">
        <v>59</v>
      </c>
      <c r="AF1919" s="2" t="s">
        <v>86</v>
      </c>
      <c r="AG1919" s="2" t="s">
        <v>61</v>
      </c>
      <c r="AH1919" s="2" t="s">
        <v>62</v>
      </c>
      <c r="AI1919" s="2" t="s">
        <v>87</v>
      </c>
      <c r="AJ1919" s="2">
        <v>1.7240858589161601</v>
      </c>
      <c r="AK1919" s="2">
        <v>1.5403830424793701</v>
      </c>
      <c r="AL1919" s="2">
        <v>0.86692975388434601</v>
      </c>
      <c r="AM1919" s="2">
        <v>1.2339469185830201E-2</v>
      </c>
      <c r="AN1919" s="2">
        <v>4.9682273203250498</v>
      </c>
      <c r="AO1919" s="2">
        <v>1.02295090272361E-2</v>
      </c>
      <c r="AP1919" s="2">
        <v>1.02295090272361E-2</v>
      </c>
      <c r="AQ1919" s="2">
        <v>0</v>
      </c>
      <c r="AR1919" s="2">
        <v>0</v>
      </c>
      <c r="AS1919" s="2">
        <v>0</v>
      </c>
      <c r="AT1919" s="2">
        <v>0</v>
      </c>
      <c r="AU1919" s="2">
        <v>1</v>
      </c>
      <c r="AV1919" s="2">
        <v>155</v>
      </c>
      <c r="AW1919" s="2">
        <v>0</v>
      </c>
      <c r="AX1919" s="2">
        <v>0</v>
      </c>
      <c r="AY1919" s="2">
        <v>15.5</v>
      </c>
      <c r="AZ1919" s="2">
        <v>2.4</v>
      </c>
      <c r="BA1919" s="2">
        <v>10.9</v>
      </c>
      <c r="BB1919" s="2">
        <v>564</v>
      </c>
      <c r="BC1919" s="2">
        <v>68</v>
      </c>
      <c r="BD1919" s="2">
        <v>1.5</v>
      </c>
      <c r="BE1919" s="2">
        <v>135</v>
      </c>
      <c r="BF1919" s="2">
        <v>0</v>
      </c>
      <c r="BG1919" s="2">
        <v>162</v>
      </c>
      <c r="BH1919" s="2">
        <v>9.1</v>
      </c>
      <c r="BI1919" s="2">
        <v>9.1999999999999993</v>
      </c>
      <c r="BJ1919" s="2">
        <v>18.3</v>
      </c>
      <c r="BK1919" s="2">
        <v>0.34</v>
      </c>
      <c r="BL1919" s="2">
        <v>7.3</v>
      </c>
      <c r="BM1919" s="2">
        <v>0.9</v>
      </c>
      <c r="BN1919" s="2">
        <v>7.5</v>
      </c>
      <c r="BO1919" s="2">
        <v>2.9</v>
      </c>
      <c r="BP1919" s="2">
        <f t="shared" si="58"/>
        <v>2.2089385601825797</v>
      </c>
      <c r="BQ1919" s="2">
        <f t="shared" si="59"/>
        <v>10.470286563466082</v>
      </c>
    </row>
    <row r="1920" spans="1:69" x14ac:dyDescent="0.2">
      <c r="A1920" s="2" t="s">
        <v>4506</v>
      </c>
      <c r="B1920" s="2" t="s">
        <v>47</v>
      </c>
      <c r="C1920" s="2" t="s">
        <v>3273</v>
      </c>
      <c r="D1920" s="2" t="s">
        <v>49</v>
      </c>
      <c r="E1920" s="2" t="s">
        <v>111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89</v>
      </c>
      <c r="L1920" s="6" t="s">
        <v>90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4507</v>
      </c>
      <c r="R1920" s="2">
        <v>13571428.57</v>
      </c>
      <c r="S1920" s="2">
        <v>0</v>
      </c>
      <c r="T1920" s="2" t="s">
        <v>83</v>
      </c>
      <c r="U1920" s="2" t="s">
        <v>84</v>
      </c>
      <c r="V1920" s="2" t="s">
        <v>56</v>
      </c>
      <c r="W1920" s="2" t="s">
        <v>83</v>
      </c>
      <c r="X1920" s="2" t="s">
        <v>85</v>
      </c>
      <c r="Y1920" s="2">
        <v>4.0744048975108003</v>
      </c>
      <c r="Z1920" s="2">
        <v>4074.4048975107999</v>
      </c>
      <c r="AA1920" s="2">
        <v>4.71035</v>
      </c>
      <c r="AB1920" s="2">
        <v>-74.030416666666696</v>
      </c>
      <c r="AC1920" s="2">
        <v>2570</v>
      </c>
      <c r="AD1920" s="2">
        <v>10</v>
      </c>
      <c r="AE1920" s="2" t="s">
        <v>59</v>
      </c>
      <c r="AF1920" s="2" t="s">
        <v>86</v>
      </c>
      <c r="AG1920" s="2" t="s">
        <v>61</v>
      </c>
      <c r="AH1920" s="2" t="s">
        <v>62</v>
      </c>
      <c r="AI1920" s="2" t="s">
        <v>109</v>
      </c>
      <c r="AJ1920" s="2">
        <v>0.40529576526553202</v>
      </c>
      <c r="AK1920" s="2">
        <v>1.8979490623442701</v>
      </c>
      <c r="AL1920" s="2">
        <v>0.39071038290309501</v>
      </c>
      <c r="AM1920" s="2">
        <v>0.16924359636021</v>
      </c>
      <c r="AN1920" s="2">
        <v>3.2028953533159998</v>
      </c>
      <c r="AO1920" s="2">
        <v>0.44603499438577199</v>
      </c>
      <c r="AP1920" s="2">
        <v>0.44603499438577199</v>
      </c>
      <c r="AQ1920" s="2">
        <v>1</v>
      </c>
      <c r="AR1920" s="2">
        <v>2</v>
      </c>
      <c r="AS1920" s="2">
        <v>0</v>
      </c>
      <c r="AT1920" s="2">
        <v>0</v>
      </c>
      <c r="AU1920" s="2">
        <v>5</v>
      </c>
      <c r="AV1920" s="2">
        <v>256</v>
      </c>
      <c r="AW1920" s="2">
        <v>0</v>
      </c>
      <c r="AX1920" s="2">
        <v>0</v>
      </c>
      <c r="AY1920" s="2">
        <v>15.5</v>
      </c>
      <c r="AZ1920" s="2">
        <v>2.4</v>
      </c>
      <c r="BA1920" s="2">
        <v>10.9</v>
      </c>
      <c r="BB1920" s="2">
        <v>564</v>
      </c>
      <c r="BC1920" s="2">
        <v>68</v>
      </c>
      <c r="BD1920" s="2">
        <v>1.5</v>
      </c>
      <c r="BE1920" s="2">
        <v>135</v>
      </c>
      <c r="BF1920" s="2">
        <v>0</v>
      </c>
      <c r="BG1920" s="2">
        <v>162</v>
      </c>
      <c r="BH1920" s="2">
        <v>9.1</v>
      </c>
      <c r="BI1920" s="2">
        <v>9.1999999999999993</v>
      </c>
      <c r="BJ1920" s="2">
        <v>18.3</v>
      </c>
      <c r="BK1920" s="2">
        <v>0.34</v>
      </c>
      <c r="BL1920" s="2">
        <v>7.3</v>
      </c>
      <c r="BM1920" s="2">
        <v>0.9</v>
      </c>
      <c r="BN1920" s="2">
        <v>7.5</v>
      </c>
      <c r="BO1920" s="2">
        <v>2.9</v>
      </c>
      <c r="BP1920" s="2">
        <f t="shared" si="58"/>
        <v>1.9616494881973392</v>
      </c>
      <c r="BQ1920" s="2">
        <f t="shared" si="59"/>
        <v>9.88459091845424</v>
      </c>
    </row>
    <row r="1921" spans="1:69" x14ac:dyDescent="0.2">
      <c r="A1921" s="2" t="s">
        <v>3582</v>
      </c>
      <c r="B1921" s="2" t="s">
        <v>47</v>
      </c>
      <c r="C1921" s="2" t="s">
        <v>3273</v>
      </c>
      <c r="D1921" s="2" t="s">
        <v>49</v>
      </c>
      <c r="E1921" s="2" t="s">
        <v>2271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89</v>
      </c>
      <c r="L1921" s="6" t="s">
        <v>90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3583</v>
      </c>
      <c r="R1921" s="2">
        <v>9315657.4700000007</v>
      </c>
      <c r="S1921" s="2">
        <v>0</v>
      </c>
      <c r="T1921" s="2" t="s">
        <v>83</v>
      </c>
      <c r="U1921" s="2" t="s">
        <v>84</v>
      </c>
      <c r="V1921" s="2" t="s">
        <v>56</v>
      </c>
      <c r="W1921" s="2" t="s">
        <v>83</v>
      </c>
      <c r="X1921" s="2" t="s">
        <v>85</v>
      </c>
      <c r="Y1921" s="2">
        <v>2.4650260421176302</v>
      </c>
      <c r="Z1921" s="2">
        <v>2465.0260421176299</v>
      </c>
      <c r="AA1921" s="2">
        <v>4.71035</v>
      </c>
      <c r="AB1921" s="2">
        <v>-74.030416666666696</v>
      </c>
      <c r="AC1921" s="2">
        <v>2570</v>
      </c>
      <c r="AD1921" s="2">
        <v>10</v>
      </c>
      <c r="AE1921" s="2" t="s">
        <v>59</v>
      </c>
      <c r="AF1921" s="2" t="s">
        <v>86</v>
      </c>
      <c r="AG1921" s="2" t="s">
        <v>61</v>
      </c>
      <c r="AH1921" s="2" t="s">
        <v>62</v>
      </c>
      <c r="AI1921" s="2" t="s">
        <v>87</v>
      </c>
      <c r="AJ1921" s="2">
        <v>2.9061713715426101</v>
      </c>
      <c r="AK1921" s="2">
        <v>0.185712414394894</v>
      </c>
      <c r="AL1921" s="2">
        <v>1.81970185697041</v>
      </c>
      <c r="AM1921" s="2">
        <v>0.217179238185951</v>
      </c>
      <c r="AN1921" s="2">
        <v>1.19647519291853</v>
      </c>
      <c r="AO1921" s="2">
        <v>0.11246448652397301</v>
      </c>
      <c r="AP1921" s="2">
        <v>0.11246448652397301</v>
      </c>
      <c r="AQ1921" s="2">
        <v>0</v>
      </c>
      <c r="AR1921" s="2">
        <v>0</v>
      </c>
      <c r="AS1921" s="2">
        <v>11</v>
      </c>
      <c r="AT1921" s="2">
        <v>32</v>
      </c>
      <c r="AU1921" s="2">
        <v>0</v>
      </c>
      <c r="AV1921" s="2">
        <v>9</v>
      </c>
      <c r="AW1921" s="2">
        <v>0</v>
      </c>
      <c r="AX1921" s="2">
        <v>0</v>
      </c>
      <c r="AY1921" s="2">
        <v>15.5</v>
      </c>
      <c r="AZ1921" s="2">
        <v>2.4</v>
      </c>
      <c r="BA1921" s="2">
        <v>10.9</v>
      </c>
      <c r="BB1921" s="2">
        <v>564</v>
      </c>
      <c r="BC1921" s="2">
        <v>68</v>
      </c>
      <c r="BD1921" s="2">
        <v>1.5</v>
      </c>
      <c r="BE1921" s="2">
        <v>135</v>
      </c>
      <c r="BF1921" s="2">
        <v>0</v>
      </c>
      <c r="BG1921" s="2">
        <v>162</v>
      </c>
      <c r="BH1921" s="2">
        <v>9.1</v>
      </c>
      <c r="BI1921" s="2">
        <v>9.1999999999999993</v>
      </c>
      <c r="BJ1921" s="2">
        <v>18.3</v>
      </c>
      <c r="BK1921" s="2">
        <v>0.34</v>
      </c>
      <c r="BL1921" s="2">
        <v>7.3</v>
      </c>
      <c r="BM1921" s="2">
        <v>0.9</v>
      </c>
      <c r="BN1921" s="2">
        <v>7.5</v>
      </c>
      <c r="BO1921" s="2">
        <v>2.9</v>
      </c>
      <c r="BP1921" s="2">
        <f t="shared" si="58"/>
        <v>2.1243161700746191</v>
      </c>
      <c r="BQ1921" s="2">
        <f t="shared" si="59"/>
        <v>10.273853413454827</v>
      </c>
    </row>
    <row r="1922" spans="1:69" x14ac:dyDescent="0.2">
      <c r="A1922" s="2" t="s">
        <v>3523</v>
      </c>
      <c r="B1922" s="2" t="s">
        <v>47</v>
      </c>
      <c r="C1922" s="2" t="s">
        <v>3273</v>
      </c>
      <c r="D1922" s="2" t="s">
        <v>49</v>
      </c>
      <c r="E1922" s="2" t="s">
        <v>3524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89</v>
      </c>
      <c r="L1922" s="6" t="s">
        <v>90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3525</v>
      </c>
      <c r="R1922" s="2">
        <v>12617159.34</v>
      </c>
      <c r="S1922" s="2">
        <v>0</v>
      </c>
      <c r="T1922" s="2" t="s">
        <v>83</v>
      </c>
      <c r="U1922" s="2" t="s">
        <v>84</v>
      </c>
      <c r="V1922" s="2" t="s">
        <v>56</v>
      </c>
      <c r="W1922" s="2" t="s">
        <v>83</v>
      </c>
      <c r="X1922" s="2" t="s">
        <v>85</v>
      </c>
      <c r="Y1922" s="2">
        <v>1.34038966609233</v>
      </c>
      <c r="Z1922" s="2">
        <v>1340.3896660923299</v>
      </c>
      <c r="AA1922" s="2">
        <v>4.71035</v>
      </c>
      <c r="AB1922" s="2">
        <v>-74.030416666666696</v>
      </c>
      <c r="AC1922" s="2">
        <v>2570</v>
      </c>
      <c r="AD1922" s="2">
        <v>10</v>
      </c>
      <c r="AE1922" s="2" t="s">
        <v>59</v>
      </c>
      <c r="AF1922" s="2" t="s">
        <v>86</v>
      </c>
      <c r="AG1922" s="2" t="s">
        <v>61</v>
      </c>
      <c r="AH1922" s="2" t="s">
        <v>62</v>
      </c>
      <c r="AI1922" s="2" t="s">
        <v>87</v>
      </c>
      <c r="AJ1922" s="2">
        <v>2.72755055117061</v>
      </c>
      <c r="AK1922" s="2">
        <v>0.38501551056948002</v>
      </c>
      <c r="AL1922" s="2">
        <v>1.40207384982004</v>
      </c>
      <c r="AM1922" s="2">
        <v>0.16923092221835001</v>
      </c>
      <c r="AN1922" s="2">
        <v>2.1902780505225499</v>
      </c>
      <c r="AO1922" s="2">
        <v>0.18827265624861</v>
      </c>
      <c r="AP1922" s="2">
        <v>0.18827265624861</v>
      </c>
      <c r="AQ1922" s="2">
        <v>0</v>
      </c>
      <c r="AR1922" s="2">
        <v>0</v>
      </c>
      <c r="AS1922" s="2">
        <v>5</v>
      </c>
      <c r="AT1922" s="2">
        <v>36</v>
      </c>
      <c r="AU1922" s="2">
        <v>0</v>
      </c>
      <c r="AV1922" s="2">
        <v>26</v>
      </c>
      <c r="AW1922" s="2">
        <v>0</v>
      </c>
      <c r="AX1922" s="2">
        <v>0</v>
      </c>
      <c r="AY1922" s="2">
        <v>15.5</v>
      </c>
      <c r="AZ1922" s="2">
        <v>2.4</v>
      </c>
      <c r="BA1922" s="2">
        <v>10.9</v>
      </c>
      <c r="BB1922" s="2">
        <v>564</v>
      </c>
      <c r="BC1922" s="2">
        <v>68</v>
      </c>
      <c r="BD1922" s="2">
        <v>1.5</v>
      </c>
      <c r="BE1922" s="2">
        <v>135</v>
      </c>
      <c r="BF1922" s="2">
        <v>0</v>
      </c>
      <c r="BG1922" s="2">
        <v>162</v>
      </c>
      <c r="BH1922" s="2">
        <v>9.1</v>
      </c>
      <c r="BI1922" s="2">
        <v>9.1999999999999993</v>
      </c>
      <c r="BJ1922" s="2">
        <v>18.3</v>
      </c>
      <c r="BK1922" s="2">
        <v>0.34</v>
      </c>
      <c r="BL1922" s="2">
        <v>7.3</v>
      </c>
      <c r="BM1922" s="2">
        <v>0.9</v>
      </c>
      <c r="BN1922" s="2">
        <v>7.5</v>
      </c>
      <c r="BO1922" s="2">
        <v>2.9</v>
      </c>
      <c r="BP1922" s="2">
        <f t="shared" ref="BP1922:BP1973" si="60">+AZ1922*EXP(-0.0495*Y1922)</f>
        <v>2.245929460011157</v>
      </c>
      <c r="BQ1922" s="2">
        <f t="shared" ref="BQ1922:BQ1973" si="61">+BA1922*EXP(-0.024*Y1922)</f>
        <v>10.554934094243213</v>
      </c>
    </row>
    <row r="1923" spans="1:69" x14ac:dyDescent="0.2">
      <c r="A1923" s="2" t="s">
        <v>80</v>
      </c>
      <c r="B1923" s="2" t="s">
        <v>47</v>
      </c>
      <c r="C1923" s="2" t="s">
        <v>48</v>
      </c>
      <c r="D1923" s="2" t="s">
        <v>49</v>
      </c>
      <c r="E1923" s="2" t="s">
        <v>81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51</v>
      </c>
      <c r="L1923" s="6" t="s">
        <v>52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82</v>
      </c>
      <c r="R1923" s="2">
        <v>14267328.52</v>
      </c>
      <c r="S1923" s="2">
        <v>0</v>
      </c>
      <c r="T1923" s="2" t="s">
        <v>83</v>
      </c>
      <c r="U1923" s="2" t="s">
        <v>84</v>
      </c>
      <c r="V1923" s="2" t="s">
        <v>56</v>
      </c>
      <c r="W1923" s="2" t="s">
        <v>83</v>
      </c>
      <c r="X1923" s="2" t="s">
        <v>85</v>
      </c>
      <c r="Y1923" s="2">
        <v>1.9773043353594899</v>
      </c>
      <c r="Z1923" s="2">
        <v>1977.3043353594901</v>
      </c>
      <c r="AA1923" s="2">
        <v>4.71035</v>
      </c>
      <c r="AB1923" s="2">
        <v>-74.030416666666696</v>
      </c>
      <c r="AC1923" s="2">
        <v>2570</v>
      </c>
      <c r="AD1923" s="2">
        <v>10</v>
      </c>
      <c r="AE1923" s="2" t="s">
        <v>59</v>
      </c>
      <c r="AF1923" s="2" t="s">
        <v>86</v>
      </c>
      <c r="AG1923" s="2" t="s">
        <v>61</v>
      </c>
      <c r="AH1923" s="2" t="s">
        <v>62</v>
      </c>
      <c r="AI1923" s="2" t="s">
        <v>87</v>
      </c>
      <c r="AJ1923" s="2">
        <v>1.80090721070268</v>
      </c>
      <c r="AK1923" s="2">
        <v>1.45768378741854</v>
      </c>
      <c r="AL1923" s="2">
        <v>1.03802311037081</v>
      </c>
      <c r="AM1923" s="2">
        <v>0.18999110572962999</v>
      </c>
      <c r="AN1923" s="2">
        <v>5.2608645533437501</v>
      </c>
      <c r="AO1923" s="2">
        <v>0.111946210164812</v>
      </c>
      <c r="AP1923" s="2">
        <v>0.111946210164812</v>
      </c>
      <c r="AQ1923" s="2">
        <v>0</v>
      </c>
      <c r="AR1923" s="2">
        <v>0</v>
      </c>
      <c r="AS1923" s="2">
        <v>0</v>
      </c>
      <c r="AT1923" s="2">
        <v>0</v>
      </c>
      <c r="AU1923" s="2">
        <v>0</v>
      </c>
      <c r="AV1923" s="2">
        <v>147</v>
      </c>
      <c r="AW1923" s="2">
        <v>0</v>
      </c>
      <c r="AX1923" s="2">
        <v>0</v>
      </c>
      <c r="AY1923" s="2">
        <v>15.5</v>
      </c>
      <c r="AZ1923" s="2">
        <v>2.4</v>
      </c>
      <c r="BA1923" s="2">
        <v>10.9</v>
      </c>
      <c r="BB1923" s="2">
        <v>564</v>
      </c>
      <c r="BC1923" s="2">
        <v>68</v>
      </c>
      <c r="BD1923" s="2">
        <v>1.5</v>
      </c>
      <c r="BE1923" s="2">
        <v>135</v>
      </c>
      <c r="BF1923" s="2">
        <v>0</v>
      </c>
      <c r="BG1923" s="2">
        <v>162</v>
      </c>
      <c r="BH1923" s="2">
        <v>9.1</v>
      </c>
      <c r="BI1923" s="2">
        <v>9.1999999999999993</v>
      </c>
      <c r="BJ1923" s="2">
        <v>18.3</v>
      </c>
      <c r="BK1923" s="2">
        <v>0.34</v>
      </c>
      <c r="BL1923" s="2">
        <v>7.3</v>
      </c>
      <c r="BM1923" s="2">
        <v>0.9</v>
      </c>
      <c r="BN1923" s="2">
        <v>7.5</v>
      </c>
      <c r="BO1923" s="2">
        <v>2.9</v>
      </c>
      <c r="BP1923" s="2">
        <f t="shared" si="60"/>
        <v>2.1762259757544449</v>
      </c>
      <c r="BQ1923" s="2">
        <f t="shared" si="61"/>
        <v>10.394818753076281</v>
      </c>
    </row>
    <row r="1924" spans="1:69" x14ac:dyDescent="0.2">
      <c r="A1924" s="2" t="s">
        <v>4327</v>
      </c>
      <c r="B1924" s="2" t="s">
        <v>47</v>
      </c>
      <c r="C1924" s="2" t="s">
        <v>3273</v>
      </c>
      <c r="D1924" s="2" t="s">
        <v>49</v>
      </c>
      <c r="E1924" s="2" t="s">
        <v>4328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89</v>
      </c>
      <c r="L1924" s="6" t="s">
        <v>90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4329</v>
      </c>
      <c r="R1924" s="2">
        <v>17372421.280000001</v>
      </c>
      <c r="S1924" s="2">
        <v>0</v>
      </c>
      <c r="T1924" s="2" t="s">
        <v>83</v>
      </c>
      <c r="U1924" s="2" t="s">
        <v>84</v>
      </c>
      <c r="V1924" s="2" t="s">
        <v>56</v>
      </c>
      <c r="W1924" s="2" t="s">
        <v>83</v>
      </c>
      <c r="X1924" s="2" t="s">
        <v>85</v>
      </c>
      <c r="Y1924" s="2">
        <v>3.3494589707550402</v>
      </c>
      <c r="Z1924" s="2">
        <v>3349.4589707550399</v>
      </c>
      <c r="AA1924" s="2">
        <v>4.71035</v>
      </c>
      <c r="AB1924" s="2">
        <v>-74.030416666666696</v>
      </c>
      <c r="AC1924" s="2">
        <v>2570</v>
      </c>
      <c r="AD1924" s="2">
        <v>10</v>
      </c>
      <c r="AE1924" s="2" t="s">
        <v>59</v>
      </c>
      <c r="AF1924" s="2" t="s">
        <v>86</v>
      </c>
      <c r="AG1924" s="2" t="s">
        <v>61</v>
      </c>
      <c r="AH1924" s="2" t="s">
        <v>62</v>
      </c>
      <c r="AI1924" s="2" t="s">
        <v>87</v>
      </c>
      <c r="AJ1924" s="2">
        <v>1.1399088679265601</v>
      </c>
      <c r="AK1924" s="2">
        <v>1.46591020665927</v>
      </c>
      <c r="AL1924" s="2">
        <v>0.39499934196108599</v>
      </c>
      <c r="AM1924" s="2">
        <v>0.121478599688216</v>
      </c>
      <c r="AN1924" s="2">
        <v>4.0195943065691102</v>
      </c>
      <c r="AO1924" s="2">
        <v>0.56584337963667397</v>
      </c>
      <c r="AP1924" s="2">
        <v>0.56584337963667397</v>
      </c>
      <c r="AQ1924" s="2">
        <v>0</v>
      </c>
      <c r="AR1924" s="2">
        <v>0</v>
      </c>
      <c r="AS1924" s="2">
        <v>0</v>
      </c>
      <c r="AT1924" s="2">
        <v>0</v>
      </c>
      <c r="AU1924" s="2">
        <v>6</v>
      </c>
      <c r="AV1924" s="2">
        <v>133</v>
      </c>
      <c r="AW1924" s="2">
        <v>0</v>
      </c>
      <c r="AX1924" s="2">
        <v>0</v>
      </c>
      <c r="AY1924" s="2">
        <v>15.5</v>
      </c>
      <c r="AZ1924" s="2">
        <v>2.4</v>
      </c>
      <c r="BA1924" s="2">
        <v>10.9</v>
      </c>
      <c r="BB1924" s="2">
        <v>564</v>
      </c>
      <c r="BC1924" s="2">
        <v>68</v>
      </c>
      <c r="BD1924" s="2">
        <v>1.5</v>
      </c>
      <c r="BE1924" s="2">
        <v>135</v>
      </c>
      <c r="BF1924" s="2">
        <v>0</v>
      </c>
      <c r="BG1924" s="2">
        <v>162</v>
      </c>
      <c r="BH1924" s="2">
        <v>9.1</v>
      </c>
      <c r="BI1924" s="2">
        <v>9.1999999999999993</v>
      </c>
      <c r="BJ1924" s="2">
        <v>18.3</v>
      </c>
      <c r="BK1924" s="2">
        <v>0.34</v>
      </c>
      <c r="BL1924" s="2">
        <v>7.3</v>
      </c>
      <c r="BM1924" s="2">
        <v>0.9</v>
      </c>
      <c r="BN1924" s="2">
        <v>7.5</v>
      </c>
      <c r="BO1924" s="2">
        <v>2.9</v>
      </c>
      <c r="BP1924" s="2">
        <f t="shared" si="60"/>
        <v>2.0333212061432495</v>
      </c>
      <c r="BQ1924" s="2">
        <f t="shared" si="61"/>
        <v>10.058074793448988</v>
      </c>
    </row>
    <row r="1925" spans="1:69" x14ac:dyDescent="0.2">
      <c r="A1925" s="2" t="s">
        <v>3713</v>
      </c>
      <c r="B1925" s="2" t="s">
        <v>47</v>
      </c>
      <c r="C1925" s="2" t="s">
        <v>3273</v>
      </c>
      <c r="D1925" s="2" t="s">
        <v>49</v>
      </c>
      <c r="E1925" s="2" t="s">
        <v>349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89</v>
      </c>
      <c r="L1925" s="6" t="s">
        <v>90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3714</v>
      </c>
      <c r="R1925" s="2">
        <v>10218978.1</v>
      </c>
      <c r="S1925" s="2">
        <v>0</v>
      </c>
      <c r="T1925" s="2" t="s">
        <v>83</v>
      </c>
      <c r="U1925" s="2" t="s">
        <v>84</v>
      </c>
      <c r="V1925" s="2" t="s">
        <v>56</v>
      </c>
      <c r="W1925" s="2" t="s">
        <v>83</v>
      </c>
      <c r="X1925" s="2" t="s">
        <v>85</v>
      </c>
      <c r="Y1925" s="2">
        <v>2.5445207908944298</v>
      </c>
      <c r="Z1925" s="2">
        <v>2544.5207908944299</v>
      </c>
      <c r="AA1925" s="2">
        <v>4.71035</v>
      </c>
      <c r="AB1925" s="2">
        <v>-74.030416666666696</v>
      </c>
      <c r="AC1925" s="2">
        <v>2570</v>
      </c>
      <c r="AD1925" s="2">
        <v>10</v>
      </c>
      <c r="AE1925" s="2" t="s">
        <v>59</v>
      </c>
      <c r="AF1925" s="2" t="s">
        <v>86</v>
      </c>
      <c r="AG1925" s="2" t="s">
        <v>61</v>
      </c>
      <c r="AH1925" s="2" t="s">
        <v>62</v>
      </c>
      <c r="AI1925" s="2" t="s">
        <v>87</v>
      </c>
      <c r="AJ1925" s="2">
        <v>3.0008961575838602</v>
      </c>
      <c r="AK1925" s="2">
        <v>9.0661379317431706E-2</v>
      </c>
      <c r="AL1925" s="2">
        <v>1.8011753971112201</v>
      </c>
      <c r="AM1925" s="2">
        <v>0.25227248505814098</v>
      </c>
      <c r="AN1925" s="2">
        <v>1.18931247035501</v>
      </c>
      <c r="AO1925" s="2">
        <v>0.20655650488695901</v>
      </c>
      <c r="AP1925" s="2">
        <v>0.20655650488695901</v>
      </c>
      <c r="AQ1925" s="2">
        <v>0</v>
      </c>
      <c r="AR1925" s="2">
        <v>0</v>
      </c>
      <c r="AS1925" s="2">
        <v>12</v>
      </c>
      <c r="AT1925" s="2">
        <v>36</v>
      </c>
      <c r="AU1925" s="2">
        <v>0</v>
      </c>
      <c r="AV1925" s="2">
        <v>9</v>
      </c>
      <c r="AW1925" s="2">
        <v>0</v>
      </c>
      <c r="AX1925" s="2">
        <v>0</v>
      </c>
      <c r="AY1925" s="2">
        <v>15.5</v>
      </c>
      <c r="AZ1925" s="2">
        <v>2.4</v>
      </c>
      <c r="BA1925" s="2">
        <v>10.9</v>
      </c>
      <c r="BB1925" s="2">
        <v>564</v>
      </c>
      <c r="BC1925" s="2">
        <v>68</v>
      </c>
      <c r="BD1925" s="2">
        <v>1.5</v>
      </c>
      <c r="BE1925" s="2">
        <v>135</v>
      </c>
      <c r="BF1925" s="2">
        <v>0</v>
      </c>
      <c r="BG1925" s="2">
        <v>162</v>
      </c>
      <c r="BH1925" s="2">
        <v>9.1</v>
      </c>
      <c r="BI1925" s="2">
        <v>9.1999999999999993</v>
      </c>
      <c r="BJ1925" s="2">
        <v>18.3</v>
      </c>
      <c r="BK1925" s="2">
        <v>0.34</v>
      </c>
      <c r="BL1925" s="2">
        <v>7.3</v>
      </c>
      <c r="BM1925" s="2">
        <v>0.9</v>
      </c>
      <c r="BN1925" s="2">
        <v>7.5</v>
      </c>
      <c r="BO1925" s="2">
        <v>2.9</v>
      </c>
      <c r="BP1925" s="2">
        <f t="shared" si="60"/>
        <v>2.1159734321121304</v>
      </c>
      <c r="BQ1925" s="2">
        <f t="shared" si="61"/>
        <v>10.254270882389747</v>
      </c>
    </row>
    <row r="1926" spans="1:69" x14ac:dyDescent="0.2">
      <c r="A1926" s="2" t="s">
        <v>4049</v>
      </c>
      <c r="B1926" s="2" t="s">
        <v>47</v>
      </c>
      <c r="C1926" s="2" t="s">
        <v>3273</v>
      </c>
      <c r="D1926" s="2" t="s">
        <v>49</v>
      </c>
      <c r="E1926" s="2" t="s">
        <v>205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89</v>
      </c>
      <c r="L1926" s="6" t="s">
        <v>90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4050</v>
      </c>
      <c r="R1926" s="2">
        <v>16519823.789999999</v>
      </c>
      <c r="S1926" s="2">
        <v>0</v>
      </c>
      <c r="T1926" s="2" t="s">
        <v>83</v>
      </c>
      <c r="U1926" s="2" t="s">
        <v>84</v>
      </c>
      <c r="V1926" s="2" t="s">
        <v>56</v>
      </c>
      <c r="W1926" s="2" t="s">
        <v>83</v>
      </c>
      <c r="X1926" s="2" t="s">
        <v>85</v>
      </c>
      <c r="Y1926" s="2">
        <v>2.6712746484706198</v>
      </c>
      <c r="Z1926" s="2">
        <v>2671.2746484706199</v>
      </c>
      <c r="AA1926" s="2">
        <v>4.71035</v>
      </c>
      <c r="AB1926" s="2">
        <v>-74.030416666666696</v>
      </c>
      <c r="AC1926" s="2">
        <v>2570</v>
      </c>
      <c r="AD1926" s="2">
        <v>10</v>
      </c>
      <c r="AE1926" s="2" t="s">
        <v>59</v>
      </c>
      <c r="AF1926" s="2" t="s">
        <v>86</v>
      </c>
      <c r="AG1926" s="2" t="s">
        <v>61</v>
      </c>
      <c r="AH1926" s="2" t="s">
        <v>62</v>
      </c>
      <c r="AI1926" s="2" t="s">
        <v>87</v>
      </c>
      <c r="AJ1926" s="2">
        <v>1.66799377388294</v>
      </c>
      <c r="AK1926" s="2">
        <v>1.2998505576694099</v>
      </c>
      <c r="AL1926" s="2">
        <v>0.78793565775835495</v>
      </c>
      <c r="AM1926" s="2">
        <v>0.29331951466365702</v>
      </c>
      <c r="AN1926" s="2">
        <v>4.7699021769303798</v>
      </c>
      <c r="AO1926" s="2">
        <v>7.8811837028247803E-2</v>
      </c>
      <c r="AP1926" s="2">
        <v>7.8811837028247803E-2</v>
      </c>
      <c r="AQ1926" s="2">
        <v>0</v>
      </c>
      <c r="AR1926" s="2">
        <v>0</v>
      </c>
      <c r="AS1926" s="2">
        <v>0</v>
      </c>
      <c r="AT1926" s="2">
        <v>0</v>
      </c>
      <c r="AU1926" s="2">
        <v>3</v>
      </c>
      <c r="AV1926" s="2">
        <v>92</v>
      </c>
      <c r="AW1926" s="2">
        <v>0</v>
      </c>
      <c r="AX1926" s="2">
        <v>0</v>
      </c>
      <c r="AY1926" s="2">
        <v>15.5</v>
      </c>
      <c r="AZ1926" s="2">
        <v>2.4</v>
      </c>
      <c r="BA1926" s="2">
        <v>10.9</v>
      </c>
      <c r="BB1926" s="2">
        <v>564</v>
      </c>
      <c r="BC1926" s="2">
        <v>68</v>
      </c>
      <c r="BD1926" s="2">
        <v>1.5</v>
      </c>
      <c r="BE1926" s="2">
        <v>135</v>
      </c>
      <c r="BF1926" s="2">
        <v>0</v>
      </c>
      <c r="BG1926" s="2">
        <v>162</v>
      </c>
      <c r="BH1926" s="2">
        <v>9.1</v>
      </c>
      <c r="BI1926" s="2">
        <v>9.1999999999999993</v>
      </c>
      <c r="BJ1926" s="2">
        <v>18.3</v>
      </c>
      <c r="BK1926" s="2">
        <v>0.34</v>
      </c>
      <c r="BL1926" s="2">
        <v>7.3</v>
      </c>
      <c r="BM1926" s="2">
        <v>0.9</v>
      </c>
      <c r="BN1926" s="2">
        <v>7.5</v>
      </c>
      <c r="BO1926" s="2">
        <v>2.9</v>
      </c>
      <c r="BP1926" s="2">
        <f t="shared" si="60"/>
        <v>2.1027387090917067</v>
      </c>
      <c r="BQ1926" s="2">
        <f t="shared" si="61"/>
        <v>10.223123841118374</v>
      </c>
    </row>
    <row r="1927" spans="1:69" x14ac:dyDescent="0.2">
      <c r="A1927" s="2" t="s">
        <v>4634</v>
      </c>
      <c r="B1927" s="2" t="s">
        <v>47</v>
      </c>
      <c r="C1927" s="2" t="s">
        <v>3273</v>
      </c>
      <c r="D1927" s="2" t="s">
        <v>49</v>
      </c>
      <c r="E1927" s="2" t="s">
        <v>169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89</v>
      </c>
      <c r="L1927" s="6" t="s">
        <v>90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4635</v>
      </c>
      <c r="R1927" s="2">
        <v>14396456.26</v>
      </c>
      <c r="S1927" s="2">
        <v>0</v>
      </c>
      <c r="T1927" s="2" t="s">
        <v>83</v>
      </c>
      <c r="U1927" s="2" t="s">
        <v>84</v>
      </c>
      <c r="V1927" s="2" t="s">
        <v>56</v>
      </c>
      <c r="W1927" s="2" t="s">
        <v>83</v>
      </c>
      <c r="X1927" s="2" t="s">
        <v>85</v>
      </c>
      <c r="Y1927" s="2">
        <v>3.3328363700155199</v>
      </c>
      <c r="Z1927" s="2">
        <v>3332.8363700155201</v>
      </c>
      <c r="AA1927" s="2">
        <v>4.71035</v>
      </c>
      <c r="AB1927" s="2">
        <v>-74.030416666666696</v>
      </c>
      <c r="AC1927" s="2">
        <v>2570</v>
      </c>
      <c r="AD1927" s="2">
        <v>10</v>
      </c>
      <c r="AE1927" s="2" t="s">
        <v>59</v>
      </c>
      <c r="AF1927" s="2" t="s">
        <v>86</v>
      </c>
      <c r="AG1927" s="2" t="s">
        <v>61</v>
      </c>
      <c r="AH1927" s="2" t="s">
        <v>62</v>
      </c>
      <c r="AI1927" s="2" t="s">
        <v>87</v>
      </c>
      <c r="AJ1927" s="2">
        <v>1.14821726105703</v>
      </c>
      <c r="AK1927" s="2">
        <v>1.4701983825251099</v>
      </c>
      <c r="AL1927" s="2">
        <v>0.39906582034170002</v>
      </c>
      <c r="AM1927" s="2">
        <v>0.11172995637069499</v>
      </c>
      <c r="AN1927" s="2">
        <v>4.0302546194838298</v>
      </c>
      <c r="AO1927" s="2">
        <v>0.54892161099664705</v>
      </c>
      <c r="AP1927" s="2">
        <v>0.54892161099664705</v>
      </c>
      <c r="AQ1927" s="2">
        <v>0</v>
      </c>
      <c r="AR1927" s="2">
        <v>0</v>
      </c>
      <c r="AS1927" s="2">
        <v>0</v>
      </c>
      <c r="AT1927" s="2">
        <v>0</v>
      </c>
      <c r="AU1927" s="2">
        <v>6</v>
      </c>
      <c r="AV1927" s="2">
        <v>132</v>
      </c>
      <c r="AW1927" s="2">
        <v>0</v>
      </c>
      <c r="AX1927" s="2">
        <v>0</v>
      </c>
      <c r="AY1927" s="2">
        <v>15.5</v>
      </c>
      <c r="AZ1927" s="2">
        <v>2.4</v>
      </c>
      <c r="BA1927" s="2">
        <v>10.9</v>
      </c>
      <c r="BB1927" s="2">
        <v>564</v>
      </c>
      <c r="BC1927" s="2">
        <v>68</v>
      </c>
      <c r="BD1927" s="2">
        <v>1.5</v>
      </c>
      <c r="BE1927" s="2">
        <v>135</v>
      </c>
      <c r="BF1927" s="2">
        <v>0</v>
      </c>
      <c r="BG1927" s="2">
        <v>162</v>
      </c>
      <c r="BH1927" s="2">
        <v>9.1</v>
      </c>
      <c r="BI1927" s="2">
        <v>9.1999999999999993</v>
      </c>
      <c r="BJ1927" s="2">
        <v>18.3</v>
      </c>
      <c r="BK1927" s="2">
        <v>0.34</v>
      </c>
      <c r="BL1927" s="2">
        <v>7.3</v>
      </c>
      <c r="BM1927" s="2">
        <v>0.9</v>
      </c>
      <c r="BN1927" s="2">
        <v>7.5</v>
      </c>
      <c r="BO1927" s="2">
        <v>2.9</v>
      </c>
      <c r="BP1927" s="2">
        <f t="shared" si="60"/>
        <v>2.0349949494284392</v>
      </c>
      <c r="BQ1927" s="2">
        <f t="shared" si="61"/>
        <v>10.06208818662814</v>
      </c>
    </row>
    <row r="1928" spans="1:69" x14ac:dyDescent="0.2">
      <c r="A1928" s="2" t="s">
        <v>3879</v>
      </c>
      <c r="B1928" s="2" t="s">
        <v>47</v>
      </c>
      <c r="C1928" s="2" t="s">
        <v>3273</v>
      </c>
      <c r="D1928" s="2" t="s">
        <v>49</v>
      </c>
      <c r="E1928" s="2" t="s">
        <v>1465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89</v>
      </c>
      <c r="L1928" s="6" t="s">
        <v>90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3880</v>
      </c>
      <c r="R1928" s="2">
        <v>14814814.810000001</v>
      </c>
      <c r="S1928" s="2">
        <v>0</v>
      </c>
      <c r="T1928" s="2" t="s">
        <v>83</v>
      </c>
      <c r="U1928" s="2" t="s">
        <v>84</v>
      </c>
      <c r="V1928" s="2" t="s">
        <v>56</v>
      </c>
      <c r="W1928" s="2" t="s">
        <v>83</v>
      </c>
      <c r="X1928" s="2" t="s">
        <v>85</v>
      </c>
      <c r="Y1928" s="2">
        <v>4.1058213458538297</v>
      </c>
      <c r="Z1928" s="2">
        <v>4105.8213458538303</v>
      </c>
      <c r="AA1928" s="2">
        <v>4.71035</v>
      </c>
      <c r="AB1928" s="2">
        <v>-74.030416666666696</v>
      </c>
      <c r="AC1928" s="2">
        <v>2570</v>
      </c>
      <c r="AD1928" s="2">
        <v>10</v>
      </c>
      <c r="AE1928" s="2" t="s">
        <v>59</v>
      </c>
      <c r="AF1928" s="2" t="s">
        <v>86</v>
      </c>
      <c r="AG1928" s="2" t="s">
        <v>61</v>
      </c>
      <c r="AH1928" s="2" t="s">
        <v>62</v>
      </c>
      <c r="AI1928" s="2" t="s">
        <v>109</v>
      </c>
      <c r="AJ1928" s="2">
        <v>0.40951064950143001</v>
      </c>
      <c r="AK1928" s="2">
        <v>1.89040423407114</v>
      </c>
      <c r="AL1928" s="2">
        <v>0.42436413044886501</v>
      </c>
      <c r="AM1928" s="2">
        <v>0.15017758669467901</v>
      </c>
      <c r="AN1928" s="2">
        <v>3.18355606706093</v>
      </c>
      <c r="AO1928" s="2">
        <v>0.446010547764981</v>
      </c>
      <c r="AP1928" s="2">
        <v>0.446010547764981</v>
      </c>
      <c r="AQ1928" s="2">
        <v>1</v>
      </c>
      <c r="AR1928" s="2">
        <v>2</v>
      </c>
      <c r="AS1928" s="2">
        <v>0</v>
      </c>
      <c r="AT1928" s="2">
        <v>0</v>
      </c>
      <c r="AU1928" s="2">
        <v>5</v>
      </c>
      <c r="AV1928" s="2">
        <v>254</v>
      </c>
      <c r="AW1928" s="2">
        <v>0</v>
      </c>
      <c r="AX1928" s="2">
        <v>0</v>
      </c>
      <c r="AY1928" s="2">
        <v>15.5</v>
      </c>
      <c r="AZ1928" s="2">
        <v>2.4</v>
      </c>
      <c r="BA1928" s="2">
        <v>10.9</v>
      </c>
      <c r="BB1928" s="2">
        <v>564</v>
      </c>
      <c r="BC1928" s="2">
        <v>68</v>
      </c>
      <c r="BD1928" s="2">
        <v>1.5</v>
      </c>
      <c r="BE1928" s="2">
        <v>135</v>
      </c>
      <c r="BF1928" s="2">
        <v>0</v>
      </c>
      <c r="BG1928" s="2">
        <v>162</v>
      </c>
      <c r="BH1928" s="2">
        <v>9.1</v>
      </c>
      <c r="BI1928" s="2">
        <v>9.1999999999999993</v>
      </c>
      <c r="BJ1928" s="2">
        <v>18.3</v>
      </c>
      <c r="BK1928" s="2">
        <v>0.34</v>
      </c>
      <c r="BL1928" s="2">
        <v>7.3</v>
      </c>
      <c r="BM1928" s="2">
        <v>0.9</v>
      </c>
      <c r="BN1928" s="2">
        <v>7.5</v>
      </c>
      <c r="BO1928" s="2">
        <v>2.9</v>
      </c>
      <c r="BP1928" s="2">
        <f t="shared" si="60"/>
        <v>1.9586012700145836</v>
      </c>
      <c r="BQ1928" s="2">
        <f t="shared" si="61"/>
        <v>9.8771407977236336</v>
      </c>
    </row>
    <row r="1929" spans="1:69" x14ac:dyDescent="0.2">
      <c r="A1929" s="2" t="s">
        <v>4496</v>
      </c>
      <c r="B1929" s="2" t="s">
        <v>47</v>
      </c>
      <c r="C1929" s="2" t="s">
        <v>3273</v>
      </c>
      <c r="D1929" s="2" t="s">
        <v>49</v>
      </c>
      <c r="E1929" s="2" t="s">
        <v>1465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89</v>
      </c>
      <c r="L1929" s="6" t="s">
        <v>90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4497</v>
      </c>
      <c r="R1929" s="2">
        <v>14814814.810000001</v>
      </c>
      <c r="S1929" s="2">
        <v>0</v>
      </c>
      <c r="T1929" s="2" t="s">
        <v>83</v>
      </c>
      <c r="U1929" s="2" t="s">
        <v>84</v>
      </c>
      <c r="V1929" s="2" t="s">
        <v>56</v>
      </c>
      <c r="W1929" s="2" t="s">
        <v>83</v>
      </c>
      <c r="X1929" s="2" t="s">
        <v>85</v>
      </c>
      <c r="Y1929" s="2">
        <v>4.1058213458538297</v>
      </c>
      <c r="Z1929" s="2">
        <v>4105.8213458538303</v>
      </c>
      <c r="AA1929" s="2">
        <v>4.71035</v>
      </c>
      <c r="AB1929" s="2">
        <v>-74.030416666666696</v>
      </c>
      <c r="AC1929" s="2">
        <v>2570</v>
      </c>
      <c r="AD1929" s="2">
        <v>10</v>
      </c>
      <c r="AE1929" s="2" t="s">
        <v>59</v>
      </c>
      <c r="AF1929" s="2" t="s">
        <v>86</v>
      </c>
      <c r="AG1929" s="2" t="s">
        <v>61</v>
      </c>
      <c r="AH1929" s="2" t="s">
        <v>62</v>
      </c>
      <c r="AI1929" s="2" t="s">
        <v>109</v>
      </c>
      <c r="AJ1929" s="2">
        <v>0.40951064950143001</v>
      </c>
      <c r="AK1929" s="2">
        <v>1.89040423407114</v>
      </c>
      <c r="AL1929" s="2">
        <v>0.42436413044886501</v>
      </c>
      <c r="AM1929" s="2">
        <v>0.15017758669467901</v>
      </c>
      <c r="AN1929" s="2">
        <v>3.18355606706093</v>
      </c>
      <c r="AO1929" s="2">
        <v>0.446010547764981</v>
      </c>
      <c r="AP1929" s="2">
        <v>0.446010547764981</v>
      </c>
      <c r="AQ1929" s="2">
        <v>1</v>
      </c>
      <c r="AR1929" s="2">
        <v>2</v>
      </c>
      <c r="AS1929" s="2">
        <v>0</v>
      </c>
      <c r="AT1929" s="2">
        <v>0</v>
      </c>
      <c r="AU1929" s="2">
        <v>5</v>
      </c>
      <c r="AV1929" s="2">
        <v>254</v>
      </c>
      <c r="AW1929" s="2">
        <v>0</v>
      </c>
      <c r="AX1929" s="2">
        <v>0</v>
      </c>
      <c r="AY1929" s="2">
        <v>15.5</v>
      </c>
      <c r="AZ1929" s="2">
        <v>2.4</v>
      </c>
      <c r="BA1929" s="2">
        <v>10.9</v>
      </c>
      <c r="BB1929" s="2">
        <v>564</v>
      </c>
      <c r="BC1929" s="2">
        <v>68</v>
      </c>
      <c r="BD1929" s="2">
        <v>1.5</v>
      </c>
      <c r="BE1929" s="2">
        <v>135</v>
      </c>
      <c r="BF1929" s="2">
        <v>0</v>
      </c>
      <c r="BG1929" s="2">
        <v>162</v>
      </c>
      <c r="BH1929" s="2">
        <v>9.1</v>
      </c>
      <c r="BI1929" s="2">
        <v>9.1999999999999993</v>
      </c>
      <c r="BJ1929" s="2">
        <v>18.3</v>
      </c>
      <c r="BK1929" s="2">
        <v>0.34</v>
      </c>
      <c r="BL1929" s="2">
        <v>7.3</v>
      </c>
      <c r="BM1929" s="2">
        <v>0.9</v>
      </c>
      <c r="BN1929" s="2">
        <v>7.5</v>
      </c>
      <c r="BO1929" s="2">
        <v>2.9</v>
      </c>
      <c r="BP1929" s="2">
        <f t="shared" si="60"/>
        <v>1.9586012700145836</v>
      </c>
      <c r="BQ1929" s="2">
        <f t="shared" si="61"/>
        <v>9.8771407977236336</v>
      </c>
    </row>
    <row r="1930" spans="1:69" x14ac:dyDescent="0.2">
      <c r="A1930" s="2" t="s">
        <v>3652</v>
      </c>
      <c r="B1930" s="2" t="s">
        <v>47</v>
      </c>
      <c r="C1930" s="2" t="s">
        <v>3273</v>
      </c>
      <c r="D1930" s="2" t="s">
        <v>49</v>
      </c>
      <c r="E1930" s="2" t="s">
        <v>198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89</v>
      </c>
      <c r="L1930" s="6" t="s">
        <v>90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3653</v>
      </c>
      <c r="R1930" s="2">
        <v>8518518.5189999994</v>
      </c>
      <c r="S1930" s="2">
        <v>0</v>
      </c>
      <c r="T1930" s="2" t="s">
        <v>83</v>
      </c>
      <c r="U1930" s="2" t="s">
        <v>84</v>
      </c>
      <c r="V1930" s="2" t="s">
        <v>56</v>
      </c>
      <c r="W1930" s="2" t="s">
        <v>83</v>
      </c>
      <c r="X1930" s="2" t="s">
        <v>85</v>
      </c>
      <c r="Y1930" s="2">
        <v>2.5468166686135301</v>
      </c>
      <c r="Z1930" s="2">
        <v>2546.8166686135301</v>
      </c>
      <c r="AA1930" s="2">
        <v>4.71035</v>
      </c>
      <c r="AB1930" s="2">
        <v>-74.030416666666696</v>
      </c>
      <c r="AC1930" s="2">
        <v>2570</v>
      </c>
      <c r="AD1930" s="2">
        <v>10</v>
      </c>
      <c r="AE1930" s="2" t="s">
        <v>59</v>
      </c>
      <c r="AF1930" s="2" t="s">
        <v>86</v>
      </c>
      <c r="AG1930" s="2" t="s">
        <v>61</v>
      </c>
      <c r="AH1930" s="2" t="s">
        <v>62</v>
      </c>
      <c r="AI1930" s="2" t="s">
        <v>87</v>
      </c>
      <c r="AJ1930" s="2">
        <v>2.98247911088297</v>
      </c>
      <c r="AK1930" s="2">
        <v>9.9979562617553697E-2</v>
      </c>
      <c r="AL1930" s="2">
        <v>1.7873945447483</v>
      </c>
      <c r="AM1930" s="2">
        <v>0.232690751419248</v>
      </c>
      <c r="AN1930" s="2">
        <v>1.1739712717522099</v>
      </c>
      <c r="AO1930" s="2">
        <v>0.18961918266319999</v>
      </c>
      <c r="AP1930" s="2">
        <v>0.18961918266319999</v>
      </c>
      <c r="AQ1930" s="2">
        <v>0</v>
      </c>
      <c r="AR1930" s="2">
        <v>0</v>
      </c>
      <c r="AS1930" s="2">
        <v>12</v>
      </c>
      <c r="AT1930" s="2">
        <v>34</v>
      </c>
      <c r="AU1930" s="2">
        <v>0</v>
      </c>
      <c r="AV1930" s="2">
        <v>9</v>
      </c>
      <c r="AW1930" s="2">
        <v>0</v>
      </c>
      <c r="AX1930" s="2">
        <v>0</v>
      </c>
      <c r="AY1930" s="2">
        <v>15.5</v>
      </c>
      <c r="AZ1930" s="2">
        <v>2.4</v>
      </c>
      <c r="BA1930" s="2">
        <v>10.9</v>
      </c>
      <c r="BB1930" s="2">
        <v>564</v>
      </c>
      <c r="BC1930" s="2">
        <v>68</v>
      </c>
      <c r="BD1930" s="2">
        <v>1.5</v>
      </c>
      <c r="BE1930" s="2">
        <v>135</v>
      </c>
      <c r="BF1930" s="2">
        <v>0</v>
      </c>
      <c r="BG1930" s="2">
        <v>162</v>
      </c>
      <c r="BH1930" s="2">
        <v>9.1</v>
      </c>
      <c r="BI1930" s="2">
        <v>9.1999999999999993</v>
      </c>
      <c r="BJ1930" s="2">
        <v>18.3</v>
      </c>
      <c r="BK1930" s="2">
        <v>0.34</v>
      </c>
      <c r="BL1930" s="2">
        <v>7.3</v>
      </c>
      <c r="BM1930" s="2">
        <v>0.9</v>
      </c>
      <c r="BN1930" s="2">
        <v>7.5</v>
      </c>
      <c r="BO1930" s="2">
        <v>2.9</v>
      </c>
      <c r="BP1930" s="2">
        <f t="shared" si="60"/>
        <v>2.1157329739712147</v>
      </c>
      <c r="BQ1930" s="2">
        <f t="shared" si="61"/>
        <v>10.253705876707031</v>
      </c>
    </row>
    <row r="1931" spans="1:69" x14ac:dyDescent="0.2">
      <c r="A1931" s="2" t="s">
        <v>3495</v>
      </c>
      <c r="B1931" s="2" t="s">
        <v>47</v>
      </c>
      <c r="C1931" s="2" t="s">
        <v>3273</v>
      </c>
      <c r="D1931" s="2" t="s">
        <v>49</v>
      </c>
      <c r="E1931" s="2" t="s">
        <v>1011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89</v>
      </c>
      <c r="L1931" s="6" t="s">
        <v>90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3496</v>
      </c>
      <c r="R1931" s="2">
        <v>11111111.109999999</v>
      </c>
      <c r="S1931" s="2">
        <v>0</v>
      </c>
      <c r="T1931" s="2" t="s">
        <v>83</v>
      </c>
      <c r="U1931" s="2" t="s">
        <v>84</v>
      </c>
      <c r="V1931" s="2" t="s">
        <v>56</v>
      </c>
      <c r="W1931" s="2" t="s">
        <v>83</v>
      </c>
      <c r="X1931" s="2" t="s">
        <v>85</v>
      </c>
      <c r="Y1931" s="2">
        <v>1.97182786959996</v>
      </c>
      <c r="Z1931" s="2">
        <v>1971.82786959996</v>
      </c>
      <c r="AA1931" s="2">
        <v>4.71035</v>
      </c>
      <c r="AB1931" s="2">
        <v>-74.030416666666696</v>
      </c>
      <c r="AC1931" s="2">
        <v>2570</v>
      </c>
      <c r="AD1931" s="2">
        <v>10</v>
      </c>
      <c r="AE1931" s="2" t="s">
        <v>59</v>
      </c>
      <c r="AF1931" s="2" t="s">
        <v>86</v>
      </c>
      <c r="AG1931" s="2" t="s">
        <v>61</v>
      </c>
      <c r="AH1931" s="2" t="s">
        <v>62</v>
      </c>
      <c r="AI1931" s="2" t="s">
        <v>87</v>
      </c>
      <c r="AJ1931" s="2">
        <v>0.95716854937450502</v>
      </c>
      <c r="AK1931" s="2">
        <v>2.1556884728084</v>
      </c>
      <c r="AL1931" s="2">
        <v>1.11639510867431</v>
      </c>
      <c r="AM1931" s="2">
        <v>0.12728113106510699</v>
      </c>
      <c r="AN1931" s="2">
        <v>2.6939636035417101</v>
      </c>
      <c r="AO1931" s="2">
        <v>7.0448757815429003E-2</v>
      </c>
      <c r="AP1931" s="2">
        <v>7.0448757815429003E-2</v>
      </c>
      <c r="AQ1931" s="2">
        <v>0</v>
      </c>
      <c r="AR1931" s="2">
        <v>2</v>
      </c>
      <c r="AS1931" s="2">
        <v>0</v>
      </c>
      <c r="AT1931" s="2">
        <v>0</v>
      </c>
      <c r="AU1931" s="2">
        <v>0</v>
      </c>
      <c r="AV1931" s="2">
        <v>44</v>
      </c>
      <c r="AW1931" s="2">
        <v>0</v>
      </c>
      <c r="AX1931" s="2">
        <v>0</v>
      </c>
      <c r="AY1931" s="2">
        <v>15.5</v>
      </c>
      <c r="AZ1931" s="2">
        <v>2.4</v>
      </c>
      <c r="BA1931" s="2">
        <v>10.9</v>
      </c>
      <c r="BB1931" s="2">
        <v>564</v>
      </c>
      <c r="BC1931" s="2">
        <v>68</v>
      </c>
      <c r="BD1931" s="2">
        <v>1.5</v>
      </c>
      <c r="BE1931" s="2">
        <v>135</v>
      </c>
      <c r="BF1931" s="2">
        <v>0</v>
      </c>
      <c r="BG1931" s="2">
        <v>162</v>
      </c>
      <c r="BH1931" s="2">
        <v>9.1</v>
      </c>
      <c r="BI1931" s="2">
        <v>9.1999999999999993</v>
      </c>
      <c r="BJ1931" s="2">
        <v>18.3</v>
      </c>
      <c r="BK1931" s="2">
        <v>0.34</v>
      </c>
      <c r="BL1931" s="2">
        <v>7.3</v>
      </c>
      <c r="BM1931" s="2">
        <v>0.9</v>
      </c>
      <c r="BN1931" s="2">
        <v>7.5</v>
      </c>
      <c r="BO1931" s="2">
        <v>2.9</v>
      </c>
      <c r="BP1931" s="2">
        <f t="shared" si="60"/>
        <v>2.1768159980624868</v>
      </c>
      <c r="BQ1931" s="2">
        <f t="shared" si="61"/>
        <v>10.396185087721999</v>
      </c>
    </row>
    <row r="1932" spans="1:69" x14ac:dyDescent="0.2">
      <c r="A1932" s="2" t="s">
        <v>3927</v>
      </c>
      <c r="B1932" s="2" t="s">
        <v>47</v>
      </c>
      <c r="C1932" s="2" t="s">
        <v>3273</v>
      </c>
      <c r="D1932" s="2" t="s">
        <v>49</v>
      </c>
      <c r="E1932" s="2" t="s">
        <v>349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89</v>
      </c>
      <c r="L1932" s="6" t="s">
        <v>90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3928</v>
      </c>
      <c r="R1932" s="2">
        <v>8710155.6710000001</v>
      </c>
      <c r="S1932" s="2">
        <v>0</v>
      </c>
      <c r="T1932" s="2" t="s">
        <v>83</v>
      </c>
      <c r="U1932" s="2" t="s">
        <v>84</v>
      </c>
      <c r="V1932" s="2" t="s">
        <v>56</v>
      </c>
      <c r="W1932" s="2" t="s">
        <v>83</v>
      </c>
      <c r="X1932" s="2" t="s">
        <v>85</v>
      </c>
      <c r="Y1932" s="2">
        <v>2.5404385498304198</v>
      </c>
      <c r="Z1932" s="2">
        <v>2540.43854983042</v>
      </c>
      <c r="AA1932" s="2">
        <v>4.71035</v>
      </c>
      <c r="AB1932" s="2">
        <v>-74.030416666666696</v>
      </c>
      <c r="AC1932" s="2">
        <v>2570</v>
      </c>
      <c r="AD1932" s="2">
        <v>10</v>
      </c>
      <c r="AE1932" s="2" t="s">
        <v>59</v>
      </c>
      <c r="AF1932" s="2" t="s">
        <v>86</v>
      </c>
      <c r="AG1932" s="2" t="s">
        <v>61</v>
      </c>
      <c r="AH1932" s="2" t="s">
        <v>62</v>
      </c>
      <c r="AI1932" s="2" t="s">
        <v>87</v>
      </c>
      <c r="AJ1932" s="2">
        <v>2.84843769096386</v>
      </c>
      <c r="AK1932" s="2">
        <v>0.192319295846965</v>
      </c>
      <c r="AL1932" s="2">
        <v>1.7169474241415901</v>
      </c>
      <c r="AM1932" s="2">
        <v>0.11196841691129</v>
      </c>
      <c r="AN1932" s="2">
        <v>1.0920256016160801</v>
      </c>
      <c r="AO1932" s="2">
        <v>7.9879782069307806E-2</v>
      </c>
      <c r="AP1932" s="2">
        <v>7.9879782069307806E-2</v>
      </c>
      <c r="AQ1932" s="2">
        <v>0</v>
      </c>
      <c r="AR1932" s="2">
        <v>0</v>
      </c>
      <c r="AS1932" s="2">
        <v>9</v>
      </c>
      <c r="AT1932" s="2">
        <v>32</v>
      </c>
      <c r="AU1932" s="2">
        <v>0</v>
      </c>
      <c r="AV1932" s="2">
        <v>9</v>
      </c>
      <c r="AW1932" s="2">
        <v>0</v>
      </c>
      <c r="AX1932" s="2">
        <v>0</v>
      </c>
      <c r="AY1932" s="2">
        <v>15.5</v>
      </c>
      <c r="AZ1932" s="2">
        <v>2.4</v>
      </c>
      <c r="BA1932" s="2">
        <v>10.9</v>
      </c>
      <c r="BB1932" s="2">
        <v>564</v>
      </c>
      <c r="BC1932" s="2">
        <v>68</v>
      </c>
      <c r="BD1932" s="2">
        <v>1.5</v>
      </c>
      <c r="BE1932" s="2">
        <v>135</v>
      </c>
      <c r="BF1932" s="2">
        <v>0</v>
      </c>
      <c r="BG1932" s="2">
        <v>162</v>
      </c>
      <c r="BH1932" s="2">
        <v>9.1</v>
      </c>
      <c r="BI1932" s="2">
        <v>9.1999999999999993</v>
      </c>
      <c r="BJ1932" s="2">
        <v>18.3</v>
      </c>
      <c r="BK1932" s="2">
        <v>0.34</v>
      </c>
      <c r="BL1932" s="2">
        <v>7.3</v>
      </c>
      <c r="BM1932" s="2">
        <v>0.9</v>
      </c>
      <c r="BN1932" s="2">
        <v>7.5</v>
      </c>
      <c r="BO1932" s="2">
        <v>2.9</v>
      </c>
      <c r="BP1932" s="2">
        <f t="shared" si="60"/>
        <v>2.1164010520403829</v>
      </c>
      <c r="BQ1932" s="2">
        <f t="shared" si="61"/>
        <v>10.255275581342286</v>
      </c>
    </row>
    <row r="1933" spans="1:69" x14ac:dyDescent="0.2">
      <c r="A1933" s="2" t="s">
        <v>3750</v>
      </c>
      <c r="B1933" s="2" t="s">
        <v>47</v>
      </c>
      <c r="C1933" s="2" t="s">
        <v>3273</v>
      </c>
      <c r="D1933" s="2" t="s">
        <v>49</v>
      </c>
      <c r="E1933" s="2" t="s">
        <v>727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89</v>
      </c>
      <c r="L1933" s="6" t="s">
        <v>90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3751</v>
      </c>
      <c r="R1933" s="2">
        <v>16816143.5</v>
      </c>
      <c r="S1933" s="2">
        <v>0</v>
      </c>
      <c r="T1933" s="2" t="s">
        <v>83</v>
      </c>
      <c r="U1933" s="2" t="s">
        <v>84</v>
      </c>
      <c r="V1933" s="2" t="s">
        <v>56</v>
      </c>
      <c r="W1933" s="2" t="s">
        <v>83</v>
      </c>
      <c r="X1933" s="2" t="s">
        <v>85</v>
      </c>
      <c r="Y1933" s="2">
        <v>3.3032653988577598</v>
      </c>
      <c r="Z1933" s="2">
        <v>3303.2653988577599</v>
      </c>
      <c r="AA1933" s="2">
        <v>4.71035</v>
      </c>
      <c r="AB1933" s="2">
        <v>-74.030416666666696</v>
      </c>
      <c r="AC1933" s="2">
        <v>2570</v>
      </c>
      <c r="AD1933" s="2">
        <v>10</v>
      </c>
      <c r="AE1933" s="2" t="s">
        <v>59</v>
      </c>
      <c r="AF1933" s="2" t="s">
        <v>86</v>
      </c>
      <c r="AG1933" s="2" t="s">
        <v>61</v>
      </c>
      <c r="AH1933" s="2" t="s">
        <v>62</v>
      </c>
      <c r="AI1933" s="2" t="s">
        <v>87</v>
      </c>
      <c r="AJ1933" s="2">
        <v>1.1841803108234901</v>
      </c>
      <c r="AK1933" s="2">
        <v>1.4489962134057099</v>
      </c>
      <c r="AL1933" s="2">
        <v>0.43260666452410101</v>
      </c>
      <c r="AM1933" s="2">
        <v>9.2177635564789404E-2</v>
      </c>
      <c r="AN1933" s="2">
        <v>4.0667127091092503</v>
      </c>
      <c r="AO1933" s="2">
        <v>0.52197529245593499</v>
      </c>
      <c r="AP1933" s="2">
        <v>0.52197529245593499</v>
      </c>
      <c r="AQ1933" s="2">
        <v>0</v>
      </c>
      <c r="AR1933" s="2">
        <v>0</v>
      </c>
      <c r="AS1933" s="2">
        <v>0</v>
      </c>
      <c r="AT1933" s="2">
        <v>0</v>
      </c>
      <c r="AU1933" s="2">
        <v>6</v>
      </c>
      <c r="AV1933" s="2">
        <v>132</v>
      </c>
      <c r="AW1933" s="2">
        <v>0</v>
      </c>
      <c r="AX1933" s="2">
        <v>0</v>
      </c>
      <c r="AY1933" s="2">
        <v>15.5</v>
      </c>
      <c r="AZ1933" s="2">
        <v>2.4</v>
      </c>
      <c r="BA1933" s="2">
        <v>10.9</v>
      </c>
      <c r="BB1933" s="2">
        <v>564</v>
      </c>
      <c r="BC1933" s="2">
        <v>68</v>
      </c>
      <c r="BD1933" s="2">
        <v>1.5</v>
      </c>
      <c r="BE1933" s="2">
        <v>135</v>
      </c>
      <c r="BF1933" s="2">
        <v>0</v>
      </c>
      <c r="BG1933" s="2">
        <v>162</v>
      </c>
      <c r="BH1933" s="2">
        <v>9.1</v>
      </c>
      <c r="BI1933" s="2">
        <v>9.1999999999999993</v>
      </c>
      <c r="BJ1933" s="2">
        <v>18.3</v>
      </c>
      <c r="BK1933" s="2">
        <v>0.34</v>
      </c>
      <c r="BL1933" s="2">
        <v>7.3</v>
      </c>
      <c r="BM1933" s="2">
        <v>0.9</v>
      </c>
      <c r="BN1933" s="2">
        <v>7.5</v>
      </c>
      <c r="BO1933" s="2">
        <v>2.9</v>
      </c>
      <c r="BP1933" s="2">
        <f t="shared" si="60"/>
        <v>2.037975881044312</v>
      </c>
      <c r="BQ1933" s="2">
        <f t="shared" si="61"/>
        <v>10.069231818527181</v>
      </c>
    </row>
    <row r="1934" spans="1:69" x14ac:dyDescent="0.2">
      <c r="A1934" s="2" t="s">
        <v>3491</v>
      </c>
      <c r="B1934" s="2" t="s">
        <v>47</v>
      </c>
      <c r="C1934" s="2" t="s">
        <v>3273</v>
      </c>
      <c r="D1934" s="2" t="s">
        <v>49</v>
      </c>
      <c r="E1934" s="2" t="s">
        <v>1637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89</v>
      </c>
      <c r="L1934" s="6" t="s">
        <v>90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3492</v>
      </c>
      <c r="R1934" s="2">
        <v>15140045.42</v>
      </c>
      <c r="S1934" s="2">
        <v>0</v>
      </c>
      <c r="T1934" s="2" t="s">
        <v>83</v>
      </c>
      <c r="U1934" s="2" t="s">
        <v>84</v>
      </c>
      <c r="V1934" s="2" t="s">
        <v>56</v>
      </c>
      <c r="W1934" s="2" t="s">
        <v>83</v>
      </c>
      <c r="X1934" s="2" t="s">
        <v>85</v>
      </c>
      <c r="Y1934" s="2">
        <v>4.0729028586758798</v>
      </c>
      <c r="Z1934" s="2">
        <v>4072.90285867588</v>
      </c>
      <c r="AA1934" s="2">
        <v>4.71035</v>
      </c>
      <c r="AB1934" s="2">
        <v>-74.030416666666696</v>
      </c>
      <c r="AC1934" s="2">
        <v>2570</v>
      </c>
      <c r="AD1934" s="2">
        <v>10</v>
      </c>
      <c r="AE1934" s="2" t="s">
        <v>59</v>
      </c>
      <c r="AF1934" s="2" t="s">
        <v>86</v>
      </c>
      <c r="AG1934" s="2" t="s">
        <v>61</v>
      </c>
      <c r="AH1934" s="2" t="s">
        <v>62</v>
      </c>
      <c r="AI1934" s="2" t="s">
        <v>109</v>
      </c>
      <c r="AJ1934" s="2">
        <v>0.41368629750202801</v>
      </c>
      <c r="AK1934" s="2">
        <v>1.8894761185403099</v>
      </c>
      <c r="AL1934" s="2">
        <v>0.39149464069274198</v>
      </c>
      <c r="AM1934" s="2">
        <v>0.174600221156619</v>
      </c>
      <c r="AN1934" s="2">
        <v>3.20859388958125</v>
      </c>
      <c r="AO1934" s="2">
        <v>0.454222310942895</v>
      </c>
      <c r="AP1934" s="2">
        <v>0.454222310942895</v>
      </c>
      <c r="AQ1934" s="2">
        <v>1</v>
      </c>
      <c r="AR1934" s="2">
        <v>2</v>
      </c>
      <c r="AS1934" s="2">
        <v>0</v>
      </c>
      <c r="AT1934" s="2">
        <v>0</v>
      </c>
      <c r="AU1934" s="2">
        <v>5</v>
      </c>
      <c r="AV1934" s="2">
        <v>256</v>
      </c>
      <c r="AW1934" s="2">
        <v>0</v>
      </c>
      <c r="AX1934" s="2">
        <v>0</v>
      </c>
      <c r="AY1934" s="2">
        <v>15.5</v>
      </c>
      <c r="AZ1934" s="2">
        <v>2.4</v>
      </c>
      <c r="BA1934" s="2">
        <v>10.9</v>
      </c>
      <c r="BB1934" s="2">
        <v>564</v>
      </c>
      <c r="BC1934" s="2">
        <v>68</v>
      </c>
      <c r="BD1934" s="2">
        <v>1.5</v>
      </c>
      <c r="BE1934" s="2">
        <v>135</v>
      </c>
      <c r="BF1934" s="2">
        <v>0</v>
      </c>
      <c r="BG1934" s="2">
        <v>162</v>
      </c>
      <c r="BH1934" s="2">
        <v>9.1</v>
      </c>
      <c r="BI1934" s="2">
        <v>9.1999999999999993</v>
      </c>
      <c r="BJ1934" s="2">
        <v>18.3</v>
      </c>
      <c r="BK1934" s="2">
        <v>0.34</v>
      </c>
      <c r="BL1934" s="2">
        <v>7.3</v>
      </c>
      <c r="BM1934" s="2">
        <v>0.9</v>
      </c>
      <c r="BN1934" s="2">
        <v>7.5</v>
      </c>
      <c r="BO1934" s="2">
        <v>2.9</v>
      </c>
      <c r="BP1934" s="2">
        <f t="shared" si="60"/>
        <v>1.9617953440682641</v>
      </c>
      <c r="BQ1934" s="2">
        <f t="shared" si="61"/>
        <v>9.8849472538231993</v>
      </c>
    </row>
    <row r="1935" spans="1:69" x14ac:dyDescent="0.2">
      <c r="A1935" s="2" t="s">
        <v>3642</v>
      </c>
      <c r="B1935" s="2" t="s">
        <v>47</v>
      </c>
      <c r="C1935" s="2" t="s">
        <v>3273</v>
      </c>
      <c r="D1935" s="2" t="s">
        <v>49</v>
      </c>
      <c r="E1935" s="2" t="s">
        <v>111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89</v>
      </c>
      <c r="L1935" s="6" t="s">
        <v>90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3643</v>
      </c>
      <c r="R1935" s="2">
        <v>15384615.380000001</v>
      </c>
      <c r="S1935" s="2">
        <v>0</v>
      </c>
      <c r="T1935" s="2" t="s">
        <v>83</v>
      </c>
      <c r="U1935" s="2" t="s">
        <v>84</v>
      </c>
      <c r="V1935" s="2" t="s">
        <v>56</v>
      </c>
      <c r="W1935" s="2" t="s">
        <v>83</v>
      </c>
      <c r="X1935" s="2" t="s">
        <v>85</v>
      </c>
      <c r="Y1935" s="2">
        <v>4.0993701169922696</v>
      </c>
      <c r="Z1935" s="2">
        <v>4099.3701169922697</v>
      </c>
      <c r="AA1935" s="2">
        <v>4.71035</v>
      </c>
      <c r="AB1935" s="2">
        <v>-74.030416666666696</v>
      </c>
      <c r="AC1935" s="2">
        <v>2570</v>
      </c>
      <c r="AD1935" s="2">
        <v>10</v>
      </c>
      <c r="AE1935" s="2" t="s">
        <v>59</v>
      </c>
      <c r="AF1935" s="2" t="s">
        <v>86</v>
      </c>
      <c r="AG1935" s="2" t="s">
        <v>61</v>
      </c>
      <c r="AH1935" s="2" t="s">
        <v>62</v>
      </c>
      <c r="AI1935" s="2" t="s">
        <v>109</v>
      </c>
      <c r="AJ1935" s="2">
        <v>0.43822484502763398</v>
      </c>
      <c r="AK1935" s="2">
        <v>1.86171945064736</v>
      </c>
      <c r="AL1935" s="2">
        <v>0.42646151693648299</v>
      </c>
      <c r="AM1935" s="2">
        <v>0.173521572563858</v>
      </c>
      <c r="AN1935" s="2">
        <v>3.2042021026085101</v>
      </c>
      <c r="AO1935" s="2">
        <v>0.47448713731507097</v>
      </c>
      <c r="AP1935" s="2">
        <v>0.47448713731507097</v>
      </c>
      <c r="AQ1935" s="2">
        <v>1</v>
      </c>
      <c r="AR1935" s="2">
        <v>2</v>
      </c>
      <c r="AS1935" s="2">
        <v>0</v>
      </c>
      <c r="AT1935" s="2">
        <v>0</v>
      </c>
      <c r="AU1935" s="2">
        <v>5</v>
      </c>
      <c r="AV1935" s="2">
        <v>254</v>
      </c>
      <c r="AW1935" s="2">
        <v>0</v>
      </c>
      <c r="AX1935" s="2">
        <v>0</v>
      </c>
      <c r="AY1935" s="2">
        <v>15.5</v>
      </c>
      <c r="AZ1935" s="2">
        <v>2.4</v>
      </c>
      <c r="BA1935" s="2">
        <v>10.9</v>
      </c>
      <c r="BB1935" s="2">
        <v>564</v>
      </c>
      <c r="BC1935" s="2">
        <v>68</v>
      </c>
      <c r="BD1935" s="2">
        <v>1.5</v>
      </c>
      <c r="BE1935" s="2">
        <v>135</v>
      </c>
      <c r="BF1935" s="2">
        <v>0</v>
      </c>
      <c r="BG1935" s="2">
        <v>162</v>
      </c>
      <c r="BH1935" s="2">
        <v>9.1</v>
      </c>
      <c r="BI1935" s="2">
        <v>9.1999999999999993</v>
      </c>
      <c r="BJ1935" s="2">
        <v>18.3</v>
      </c>
      <c r="BK1935" s="2">
        <v>0.34</v>
      </c>
      <c r="BL1935" s="2">
        <v>7.3</v>
      </c>
      <c r="BM1935" s="2">
        <v>0.9</v>
      </c>
      <c r="BN1935" s="2">
        <v>7.5</v>
      </c>
      <c r="BO1935" s="2">
        <v>2.9</v>
      </c>
      <c r="BP1935" s="2">
        <f t="shared" si="60"/>
        <v>1.9592268214493103</v>
      </c>
      <c r="BQ1935" s="2">
        <f t="shared" si="61"/>
        <v>9.878670188816816</v>
      </c>
    </row>
    <row r="1936" spans="1:69" x14ac:dyDescent="0.2">
      <c r="A1936" s="2" t="s">
        <v>4502</v>
      </c>
      <c r="B1936" s="2" t="s">
        <v>47</v>
      </c>
      <c r="C1936" s="2" t="s">
        <v>3273</v>
      </c>
      <c r="D1936" s="2" t="s">
        <v>49</v>
      </c>
      <c r="E1936" s="2" t="s">
        <v>198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89</v>
      </c>
      <c r="L1936" s="6" t="s">
        <v>90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4503</v>
      </c>
      <c r="R1936" s="2">
        <v>8730769.2310000006</v>
      </c>
      <c r="S1936" s="2">
        <v>0</v>
      </c>
      <c r="T1936" s="2" t="s">
        <v>83</v>
      </c>
      <c r="U1936" s="2" t="s">
        <v>84</v>
      </c>
      <c r="V1936" s="2" t="s">
        <v>56</v>
      </c>
      <c r="W1936" s="2" t="s">
        <v>83</v>
      </c>
      <c r="X1936" s="2" t="s">
        <v>85</v>
      </c>
      <c r="Y1936" s="2">
        <v>2.5468166686135301</v>
      </c>
      <c r="Z1936" s="2">
        <v>2546.8166686135301</v>
      </c>
      <c r="AA1936" s="2">
        <v>4.71035</v>
      </c>
      <c r="AB1936" s="2">
        <v>-74.030416666666696</v>
      </c>
      <c r="AC1936" s="2">
        <v>2570</v>
      </c>
      <c r="AD1936" s="2">
        <v>10</v>
      </c>
      <c r="AE1936" s="2" t="s">
        <v>59</v>
      </c>
      <c r="AF1936" s="2" t="s">
        <v>86</v>
      </c>
      <c r="AG1936" s="2" t="s">
        <v>61</v>
      </c>
      <c r="AH1936" s="2" t="s">
        <v>62</v>
      </c>
      <c r="AI1936" s="2" t="s">
        <v>87</v>
      </c>
      <c r="AJ1936" s="2">
        <v>2.98247911088297</v>
      </c>
      <c r="AK1936" s="2">
        <v>9.9979562617553697E-2</v>
      </c>
      <c r="AL1936" s="2">
        <v>1.7873945447483</v>
      </c>
      <c r="AM1936" s="2">
        <v>0.232690751419248</v>
      </c>
      <c r="AN1936" s="2">
        <v>1.1739712717522099</v>
      </c>
      <c r="AO1936" s="2">
        <v>0.18961918266319999</v>
      </c>
      <c r="AP1936" s="2">
        <v>0.18961918266319999</v>
      </c>
      <c r="AQ1936" s="2">
        <v>0</v>
      </c>
      <c r="AR1936" s="2">
        <v>0</v>
      </c>
      <c r="AS1936" s="2">
        <v>12</v>
      </c>
      <c r="AT1936" s="2">
        <v>34</v>
      </c>
      <c r="AU1936" s="2">
        <v>0</v>
      </c>
      <c r="AV1936" s="2">
        <v>9</v>
      </c>
      <c r="AW1936" s="2">
        <v>0</v>
      </c>
      <c r="AX1936" s="2">
        <v>0</v>
      </c>
      <c r="AY1936" s="2">
        <v>15.5</v>
      </c>
      <c r="AZ1936" s="2">
        <v>2.4</v>
      </c>
      <c r="BA1936" s="2">
        <v>10.9</v>
      </c>
      <c r="BB1936" s="2">
        <v>564</v>
      </c>
      <c r="BC1936" s="2">
        <v>68</v>
      </c>
      <c r="BD1936" s="2">
        <v>1.5</v>
      </c>
      <c r="BE1936" s="2">
        <v>135</v>
      </c>
      <c r="BF1936" s="2">
        <v>0</v>
      </c>
      <c r="BG1936" s="2">
        <v>162</v>
      </c>
      <c r="BH1936" s="2">
        <v>9.1</v>
      </c>
      <c r="BI1936" s="2">
        <v>9.1999999999999993</v>
      </c>
      <c r="BJ1936" s="2">
        <v>18.3</v>
      </c>
      <c r="BK1936" s="2">
        <v>0.34</v>
      </c>
      <c r="BL1936" s="2">
        <v>7.3</v>
      </c>
      <c r="BM1936" s="2">
        <v>0.9</v>
      </c>
      <c r="BN1936" s="2">
        <v>7.5</v>
      </c>
      <c r="BO1936" s="2">
        <v>2.9</v>
      </c>
      <c r="BP1936" s="2">
        <f t="shared" si="60"/>
        <v>2.1157329739712147</v>
      </c>
      <c r="BQ1936" s="2">
        <f t="shared" si="61"/>
        <v>10.253705876707031</v>
      </c>
    </row>
    <row r="1937" spans="1:69" x14ac:dyDescent="0.2">
      <c r="A1937" s="2" t="s">
        <v>3939</v>
      </c>
      <c r="B1937" s="2" t="s">
        <v>47</v>
      </c>
      <c r="C1937" s="2" t="s">
        <v>3273</v>
      </c>
      <c r="D1937" s="2" t="s">
        <v>49</v>
      </c>
      <c r="E1937" s="2" t="s">
        <v>175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89</v>
      </c>
      <c r="L1937" s="6" t="s">
        <v>90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3940</v>
      </c>
      <c r="R1937" s="2">
        <v>17800000</v>
      </c>
      <c r="S1937" s="2">
        <v>0</v>
      </c>
      <c r="T1937" s="2" t="s">
        <v>83</v>
      </c>
      <c r="U1937" s="2" t="s">
        <v>84</v>
      </c>
      <c r="V1937" s="2" t="s">
        <v>56</v>
      </c>
      <c r="W1937" s="2" t="s">
        <v>83</v>
      </c>
      <c r="X1937" s="2" t="s">
        <v>85</v>
      </c>
      <c r="Y1937" s="2">
        <v>3.4080009291498201</v>
      </c>
      <c r="Z1937" s="2">
        <v>3408.00092914982</v>
      </c>
      <c r="AA1937" s="2">
        <v>4.71035</v>
      </c>
      <c r="AB1937" s="2">
        <v>-74.030416666666696</v>
      </c>
      <c r="AC1937" s="2">
        <v>2570</v>
      </c>
      <c r="AD1937" s="2">
        <v>10</v>
      </c>
      <c r="AE1937" s="2" t="s">
        <v>59</v>
      </c>
      <c r="AF1937" s="2" t="s">
        <v>86</v>
      </c>
      <c r="AG1937" s="2" t="s">
        <v>61</v>
      </c>
      <c r="AH1937" s="2" t="s">
        <v>62</v>
      </c>
      <c r="AI1937" s="2" t="s">
        <v>87</v>
      </c>
      <c r="AJ1937" s="2">
        <v>1.8216445456495101</v>
      </c>
      <c r="AK1937" s="2">
        <v>0.666762105683811</v>
      </c>
      <c r="AL1937" s="2">
        <v>0.25234511898740702</v>
      </c>
      <c r="AM1937" s="2">
        <v>0.117411184703169</v>
      </c>
      <c r="AN1937" s="2">
        <v>4.5688381168447902</v>
      </c>
      <c r="AO1937" s="2">
        <v>0.61746327305670801</v>
      </c>
      <c r="AP1937" s="2">
        <v>0.61746327305670801</v>
      </c>
      <c r="AQ1937" s="2">
        <v>0</v>
      </c>
      <c r="AR1937" s="2">
        <v>0</v>
      </c>
      <c r="AS1937" s="2">
        <v>0</v>
      </c>
      <c r="AT1937" s="2">
        <v>1</v>
      </c>
      <c r="AU1937" s="2">
        <v>3</v>
      </c>
      <c r="AV1937" s="2">
        <v>72</v>
      </c>
      <c r="AW1937" s="2">
        <v>0</v>
      </c>
      <c r="AX1937" s="2">
        <v>0</v>
      </c>
      <c r="AY1937" s="2">
        <v>15.5</v>
      </c>
      <c r="AZ1937" s="2">
        <v>2.4</v>
      </c>
      <c r="BA1937" s="2">
        <v>10.9</v>
      </c>
      <c r="BB1937" s="2">
        <v>564</v>
      </c>
      <c r="BC1937" s="2">
        <v>68</v>
      </c>
      <c r="BD1937" s="2">
        <v>1.5</v>
      </c>
      <c r="BE1937" s="2">
        <v>135</v>
      </c>
      <c r="BF1937" s="2">
        <v>0</v>
      </c>
      <c r="BG1937" s="2">
        <v>162</v>
      </c>
      <c r="BH1937" s="2">
        <v>9.1</v>
      </c>
      <c r="BI1937" s="2">
        <v>9.1999999999999993</v>
      </c>
      <c r="BJ1937" s="2">
        <v>18.3</v>
      </c>
      <c r="BK1937" s="2">
        <v>0.34</v>
      </c>
      <c r="BL1937" s="2">
        <v>7.3</v>
      </c>
      <c r="BM1937" s="2">
        <v>0.9</v>
      </c>
      <c r="BN1937" s="2">
        <v>7.5</v>
      </c>
      <c r="BO1937" s="2">
        <v>2.9</v>
      </c>
      <c r="BP1937" s="2">
        <f t="shared" si="60"/>
        <v>2.0274375222394796</v>
      </c>
      <c r="BQ1937" s="2">
        <f t="shared" si="61"/>
        <v>10.043953050839534</v>
      </c>
    </row>
    <row r="1938" spans="1:69" x14ac:dyDescent="0.2">
      <c r="A1938" s="2" t="s">
        <v>3561</v>
      </c>
      <c r="B1938" s="2" t="s">
        <v>47</v>
      </c>
      <c r="C1938" s="2" t="s">
        <v>3273</v>
      </c>
      <c r="D1938" s="2" t="s">
        <v>49</v>
      </c>
      <c r="E1938" s="2" t="s">
        <v>169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89</v>
      </c>
      <c r="L1938" s="6" t="s">
        <v>90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3562</v>
      </c>
      <c r="R1938" s="2">
        <v>16600000</v>
      </c>
      <c r="S1938" s="2">
        <v>0</v>
      </c>
      <c r="T1938" s="2" t="s">
        <v>83</v>
      </c>
      <c r="U1938" s="2" t="s">
        <v>84</v>
      </c>
      <c r="V1938" s="2" t="s">
        <v>56</v>
      </c>
      <c r="W1938" s="2" t="s">
        <v>83</v>
      </c>
      <c r="X1938" s="2" t="s">
        <v>85</v>
      </c>
      <c r="Y1938" s="2">
        <v>3.2950859862444899</v>
      </c>
      <c r="Z1938" s="2">
        <v>3295.08598624449</v>
      </c>
      <c r="AA1938" s="2">
        <v>4.71035</v>
      </c>
      <c r="AB1938" s="2">
        <v>-74.030416666666696</v>
      </c>
      <c r="AC1938" s="2">
        <v>2570</v>
      </c>
      <c r="AD1938" s="2">
        <v>10</v>
      </c>
      <c r="AE1938" s="2" t="s">
        <v>59</v>
      </c>
      <c r="AF1938" s="2" t="s">
        <v>86</v>
      </c>
      <c r="AG1938" s="2" t="s">
        <v>61</v>
      </c>
      <c r="AH1938" s="2" t="s">
        <v>62</v>
      </c>
      <c r="AI1938" s="2" t="s">
        <v>87</v>
      </c>
      <c r="AJ1938" s="2">
        <v>1.19768518957343</v>
      </c>
      <c r="AK1938" s="2">
        <v>1.4383163381904001</v>
      </c>
      <c r="AL1938" s="2">
        <v>0.44617112384864299</v>
      </c>
      <c r="AM1938" s="2">
        <v>8.9901793918189907E-2</v>
      </c>
      <c r="AN1938" s="2">
        <v>4.0797788531850498</v>
      </c>
      <c r="AO1938" s="2">
        <v>0.51498446204519399</v>
      </c>
      <c r="AP1938" s="2">
        <v>0.51498446204519399</v>
      </c>
      <c r="AQ1938" s="2">
        <v>0</v>
      </c>
      <c r="AR1938" s="2">
        <v>0</v>
      </c>
      <c r="AS1938" s="2">
        <v>0</v>
      </c>
      <c r="AT1938" s="2">
        <v>0</v>
      </c>
      <c r="AU1938" s="2">
        <v>6</v>
      </c>
      <c r="AV1938" s="2">
        <v>132</v>
      </c>
      <c r="AW1938" s="2">
        <v>0</v>
      </c>
      <c r="AX1938" s="2">
        <v>0</v>
      </c>
      <c r="AY1938" s="2">
        <v>15.5</v>
      </c>
      <c r="AZ1938" s="2">
        <v>2.4</v>
      </c>
      <c r="BA1938" s="2">
        <v>10.9</v>
      </c>
      <c r="BB1938" s="2">
        <v>564</v>
      </c>
      <c r="BC1938" s="2">
        <v>68</v>
      </c>
      <c r="BD1938" s="2">
        <v>1.5</v>
      </c>
      <c r="BE1938" s="2">
        <v>135</v>
      </c>
      <c r="BF1938" s="2">
        <v>0</v>
      </c>
      <c r="BG1938" s="2">
        <v>162</v>
      </c>
      <c r="BH1938" s="2">
        <v>9.1</v>
      </c>
      <c r="BI1938" s="2">
        <v>9.1999999999999993</v>
      </c>
      <c r="BJ1938" s="2">
        <v>18.3</v>
      </c>
      <c r="BK1938" s="2">
        <v>0.34</v>
      </c>
      <c r="BL1938" s="2">
        <v>7.3</v>
      </c>
      <c r="BM1938" s="2">
        <v>0.9</v>
      </c>
      <c r="BN1938" s="2">
        <v>7.5</v>
      </c>
      <c r="BO1938" s="2">
        <v>2.9</v>
      </c>
      <c r="BP1938" s="2">
        <f t="shared" si="60"/>
        <v>2.0388011856666215</v>
      </c>
      <c r="BQ1938" s="2">
        <f t="shared" si="61"/>
        <v>10.071208662195691</v>
      </c>
    </row>
    <row r="1939" spans="1:69" x14ac:dyDescent="0.2">
      <c r="A1939" s="2" t="s">
        <v>1079</v>
      </c>
      <c r="B1939" s="2" t="s">
        <v>47</v>
      </c>
      <c r="C1939" s="2" t="s">
        <v>48</v>
      </c>
      <c r="D1939" s="2" t="s">
        <v>49</v>
      </c>
      <c r="E1939" s="2" t="s">
        <v>81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51</v>
      </c>
      <c r="L1939" s="6" t="s">
        <v>52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1080</v>
      </c>
      <c r="R1939" s="2">
        <v>12500000</v>
      </c>
      <c r="S1939" s="2">
        <v>0</v>
      </c>
      <c r="T1939" s="2" t="s">
        <v>83</v>
      </c>
      <c r="U1939" s="2" t="s">
        <v>84</v>
      </c>
      <c r="V1939" s="2" t="s">
        <v>56</v>
      </c>
      <c r="W1939" s="2" t="s">
        <v>83</v>
      </c>
      <c r="X1939" s="2" t="s">
        <v>85</v>
      </c>
      <c r="Y1939" s="2">
        <v>1.9773043353594899</v>
      </c>
      <c r="Z1939" s="2">
        <v>1977.3043353594901</v>
      </c>
      <c r="AA1939" s="2">
        <v>4.71035</v>
      </c>
      <c r="AB1939" s="2">
        <v>-74.030416666666696</v>
      </c>
      <c r="AC1939" s="2">
        <v>2570</v>
      </c>
      <c r="AD1939" s="2">
        <v>10</v>
      </c>
      <c r="AE1939" s="2" t="s">
        <v>59</v>
      </c>
      <c r="AF1939" s="2" t="s">
        <v>86</v>
      </c>
      <c r="AG1939" s="2" t="s">
        <v>61</v>
      </c>
      <c r="AH1939" s="2" t="s">
        <v>62</v>
      </c>
      <c r="AI1939" s="2" t="s">
        <v>87</v>
      </c>
      <c r="AJ1939" s="2">
        <v>1.80090721070268</v>
      </c>
      <c r="AK1939" s="2">
        <v>1.45768378741854</v>
      </c>
      <c r="AL1939" s="2">
        <v>1.03802311037081</v>
      </c>
      <c r="AM1939" s="2">
        <v>0.18999110572962999</v>
      </c>
      <c r="AN1939" s="2">
        <v>5.2608645533437501</v>
      </c>
      <c r="AO1939" s="2">
        <v>0.111946210164812</v>
      </c>
      <c r="AP1939" s="2">
        <v>0.111946210164812</v>
      </c>
      <c r="AQ1939" s="2">
        <v>0</v>
      </c>
      <c r="AR1939" s="2">
        <v>0</v>
      </c>
      <c r="AS1939" s="2">
        <v>0</v>
      </c>
      <c r="AT1939" s="2">
        <v>0</v>
      </c>
      <c r="AU1939" s="2">
        <v>0</v>
      </c>
      <c r="AV1939" s="2">
        <v>147</v>
      </c>
      <c r="AW1939" s="2">
        <v>0</v>
      </c>
      <c r="AX1939" s="2">
        <v>0</v>
      </c>
      <c r="AY1939" s="2">
        <v>15.5</v>
      </c>
      <c r="AZ1939" s="2">
        <v>2.4</v>
      </c>
      <c r="BA1939" s="2">
        <v>10.9</v>
      </c>
      <c r="BB1939" s="2">
        <v>564</v>
      </c>
      <c r="BC1939" s="2">
        <v>68</v>
      </c>
      <c r="BD1939" s="2">
        <v>1.5</v>
      </c>
      <c r="BE1939" s="2">
        <v>135</v>
      </c>
      <c r="BF1939" s="2">
        <v>0</v>
      </c>
      <c r="BG1939" s="2">
        <v>162</v>
      </c>
      <c r="BH1939" s="2">
        <v>9.1</v>
      </c>
      <c r="BI1939" s="2">
        <v>9.1999999999999993</v>
      </c>
      <c r="BJ1939" s="2">
        <v>18.3</v>
      </c>
      <c r="BK1939" s="2">
        <v>0.34</v>
      </c>
      <c r="BL1939" s="2">
        <v>7.3</v>
      </c>
      <c r="BM1939" s="2">
        <v>0.9</v>
      </c>
      <c r="BN1939" s="2">
        <v>7.5</v>
      </c>
      <c r="BO1939" s="2">
        <v>2.9</v>
      </c>
      <c r="BP1939" s="2">
        <f t="shared" si="60"/>
        <v>2.1762259757544449</v>
      </c>
      <c r="BQ1939" s="2">
        <f t="shared" si="61"/>
        <v>10.394818753076281</v>
      </c>
    </row>
    <row r="1940" spans="1:69" x14ac:dyDescent="0.2">
      <c r="A1940" s="2" t="s">
        <v>3929</v>
      </c>
      <c r="B1940" s="2" t="s">
        <v>47</v>
      </c>
      <c r="C1940" s="2" t="s">
        <v>3273</v>
      </c>
      <c r="D1940" s="2" t="s">
        <v>49</v>
      </c>
      <c r="E1940" s="2" t="s">
        <v>208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89</v>
      </c>
      <c r="L1940" s="6" t="s">
        <v>90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3930</v>
      </c>
      <c r="R1940" s="2">
        <v>11666666.67</v>
      </c>
      <c r="S1940" s="2">
        <v>0</v>
      </c>
      <c r="T1940" s="2" t="s">
        <v>83</v>
      </c>
      <c r="U1940" s="2" t="s">
        <v>84</v>
      </c>
      <c r="V1940" s="2" t="s">
        <v>56</v>
      </c>
      <c r="W1940" s="2" t="s">
        <v>83</v>
      </c>
      <c r="X1940" s="2" t="s">
        <v>85</v>
      </c>
      <c r="Y1940" s="2">
        <v>4.1306803205029103</v>
      </c>
      <c r="Z1940" s="2">
        <v>4130.68032050291</v>
      </c>
      <c r="AA1940" s="2">
        <v>4.71035</v>
      </c>
      <c r="AB1940" s="2">
        <v>-74.030416666666696</v>
      </c>
      <c r="AC1940" s="2">
        <v>2570</v>
      </c>
      <c r="AD1940" s="2">
        <v>10</v>
      </c>
      <c r="AE1940" s="2" t="s">
        <v>59</v>
      </c>
      <c r="AF1940" s="2" t="s">
        <v>86</v>
      </c>
      <c r="AG1940" s="2" t="s">
        <v>61</v>
      </c>
      <c r="AH1940" s="2" t="s">
        <v>62</v>
      </c>
      <c r="AI1940" s="2" t="s">
        <v>109</v>
      </c>
      <c r="AJ1940" s="2">
        <v>9.1640248674061398E-2</v>
      </c>
      <c r="AK1940" s="2">
        <v>2.25457420570633</v>
      </c>
      <c r="AL1940" s="2">
        <v>0.48948628962887097</v>
      </c>
      <c r="AM1940" s="2">
        <v>2.1414555690567199E-2</v>
      </c>
      <c r="AN1940" s="2">
        <v>2.9934698611111301</v>
      </c>
      <c r="AO1940" s="2">
        <v>0.157435058770825</v>
      </c>
      <c r="AP1940" s="2">
        <v>0.157435058770825</v>
      </c>
      <c r="AQ1940" s="2">
        <v>1</v>
      </c>
      <c r="AR1940" s="2">
        <v>6</v>
      </c>
      <c r="AS1940" s="2">
        <v>0</v>
      </c>
      <c r="AT1940" s="2">
        <v>0</v>
      </c>
      <c r="AU1940" s="2">
        <v>5</v>
      </c>
      <c r="AV1940" s="2">
        <v>234</v>
      </c>
      <c r="AW1940" s="2">
        <v>0</v>
      </c>
      <c r="AX1940" s="2">
        <v>0</v>
      </c>
      <c r="AY1940" s="2">
        <v>15.5</v>
      </c>
      <c r="AZ1940" s="2">
        <v>2.4</v>
      </c>
      <c r="BA1940" s="2">
        <v>10.9</v>
      </c>
      <c r="BB1940" s="2">
        <v>564</v>
      </c>
      <c r="BC1940" s="2">
        <v>68</v>
      </c>
      <c r="BD1940" s="2">
        <v>1.5</v>
      </c>
      <c r="BE1940" s="2">
        <v>135</v>
      </c>
      <c r="BF1940" s="2">
        <v>0</v>
      </c>
      <c r="BG1940" s="2">
        <v>162</v>
      </c>
      <c r="BH1940" s="2">
        <v>9.1</v>
      </c>
      <c r="BI1940" s="2">
        <v>9.1999999999999993</v>
      </c>
      <c r="BJ1940" s="2">
        <v>18.3</v>
      </c>
      <c r="BK1940" s="2">
        <v>0.34</v>
      </c>
      <c r="BL1940" s="2">
        <v>7.3</v>
      </c>
      <c r="BM1940" s="2">
        <v>0.9</v>
      </c>
      <c r="BN1940" s="2">
        <v>7.5</v>
      </c>
      <c r="BO1940" s="2">
        <v>2.9</v>
      </c>
      <c r="BP1940" s="2">
        <f t="shared" si="60"/>
        <v>1.9561926556853615</v>
      </c>
      <c r="BQ1940" s="2">
        <f t="shared" si="61"/>
        <v>9.8712497010331539</v>
      </c>
    </row>
    <row r="1941" spans="1:69" x14ac:dyDescent="0.2">
      <c r="A1941" s="2" t="s">
        <v>3286</v>
      </c>
      <c r="B1941" s="2" t="s">
        <v>47</v>
      </c>
      <c r="C1941" s="2" t="s">
        <v>3273</v>
      </c>
      <c r="D1941" s="2" t="s">
        <v>49</v>
      </c>
      <c r="E1941" s="2" t="s">
        <v>1465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89</v>
      </c>
      <c r="L1941" s="6" t="s">
        <v>90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3287</v>
      </c>
      <c r="R1941" s="2">
        <v>16666666.67</v>
      </c>
      <c r="S1941" s="2">
        <v>0</v>
      </c>
      <c r="T1941" s="2" t="s">
        <v>83</v>
      </c>
      <c r="U1941" s="2" t="s">
        <v>84</v>
      </c>
      <c r="V1941" s="2" t="s">
        <v>56</v>
      </c>
      <c r="W1941" s="2" t="s">
        <v>83</v>
      </c>
      <c r="X1941" s="2" t="s">
        <v>85</v>
      </c>
      <c r="Y1941" s="2">
        <v>4.0902292059906404</v>
      </c>
      <c r="Z1941" s="2">
        <v>4090.2292059906399</v>
      </c>
      <c r="AA1941" s="2">
        <v>4.71035</v>
      </c>
      <c r="AB1941" s="2">
        <v>-74.030416666666696</v>
      </c>
      <c r="AC1941" s="2">
        <v>2570</v>
      </c>
      <c r="AD1941" s="2">
        <v>10</v>
      </c>
      <c r="AE1941" s="2" t="s">
        <v>59</v>
      </c>
      <c r="AF1941" s="2" t="s">
        <v>86</v>
      </c>
      <c r="AG1941" s="2" t="s">
        <v>61</v>
      </c>
      <c r="AH1941" s="2" t="s">
        <v>62</v>
      </c>
      <c r="AI1941" s="2" t="s">
        <v>109</v>
      </c>
      <c r="AJ1941" s="2">
        <v>0.40456848309661703</v>
      </c>
      <c r="AK1941" s="2">
        <v>1.89663874552134</v>
      </c>
      <c r="AL1941" s="2">
        <v>0.40698754691197397</v>
      </c>
      <c r="AM1941" s="2">
        <v>0.15762412773135701</v>
      </c>
      <c r="AN1941" s="2">
        <v>3.1917303330189699</v>
      </c>
      <c r="AO1941" s="2">
        <v>0.44330568235064199</v>
      </c>
      <c r="AP1941" s="2">
        <v>0.44330568235064199</v>
      </c>
      <c r="AQ1941" s="2">
        <v>1</v>
      </c>
      <c r="AR1941" s="2">
        <v>2</v>
      </c>
      <c r="AS1941" s="2">
        <v>0</v>
      </c>
      <c r="AT1941" s="2">
        <v>0</v>
      </c>
      <c r="AU1941" s="2">
        <v>5</v>
      </c>
      <c r="AV1941" s="2">
        <v>255</v>
      </c>
      <c r="AW1941" s="2">
        <v>0</v>
      </c>
      <c r="AX1941" s="2">
        <v>0</v>
      </c>
      <c r="AY1941" s="2">
        <v>15.5</v>
      </c>
      <c r="AZ1941" s="2">
        <v>2.4</v>
      </c>
      <c r="BA1941" s="2">
        <v>10.9</v>
      </c>
      <c r="BB1941" s="2">
        <v>564</v>
      </c>
      <c r="BC1941" s="2">
        <v>68</v>
      </c>
      <c r="BD1941" s="2">
        <v>1.5</v>
      </c>
      <c r="BE1941" s="2">
        <v>135</v>
      </c>
      <c r="BF1941" s="2">
        <v>0</v>
      </c>
      <c r="BG1941" s="2">
        <v>162</v>
      </c>
      <c r="BH1941" s="2">
        <v>9.1</v>
      </c>
      <c r="BI1941" s="2">
        <v>9.1999999999999993</v>
      </c>
      <c r="BJ1941" s="2">
        <v>18.3</v>
      </c>
      <c r="BK1941" s="2">
        <v>0.34</v>
      </c>
      <c r="BL1941" s="2">
        <v>7.3</v>
      </c>
      <c r="BM1941" s="2">
        <v>0.9</v>
      </c>
      <c r="BN1941" s="2">
        <v>7.5</v>
      </c>
      <c r="BO1941" s="2">
        <v>2.9</v>
      </c>
      <c r="BP1941" s="2">
        <f t="shared" si="60"/>
        <v>1.9601135233807925</v>
      </c>
      <c r="BQ1941" s="2">
        <f t="shared" si="61"/>
        <v>9.8808376276367582</v>
      </c>
    </row>
    <row r="1942" spans="1:69" x14ac:dyDescent="0.2">
      <c r="A1942" s="2" t="s">
        <v>3431</v>
      </c>
      <c r="B1942" s="2" t="s">
        <v>47</v>
      </c>
      <c r="C1942" s="2" t="s">
        <v>3273</v>
      </c>
      <c r="D1942" s="2" t="s">
        <v>49</v>
      </c>
      <c r="E1942" s="2" t="s">
        <v>208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89</v>
      </c>
      <c r="L1942" s="6" t="s">
        <v>90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3432</v>
      </c>
      <c r="R1942" s="2">
        <v>16666666.67</v>
      </c>
      <c r="S1942" s="2">
        <v>0</v>
      </c>
      <c r="T1942" s="2" t="s">
        <v>83</v>
      </c>
      <c r="U1942" s="2" t="s">
        <v>84</v>
      </c>
      <c r="V1942" s="2" t="s">
        <v>56</v>
      </c>
      <c r="W1942" s="2" t="s">
        <v>83</v>
      </c>
      <c r="X1942" s="2" t="s">
        <v>85</v>
      </c>
      <c r="Y1942" s="2">
        <v>4.0892381073830997</v>
      </c>
      <c r="Z1942" s="2">
        <v>4089.2381073831002</v>
      </c>
      <c r="AA1942" s="2">
        <v>4.71035</v>
      </c>
      <c r="AB1942" s="2">
        <v>-74.030416666666696</v>
      </c>
      <c r="AC1942" s="2">
        <v>2570</v>
      </c>
      <c r="AD1942" s="2">
        <v>10</v>
      </c>
      <c r="AE1942" s="2" t="s">
        <v>59</v>
      </c>
      <c r="AF1942" s="2" t="s">
        <v>86</v>
      </c>
      <c r="AG1942" s="2" t="s">
        <v>61</v>
      </c>
      <c r="AH1942" s="2" t="s">
        <v>62</v>
      </c>
      <c r="AI1942" s="2" t="s">
        <v>109</v>
      </c>
      <c r="AJ1942" s="2">
        <v>0.41683127879339898</v>
      </c>
      <c r="AK1942" s="2">
        <v>1.8841979738327499</v>
      </c>
      <c r="AL1942" s="2">
        <v>0.40939218362454299</v>
      </c>
      <c r="AM1942" s="2">
        <v>0.16537454465540699</v>
      </c>
      <c r="AN1942" s="2">
        <v>3.1992457084069499</v>
      </c>
      <c r="AO1942" s="2">
        <v>0.45517346823468802</v>
      </c>
      <c r="AP1942" s="2">
        <v>0.45517346823468802</v>
      </c>
      <c r="AQ1942" s="2">
        <v>1</v>
      </c>
      <c r="AR1942" s="2">
        <v>2</v>
      </c>
      <c r="AS1942" s="2">
        <v>0</v>
      </c>
      <c r="AT1942" s="2">
        <v>0</v>
      </c>
      <c r="AU1942" s="2">
        <v>5</v>
      </c>
      <c r="AV1942" s="2">
        <v>253</v>
      </c>
      <c r="AW1942" s="2">
        <v>0</v>
      </c>
      <c r="AX1942" s="2">
        <v>0</v>
      </c>
      <c r="AY1942" s="2">
        <v>15.5</v>
      </c>
      <c r="AZ1942" s="2">
        <v>2.4</v>
      </c>
      <c r="BA1942" s="2">
        <v>10.9</v>
      </c>
      <c r="BB1942" s="2">
        <v>564</v>
      </c>
      <c r="BC1942" s="2">
        <v>68</v>
      </c>
      <c r="BD1942" s="2">
        <v>1.5</v>
      </c>
      <c r="BE1942" s="2">
        <v>135</v>
      </c>
      <c r="BF1942" s="2">
        <v>0</v>
      </c>
      <c r="BG1942" s="2">
        <v>162</v>
      </c>
      <c r="BH1942" s="2">
        <v>9.1</v>
      </c>
      <c r="BI1942" s="2">
        <v>9.1999999999999993</v>
      </c>
      <c r="BJ1942" s="2">
        <v>18.3</v>
      </c>
      <c r="BK1942" s="2">
        <v>0.34</v>
      </c>
      <c r="BL1942" s="2">
        <v>7.3</v>
      </c>
      <c r="BM1942" s="2">
        <v>0.9</v>
      </c>
      <c r="BN1942" s="2">
        <v>7.5</v>
      </c>
      <c r="BO1942" s="2">
        <v>2.9</v>
      </c>
      <c r="BP1942" s="2">
        <f t="shared" si="60"/>
        <v>1.9602096876959445</v>
      </c>
      <c r="BQ1942" s="2">
        <f t="shared" si="61"/>
        <v>9.8810726596579634</v>
      </c>
    </row>
    <row r="1943" spans="1:69" x14ac:dyDescent="0.2">
      <c r="A1943" s="2" t="s">
        <v>3863</v>
      </c>
      <c r="B1943" s="2" t="s">
        <v>47</v>
      </c>
      <c r="C1943" s="2" t="s">
        <v>3273</v>
      </c>
      <c r="D1943" s="2" t="s">
        <v>49</v>
      </c>
      <c r="E1943" s="2" t="s">
        <v>111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89</v>
      </c>
      <c r="L1943" s="6" t="s">
        <v>90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3864</v>
      </c>
      <c r="R1943" s="2">
        <v>16666666.67</v>
      </c>
      <c r="S1943" s="2">
        <v>0</v>
      </c>
      <c r="T1943" s="2" t="s">
        <v>83</v>
      </c>
      <c r="U1943" s="2" t="s">
        <v>84</v>
      </c>
      <c r="V1943" s="2" t="s">
        <v>56</v>
      </c>
      <c r="W1943" s="2" t="s">
        <v>83</v>
      </c>
      <c r="X1943" s="2" t="s">
        <v>85</v>
      </c>
      <c r="Y1943" s="2">
        <v>4.0773277564196704</v>
      </c>
      <c r="Z1943" s="2">
        <v>4077.3277564196701</v>
      </c>
      <c r="AA1943" s="2">
        <v>4.71035</v>
      </c>
      <c r="AB1943" s="2">
        <v>-74.030416666666696</v>
      </c>
      <c r="AC1943" s="2">
        <v>2570</v>
      </c>
      <c r="AD1943" s="2">
        <v>10</v>
      </c>
      <c r="AE1943" s="2" t="s">
        <v>59</v>
      </c>
      <c r="AF1943" s="2" t="s">
        <v>86</v>
      </c>
      <c r="AG1943" s="2" t="s">
        <v>61</v>
      </c>
      <c r="AH1943" s="2" t="s">
        <v>62</v>
      </c>
      <c r="AI1943" s="2" t="s">
        <v>109</v>
      </c>
      <c r="AJ1943" s="2">
        <v>0.41448113493807598</v>
      </c>
      <c r="AK1943" s="2">
        <v>1.8880141810704001</v>
      </c>
      <c r="AL1943" s="2">
        <v>0.39634742550188101</v>
      </c>
      <c r="AM1943" s="2">
        <v>0.171969423039149</v>
      </c>
      <c r="AN1943" s="2">
        <v>3.2060639246861999</v>
      </c>
      <c r="AO1943" s="2">
        <v>0.454426578232346</v>
      </c>
      <c r="AP1943" s="2">
        <v>0.454426578232346</v>
      </c>
      <c r="AQ1943" s="2">
        <v>1</v>
      </c>
      <c r="AR1943" s="2">
        <v>2</v>
      </c>
      <c r="AS1943" s="2">
        <v>0</v>
      </c>
      <c r="AT1943" s="2">
        <v>0</v>
      </c>
      <c r="AU1943" s="2">
        <v>5</v>
      </c>
      <c r="AV1943" s="2">
        <v>256</v>
      </c>
      <c r="AW1943" s="2">
        <v>0</v>
      </c>
      <c r="AX1943" s="2">
        <v>0</v>
      </c>
      <c r="AY1943" s="2">
        <v>15.5</v>
      </c>
      <c r="AZ1943" s="2">
        <v>2.4</v>
      </c>
      <c r="BA1943" s="2">
        <v>10.9</v>
      </c>
      <c r="BB1943" s="2">
        <v>564</v>
      </c>
      <c r="BC1943" s="2">
        <v>68</v>
      </c>
      <c r="BD1943" s="2">
        <v>1.5</v>
      </c>
      <c r="BE1943" s="2">
        <v>135</v>
      </c>
      <c r="BF1943" s="2">
        <v>0</v>
      </c>
      <c r="BG1943" s="2">
        <v>162</v>
      </c>
      <c r="BH1943" s="2">
        <v>9.1</v>
      </c>
      <c r="BI1943" s="2">
        <v>9.1999999999999993</v>
      </c>
      <c r="BJ1943" s="2">
        <v>18.3</v>
      </c>
      <c r="BK1943" s="2">
        <v>0.34</v>
      </c>
      <c r="BL1943" s="2">
        <v>7.3</v>
      </c>
      <c r="BM1943" s="2">
        <v>0.9</v>
      </c>
      <c r="BN1943" s="2">
        <v>7.5</v>
      </c>
      <c r="BO1943" s="2">
        <v>2.9</v>
      </c>
      <c r="BP1943" s="2">
        <f t="shared" si="60"/>
        <v>1.9613656943059079</v>
      </c>
      <c r="BQ1943" s="2">
        <f t="shared" si="61"/>
        <v>9.8838975524228214</v>
      </c>
    </row>
    <row r="1944" spans="1:69" x14ac:dyDescent="0.2">
      <c r="A1944" s="2" t="s">
        <v>4241</v>
      </c>
      <c r="B1944" s="2" t="s">
        <v>47</v>
      </c>
      <c r="C1944" s="2" t="s">
        <v>3273</v>
      </c>
      <c r="D1944" s="2" t="s">
        <v>49</v>
      </c>
      <c r="E1944" s="2" t="s">
        <v>1053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89</v>
      </c>
      <c r="L1944" s="6" t="s">
        <v>90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4242</v>
      </c>
      <c r="R1944" s="2">
        <v>17281250</v>
      </c>
      <c r="S1944" s="2">
        <v>0</v>
      </c>
      <c r="T1944" s="2" t="s">
        <v>83</v>
      </c>
      <c r="U1944" s="2" t="s">
        <v>84</v>
      </c>
      <c r="V1944" s="2" t="s">
        <v>56</v>
      </c>
      <c r="W1944" s="2" t="s">
        <v>83</v>
      </c>
      <c r="X1944" s="2" t="s">
        <v>85</v>
      </c>
      <c r="Y1944" s="2">
        <v>4.0771506149668904</v>
      </c>
      <c r="Z1944" s="2">
        <v>4077.1506149668899</v>
      </c>
      <c r="AA1944" s="2">
        <v>4.71035</v>
      </c>
      <c r="AB1944" s="2">
        <v>-74.030416666666696</v>
      </c>
      <c r="AC1944" s="2">
        <v>2570</v>
      </c>
      <c r="AD1944" s="2">
        <v>10</v>
      </c>
      <c r="AE1944" s="2" t="s">
        <v>59</v>
      </c>
      <c r="AF1944" s="2" t="s">
        <v>86</v>
      </c>
      <c r="AG1944" s="2" t="s">
        <v>61</v>
      </c>
      <c r="AH1944" s="2" t="s">
        <v>62</v>
      </c>
      <c r="AI1944" s="2" t="s">
        <v>109</v>
      </c>
      <c r="AJ1944" s="2">
        <v>0.414726759267175</v>
      </c>
      <c r="AK1944" s="2">
        <v>1.88778506113773</v>
      </c>
      <c r="AL1944" s="2">
        <v>0.39623431679902399</v>
      </c>
      <c r="AM1944" s="2">
        <v>0.17222564475711499</v>
      </c>
      <c r="AN1944" s="2">
        <v>3.2063211051465399</v>
      </c>
      <c r="AO1944" s="2">
        <v>0.45468342462532801</v>
      </c>
      <c r="AP1944" s="2">
        <v>0.45468342462532801</v>
      </c>
      <c r="AQ1944" s="2">
        <v>1</v>
      </c>
      <c r="AR1944" s="2">
        <v>2</v>
      </c>
      <c r="AS1944" s="2">
        <v>0</v>
      </c>
      <c r="AT1944" s="2">
        <v>0</v>
      </c>
      <c r="AU1944" s="2">
        <v>5</v>
      </c>
      <c r="AV1944" s="2">
        <v>256</v>
      </c>
      <c r="AW1944" s="2">
        <v>0</v>
      </c>
      <c r="AX1944" s="2">
        <v>0</v>
      </c>
      <c r="AY1944" s="2">
        <v>15.5</v>
      </c>
      <c r="AZ1944" s="2">
        <v>2.4</v>
      </c>
      <c r="BA1944" s="2">
        <v>10.9</v>
      </c>
      <c r="BB1944" s="2">
        <v>564</v>
      </c>
      <c r="BC1944" s="2">
        <v>68</v>
      </c>
      <c r="BD1944" s="2">
        <v>1.5</v>
      </c>
      <c r="BE1944" s="2">
        <v>135</v>
      </c>
      <c r="BF1944" s="2">
        <v>0</v>
      </c>
      <c r="BG1944" s="2">
        <v>162</v>
      </c>
      <c r="BH1944" s="2">
        <v>9.1</v>
      </c>
      <c r="BI1944" s="2">
        <v>9.1999999999999993</v>
      </c>
      <c r="BJ1944" s="2">
        <v>18.3</v>
      </c>
      <c r="BK1944" s="2">
        <v>0.34</v>
      </c>
      <c r="BL1944" s="2">
        <v>7.3</v>
      </c>
      <c r="BM1944" s="2">
        <v>0.9</v>
      </c>
      <c r="BN1944" s="2">
        <v>7.5</v>
      </c>
      <c r="BO1944" s="2">
        <v>2.9</v>
      </c>
      <c r="BP1944" s="2">
        <f t="shared" si="60"/>
        <v>1.9613828926201513</v>
      </c>
      <c r="BQ1944" s="2">
        <f t="shared" si="61"/>
        <v>9.8839395728634596</v>
      </c>
    </row>
    <row r="1945" spans="1:69" x14ac:dyDescent="0.2">
      <c r="A1945" s="2" t="s">
        <v>3916</v>
      </c>
      <c r="B1945" s="2" t="s">
        <v>47</v>
      </c>
      <c r="C1945" s="2" t="s">
        <v>3273</v>
      </c>
      <c r="D1945" s="2" t="s">
        <v>49</v>
      </c>
      <c r="E1945" s="2" t="s">
        <v>1053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89</v>
      </c>
      <c r="L1945" s="6" t="s">
        <v>90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3917</v>
      </c>
      <c r="R1945" s="2">
        <v>16666666.67</v>
      </c>
      <c r="S1945" s="2">
        <v>0</v>
      </c>
      <c r="T1945" s="2" t="s">
        <v>83</v>
      </c>
      <c r="U1945" s="2" t="s">
        <v>84</v>
      </c>
      <c r="V1945" s="2" t="s">
        <v>56</v>
      </c>
      <c r="W1945" s="2" t="s">
        <v>83</v>
      </c>
      <c r="X1945" s="2" t="s">
        <v>85</v>
      </c>
      <c r="Y1945" s="2">
        <v>4.0771506149668904</v>
      </c>
      <c r="Z1945" s="2">
        <v>4077.1506149668899</v>
      </c>
      <c r="AA1945" s="2">
        <v>4.71035</v>
      </c>
      <c r="AB1945" s="2">
        <v>-74.030416666666696</v>
      </c>
      <c r="AC1945" s="2">
        <v>2570</v>
      </c>
      <c r="AD1945" s="2">
        <v>10</v>
      </c>
      <c r="AE1945" s="2" t="s">
        <v>59</v>
      </c>
      <c r="AF1945" s="2" t="s">
        <v>86</v>
      </c>
      <c r="AG1945" s="2" t="s">
        <v>61</v>
      </c>
      <c r="AH1945" s="2" t="s">
        <v>62</v>
      </c>
      <c r="AI1945" s="2" t="s">
        <v>109</v>
      </c>
      <c r="AJ1945" s="2">
        <v>0.414726759267175</v>
      </c>
      <c r="AK1945" s="2">
        <v>1.88778506113773</v>
      </c>
      <c r="AL1945" s="2">
        <v>0.39623431679902399</v>
      </c>
      <c r="AM1945" s="2">
        <v>0.17222564475711499</v>
      </c>
      <c r="AN1945" s="2">
        <v>3.2063211051465399</v>
      </c>
      <c r="AO1945" s="2">
        <v>0.45468342462532801</v>
      </c>
      <c r="AP1945" s="2">
        <v>0.45468342462532801</v>
      </c>
      <c r="AQ1945" s="2">
        <v>1</v>
      </c>
      <c r="AR1945" s="2">
        <v>2</v>
      </c>
      <c r="AS1945" s="2">
        <v>0</v>
      </c>
      <c r="AT1945" s="2">
        <v>0</v>
      </c>
      <c r="AU1945" s="2">
        <v>5</v>
      </c>
      <c r="AV1945" s="2">
        <v>256</v>
      </c>
      <c r="AW1945" s="2">
        <v>0</v>
      </c>
      <c r="AX1945" s="2">
        <v>0</v>
      </c>
      <c r="AY1945" s="2">
        <v>15.5</v>
      </c>
      <c r="AZ1945" s="2">
        <v>2.4</v>
      </c>
      <c r="BA1945" s="2">
        <v>10.9</v>
      </c>
      <c r="BB1945" s="2">
        <v>564</v>
      </c>
      <c r="BC1945" s="2">
        <v>68</v>
      </c>
      <c r="BD1945" s="2">
        <v>1.5</v>
      </c>
      <c r="BE1945" s="2">
        <v>135</v>
      </c>
      <c r="BF1945" s="2">
        <v>0</v>
      </c>
      <c r="BG1945" s="2">
        <v>162</v>
      </c>
      <c r="BH1945" s="2">
        <v>9.1</v>
      </c>
      <c r="BI1945" s="2">
        <v>9.1999999999999993</v>
      </c>
      <c r="BJ1945" s="2">
        <v>18.3</v>
      </c>
      <c r="BK1945" s="2">
        <v>0.34</v>
      </c>
      <c r="BL1945" s="2">
        <v>7.3</v>
      </c>
      <c r="BM1945" s="2">
        <v>0.9</v>
      </c>
      <c r="BN1945" s="2">
        <v>7.5</v>
      </c>
      <c r="BO1945" s="2">
        <v>2.9</v>
      </c>
      <c r="BP1945" s="2">
        <f t="shared" si="60"/>
        <v>1.9613828926201513</v>
      </c>
      <c r="BQ1945" s="2">
        <f t="shared" si="61"/>
        <v>9.8839395728634596</v>
      </c>
    </row>
    <row r="1946" spans="1:69" x14ac:dyDescent="0.2">
      <c r="A1946" s="2" t="s">
        <v>4412</v>
      </c>
      <c r="B1946" s="2" t="s">
        <v>47</v>
      </c>
      <c r="C1946" s="2" t="s">
        <v>3273</v>
      </c>
      <c r="D1946" s="2" t="s">
        <v>49</v>
      </c>
      <c r="E1946" s="2" t="s">
        <v>111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89</v>
      </c>
      <c r="L1946" s="6" t="s">
        <v>90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4413</v>
      </c>
      <c r="R1946" s="2">
        <v>16666666.67</v>
      </c>
      <c r="S1946" s="2">
        <v>0</v>
      </c>
      <c r="T1946" s="2" t="s">
        <v>83</v>
      </c>
      <c r="U1946" s="2" t="s">
        <v>84</v>
      </c>
      <c r="V1946" s="2" t="s">
        <v>56</v>
      </c>
      <c r="W1946" s="2" t="s">
        <v>83</v>
      </c>
      <c r="X1946" s="2" t="s">
        <v>85</v>
      </c>
      <c r="Y1946" s="2">
        <v>3.60688987236674</v>
      </c>
      <c r="Z1946" s="2">
        <v>3606.8898723667398</v>
      </c>
      <c r="AA1946" s="2">
        <v>4.71035</v>
      </c>
      <c r="AB1946" s="2">
        <v>-74.030416666666696</v>
      </c>
      <c r="AC1946" s="2">
        <v>2570</v>
      </c>
      <c r="AD1946" s="2">
        <v>10</v>
      </c>
      <c r="AE1946" s="2" t="s">
        <v>59</v>
      </c>
      <c r="AF1946" s="2" t="s">
        <v>86</v>
      </c>
      <c r="AG1946" s="2" t="s">
        <v>61</v>
      </c>
      <c r="AH1946" s="2" t="s">
        <v>62</v>
      </c>
      <c r="AI1946" s="2" t="s">
        <v>109</v>
      </c>
      <c r="AJ1946" s="2">
        <v>1.1835384026898199</v>
      </c>
      <c r="AK1946" s="2">
        <v>1.25995555561518</v>
      </c>
      <c r="AL1946" s="2">
        <v>0.583145496072771</v>
      </c>
      <c r="AM1946" s="2">
        <v>1.94108840234931E-2</v>
      </c>
      <c r="AN1946" s="2">
        <v>3.9706673032372999</v>
      </c>
      <c r="AO1946" s="2">
        <v>0.83115486334749</v>
      </c>
      <c r="AP1946" s="2">
        <v>0.83115486334749</v>
      </c>
      <c r="AQ1946" s="2">
        <v>0</v>
      </c>
      <c r="AR1946" s="2">
        <v>0</v>
      </c>
      <c r="AS1946" s="2">
        <v>0</v>
      </c>
      <c r="AT1946" s="2">
        <v>0</v>
      </c>
      <c r="AU1946" s="2">
        <v>5</v>
      </c>
      <c r="AV1946" s="2">
        <v>126</v>
      </c>
      <c r="AW1946" s="2">
        <v>0</v>
      </c>
      <c r="AX1946" s="2">
        <v>0</v>
      </c>
      <c r="AY1946" s="2">
        <v>15.5</v>
      </c>
      <c r="AZ1946" s="2">
        <v>2.4</v>
      </c>
      <c r="BA1946" s="2">
        <v>10.9</v>
      </c>
      <c r="BB1946" s="2">
        <v>564</v>
      </c>
      <c r="BC1946" s="2">
        <v>68</v>
      </c>
      <c r="BD1946" s="2">
        <v>1.5</v>
      </c>
      <c r="BE1946" s="2">
        <v>135</v>
      </c>
      <c r="BF1946" s="2">
        <v>0</v>
      </c>
      <c r="BG1946" s="2">
        <v>162</v>
      </c>
      <c r="BH1946" s="2">
        <v>9.1</v>
      </c>
      <c r="BI1946" s="2">
        <v>9.1999999999999993</v>
      </c>
      <c r="BJ1946" s="2">
        <v>18.3</v>
      </c>
      <c r="BK1946" s="2">
        <v>0.34</v>
      </c>
      <c r="BL1946" s="2">
        <v>7.3</v>
      </c>
      <c r="BM1946" s="2">
        <v>0.9</v>
      </c>
      <c r="BN1946" s="2">
        <v>7.5</v>
      </c>
      <c r="BO1946" s="2">
        <v>2.9</v>
      </c>
      <c r="BP1946" s="2">
        <f t="shared" si="60"/>
        <v>2.0075753264928653</v>
      </c>
      <c r="BQ1946" s="2">
        <f t="shared" si="61"/>
        <v>9.9961241443494941</v>
      </c>
    </row>
    <row r="1947" spans="1:69" x14ac:dyDescent="0.2">
      <c r="A1947" s="2" t="s">
        <v>4295</v>
      </c>
      <c r="B1947" s="2" t="s">
        <v>47</v>
      </c>
      <c r="C1947" s="2" t="s">
        <v>3273</v>
      </c>
      <c r="D1947" s="2" t="s">
        <v>49</v>
      </c>
      <c r="E1947" s="2" t="s">
        <v>175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89</v>
      </c>
      <c r="L1947" s="6" t="s">
        <v>90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4296</v>
      </c>
      <c r="R1947" s="2">
        <v>26464744.260000002</v>
      </c>
      <c r="S1947" s="2">
        <v>0</v>
      </c>
      <c r="T1947" s="2" t="s">
        <v>83</v>
      </c>
      <c r="U1947" s="2" t="s">
        <v>84</v>
      </c>
      <c r="V1947" s="2" t="s">
        <v>56</v>
      </c>
      <c r="W1947" s="2" t="s">
        <v>83</v>
      </c>
      <c r="X1947" s="2" t="s">
        <v>85</v>
      </c>
      <c r="Y1947" s="2">
        <v>3.7078023979466699</v>
      </c>
      <c r="Z1947" s="2">
        <v>3707.8023979466702</v>
      </c>
      <c r="AA1947" s="2">
        <v>4.71035</v>
      </c>
      <c r="AB1947" s="2">
        <v>-74.030416666666696</v>
      </c>
      <c r="AC1947" s="2">
        <v>2570</v>
      </c>
      <c r="AD1947" s="2">
        <v>10</v>
      </c>
      <c r="AE1947" s="2" t="s">
        <v>59</v>
      </c>
      <c r="AF1947" s="2" t="s">
        <v>86</v>
      </c>
      <c r="AG1947" s="2" t="s">
        <v>61</v>
      </c>
      <c r="AH1947" s="2" t="s">
        <v>62</v>
      </c>
      <c r="AI1947" s="2" t="s">
        <v>109</v>
      </c>
      <c r="AJ1947" s="2">
        <v>1.18948850049393</v>
      </c>
      <c r="AK1947" s="2">
        <v>1.19450958331129</v>
      </c>
      <c r="AL1947" s="2">
        <v>0.65067961373857097</v>
      </c>
      <c r="AM1947" s="2">
        <v>8.0097628695262393E-2</v>
      </c>
      <c r="AN1947" s="2">
        <v>3.9326608101898799</v>
      </c>
      <c r="AO1947" s="2">
        <v>0.93328694668251899</v>
      </c>
      <c r="AP1947" s="2">
        <v>0.93328694668251899</v>
      </c>
      <c r="AQ1947" s="2">
        <v>0</v>
      </c>
      <c r="AR1947" s="2">
        <v>0</v>
      </c>
      <c r="AS1947" s="2">
        <v>0</v>
      </c>
      <c r="AT1947" s="2">
        <v>0</v>
      </c>
      <c r="AU1947" s="2">
        <v>5</v>
      </c>
      <c r="AV1947" s="2">
        <v>127</v>
      </c>
      <c r="AW1947" s="2">
        <v>0</v>
      </c>
      <c r="AX1947" s="2">
        <v>0</v>
      </c>
      <c r="AY1947" s="2">
        <v>15.5</v>
      </c>
      <c r="AZ1947" s="2">
        <v>2.4</v>
      </c>
      <c r="BA1947" s="2">
        <v>10.9</v>
      </c>
      <c r="BB1947" s="2">
        <v>564</v>
      </c>
      <c r="BC1947" s="2">
        <v>68</v>
      </c>
      <c r="BD1947" s="2">
        <v>1.5</v>
      </c>
      <c r="BE1947" s="2">
        <v>135</v>
      </c>
      <c r="BF1947" s="2">
        <v>0</v>
      </c>
      <c r="BG1947" s="2">
        <v>162</v>
      </c>
      <c r="BH1947" s="2">
        <v>9.1</v>
      </c>
      <c r="BI1947" s="2">
        <v>9.1999999999999993</v>
      </c>
      <c r="BJ1947" s="2">
        <v>18.3</v>
      </c>
      <c r="BK1947" s="2">
        <v>0.34</v>
      </c>
      <c r="BL1947" s="2">
        <v>7.3</v>
      </c>
      <c r="BM1947" s="2">
        <v>0.9</v>
      </c>
      <c r="BN1947" s="2">
        <v>7.5</v>
      </c>
      <c r="BO1947" s="2">
        <v>2.9</v>
      </c>
      <c r="BP1947" s="2">
        <f t="shared" si="60"/>
        <v>1.9975721509975402</v>
      </c>
      <c r="BQ1947" s="2">
        <f t="shared" si="61"/>
        <v>9.971943818140284</v>
      </c>
    </row>
    <row r="1948" spans="1:69" x14ac:dyDescent="0.2">
      <c r="A1948" s="2" t="s">
        <v>3797</v>
      </c>
      <c r="B1948" s="2" t="s">
        <v>47</v>
      </c>
      <c r="C1948" s="2" t="s">
        <v>3273</v>
      </c>
      <c r="D1948" s="2" t="s">
        <v>49</v>
      </c>
      <c r="E1948" s="2" t="s">
        <v>3798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89</v>
      </c>
      <c r="L1948" s="6" t="s">
        <v>90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3799</v>
      </c>
      <c r="R1948" s="2">
        <v>8248730.9639999997</v>
      </c>
      <c r="S1948" s="2">
        <v>0</v>
      </c>
      <c r="T1948" s="2" t="s">
        <v>83</v>
      </c>
      <c r="U1948" s="2" t="s">
        <v>84</v>
      </c>
      <c r="V1948" s="2" t="s">
        <v>56</v>
      </c>
      <c r="W1948" s="2" t="s">
        <v>83</v>
      </c>
      <c r="X1948" s="2" t="s">
        <v>85</v>
      </c>
      <c r="Y1948" s="2">
        <v>2.4906409240486198</v>
      </c>
      <c r="Z1948" s="2">
        <v>2490.64092404862</v>
      </c>
      <c r="AA1948" s="2">
        <v>4.71035</v>
      </c>
      <c r="AB1948" s="2">
        <v>-74.030416666666696</v>
      </c>
      <c r="AC1948" s="2">
        <v>2570</v>
      </c>
      <c r="AD1948" s="2">
        <v>10</v>
      </c>
      <c r="AE1948" s="2" t="s">
        <v>59</v>
      </c>
      <c r="AF1948" s="2" t="s">
        <v>86</v>
      </c>
      <c r="AG1948" s="2" t="s">
        <v>61</v>
      </c>
      <c r="AH1948" s="2" t="s">
        <v>62</v>
      </c>
      <c r="AI1948" s="2" t="s">
        <v>87</v>
      </c>
      <c r="AJ1948" s="2">
        <v>2.97026897195525</v>
      </c>
      <c r="AK1948" s="2">
        <v>0.120522508038946</v>
      </c>
      <c r="AL1948" s="2">
        <v>1.83276656632736</v>
      </c>
      <c r="AM1948" s="2">
        <v>0.25317067545621202</v>
      </c>
      <c r="AN1948" s="2">
        <v>1.2155184158136001</v>
      </c>
      <c r="AO1948" s="2">
        <v>0.174122087049701</v>
      </c>
      <c r="AP1948" s="2">
        <v>0.174122087049701</v>
      </c>
      <c r="AQ1948" s="2">
        <v>0</v>
      </c>
      <c r="AR1948" s="2">
        <v>0</v>
      </c>
      <c r="AS1948" s="2">
        <v>12</v>
      </c>
      <c r="AT1948" s="2">
        <v>33</v>
      </c>
      <c r="AU1948" s="2">
        <v>0</v>
      </c>
      <c r="AV1948" s="2">
        <v>9</v>
      </c>
      <c r="AW1948" s="2">
        <v>0</v>
      </c>
      <c r="AX1948" s="2">
        <v>0</v>
      </c>
      <c r="AY1948" s="2">
        <v>15.5</v>
      </c>
      <c r="AZ1948" s="2">
        <v>2.4</v>
      </c>
      <c r="BA1948" s="2">
        <v>10.9</v>
      </c>
      <c r="BB1948" s="2">
        <v>564</v>
      </c>
      <c r="BC1948" s="2">
        <v>68</v>
      </c>
      <c r="BD1948" s="2">
        <v>1.5</v>
      </c>
      <c r="BE1948" s="2">
        <v>135</v>
      </c>
      <c r="BF1948" s="2">
        <v>0</v>
      </c>
      <c r="BG1948" s="2">
        <v>162</v>
      </c>
      <c r="BH1948" s="2">
        <v>9.1</v>
      </c>
      <c r="BI1948" s="2">
        <v>9.1999999999999993</v>
      </c>
      <c r="BJ1948" s="2">
        <v>18.3</v>
      </c>
      <c r="BK1948" s="2">
        <v>0.34</v>
      </c>
      <c r="BL1948" s="2">
        <v>7.3</v>
      </c>
      <c r="BM1948" s="2">
        <v>0.9</v>
      </c>
      <c r="BN1948" s="2">
        <v>7.5</v>
      </c>
      <c r="BO1948" s="2">
        <v>2.9</v>
      </c>
      <c r="BP1948" s="2">
        <f t="shared" si="60"/>
        <v>2.1216243786056932</v>
      </c>
      <c r="BQ1948" s="2">
        <f t="shared" si="61"/>
        <v>10.267539429425256</v>
      </c>
    </row>
    <row r="1949" spans="1:69" x14ac:dyDescent="0.2">
      <c r="A1949" s="2" t="s">
        <v>4311</v>
      </c>
      <c r="B1949" s="2" t="s">
        <v>47</v>
      </c>
      <c r="C1949" s="2" t="s">
        <v>3273</v>
      </c>
      <c r="D1949" s="2" t="s">
        <v>49</v>
      </c>
      <c r="E1949" s="2" t="s">
        <v>1465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89</v>
      </c>
      <c r="L1949" s="6" t="s">
        <v>90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4312</v>
      </c>
      <c r="R1949" s="2">
        <v>17608695.649999999</v>
      </c>
      <c r="S1949" s="2">
        <v>0</v>
      </c>
      <c r="T1949" s="2" t="s">
        <v>83</v>
      </c>
      <c r="U1949" s="2" t="s">
        <v>84</v>
      </c>
      <c r="V1949" s="2" t="s">
        <v>56</v>
      </c>
      <c r="W1949" s="2" t="s">
        <v>83</v>
      </c>
      <c r="X1949" s="2" t="s">
        <v>85</v>
      </c>
      <c r="Y1949" s="2">
        <v>4.0901135933813997</v>
      </c>
      <c r="Z1949" s="2">
        <v>4090.1135933813998</v>
      </c>
      <c r="AA1949" s="2">
        <v>4.71035</v>
      </c>
      <c r="AB1949" s="2">
        <v>-74.030416666666696</v>
      </c>
      <c r="AC1949" s="2">
        <v>2570</v>
      </c>
      <c r="AD1949" s="2">
        <v>10</v>
      </c>
      <c r="AE1949" s="2" t="s">
        <v>59</v>
      </c>
      <c r="AF1949" s="2" t="s">
        <v>86</v>
      </c>
      <c r="AG1949" s="2" t="s">
        <v>61</v>
      </c>
      <c r="AH1949" s="2" t="s">
        <v>62</v>
      </c>
      <c r="AI1949" s="2" t="s">
        <v>109</v>
      </c>
      <c r="AJ1949" s="2">
        <v>0.40415624444778903</v>
      </c>
      <c r="AK1949" s="2">
        <v>1.89707296692828</v>
      </c>
      <c r="AL1949" s="2">
        <v>0.40675818672570302</v>
      </c>
      <c r="AM1949" s="2">
        <v>0.157478167882178</v>
      </c>
      <c r="AN1949" s="2">
        <v>3.19158129934433</v>
      </c>
      <c r="AO1949" s="2">
        <v>0.442926533431305</v>
      </c>
      <c r="AP1949" s="2">
        <v>0.442926533431305</v>
      </c>
      <c r="AQ1949" s="2">
        <v>1</v>
      </c>
      <c r="AR1949" s="2">
        <v>2</v>
      </c>
      <c r="AS1949" s="2">
        <v>0</v>
      </c>
      <c r="AT1949" s="2">
        <v>0</v>
      </c>
      <c r="AU1949" s="2">
        <v>5</v>
      </c>
      <c r="AV1949" s="2">
        <v>255</v>
      </c>
      <c r="AW1949" s="2">
        <v>0</v>
      </c>
      <c r="AX1949" s="2">
        <v>0</v>
      </c>
      <c r="AY1949" s="2">
        <v>15.5</v>
      </c>
      <c r="AZ1949" s="2">
        <v>2.4</v>
      </c>
      <c r="BA1949" s="2">
        <v>10.9</v>
      </c>
      <c r="BB1949" s="2">
        <v>564</v>
      </c>
      <c r="BC1949" s="2">
        <v>68</v>
      </c>
      <c r="BD1949" s="2">
        <v>1.5</v>
      </c>
      <c r="BE1949" s="2">
        <v>135</v>
      </c>
      <c r="BF1949" s="2">
        <v>0</v>
      </c>
      <c r="BG1949" s="2">
        <v>162</v>
      </c>
      <c r="BH1949" s="2">
        <v>9.1</v>
      </c>
      <c r="BI1949" s="2">
        <v>9.1999999999999993</v>
      </c>
      <c r="BJ1949" s="2">
        <v>18.3</v>
      </c>
      <c r="BK1949" s="2">
        <v>0.34</v>
      </c>
      <c r="BL1949" s="2">
        <v>7.3</v>
      </c>
      <c r="BM1949" s="2">
        <v>0.9</v>
      </c>
      <c r="BN1949" s="2">
        <v>7.5</v>
      </c>
      <c r="BO1949" s="2">
        <v>2.9</v>
      </c>
      <c r="BP1949" s="2">
        <f t="shared" si="60"/>
        <v>1.960124740797913</v>
      </c>
      <c r="BQ1949" s="2">
        <f t="shared" si="61"/>
        <v>9.8808650440608652</v>
      </c>
    </row>
    <row r="1950" spans="1:69" x14ac:dyDescent="0.2">
      <c r="A1950" s="2" t="s">
        <v>3786</v>
      </c>
      <c r="B1950" s="2" t="s">
        <v>47</v>
      </c>
      <c r="C1950" s="2" t="s">
        <v>3273</v>
      </c>
      <c r="D1950" s="2" t="s">
        <v>49</v>
      </c>
      <c r="E1950" s="2" t="s">
        <v>447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89</v>
      </c>
      <c r="L1950" s="6" t="s">
        <v>112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3787</v>
      </c>
      <c r="R1950" s="2">
        <v>13000000</v>
      </c>
      <c r="S1950" s="2">
        <v>0</v>
      </c>
      <c r="T1950" s="2" t="s">
        <v>83</v>
      </c>
      <c r="U1950" s="2" t="s">
        <v>84</v>
      </c>
      <c r="V1950" s="2" t="s">
        <v>56</v>
      </c>
      <c r="W1950" s="2" t="s">
        <v>83</v>
      </c>
      <c r="X1950" s="2" t="s">
        <v>85</v>
      </c>
      <c r="Y1950" s="2">
        <v>2.9706162498249902</v>
      </c>
      <c r="Z1950" s="2">
        <v>2970.6162498249901</v>
      </c>
      <c r="AA1950" s="2">
        <v>4.71035</v>
      </c>
      <c r="AB1950" s="2">
        <v>-74.030416666666696</v>
      </c>
      <c r="AC1950" s="2">
        <v>2570</v>
      </c>
      <c r="AD1950" s="2">
        <v>10</v>
      </c>
      <c r="AE1950" s="2" t="s">
        <v>59</v>
      </c>
      <c r="AF1950" s="2" t="s">
        <v>86</v>
      </c>
      <c r="AG1950" s="2" t="s">
        <v>61</v>
      </c>
      <c r="AH1950" s="2" t="s">
        <v>62</v>
      </c>
      <c r="AI1950" s="2" t="s">
        <v>87</v>
      </c>
      <c r="AJ1950" s="2">
        <v>0.68932914839718795</v>
      </c>
      <c r="AK1950" s="2">
        <v>2.14172559610124</v>
      </c>
      <c r="AL1950" s="2">
        <v>0.12541098188090599</v>
      </c>
      <c r="AM1950" s="2">
        <v>6.6239803156073099E-2</v>
      </c>
      <c r="AN1950" s="2">
        <v>4.0722494801043601</v>
      </c>
      <c r="AO1950" s="2">
        <v>2.0868178340658301E-2</v>
      </c>
      <c r="AP1950" s="2">
        <v>2.0868178340658301E-2</v>
      </c>
      <c r="AQ1950" s="2">
        <v>0</v>
      </c>
      <c r="AR1950" s="2">
        <v>2</v>
      </c>
      <c r="AS1950" s="2">
        <v>0</v>
      </c>
      <c r="AT1950" s="2">
        <v>0</v>
      </c>
      <c r="AU1950" s="2">
        <v>5</v>
      </c>
      <c r="AV1950" s="2">
        <v>165</v>
      </c>
      <c r="AW1950" s="2">
        <v>0</v>
      </c>
      <c r="AX1950" s="2">
        <v>0</v>
      </c>
      <c r="AY1950" s="2">
        <v>15.5</v>
      </c>
      <c r="AZ1950" s="2">
        <v>2.4</v>
      </c>
      <c r="BA1950" s="2">
        <v>10.9</v>
      </c>
      <c r="BB1950" s="2">
        <v>564</v>
      </c>
      <c r="BC1950" s="2">
        <v>68</v>
      </c>
      <c r="BD1950" s="2">
        <v>1.5</v>
      </c>
      <c r="BE1950" s="2">
        <v>135</v>
      </c>
      <c r="BF1950" s="2">
        <v>0</v>
      </c>
      <c r="BG1950" s="2">
        <v>162</v>
      </c>
      <c r="BH1950" s="2">
        <v>9.1</v>
      </c>
      <c r="BI1950" s="2">
        <v>9.1999999999999993</v>
      </c>
      <c r="BJ1950" s="2">
        <v>18.3</v>
      </c>
      <c r="BK1950" s="2">
        <v>0.34</v>
      </c>
      <c r="BL1950" s="2">
        <v>7.3</v>
      </c>
      <c r="BM1950" s="2">
        <v>0.9</v>
      </c>
      <c r="BN1950" s="2">
        <v>7.5</v>
      </c>
      <c r="BO1950" s="2">
        <v>2.9</v>
      </c>
      <c r="BP1950" s="2">
        <f t="shared" si="60"/>
        <v>2.0718112671952551</v>
      </c>
      <c r="BQ1950" s="2">
        <f t="shared" si="61"/>
        <v>10.149942081742992</v>
      </c>
    </row>
    <row r="1951" spans="1:69" x14ac:dyDescent="0.2">
      <c r="A1951" s="2" t="s">
        <v>4648</v>
      </c>
      <c r="B1951" s="2" t="s">
        <v>47</v>
      </c>
      <c r="C1951" s="2" t="s">
        <v>3273</v>
      </c>
      <c r="D1951" s="2" t="s">
        <v>49</v>
      </c>
      <c r="E1951" s="2" t="s">
        <v>205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89</v>
      </c>
      <c r="L1951" s="6" t="s">
        <v>141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4649</v>
      </c>
      <c r="R1951" s="2">
        <v>10826086.960000001</v>
      </c>
      <c r="S1951" s="2">
        <v>0</v>
      </c>
      <c r="T1951" s="2" t="s">
        <v>83</v>
      </c>
      <c r="U1951" s="2" t="s">
        <v>84</v>
      </c>
      <c r="V1951" s="2" t="s">
        <v>56</v>
      </c>
      <c r="W1951" s="2" t="s">
        <v>83</v>
      </c>
      <c r="X1951" s="2" t="s">
        <v>85</v>
      </c>
      <c r="Y1951" s="2">
        <v>2.0458921590972898</v>
      </c>
      <c r="Z1951" s="2">
        <v>2045.89215909729</v>
      </c>
      <c r="AA1951" s="2">
        <v>4.71035</v>
      </c>
      <c r="AB1951" s="2">
        <v>-74.030416666666696</v>
      </c>
      <c r="AC1951" s="2">
        <v>2570</v>
      </c>
      <c r="AD1951" s="2">
        <v>10</v>
      </c>
      <c r="AE1951" s="2" t="s">
        <v>59</v>
      </c>
      <c r="AF1951" s="2" t="s">
        <v>86</v>
      </c>
      <c r="AG1951" s="2" t="s">
        <v>61</v>
      </c>
      <c r="AH1951" s="2" t="s">
        <v>62</v>
      </c>
      <c r="AI1951" s="2" t="s">
        <v>87</v>
      </c>
      <c r="AJ1951" s="2">
        <v>1.8760330043903499</v>
      </c>
      <c r="AK1951" s="2">
        <v>1.38036864842941</v>
      </c>
      <c r="AL1951" s="2">
        <v>1.0190986636373001</v>
      </c>
      <c r="AM1951" s="2">
        <v>0.22695395882727901</v>
      </c>
      <c r="AN1951" s="2">
        <v>5.2624302279548196</v>
      </c>
      <c r="AO1951" s="2">
        <v>0.22921142331691199</v>
      </c>
      <c r="AP1951" s="2">
        <v>0.22921142331691199</v>
      </c>
      <c r="AQ1951" s="2">
        <v>0</v>
      </c>
      <c r="AR1951" s="2">
        <v>0</v>
      </c>
      <c r="AS1951" s="2">
        <v>0</v>
      </c>
      <c r="AT1951" s="2">
        <v>0</v>
      </c>
      <c r="AU1951" s="2">
        <v>0</v>
      </c>
      <c r="AV1951" s="2">
        <v>129</v>
      </c>
      <c r="AW1951" s="2">
        <v>0</v>
      </c>
      <c r="AX1951" s="2">
        <v>0</v>
      </c>
      <c r="AY1951" s="2">
        <v>15.5</v>
      </c>
      <c r="AZ1951" s="2">
        <v>2.4</v>
      </c>
      <c r="BA1951" s="2">
        <v>10.9</v>
      </c>
      <c r="BB1951" s="2">
        <v>564</v>
      </c>
      <c r="BC1951" s="2">
        <v>68</v>
      </c>
      <c r="BD1951" s="2">
        <v>1.5</v>
      </c>
      <c r="BE1951" s="2">
        <v>135</v>
      </c>
      <c r="BF1951" s="2">
        <v>0</v>
      </c>
      <c r="BG1951" s="2">
        <v>162</v>
      </c>
      <c r="BH1951" s="2">
        <v>9.1</v>
      </c>
      <c r="BI1951" s="2">
        <v>9.1999999999999993</v>
      </c>
      <c r="BJ1951" s="2">
        <v>18.3</v>
      </c>
      <c r="BK1951" s="2">
        <v>0.34</v>
      </c>
      <c r="BL1951" s="2">
        <v>7.3</v>
      </c>
      <c r="BM1951" s="2">
        <v>0.9</v>
      </c>
      <c r="BN1951" s="2">
        <v>7.5</v>
      </c>
      <c r="BO1951" s="2">
        <v>2.9</v>
      </c>
      <c r="BP1951" s="2">
        <f t="shared" si="60"/>
        <v>2.168850005028427</v>
      </c>
      <c r="BQ1951" s="2">
        <f t="shared" si="61"/>
        <v>10.377721836706167</v>
      </c>
    </row>
    <row r="1952" spans="1:69" x14ac:dyDescent="0.2">
      <c r="A1952" s="2" t="s">
        <v>3563</v>
      </c>
      <c r="B1952" s="2" t="s">
        <v>47</v>
      </c>
      <c r="C1952" s="2" t="s">
        <v>3273</v>
      </c>
      <c r="D1952" s="2" t="s">
        <v>49</v>
      </c>
      <c r="E1952" s="2" t="s">
        <v>81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89</v>
      </c>
      <c r="L1952" s="6" t="s">
        <v>103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3564</v>
      </c>
      <c r="R1952" s="2">
        <v>10869565.220000001</v>
      </c>
      <c r="S1952" s="2">
        <v>0</v>
      </c>
      <c r="T1952" s="2" t="s">
        <v>83</v>
      </c>
      <c r="U1952" s="2" t="s">
        <v>84</v>
      </c>
      <c r="V1952" s="2" t="s">
        <v>56</v>
      </c>
      <c r="W1952" s="2" t="s">
        <v>83</v>
      </c>
      <c r="X1952" s="2" t="s">
        <v>85</v>
      </c>
      <c r="Y1952" s="2">
        <v>1.0768680863173601</v>
      </c>
      <c r="Z1952" s="2">
        <v>1076.8680863173599</v>
      </c>
      <c r="AA1952" s="2">
        <v>4.71035</v>
      </c>
      <c r="AB1952" s="2">
        <v>-74.030416666666696</v>
      </c>
      <c r="AC1952" s="2">
        <v>2570</v>
      </c>
      <c r="AD1952" s="2">
        <v>10</v>
      </c>
      <c r="AE1952" s="2" t="s">
        <v>59</v>
      </c>
      <c r="AF1952" s="2" t="s">
        <v>86</v>
      </c>
      <c r="AG1952" s="2" t="s">
        <v>61</v>
      </c>
      <c r="AH1952" s="2" t="s">
        <v>62</v>
      </c>
      <c r="AI1952" s="2" t="s">
        <v>87</v>
      </c>
      <c r="AJ1952" s="2">
        <v>2.4155719775950799</v>
      </c>
      <c r="AK1952" s="2">
        <v>0.78362397363755298</v>
      </c>
      <c r="AL1952" s="2">
        <v>5.2042382366397202E-2</v>
      </c>
      <c r="AM1952" s="2">
        <v>8.5710393616765301E-2</v>
      </c>
      <c r="AN1952" s="2">
        <v>4.5336209019902398</v>
      </c>
      <c r="AO1952" s="2">
        <v>0.45447065549889198</v>
      </c>
      <c r="AP1952" s="2">
        <v>0.45447065549889198</v>
      </c>
      <c r="AQ1952" s="2">
        <v>0</v>
      </c>
      <c r="AR1952" s="2">
        <v>0</v>
      </c>
      <c r="AS1952" s="2">
        <v>0</v>
      </c>
      <c r="AT1952" s="2">
        <v>17</v>
      </c>
      <c r="AU1952" s="2">
        <v>2</v>
      </c>
      <c r="AV1952" s="2">
        <v>137</v>
      </c>
      <c r="AW1952" s="2">
        <v>0</v>
      </c>
      <c r="AX1952" s="2">
        <v>0</v>
      </c>
      <c r="AY1952" s="2">
        <v>15.5</v>
      </c>
      <c r="AZ1952" s="2">
        <v>2.4</v>
      </c>
      <c r="BA1952" s="2">
        <v>10.9</v>
      </c>
      <c r="BB1952" s="2">
        <v>564</v>
      </c>
      <c r="BC1952" s="2">
        <v>68</v>
      </c>
      <c r="BD1952" s="2">
        <v>1.5</v>
      </c>
      <c r="BE1952" s="2">
        <v>135</v>
      </c>
      <c r="BF1952" s="2">
        <v>0</v>
      </c>
      <c r="BG1952" s="2">
        <v>162</v>
      </c>
      <c r="BH1952" s="2">
        <v>9.1</v>
      </c>
      <c r="BI1952" s="2">
        <v>9.1999999999999993</v>
      </c>
      <c r="BJ1952" s="2">
        <v>18.3</v>
      </c>
      <c r="BK1952" s="2">
        <v>0.34</v>
      </c>
      <c r="BL1952" s="2">
        <v>7.3</v>
      </c>
      <c r="BM1952" s="2">
        <v>0.9</v>
      </c>
      <c r="BN1952" s="2">
        <v>7.5</v>
      </c>
      <c r="BO1952" s="2">
        <v>2.9</v>
      </c>
      <c r="BP1952" s="2">
        <f t="shared" si="60"/>
        <v>2.2754179892872877</v>
      </c>
      <c r="BQ1952" s="2">
        <f t="shared" si="61"/>
        <v>10.62190050592627</v>
      </c>
    </row>
    <row r="1953" spans="1:69" x14ac:dyDescent="0.2">
      <c r="A1953" s="2" t="s">
        <v>3281</v>
      </c>
      <c r="B1953" s="2" t="s">
        <v>47</v>
      </c>
      <c r="C1953" s="2" t="s">
        <v>3273</v>
      </c>
      <c r="D1953" s="2" t="s">
        <v>49</v>
      </c>
      <c r="E1953" s="2" t="s">
        <v>539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89</v>
      </c>
      <c r="L1953" s="6" t="s">
        <v>90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3282</v>
      </c>
      <c r="R1953" s="2">
        <v>11494755.24</v>
      </c>
      <c r="S1953" s="2">
        <v>0</v>
      </c>
      <c r="T1953" s="2" t="s">
        <v>83</v>
      </c>
      <c r="U1953" s="2" t="s">
        <v>84</v>
      </c>
      <c r="V1953" s="2" t="s">
        <v>56</v>
      </c>
      <c r="W1953" s="2" t="s">
        <v>83</v>
      </c>
      <c r="X1953" s="2" t="s">
        <v>85</v>
      </c>
      <c r="Y1953" s="2">
        <v>0.87924905325134906</v>
      </c>
      <c r="Z1953" s="2">
        <v>879.24905325134898</v>
      </c>
      <c r="AA1953" s="2">
        <v>4.71035</v>
      </c>
      <c r="AB1953" s="2">
        <v>-74.030416666666696</v>
      </c>
      <c r="AC1953" s="2">
        <v>2570</v>
      </c>
      <c r="AD1953" s="2">
        <v>10</v>
      </c>
      <c r="AE1953" s="2" t="s">
        <v>59</v>
      </c>
      <c r="AF1953" s="2" t="s">
        <v>86</v>
      </c>
      <c r="AG1953" s="2" t="s">
        <v>61</v>
      </c>
      <c r="AH1953" s="2" t="s">
        <v>62</v>
      </c>
      <c r="AI1953" s="2" t="s">
        <v>87</v>
      </c>
      <c r="AJ1953" s="2">
        <v>1.7007226033629199</v>
      </c>
      <c r="AK1953" s="2">
        <v>1.40400110687142</v>
      </c>
      <c r="AL1953" s="2">
        <v>0.637235464305142</v>
      </c>
      <c r="AM1953" s="2">
        <v>0.26332023894412099</v>
      </c>
      <c r="AN1953" s="2">
        <v>3.2164079806430901</v>
      </c>
      <c r="AO1953" s="2">
        <v>0.274994817165993</v>
      </c>
      <c r="AP1953" s="2">
        <v>0.274994817165993</v>
      </c>
      <c r="AQ1953" s="2">
        <v>0</v>
      </c>
      <c r="AR1953" s="2">
        <v>0</v>
      </c>
      <c r="AS1953" s="2">
        <v>0</v>
      </c>
      <c r="AT1953" s="2">
        <v>0</v>
      </c>
      <c r="AU1953" s="2">
        <v>1</v>
      </c>
      <c r="AV1953" s="2">
        <v>77</v>
      </c>
      <c r="AW1953" s="2">
        <v>0</v>
      </c>
      <c r="AX1953" s="2">
        <v>0</v>
      </c>
      <c r="AY1953" s="2">
        <v>15.5</v>
      </c>
      <c r="AZ1953" s="2">
        <v>2.4</v>
      </c>
      <c r="BA1953" s="2">
        <v>10.9</v>
      </c>
      <c r="BB1953" s="2">
        <v>564</v>
      </c>
      <c r="BC1953" s="2">
        <v>68</v>
      </c>
      <c r="BD1953" s="2">
        <v>1.5</v>
      </c>
      <c r="BE1953" s="2">
        <v>135</v>
      </c>
      <c r="BF1953" s="2">
        <v>0</v>
      </c>
      <c r="BG1953" s="2">
        <v>162</v>
      </c>
      <c r="BH1953" s="2">
        <v>9.1</v>
      </c>
      <c r="BI1953" s="2">
        <v>9.1999999999999993</v>
      </c>
      <c r="BJ1953" s="2">
        <v>18.3</v>
      </c>
      <c r="BK1953" s="2">
        <v>0.34</v>
      </c>
      <c r="BL1953" s="2">
        <v>7.3</v>
      </c>
      <c r="BM1953" s="2">
        <v>0.9</v>
      </c>
      <c r="BN1953" s="2">
        <v>7.5</v>
      </c>
      <c r="BO1953" s="2">
        <v>2.9</v>
      </c>
      <c r="BP1953" s="2">
        <f t="shared" si="60"/>
        <v>2.2977856750558452</v>
      </c>
      <c r="BQ1953" s="2">
        <f t="shared" si="61"/>
        <v>10.672398316181777</v>
      </c>
    </row>
    <row r="1954" spans="1:69" x14ac:dyDescent="0.2">
      <c r="A1954" s="2" t="s">
        <v>3975</v>
      </c>
      <c r="B1954" s="2" t="s">
        <v>47</v>
      </c>
      <c r="C1954" s="2" t="s">
        <v>3273</v>
      </c>
      <c r="D1954" s="2" t="s">
        <v>49</v>
      </c>
      <c r="E1954" s="2" t="s">
        <v>169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89</v>
      </c>
      <c r="L1954" s="6" t="s">
        <v>90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3976</v>
      </c>
      <c r="R1954" s="2">
        <v>19885108.260000002</v>
      </c>
      <c r="S1954" s="2">
        <v>0</v>
      </c>
      <c r="T1954" s="2" t="s">
        <v>83</v>
      </c>
      <c r="U1954" s="2" t="s">
        <v>84</v>
      </c>
      <c r="V1954" s="2" t="s">
        <v>56</v>
      </c>
      <c r="W1954" s="2" t="s">
        <v>83</v>
      </c>
      <c r="X1954" s="2" t="s">
        <v>85</v>
      </c>
      <c r="Y1954" s="2">
        <v>3.33482099183998</v>
      </c>
      <c r="Z1954" s="2">
        <v>3334.8209918399798</v>
      </c>
      <c r="AA1954" s="2">
        <v>4.71035</v>
      </c>
      <c r="AB1954" s="2">
        <v>-74.030416666666696</v>
      </c>
      <c r="AC1954" s="2">
        <v>2570</v>
      </c>
      <c r="AD1954" s="2">
        <v>10</v>
      </c>
      <c r="AE1954" s="2" t="s">
        <v>59</v>
      </c>
      <c r="AF1954" s="2" t="s">
        <v>86</v>
      </c>
      <c r="AG1954" s="2" t="s">
        <v>61</v>
      </c>
      <c r="AH1954" s="2" t="s">
        <v>62</v>
      </c>
      <c r="AI1954" s="2" t="s">
        <v>87</v>
      </c>
      <c r="AJ1954" s="2">
        <v>1.1501876994918301</v>
      </c>
      <c r="AK1954" s="2">
        <v>1.4655323706104999</v>
      </c>
      <c r="AL1954" s="2">
        <v>0.40215353683917898</v>
      </c>
      <c r="AM1954" s="2">
        <v>0.11676769158313099</v>
      </c>
      <c r="AN1954" s="2">
        <v>4.0314452604604396</v>
      </c>
      <c r="AO1954" s="2">
        <v>0.55139805195748204</v>
      </c>
      <c r="AP1954" s="2">
        <v>0.55139805195748204</v>
      </c>
      <c r="AQ1954" s="2">
        <v>0</v>
      </c>
      <c r="AR1954" s="2">
        <v>0</v>
      </c>
      <c r="AS1954" s="2">
        <v>0</v>
      </c>
      <c r="AT1954" s="2">
        <v>0</v>
      </c>
      <c r="AU1954" s="2">
        <v>6</v>
      </c>
      <c r="AV1954" s="2">
        <v>132</v>
      </c>
      <c r="AW1954" s="2">
        <v>0</v>
      </c>
      <c r="AX1954" s="2">
        <v>0</v>
      </c>
      <c r="AY1954" s="2">
        <v>15.5</v>
      </c>
      <c r="AZ1954" s="2">
        <v>2.4</v>
      </c>
      <c r="BA1954" s="2">
        <v>10.9</v>
      </c>
      <c r="BB1954" s="2">
        <v>564</v>
      </c>
      <c r="BC1954" s="2">
        <v>68</v>
      </c>
      <c r="BD1954" s="2">
        <v>1.5</v>
      </c>
      <c r="BE1954" s="2">
        <v>135</v>
      </c>
      <c r="BF1954" s="2">
        <v>0</v>
      </c>
      <c r="BG1954" s="2">
        <v>162</v>
      </c>
      <c r="BH1954" s="2">
        <v>9.1</v>
      </c>
      <c r="BI1954" s="2">
        <v>9.1999999999999993</v>
      </c>
      <c r="BJ1954" s="2">
        <v>18.3</v>
      </c>
      <c r="BK1954" s="2">
        <v>0.34</v>
      </c>
      <c r="BL1954" s="2">
        <v>7.3</v>
      </c>
      <c r="BM1954" s="2">
        <v>0.9</v>
      </c>
      <c r="BN1954" s="2">
        <v>7.5</v>
      </c>
      <c r="BO1954" s="2">
        <v>2.9</v>
      </c>
      <c r="BP1954" s="2">
        <f t="shared" si="60"/>
        <v>2.0347950438260707</v>
      </c>
      <c r="BQ1954" s="2">
        <f t="shared" si="61"/>
        <v>10.061608931486358</v>
      </c>
    </row>
    <row r="1955" spans="1:69" x14ac:dyDescent="0.2">
      <c r="A1955" s="2" t="s">
        <v>4504</v>
      </c>
      <c r="B1955" s="2" t="s">
        <v>47</v>
      </c>
      <c r="C1955" s="2" t="s">
        <v>3273</v>
      </c>
      <c r="D1955" s="2" t="s">
        <v>49</v>
      </c>
      <c r="E1955" s="2" t="s">
        <v>751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89</v>
      </c>
      <c r="L1955" s="6" t="s">
        <v>141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4505</v>
      </c>
      <c r="R1955" s="2">
        <v>14791573.289999999</v>
      </c>
      <c r="S1955" s="2">
        <v>0</v>
      </c>
      <c r="T1955" s="2" t="s">
        <v>83</v>
      </c>
      <c r="U1955" s="2" t="s">
        <v>84</v>
      </c>
      <c r="V1955" s="2" t="s">
        <v>56</v>
      </c>
      <c r="W1955" s="2" t="s">
        <v>83</v>
      </c>
      <c r="X1955" s="2" t="s">
        <v>85</v>
      </c>
      <c r="Y1955" s="2">
        <v>1.0994492032053</v>
      </c>
      <c r="Z1955" s="2">
        <v>1099.4492032052999</v>
      </c>
      <c r="AA1955" s="2">
        <v>4.71035</v>
      </c>
      <c r="AB1955" s="2">
        <v>-74.030416666666696</v>
      </c>
      <c r="AC1955" s="2">
        <v>2570</v>
      </c>
      <c r="AD1955" s="2">
        <v>10</v>
      </c>
      <c r="AE1955" s="2" t="s">
        <v>59</v>
      </c>
      <c r="AF1955" s="2" t="s">
        <v>86</v>
      </c>
      <c r="AG1955" s="2" t="s">
        <v>61</v>
      </c>
      <c r="AH1955" s="2" t="s">
        <v>62</v>
      </c>
      <c r="AI1955" s="2" t="s">
        <v>87</v>
      </c>
      <c r="AJ1955" s="2">
        <v>2.0931591785430901</v>
      </c>
      <c r="AK1955" s="2">
        <v>1.0052193408405401</v>
      </c>
      <c r="AL1955" s="2">
        <v>1.02109710723678</v>
      </c>
      <c r="AM1955" s="2">
        <v>0.232181135877885</v>
      </c>
      <c r="AN1955" s="2">
        <v>2.4700657736006999</v>
      </c>
      <c r="AO1955" s="2">
        <v>3.4992726349709399E-3</v>
      </c>
      <c r="AP1955" s="2">
        <v>3.4992726349709399E-3</v>
      </c>
      <c r="AQ1955" s="2">
        <v>0</v>
      </c>
      <c r="AR1955" s="2">
        <v>0</v>
      </c>
      <c r="AS1955" s="2">
        <v>0</v>
      </c>
      <c r="AT1955" s="2">
        <v>0</v>
      </c>
      <c r="AU1955" s="2">
        <v>0</v>
      </c>
      <c r="AV1955" s="2">
        <v>65</v>
      </c>
      <c r="AW1955" s="2">
        <v>0</v>
      </c>
      <c r="AX1955" s="2">
        <v>0</v>
      </c>
      <c r="AY1955" s="2">
        <v>15.5</v>
      </c>
      <c r="AZ1955" s="2">
        <v>2.4</v>
      </c>
      <c r="BA1955" s="2">
        <v>10.9</v>
      </c>
      <c r="BB1955" s="2">
        <v>564</v>
      </c>
      <c r="BC1955" s="2">
        <v>68</v>
      </c>
      <c r="BD1955" s="2">
        <v>1.5</v>
      </c>
      <c r="BE1955" s="2">
        <v>135</v>
      </c>
      <c r="BF1955" s="2">
        <v>0</v>
      </c>
      <c r="BG1955" s="2">
        <v>162</v>
      </c>
      <c r="BH1955" s="2">
        <v>9.1</v>
      </c>
      <c r="BI1955" s="2">
        <v>9.1999999999999993</v>
      </c>
      <c r="BJ1955" s="2">
        <v>18.3</v>
      </c>
      <c r="BK1955" s="2">
        <v>0.34</v>
      </c>
      <c r="BL1955" s="2">
        <v>7.3</v>
      </c>
      <c r="BM1955" s="2">
        <v>0.9</v>
      </c>
      <c r="BN1955" s="2">
        <v>7.5</v>
      </c>
      <c r="BO1955" s="2">
        <v>2.9</v>
      </c>
      <c r="BP1955" s="2">
        <f t="shared" si="60"/>
        <v>2.2728760269711077</v>
      </c>
      <c r="BQ1955" s="2">
        <f t="shared" si="61"/>
        <v>10.616145560458767</v>
      </c>
    </row>
    <row r="1956" spans="1:69" x14ac:dyDescent="0.2">
      <c r="A1956" s="2" t="s">
        <v>3818</v>
      </c>
      <c r="B1956" s="2" t="s">
        <v>47</v>
      </c>
      <c r="C1956" s="2" t="s">
        <v>3273</v>
      </c>
      <c r="D1956" s="2" t="s">
        <v>49</v>
      </c>
      <c r="E1956" s="2" t="s">
        <v>408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89</v>
      </c>
      <c r="L1956" s="6" t="s">
        <v>90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3819</v>
      </c>
      <c r="R1956" s="2">
        <v>11764705.880000001</v>
      </c>
      <c r="S1956" s="2">
        <v>0</v>
      </c>
      <c r="T1956" s="2" t="s">
        <v>83</v>
      </c>
      <c r="U1956" s="2" t="s">
        <v>84</v>
      </c>
      <c r="V1956" s="2" t="s">
        <v>56</v>
      </c>
      <c r="W1956" s="2" t="s">
        <v>83</v>
      </c>
      <c r="X1956" s="2" t="s">
        <v>85</v>
      </c>
      <c r="Y1956" s="2">
        <v>2.4383396329796398</v>
      </c>
      <c r="Z1956" s="2">
        <v>2438.3396329796401</v>
      </c>
      <c r="AA1956" s="2">
        <v>4.71035</v>
      </c>
      <c r="AB1956" s="2">
        <v>-74.030416666666696</v>
      </c>
      <c r="AC1956" s="2">
        <v>2570</v>
      </c>
      <c r="AD1956" s="2">
        <v>10</v>
      </c>
      <c r="AE1956" s="2" t="s">
        <v>59</v>
      </c>
      <c r="AF1956" s="2" t="s">
        <v>86</v>
      </c>
      <c r="AG1956" s="2" t="s">
        <v>61</v>
      </c>
      <c r="AH1956" s="2" t="s">
        <v>62</v>
      </c>
      <c r="AI1956" s="2" t="s">
        <v>87</v>
      </c>
      <c r="AJ1956" s="2">
        <v>0.44978317869573903</v>
      </c>
      <c r="AK1956" s="2">
        <v>2.6723695095793998</v>
      </c>
      <c r="AL1956" s="2">
        <v>1.2222098960446399</v>
      </c>
      <c r="AM1956" s="2">
        <v>9.3934210103837207E-2</v>
      </c>
      <c r="AN1956" s="2">
        <v>2.9458665410389502</v>
      </c>
      <c r="AO1956" s="2">
        <v>2.4022783728091301E-2</v>
      </c>
      <c r="AP1956" s="2">
        <v>2.4022783728091301E-2</v>
      </c>
      <c r="AQ1956" s="2">
        <v>1</v>
      </c>
      <c r="AR1956" s="2">
        <v>3</v>
      </c>
      <c r="AS1956" s="2">
        <v>0</v>
      </c>
      <c r="AT1956" s="2">
        <v>0</v>
      </c>
      <c r="AU1956" s="2">
        <v>0</v>
      </c>
      <c r="AV1956" s="2">
        <v>44</v>
      </c>
      <c r="AW1956" s="2">
        <v>0</v>
      </c>
      <c r="AX1956" s="2">
        <v>0</v>
      </c>
      <c r="AY1956" s="2">
        <v>15.5</v>
      </c>
      <c r="AZ1956" s="2">
        <v>2.4</v>
      </c>
      <c r="BA1956" s="2">
        <v>10.9</v>
      </c>
      <c r="BB1956" s="2">
        <v>564</v>
      </c>
      <c r="BC1956" s="2">
        <v>68</v>
      </c>
      <c r="BD1956" s="2">
        <v>1.5</v>
      </c>
      <c r="BE1956" s="2">
        <v>135</v>
      </c>
      <c r="BF1956" s="2">
        <v>0</v>
      </c>
      <c r="BG1956" s="2">
        <v>162</v>
      </c>
      <c r="BH1956" s="2">
        <v>9.1</v>
      </c>
      <c r="BI1956" s="2">
        <v>9.1999999999999993</v>
      </c>
      <c r="BJ1956" s="2">
        <v>18.3</v>
      </c>
      <c r="BK1956" s="2">
        <v>0.34</v>
      </c>
      <c r="BL1956" s="2">
        <v>7.3</v>
      </c>
      <c r="BM1956" s="2">
        <v>0.9</v>
      </c>
      <c r="BN1956" s="2">
        <v>7.5</v>
      </c>
      <c r="BO1956" s="2">
        <v>2.9</v>
      </c>
      <c r="BP1956" s="2">
        <f t="shared" si="60"/>
        <v>2.1271241976740076</v>
      </c>
      <c r="BQ1956" s="2">
        <f t="shared" si="61"/>
        <v>10.280435655241353</v>
      </c>
    </row>
    <row r="1957" spans="1:69" x14ac:dyDescent="0.2">
      <c r="A1957" s="2" t="s">
        <v>3401</v>
      </c>
      <c r="B1957" s="2" t="s">
        <v>47</v>
      </c>
      <c r="C1957" s="2" t="s">
        <v>3273</v>
      </c>
      <c r="D1957" s="2" t="s">
        <v>49</v>
      </c>
      <c r="E1957" s="2" t="s">
        <v>172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51</v>
      </c>
      <c r="L1957" s="6" t="s">
        <v>52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3402</v>
      </c>
      <c r="R1957" s="2">
        <v>12171296.300000001</v>
      </c>
      <c r="S1957" s="2">
        <v>0</v>
      </c>
      <c r="T1957" s="2" t="s">
        <v>83</v>
      </c>
      <c r="U1957" s="2" t="s">
        <v>84</v>
      </c>
      <c r="V1957" s="2" t="s">
        <v>56</v>
      </c>
      <c r="W1957" s="2" t="s">
        <v>83</v>
      </c>
      <c r="X1957" s="2" t="s">
        <v>85</v>
      </c>
      <c r="Y1957" s="2">
        <v>1.0903746631746101</v>
      </c>
      <c r="Z1957" s="2">
        <v>1090.3746631746101</v>
      </c>
      <c r="AA1957" s="2">
        <v>4.71035</v>
      </c>
      <c r="AB1957" s="2">
        <v>-74.030416666666696</v>
      </c>
      <c r="AC1957" s="2">
        <v>2570</v>
      </c>
      <c r="AD1957" s="2">
        <v>10</v>
      </c>
      <c r="AE1957" s="2" t="s">
        <v>59</v>
      </c>
      <c r="AF1957" s="2" t="s">
        <v>86</v>
      </c>
      <c r="AG1957" s="2" t="s">
        <v>61</v>
      </c>
      <c r="AH1957" s="2" t="s">
        <v>62</v>
      </c>
      <c r="AI1957" s="2" t="s">
        <v>87</v>
      </c>
      <c r="AJ1957" s="2">
        <v>2.6788553816470402</v>
      </c>
      <c r="AK1957" s="2">
        <v>0.52051028747738204</v>
      </c>
      <c r="AL1957" s="2">
        <v>0.24347648255062401</v>
      </c>
      <c r="AM1957" s="2">
        <v>6.5109021914025705E-2</v>
      </c>
      <c r="AN1957" s="2">
        <v>4.5473291198455899</v>
      </c>
      <c r="AO1957" s="2">
        <v>0.41491239207020603</v>
      </c>
      <c r="AP1957" s="2">
        <v>0.41491239207020603</v>
      </c>
      <c r="AQ1957" s="2">
        <v>0</v>
      </c>
      <c r="AR1957" s="2">
        <v>0</v>
      </c>
      <c r="AS1957" s="2">
        <v>0</v>
      </c>
      <c r="AT1957" s="2">
        <v>25</v>
      </c>
      <c r="AU1957" s="2">
        <v>2</v>
      </c>
      <c r="AV1957" s="2">
        <v>122</v>
      </c>
      <c r="AW1957" s="2">
        <v>0</v>
      </c>
      <c r="AX1957" s="2">
        <v>0</v>
      </c>
      <c r="AY1957" s="2">
        <v>15.5</v>
      </c>
      <c r="AZ1957" s="2">
        <v>2.4</v>
      </c>
      <c r="BA1957" s="2">
        <v>10.9</v>
      </c>
      <c r="BB1957" s="2">
        <v>564</v>
      </c>
      <c r="BC1957" s="2">
        <v>68</v>
      </c>
      <c r="BD1957" s="2">
        <v>1.5</v>
      </c>
      <c r="BE1957" s="2">
        <v>135</v>
      </c>
      <c r="BF1957" s="2">
        <v>0</v>
      </c>
      <c r="BG1957" s="2">
        <v>162</v>
      </c>
      <c r="BH1957" s="2">
        <v>9.1</v>
      </c>
      <c r="BI1957" s="2">
        <v>9.1999999999999993</v>
      </c>
      <c r="BJ1957" s="2">
        <v>18.3</v>
      </c>
      <c r="BK1957" s="2">
        <v>0.34</v>
      </c>
      <c r="BL1957" s="2">
        <v>7.3</v>
      </c>
      <c r="BM1957" s="2">
        <v>0.9</v>
      </c>
      <c r="BN1957" s="2">
        <v>7.5</v>
      </c>
      <c r="BO1957" s="2">
        <v>2.9</v>
      </c>
      <c r="BP1957" s="2">
        <f t="shared" si="60"/>
        <v>2.2738972088784819</v>
      </c>
      <c r="BQ1957" s="2">
        <f t="shared" si="61"/>
        <v>10.618457891558361</v>
      </c>
    </row>
    <row r="1958" spans="1:69" x14ac:dyDescent="0.2">
      <c r="A1958" s="2" t="s">
        <v>3557</v>
      </c>
      <c r="B1958" s="2" t="s">
        <v>47</v>
      </c>
      <c r="C1958" s="2" t="s">
        <v>3273</v>
      </c>
      <c r="D1958" s="2" t="s">
        <v>49</v>
      </c>
      <c r="E1958" s="2" t="s">
        <v>208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89</v>
      </c>
      <c r="L1958" s="6" t="s">
        <v>90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3558</v>
      </c>
      <c r="R1958" s="2">
        <v>15238095.24</v>
      </c>
      <c r="S1958" s="2">
        <v>0</v>
      </c>
      <c r="T1958" s="2" t="s">
        <v>83</v>
      </c>
      <c r="U1958" s="2" t="s">
        <v>84</v>
      </c>
      <c r="V1958" s="2" t="s">
        <v>56</v>
      </c>
      <c r="W1958" s="2" t="s">
        <v>83</v>
      </c>
      <c r="X1958" s="2" t="s">
        <v>85</v>
      </c>
      <c r="Y1958" s="2">
        <v>3.6974300751556402</v>
      </c>
      <c r="Z1958" s="2">
        <v>3697.4300751556402</v>
      </c>
      <c r="AA1958" s="2">
        <v>4.71035</v>
      </c>
      <c r="AB1958" s="2">
        <v>-74.030416666666696</v>
      </c>
      <c r="AC1958" s="2">
        <v>2570</v>
      </c>
      <c r="AD1958" s="2">
        <v>10</v>
      </c>
      <c r="AE1958" s="2" t="s">
        <v>59</v>
      </c>
      <c r="AF1958" s="2" t="s">
        <v>86</v>
      </c>
      <c r="AG1958" s="2" t="s">
        <v>61</v>
      </c>
      <c r="AH1958" s="2" t="s">
        <v>62</v>
      </c>
      <c r="AI1958" s="2" t="s">
        <v>109</v>
      </c>
      <c r="AJ1958" s="2">
        <v>1.20019307229707</v>
      </c>
      <c r="AK1958" s="2">
        <v>1.18883715800353</v>
      </c>
      <c r="AL1958" s="2">
        <v>0.65498137780241705</v>
      </c>
      <c r="AM1958" s="2">
        <v>9.2125053842393195E-2</v>
      </c>
      <c r="AN1958" s="2">
        <v>3.9455166185888699</v>
      </c>
      <c r="AO1958" s="2">
        <v>0.92328563608887004</v>
      </c>
      <c r="AP1958" s="2">
        <v>0.92328563608887004</v>
      </c>
      <c r="AQ1958" s="2">
        <v>0</v>
      </c>
      <c r="AR1958" s="2">
        <v>0</v>
      </c>
      <c r="AS1958" s="2">
        <v>0</v>
      </c>
      <c r="AT1958" s="2">
        <v>0</v>
      </c>
      <c r="AU1958" s="2">
        <v>5</v>
      </c>
      <c r="AV1958" s="2">
        <v>127</v>
      </c>
      <c r="AW1958" s="2">
        <v>0</v>
      </c>
      <c r="AX1958" s="2">
        <v>0</v>
      </c>
      <c r="AY1958" s="2">
        <v>15.5</v>
      </c>
      <c r="AZ1958" s="2">
        <v>2.4</v>
      </c>
      <c r="BA1958" s="2">
        <v>10.9</v>
      </c>
      <c r="BB1958" s="2">
        <v>564</v>
      </c>
      <c r="BC1958" s="2">
        <v>68</v>
      </c>
      <c r="BD1958" s="2">
        <v>1.5</v>
      </c>
      <c r="BE1958" s="2">
        <v>135</v>
      </c>
      <c r="BF1958" s="2">
        <v>0</v>
      </c>
      <c r="BG1958" s="2">
        <v>162</v>
      </c>
      <c r="BH1958" s="2">
        <v>9.1</v>
      </c>
      <c r="BI1958" s="2">
        <v>9.1999999999999993</v>
      </c>
      <c r="BJ1958" s="2">
        <v>18.3</v>
      </c>
      <c r="BK1958" s="2">
        <v>0.34</v>
      </c>
      <c r="BL1958" s="2">
        <v>7.3</v>
      </c>
      <c r="BM1958" s="2">
        <v>0.9</v>
      </c>
      <c r="BN1958" s="2">
        <v>7.5</v>
      </c>
      <c r="BO1958" s="2">
        <v>2.9</v>
      </c>
      <c r="BP1958" s="2">
        <f t="shared" si="60"/>
        <v>1.9985980277587974</v>
      </c>
      <c r="BQ1958" s="2">
        <f t="shared" si="61"/>
        <v>9.9744265004249044</v>
      </c>
    </row>
    <row r="1959" spans="1:69" x14ac:dyDescent="0.2">
      <c r="A1959" s="2" t="s">
        <v>3299</v>
      </c>
      <c r="B1959" s="2" t="s">
        <v>47</v>
      </c>
      <c r="C1959" s="2" t="s">
        <v>3273</v>
      </c>
      <c r="D1959" s="2" t="s">
        <v>49</v>
      </c>
      <c r="E1959" s="2" t="s">
        <v>421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89</v>
      </c>
      <c r="L1959" s="6" t="s">
        <v>90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3300</v>
      </c>
      <c r="R1959" s="2">
        <v>12664393.57</v>
      </c>
      <c r="S1959" s="2">
        <v>0</v>
      </c>
      <c r="T1959" s="2" t="s">
        <v>83</v>
      </c>
      <c r="U1959" s="2" t="s">
        <v>84</v>
      </c>
      <c r="V1959" s="2" t="s">
        <v>56</v>
      </c>
      <c r="W1959" s="2" t="s">
        <v>83</v>
      </c>
      <c r="X1959" s="2" t="s">
        <v>85</v>
      </c>
      <c r="Y1959" s="2">
        <v>1.4807491154197401</v>
      </c>
      <c r="Z1959" s="2">
        <v>1480.7491154197401</v>
      </c>
      <c r="AA1959" s="2">
        <v>4.71035</v>
      </c>
      <c r="AB1959" s="2">
        <v>-74.030416666666696</v>
      </c>
      <c r="AC1959" s="2">
        <v>2570</v>
      </c>
      <c r="AD1959" s="2">
        <v>10</v>
      </c>
      <c r="AE1959" s="2" t="s">
        <v>59</v>
      </c>
      <c r="AF1959" s="2" t="s">
        <v>86</v>
      </c>
      <c r="AG1959" s="2" t="s">
        <v>61</v>
      </c>
      <c r="AH1959" s="2" t="s">
        <v>62</v>
      </c>
      <c r="AI1959" s="2" t="s">
        <v>87</v>
      </c>
      <c r="AJ1959" s="2">
        <v>1.14239854234889</v>
      </c>
      <c r="AK1959" s="2">
        <v>2.0034876564826898</v>
      </c>
      <c r="AL1959" s="2">
        <v>1.2260543388942</v>
      </c>
      <c r="AM1959" s="2">
        <v>9.2071029274162802E-2</v>
      </c>
      <c r="AN1959" s="2">
        <v>3.2919882977414798</v>
      </c>
      <c r="AO1959" s="2">
        <v>0.57127088071439003</v>
      </c>
      <c r="AP1959" s="2">
        <v>0.57127088071439003</v>
      </c>
      <c r="AQ1959" s="2">
        <v>0</v>
      </c>
      <c r="AR1959" s="2">
        <v>0</v>
      </c>
      <c r="AS1959" s="2">
        <v>0</v>
      </c>
      <c r="AT1959" s="2">
        <v>0</v>
      </c>
      <c r="AU1959" s="2">
        <v>0</v>
      </c>
      <c r="AV1959" s="2">
        <v>38</v>
      </c>
      <c r="AW1959" s="2">
        <v>0</v>
      </c>
      <c r="AX1959" s="2">
        <v>0</v>
      </c>
      <c r="AY1959" s="2">
        <v>15.5</v>
      </c>
      <c r="AZ1959" s="2">
        <v>2.4</v>
      </c>
      <c r="BA1959" s="2">
        <v>10.9</v>
      </c>
      <c r="BB1959" s="2">
        <v>564</v>
      </c>
      <c r="BC1959" s="2">
        <v>68</v>
      </c>
      <c r="BD1959" s="2">
        <v>1.5</v>
      </c>
      <c r="BE1959" s="2">
        <v>135</v>
      </c>
      <c r="BF1959" s="2">
        <v>0</v>
      </c>
      <c r="BG1959" s="2">
        <v>162</v>
      </c>
      <c r="BH1959" s="2">
        <v>9.1</v>
      </c>
      <c r="BI1959" s="2">
        <v>9.1999999999999993</v>
      </c>
      <c r="BJ1959" s="2">
        <v>18.3</v>
      </c>
      <c r="BK1959" s="2">
        <v>0.34</v>
      </c>
      <c r="BL1959" s="2">
        <v>7.3</v>
      </c>
      <c r="BM1959" s="2">
        <v>0.9</v>
      </c>
      <c r="BN1959" s="2">
        <v>7.5</v>
      </c>
      <c r="BO1959" s="2">
        <v>2.9</v>
      </c>
      <c r="BP1959" s="2">
        <f t="shared" si="60"/>
        <v>2.2303792898430923</v>
      </c>
      <c r="BQ1959" s="2">
        <f t="shared" si="61"/>
        <v>10.519438280192611</v>
      </c>
    </row>
    <row r="1960" spans="1:69" x14ac:dyDescent="0.2">
      <c r="A1960" s="2" t="s">
        <v>3873</v>
      </c>
      <c r="B1960" s="2" t="s">
        <v>47</v>
      </c>
      <c r="C1960" s="2" t="s">
        <v>3273</v>
      </c>
      <c r="D1960" s="2" t="s">
        <v>49</v>
      </c>
      <c r="E1960" s="2" t="s">
        <v>3628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89</v>
      </c>
      <c r="L1960" s="6" t="s">
        <v>90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3874</v>
      </c>
      <c r="R1960" s="2">
        <v>19811788.010000002</v>
      </c>
      <c r="S1960" s="2">
        <v>0</v>
      </c>
      <c r="T1960" s="2" t="s">
        <v>83</v>
      </c>
      <c r="U1960" s="2" t="s">
        <v>84</v>
      </c>
      <c r="V1960" s="2" t="s">
        <v>56</v>
      </c>
      <c r="W1960" s="2" t="s">
        <v>83</v>
      </c>
      <c r="X1960" s="2" t="s">
        <v>85</v>
      </c>
      <c r="Y1960" s="2">
        <v>3.3298678502180001</v>
      </c>
      <c r="Z1960" s="2">
        <v>3329.8678502180001</v>
      </c>
      <c r="AA1960" s="2">
        <v>4.71035</v>
      </c>
      <c r="AB1960" s="2">
        <v>-74.030416666666696</v>
      </c>
      <c r="AC1960" s="2">
        <v>2570</v>
      </c>
      <c r="AD1960" s="2">
        <v>10</v>
      </c>
      <c r="AE1960" s="2" t="s">
        <v>59</v>
      </c>
      <c r="AF1960" s="2" t="s">
        <v>86</v>
      </c>
      <c r="AG1960" s="2" t="s">
        <v>61</v>
      </c>
      <c r="AH1960" s="2" t="s">
        <v>62</v>
      </c>
      <c r="AI1960" s="2" t="s">
        <v>87</v>
      </c>
      <c r="AJ1960" s="2">
        <v>1.1604048101727999</v>
      </c>
      <c r="AK1960" s="2">
        <v>1.45610021632037</v>
      </c>
      <c r="AL1960" s="2">
        <v>0.41279617515038303</v>
      </c>
      <c r="AM1960" s="2">
        <v>0.11490821711721901</v>
      </c>
      <c r="AN1960" s="2">
        <v>4.0410354120108103</v>
      </c>
      <c r="AO1960" s="2">
        <v>0.54751802845529995</v>
      </c>
      <c r="AP1960" s="2">
        <v>0.54751802845529995</v>
      </c>
      <c r="AQ1960" s="2">
        <v>0</v>
      </c>
      <c r="AR1960" s="2">
        <v>0</v>
      </c>
      <c r="AS1960" s="2">
        <v>0</v>
      </c>
      <c r="AT1960" s="2">
        <v>0</v>
      </c>
      <c r="AU1960" s="2">
        <v>6</v>
      </c>
      <c r="AV1960" s="2">
        <v>132</v>
      </c>
      <c r="AW1960" s="2">
        <v>0</v>
      </c>
      <c r="AX1960" s="2">
        <v>0</v>
      </c>
      <c r="AY1960" s="2">
        <v>15.5</v>
      </c>
      <c r="AZ1960" s="2">
        <v>2.4</v>
      </c>
      <c r="BA1960" s="2">
        <v>10.9</v>
      </c>
      <c r="BB1960" s="2">
        <v>564</v>
      </c>
      <c r="BC1960" s="2">
        <v>68</v>
      </c>
      <c r="BD1960" s="2">
        <v>1.5</v>
      </c>
      <c r="BE1960" s="2">
        <v>135</v>
      </c>
      <c r="BF1960" s="2">
        <v>0</v>
      </c>
      <c r="BG1960" s="2">
        <v>162</v>
      </c>
      <c r="BH1960" s="2">
        <v>9.1</v>
      </c>
      <c r="BI1960" s="2">
        <v>9.1999999999999993</v>
      </c>
      <c r="BJ1960" s="2">
        <v>18.3</v>
      </c>
      <c r="BK1960" s="2">
        <v>0.34</v>
      </c>
      <c r="BL1960" s="2">
        <v>7.3</v>
      </c>
      <c r="BM1960" s="2">
        <v>0.9</v>
      </c>
      <c r="BN1960" s="2">
        <v>7.5</v>
      </c>
      <c r="BO1960" s="2">
        <v>2.9</v>
      </c>
      <c r="BP1960" s="2">
        <f t="shared" si="60"/>
        <v>2.0352939970775545</v>
      </c>
      <c r="BQ1960" s="2">
        <f t="shared" si="61"/>
        <v>10.06280508035687</v>
      </c>
    </row>
    <row r="1961" spans="1:69" x14ac:dyDescent="0.2">
      <c r="A1961" s="2" t="s">
        <v>3875</v>
      </c>
      <c r="B1961" s="2" t="s">
        <v>47</v>
      </c>
      <c r="C1961" s="2" t="s">
        <v>3273</v>
      </c>
      <c r="D1961" s="2" t="s">
        <v>49</v>
      </c>
      <c r="E1961" s="2" t="s">
        <v>3628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89</v>
      </c>
      <c r="L1961" s="6" t="s">
        <v>90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3876</v>
      </c>
      <c r="R1961" s="2">
        <v>19811788.010000002</v>
      </c>
      <c r="S1961" s="2">
        <v>0</v>
      </c>
      <c r="T1961" s="2" t="s">
        <v>83</v>
      </c>
      <c r="U1961" s="2" t="s">
        <v>84</v>
      </c>
      <c r="V1961" s="2" t="s">
        <v>56</v>
      </c>
      <c r="W1961" s="2" t="s">
        <v>83</v>
      </c>
      <c r="X1961" s="2" t="s">
        <v>85</v>
      </c>
      <c r="Y1961" s="2">
        <v>3.3298678502180001</v>
      </c>
      <c r="Z1961" s="2">
        <v>3329.8678502180001</v>
      </c>
      <c r="AA1961" s="2">
        <v>4.71035</v>
      </c>
      <c r="AB1961" s="2">
        <v>-74.030416666666696</v>
      </c>
      <c r="AC1961" s="2">
        <v>2570</v>
      </c>
      <c r="AD1961" s="2">
        <v>10</v>
      </c>
      <c r="AE1961" s="2" t="s">
        <v>59</v>
      </c>
      <c r="AF1961" s="2" t="s">
        <v>86</v>
      </c>
      <c r="AG1961" s="2" t="s">
        <v>61</v>
      </c>
      <c r="AH1961" s="2" t="s">
        <v>62</v>
      </c>
      <c r="AI1961" s="2" t="s">
        <v>87</v>
      </c>
      <c r="AJ1961" s="2">
        <v>1.1604048101727999</v>
      </c>
      <c r="AK1961" s="2">
        <v>1.45610021632037</v>
      </c>
      <c r="AL1961" s="2">
        <v>0.41279617515038303</v>
      </c>
      <c r="AM1961" s="2">
        <v>0.11490821711721901</v>
      </c>
      <c r="AN1961" s="2">
        <v>4.0410354120108103</v>
      </c>
      <c r="AO1961" s="2">
        <v>0.54751802845529995</v>
      </c>
      <c r="AP1961" s="2">
        <v>0.54751802845529995</v>
      </c>
      <c r="AQ1961" s="2">
        <v>0</v>
      </c>
      <c r="AR1961" s="2">
        <v>0</v>
      </c>
      <c r="AS1961" s="2">
        <v>0</v>
      </c>
      <c r="AT1961" s="2">
        <v>0</v>
      </c>
      <c r="AU1961" s="2">
        <v>6</v>
      </c>
      <c r="AV1961" s="2">
        <v>132</v>
      </c>
      <c r="AW1961" s="2">
        <v>0</v>
      </c>
      <c r="AX1961" s="2">
        <v>0</v>
      </c>
      <c r="AY1961" s="2">
        <v>15.5</v>
      </c>
      <c r="AZ1961" s="2">
        <v>2.4</v>
      </c>
      <c r="BA1961" s="2">
        <v>10.9</v>
      </c>
      <c r="BB1961" s="2">
        <v>564</v>
      </c>
      <c r="BC1961" s="2">
        <v>68</v>
      </c>
      <c r="BD1961" s="2">
        <v>1.5</v>
      </c>
      <c r="BE1961" s="2">
        <v>135</v>
      </c>
      <c r="BF1961" s="2">
        <v>0</v>
      </c>
      <c r="BG1961" s="2">
        <v>162</v>
      </c>
      <c r="BH1961" s="2">
        <v>9.1</v>
      </c>
      <c r="BI1961" s="2">
        <v>9.1999999999999993</v>
      </c>
      <c r="BJ1961" s="2">
        <v>18.3</v>
      </c>
      <c r="BK1961" s="2">
        <v>0.34</v>
      </c>
      <c r="BL1961" s="2">
        <v>7.3</v>
      </c>
      <c r="BM1961" s="2">
        <v>0.9</v>
      </c>
      <c r="BN1961" s="2">
        <v>7.5</v>
      </c>
      <c r="BO1961" s="2">
        <v>2.9</v>
      </c>
      <c r="BP1961" s="2">
        <f t="shared" si="60"/>
        <v>2.0352939970775545</v>
      </c>
      <c r="BQ1961" s="2">
        <f t="shared" si="61"/>
        <v>10.06280508035687</v>
      </c>
    </row>
    <row r="1962" spans="1:69" x14ac:dyDescent="0.2">
      <c r="A1962" s="2" t="s">
        <v>4297</v>
      </c>
      <c r="B1962" s="2" t="s">
        <v>47</v>
      </c>
      <c r="C1962" s="2" t="s">
        <v>3273</v>
      </c>
      <c r="D1962" s="2" t="s">
        <v>49</v>
      </c>
      <c r="E1962" s="2" t="s">
        <v>1011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89</v>
      </c>
      <c r="L1962" s="6" t="s">
        <v>90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4298</v>
      </c>
      <c r="R1962" s="2">
        <v>11000000</v>
      </c>
      <c r="S1962" s="2">
        <v>0</v>
      </c>
      <c r="T1962" s="2" t="s">
        <v>83</v>
      </c>
      <c r="U1962" s="2" t="s">
        <v>84</v>
      </c>
      <c r="V1962" s="2" t="s">
        <v>56</v>
      </c>
      <c r="W1962" s="2" t="s">
        <v>83</v>
      </c>
      <c r="X1962" s="2" t="s">
        <v>85</v>
      </c>
      <c r="Y1962" s="2">
        <v>1.37075678063315</v>
      </c>
      <c r="Z1962" s="2">
        <v>1370.7567806331499</v>
      </c>
      <c r="AA1962" s="2">
        <v>4.71035</v>
      </c>
      <c r="AB1962" s="2">
        <v>-74.030416666666696</v>
      </c>
      <c r="AC1962" s="2">
        <v>2570</v>
      </c>
      <c r="AD1962" s="2">
        <v>10</v>
      </c>
      <c r="AE1962" s="2" t="s">
        <v>59</v>
      </c>
      <c r="AF1962" s="2" t="s">
        <v>86</v>
      </c>
      <c r="AG1962" s="2" t="s">
        <v>61</v>
      </c>
      <c r="AH1962" s="2" t="s">
        <v>62</v>
      </c>
      <c r="AI1962" s="2" t="s">
        <v>87</v>
      </c>
      <c r="AJ1962" s="2">
        <v>1.2610611800549201</v>
      </c>
      <c r="AK1962" s="2">
        <v>1.86203591567024</v>
      </c>
      <c r="AL1962" s="2">
        <v>1.1254791616520201</v>
      </c>
      <c r="AM1962" s="2">
        <v>0.19946706912530801</v>
      </c>
      <c r="AN1962" s="2">
        <v>3.1591211597242301</v>
      </c>
      <c r="AO1962" s="2">
        <v>0.45500948352832499</v>
      </c>
      <c r="AP1962" s="2">
        <v>0.45500948352832499</v>
      </c>
      <c r="AQ1962" s="2">
        <v>0</v>
      </c>
      <c r="AR1962" s="2">
        <v>0</v>
      </c>
      <c r="AS1962" s="2">
        <v>0</v>
      </c>
      <c r="AT1962" s="2">
        <v>0</v>
      </c>
      <c r="AU1962" s="2">
        <v>0</v>
      </c>
      <c r="AV1962" s="2">
        <v>47</v>
      </c>
      <c r="AW1962" s="2">
        <v>0</v>
      </c>
      <c r="AX1962" s="2">
        <v>0</v>
      </c>
      <c r="AY1962" s="2">
        <v>15.5</v>
      </c>
      <c r="AZ1962" s="2">
        <v>2.4</v>
      </c>
      <c r="BA1962" s="2">
        <v>10.9</v>
      </c>
      <c r="BB1962" s="2">
        <v>564</v>
      </c>
      <c r="BC1962" s="2">
        <v>68</v>
      </c>
      <c r="BD1962" s="2">
        <v>1.5</v>
      </c>
      <c r="BE1962" s="2">
        <v>135</v>
      </c>
      <c r="BF1962" s="2">
        <v>0</v>
      </c>
      <c r="BG1962" s="2">
        <v>162</v>
      </c>
      <c r="BH1962" s="2">
        <v>9.1</v>
      </c>
      <c r="BI1962" s="2">
        <v>9.1999999999999993</v>
      </c>
      <c r="BJ1962" s="2">
        <v>18.3</v>
      </c>
      <c r="BK1962" s="2">
        <v>0.34</v>
      </c>
      <c r="BL1962" s="2">
        <v>7.3</v>
      </c>
      <c r="BM1962" s="2">
        <v>0.9</v>
      </c>
      <c r="BN1962" s="2">
        <v>7.5</v>
      </c>
      <c r="BO1962" s="2">
        <v>2.9</v>
      </c>
      <c r="BP1962" s="2">
        <f t="shared" si="60"/>
        <v>2.2425559774493578</v>
      </c>
      <c r="BQ1962" s="2">
        <f t="shared" si="61"/>
        <v>10.547244347346032</v>
      </c>
    </row>
    <row r="1963" spans="1:69" x14ac:dyDescent="0.2">
      <c r="A1963" s="2" t="s">
        <v>4212</v>
      </c>
      <c r="B1963" s="2" t="s">
        <v>47</v>
      </c>
      <c r="C1963" s="2" t="s">
        <v>3273</v>
      </c>
      <c r="D1963" s="2" t="s">
        <v>49</v>
      </c>
      <c r="E1963" s="2" t="s">
        <v>4213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89</v>
      </c>
      <c r="L1963" s="6" t="s">
        <v>90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4214</v>
      </c>
      <c r="R1963" s="2">
        <v>14000000</v>
      </c>
      <c r="S1963" s="2">
        <v>0</v>
      </c>
      <c r="T1963" s="2" t="s">
        <v>83</v>
      </c>
      <c r="U1963" s="2" t="s">
        <v>84</v>
      </c>
      <c r="V1963" s="2" t="s">
        <v>56</v>
      </c>
      <c r="W1963" s="2" t="s">
        <v>83</v>
      </c>
      <c r="X1963" s="2" t="s">
        <v>85</v>
      </c>
      <c r="Y1963" s="2">
        <v>1.0860890649844199</v>
      </c>
      <c r="Z1963" s="2">
        <v>1086.08906498442</v>
      </c>
      <c r="AA1963" s="2">
        <v>4.71035</v>
      </c>
      <c r="AB1963" s="2">
        <v>-74.030416666666696</v>
      </c>
      <c r="AC1963" s="2">
        <v>2570</v>
      </c>
      <c r="AD1963" s="2">
        <v>10</v>
      </c>
      <c r="AE1963" s="2" t="s">
        <v>59</v>
      </c>
      <c r="AF1963" s="2" t="s">
        <v>86</v>
      </c>
      <c r="AG1963" s="2" t="s">
        <v>61</v>
      </c>
      <c r="AH1963" s="2" t="s">
        <v>62</v>
      </c>
      <c r="AI1963" s="2" t="s">
        <v>87</v>
      </c>
      <c r="AJ1963" s="2">
        <v>1.5079991751333801</v>
      </c>
      <c r="AK1963" s="2">
        <v>1.6075092939282301</v>
      </c>
      <c r="AL1963" s="2">
        <v>0.83838287739610895</v>
      </c>
      <c r="AM1963" s="2">
        <v>0.44624397073088401</v>
      </c>
      <c r="AN1963" s="2">
        <v>3.2213065542900101</v>
      </c>
      <c r="AO1963" s="2">
        <v>0.48143919059846302</v>
      </c>
      <c r="AP1963" s="2">
        <v>0.48143919059846302</v>
      </c>
      <c r="AQ1963" s="2">
        <v>0</v>
      </c>
      <c r="AR1963" s="2">
        <v>0</v>
      </c>
      <c r="AS1963" s="2">
        <v>0</v>
      </c>
      <c r="AT1963" s="2">
        <v>0</v>
      </c>
      <c r="AU1963" s="2">
        <v>1</v>
      </c>
      <c r="AV1963" s="2">
        <v>65</v>
      </c>
      <c r="AW1963" s="2">
        <v>0</v>
      </c>
      <c r="AX1963" s="2">
        <v>0</v>
      </c>
      <c r="AY1963" s="2">
        <v>15.5</v>
      </c>
      <c r="AZ1963" s="2">
        <v>2.4</v>
      </c>
      <c r="BA1963" s="2">
        <v>10.9</v>
      </c>
      <c r="BB1963" s="2">
        <v>564</v>
      </c>
      <c r="BC1963" s="2">
        <v>68</v>
      </c>
      <c r="BD1963" s="2">
        <v>1.5</v>
      </c>
      <c r="BE1963" s="2">
        <v>135</v>
      </c>
      <c r="BF1963" s="2">
        <v>0</v>
      </c>
      <c r="BG1963" s="2">
        <v>162</v>
      </c>
      <c r="BH1963" s="2">
        <v>9.1</v>
      </c>
      <c r="BI1963" s="2">
        <v>9.1999999999999993</v>
      </c>
      <c r="BJ1963" s="2">
        <v>18.3</v>
      </c>
      <c r="BK1963" s="2">
        <v>0.34</v>
      </c>
      <c r="BL1963" s="2">
        <v>7.3</v>
      </c>
      <c r="BM1963" s="2">
        <v>0.9</v>
      </c>
      <c r="BN1963" s="2">
        <v>7.5</v>
      </c>
      <c r="BO1963" s="2">
        <v>2.9</v>
      </c>
      <c r="BP1963" s="2">
        <f t="shared" si="60"/>
        <v>2.2743796380305068</v>
      </c>
      <c r="BQ1963" s="2">
        <f t="shared" si="61"/>
        <v>10.619550102380861</v>
      </c>
    </row>
    <row r="1964" spans="1:69" x14ac:dyDescent="0.2">
      <c r="A1964" s="2" t="s">
        <v>3869</v>
      </c>
      <c r="B1964" s="2" t="s">
        <v>47</v>
      </c>
      <c r="C1964" s="2" t="s">
        <v>3273</v>
      </c>
      <c r="D1964" s="2" t="s">
        <v>49</v>
      </c>
      <c r="E1964" s="2" t="s">
        <v>3628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89</v>
      </c>
      <c r="L1964" s="6" t="s">
        <v>90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3870</v>
      </c>
      <c r="R1964" s="2">
        <v>19487179.489999998</v>
      </c>
      <c r="S1964" s="2">
        <v>0</v>
      </c>
      <c r="T1964" s="2" t="s">
        <v>83</v>
      </c>
      <c r="U1964" s="2" t="s">
        <v>84</v>
      </c>
      <c r="V1964" s="2" t="s">
        <v>56</v>
      </c>
      <c r="W1964" s="2" t="s">
        <v>83</v>
      </c>
      <c r="X1964" s="2" t="s">
        <v>85</v>
      </c>
      <c r="Y1964" s="2">
        <v>3.3298678502180001</v>
      </c>
      <c r="Z1964" s="2">
        <v>3329.8678502180001</v>
      </c>
      <c r="AA1964" s="2">
        <v>4.71035</v>
      </c>
      <c r="AB1964" s="2">
        <v>-74.030416666666696</v>
      </c>
      <c r="AC1964" s="2">
        <v>2570</v>
      </c>
      <c r="AD1964" s="2">
        <v>10</v>
      </c>
      <c r="AE1964" s="2" t="s">
        <v>59</v>
      </c>
      <c r="AF1964" s="2" t="s">
        <v>86</v>
      </c>
      <c r="AG1964" s="2" t="s">
        <v>61</v>
      </c>
      <c r="AH1964" s="2" t="s">
        <v>62</v>
      </c>
      <c r="AI1964" s="2" t="s">
        <v>87</v>
      </c>
      <c r="AJ1964" s="2">
        <v>1.1604048101727999</v>
      </c>
      <c r="AK1964" s="2">
        <v>1.45610021632037</v>
      </c>
      <c r="AL1964" s="2">
        <v>0.41279617515038303</v>
      </c>
      <c r="AM1964" s="2">
        <v>0.11490821711721901</v>
      </c>
      <c r="AN1964" s="2">
        <v>4.0410354120108103</v>
      </c>
      <c r="AO1964" s="2">
        <v>0.54751802845529995</v>
      </c>
      <c r="AP1964" s="2">
        <v>0.54751802845529995</v>
      </c>
      <c r="AQ1964" s="2">
        <v>0</v>
      </c>
      <c r="AR1964" s="2">
        <v>0</v>
      </c>
      <c r="AS1964" s="2">
        <v>0</v>
      </c>
      <c r="AT1964" s="2">
        <v>0</v>
      </c>
      <c r="AU1964" s="2">
        <v>6</v>
      </c>
      <c r="AV1964" s="2">
        <v>132</v>
      </c>
      <c r="AW1964" s="2">
        <v>0</v>
      </c>
      <c r="AX1964" s="2">
        <v>0</v>
      </c>
      <c r="AY1964" s="2">
        <v>15.5</v>
      </c>
      <c r="AZ1964" s="2">
        <v>2.4</v>
      </c>
      <c r="BA1964" s="2">
        <v>10.9</v>
      </c>
      <c r="BB1964" s="2">
        <v>564</v>
      </c>
      <c r="BC1964" s="2">
        <v>68</v>
      </c>
      <c r="BD1964" s="2">
        <v>1.5</v>
      </c>
      <c r="BE1964" s="2">
        <v>135</v>
      </c>
      <c r="BF1964" s="2">
        <v>0</v>
      </c>
      <c r="BG1964" s="2">
        <v>162</v>
      </c>
      <c r="BH1964" s="2">
        <v>9.1</v>
      </c>
      <c r="BI1964" s="2">
        <v>9.1999999999999993</v>
      </c>
      <c r="BJ1964" s="2">
        <v>18.3</v>
      </c>
      <c r="BK1964" s="2">
        <v>0.34</v>
      </c>
      <c r="BL1964" s="2">
        <v>7.3</v>
      </c>
      <c r="BM1964" s="2">
        <v>0.9</v>
      </c>
      <c r="BN1964" s="2">
        <v>7.5</v>
      </c>
      <c r="BO1964" s="2">
        <v>2.9</v>
      </c>
      <c r="BP1964" s="2">
        <f t="shared" si="60"/>
        <v>2.0352939970775545</v>
      </c>
      <c r="BQ1964" s="2">
        <f t="shared" si="61"/>
        <v>10.06280508035687</v>
      </c>
    </row>
    <row r="1965" spans="1:69" x14ac:dyDescent="0.2">
      <c r="A1965" s="2" t="s">
        <v>3403</v>
      </c>
      <c r="B1965" s="2" t="s">
        <v>47</v>
      </c>
      <c r="C1965" s="2" t="s">
        <v>3273</v>
      </c>
      <c r="D1965" s="2" t="s">
        <v>49</v>
      </c>
      <c r="E1965" s="2" t="s">
        <v>172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51</v>
      </c>
      <c r="L1965" s="6" t="s">
        <v>52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3404</v>
      </c>
      <c r="R1965" s="2">
        <v>13083769.630000001</v>
      </c>
      <c r="S1965" s="2">
        <v>0</v>
      </c>
      <c r="T1965" s="2" t="s">
        <v>83</v>
      </c>
      <c r="U1965" s="2" t="s">
        <v>84</v>
      </c>
      <c r="V1965" s="2" t="s">
        <v>56</v>
      </c>
      <c r="W1965" s="2" t="s">
        <v>83</v>
      </c>
      <c r="X1965" s="2" t="s">
        <v>85</v>
      </c>
      <c r="Y1965" s="2">
        <v>1.0903746631746101</v>
      </c>
      <c r="Z1965" s="2">
        <v>1090.3746631746101</v>
      </c>
      <c r="AA1965" s="2">
        <v>4.71035</v>
      </c>
      <c r="AB1965" s="2">
        <v>-74.030416666666696</v>
      </c>
      <c r="AC1965" s="2">
        <v>2570</v>
      </c>
      <c r="AD1965" s="2">
        <v>10</v>
      </c>
      <c r="AE1965" s="2" t="s">
        <v>59</v>
      </c>
      <c r="AF1965" s="2" t="s">
        <v>86</v>
      </c>
      <c r="AG1965" s="2" t="s">
        <v>61</v>
      </c>
      <c r="AH1965" s="2" t="s">
        <v>62</v>
      </c>
      <c r="AI1965" s="2" t="s">
        <v>87</v>
      </c>
      <c r="AJ1965" s="2">
        <v>2.6788553816470402</v>
      </c>
      <c r="AK1965" s="2">
        <v>0.52051028747738204</v>
      </c>
      <c r="AL1965" s="2">
        <v>0.24347648255062401</v>
      </c>
      <c r="AM1965" s="2">
        <v>6.5109021914025705E-2</v>
      </c>
      <c r="AN1965" s="2">
        <v>4.5473291198455899</v>
      </c>
      <c r="AO1965" s="2">
        <v>0.41491239207020603</v>
      </c>
      <c r="AP1965" s="2">
        <v>0.41491239207020603</v>
      </c>
      <c r="AQ1965" s="2">
        <v>0</v>
      </c>
      <c r="AR1965" s="2">
        <v>0</v>
      </c>
      <c r="AS1965" s="2">
        <v>0</v>
      </c>
      <c r="AT1965" s="2">
        <v>25</v>
      </c>
      <c r="AU1965" s="2">
        <v>2</v>
      </c>
      <c r="AV1965" s="2">
        <v>122</v>
      </c>
      <c r="AW1965" s="2">
        <v>0</v>
      </c>
      <c r="AX1965" s="2">
        <v>0</v>
      </c>
      <c r="AY1965" s="2">
        <v>15.5</v>
      </c>
      <c r="AZ1965" s="2">
        <v>2.4</v>
      </c>
      <c r="BA1965" s="2">
        <v>10.9</v>
      </c>
      <c r="BB1965" s="2">
        <v>564</v>
      </c>
      <c r="BC1965" s="2">
        <v>68</v>
      </c>
      <c r="BD1965" s="2">
        <v>1.5</v>
      </c>
      <c r="BE1965" s="2">
        <v>135</v>
      </c>
      <c r="BF1965" s="2">
        <v>0</v>
      </c>
      <c r="BG1965" s="2">
        <v>162</v>
      </c>
      <c r="BH1965" s="2">
        <v>9.1</v>
      </c>
      <c r="BI1965" s="2">
        <v>9.1999999999999993</v>
      </c>
      <c r="BJ1965" s="2">
        <v>18.3</v>
      </c>
      <c r="BK1965" s="2">
        <v>0.34</v>
      </c>
      <c r="BL1965" s="2">
        <v>7.3</v>
      </c>
      <c r="BM1965" s="2">
        <v>0.9</v>
      </c>
      <c r="BN1965" s="2">
        <v>7.5</v>
      </c>
      <c r="BO1965" s="2">
        <v>2.9</v>
      </c>
      <c r="BP1965" s="2">
        <f t="shared" si="60"/>
        <v>2.2738972088784819</v>
      </c>
      <c r="BQ1965" s="2">
        <f t="shared" si="61"/>
        <v>10.618457891558361</v>
      </c>
    </row>
    <row r="1966" spans="1:69" x14ac:dyDescent="0.2">
      <c r="A1966" s="2" t="s">
        <v>4270</v>
      </c>
      <c r="B1966" s="2" t="s">
        <v>47</v>
      </c>
      <c r="C1966" s="2" t="s">
        <v>3273</v>
      </c>
      <c r="D1966" s="2" t="s">
        <v>49</v>
      </c>
      <c r="E1966" s="2" t="s">
        <v>370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89</v>
      </c>
      <c r="L1966" s="6" t="s">
        <v>90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4271</v>
      </c>
      <c r="R1966" s="2">
        <v>12368421.050000001</v>
      </c>
      <c r="S1966" s="2">
        <v>0</v>
      </c>
      <c r="T1966" s="2" t="s">
        <v>83</v>
      </c>
      <c r="U1966" s="2" t="s">
        <v>84</v>
      </c>
      <c r="V1966" s="2" t="s">
        <v>56</v>
      </c>
      <c r="W1966" s="2" t="s">
        <v>83</v>
      </c>
      <c r="X1966" s="2" t="s">
        <v>85</v>
      </c>
      <c r="Y1966" s="2">
        <v>2.1970990261273</v>
      </c>
      <c r="Z1966" s="2">
        <v>2197.0990261273</v>
      </c>
      <c r="AA1966" s="2">
        <v>4.71035</v>
      </c>
      <c r="AB1966" s="2">
        <v>-74.030416666666696</v>
      </c>
      <c r="AC1966" s="2">
        <v>2570</v>
      </c>
      <c r="AD1966" s="2">
        <v>10</v>
      </c>
      <c r="AE1966" s="2" t="s">
        <v>59</v>
      </c>
      <c r="AF1966" s="2" t="s">
        <v>86</v>
      </c>
      <c r="AG1966" s="2" t="s">
        <v>61</v>
      </c>
      <c r="AH1966" s="2" t="s">
        <v>62</v>
      </c>
      <c r="AI1966" s="2" t="s">
        <v>87</v>
      </c>
      <c r="AJ1966" s="2">
        <v>0.43688214660331098</v>
      </c>
      <c r="AK1966" s="2">
        <v>2.6760551766006202</v>
      </c>
      <c r="AL1966" s="2">
        <v>1.6611336692041401</v>
      </c>
      <c r="AM1966" s="2">
        <v>6.3183468796046596E-2</v>
      </c>
      <c r="AN1966" s="2">
        <v>3.3263235476911799</v>
      </c>
      <c r="AO1966" s="2">
        <v>0.47743469242734399</v>
      </c>
      <c r="AP1966" s="2">
        <v>0.47743469242734399</v>
      </c>
      <c r="AQ1966" s="2">
        <v>1</v>
      </c>
      <c r="AR1966" s="2">
        <v>3</v>
      </c>
      <c r="AS1966" s="2">
        <v>0</v>
      </c>
      <c r="AT1966" s="2">
        <v>0</v>
      </c>
      <c r="AU1966" s="2">
        <v>0</v>
      </c>
      <c r="AV1966" s="2">
        <v>36</v>
      </c>
      <c r="AW1966" s="2">
        <v>0</v>
      </c>
      <c r="AX1966" s="2">
        <v>0</v>
      </c>
      <c r="AY1966" s="2">
        <v>15.5</v>
      </c>
      <c r="AZ1966" s="2">
        <v>2.4</v>
      </c>
      <c r="BA1966" s="2">
        <v>10.9</v>
      </c>
      <c r="BB1966" s="2">
        <v>564</v>
      </c>
      <c r="BC1966" s="2">
        <v>68</v>
      </c>
      <c r="BD1966" s="2">
        <v>1.5</v>
      </c>
      <c r="BE1966" s="2">
        <v>135</v>
      </c>
      <c r="BF1966" s="2">
        <v>0</v>
      </c>
      <c r="BG1966" s="2">
        <v>162</v>
      </c>
      <c r="BH1966" s="2">
        <v>9.1</v>
      </c>
      <c r="BI1966" s="2">
        <v>9.1999999999999993</v>
      </c>
      <c r="BJ1966" s="2">
        <v>18.3</v>
      </c>
      <c r="BK1966" s="2">
        <v>0.34</v>
      </c>
      <c r="BL1966" s="2">
        <v>7.3</v>
      </c>
      <c r="BM1966" s="2">
        <v>0.9</v>
      </c>
      <c r="BN1966" s="2">
        <v>7.5</v>
      </c>
      <c r="BO1966" s="2">
        <v>2.9</v>
      </c>
      <c r="BP1966" s="2">
        <f t="shared" si="60"/>
        <v>2.1526773264672499</v>
      </c>
      <c r="BQ1966" s="2">
        <f t="shared" si="61"/>
        <v>10.340129700890488</v>
      </c>
    </row>
    <row r="1967" spans="1:69" x14ac:dyDescent="0.2">
      <c r="A1967" s="2" t="s">
        <v>3399</v>
      </c>
      <c r="B1967" s="2" t="s">
        <v>47</v>
      </c>
      <c r="C1967" s="2" t="s">
        <v>3273</v>
      </c>
      <c r="D1967" s="2" t="s">
        <v>49</v>
      </c>
      <c r="E1967" s="2" t="s">
        <v>172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51</v>
      </c>
      <c r="L1967" s="6" t="s">
        <v>52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3400</v>
      </c>
      <c r="R1967" s="2">
        <v>13435483.869999999</v>
      </c>
      <c r="S1967" s="2">
        <v>0</v>
      </c>
      <c r="T1967" s="2" t="s">
        <v>83</v>
      </c>
      <c r="U1967" s="2" t="s">
        <v>84</v>
      </c>
      <c r="V1967" s="2" t="s">
        <v>56</v>
      </c>
      <c r="W1967" s="2" t="s">
        <v>83</v>
      </c>
      <c r="X1967" s="2" t="s">
        <v>85</v>
      </c>
      <c r="Y1967" s="2">
        <v>1.0903746631746101</v>
      </c>
      <c r="Z1967" s="2">
        <v>1090.3746631746101</v>
      </c>
      <c r="AA1967" s="2">
        <v>4.71035</v>
      </c>
      <c r="AB1967" s="2">
        <v>-74.030416666666696</v>
      </c>
      <c r="AC1967" s="2">
        <v>2570</v>
      </c>
      <c r="AD1967" s="2">
        <v>10</v>
      </c>
      <c r="AE1967" s="2" t="s">
        <v>59</v>
      </c>
      <c r="AF1967" s="2" t="s">
        <v>86</v>
      </c>
      <c r="AG1967" s="2" t="s">
        <v>61</v>
      </c>
      <c r="AH1967" s="2" t="s">
        <v>62</v>
      </c>
      <c r="AI1967" s="2" t="s">
        <v>87</v>
      </c>
      <c r="AJ1967" s="2">
        <v>2.6788553816470402</v>
      </c>
      <c r="AK1967" s="2">
        <v>0.52051028747738204</v>
      </c>
      <c r="AL1967" s="2">
        <v>0.24347648255062401</v>
      </c>
      <c r="AM1967" s="2">
        <v>6.5109021914025705E-2</v>
      </c>
      <c r="AN1967" s="2">
        <v>4.5473291198455899</v>
      </c>
      <c r="AO1967" s="2">
        <v>0.41491239207020603</v>
      </c>
      <c r="AP1967" s="2">
        <v>0.41491239207020603</v>
      </c>
      <c r="AQ1967" s="2">
        <v>0</v>
      </c>
      <c r="AR1967" s="2">
        <v>0</v>
      </c>
      <c r="AS1967" s="2">
        <v>0</v>
      </c>
      <c r="AT1967" s="2">
        <v>25</v>
      </c>
      <c r="AU1967" s="2">
        <v>2</v>
      </c>
      <c r="AV1967" s="2">
        <v>122</v>
      </c>
      <c r="AW1967" s="2">
        <v>0</v>
      </c>
      <c r="AX1967" s="2">
        <v>0</v>
      </c>
      <c r="AY1967" s="2">
        <v>15.5</v>
      </c>
      <c r="AZ1967" s="2">
        <v>2.4</v>
      </c>
      <c r="BA1967" s="2">
        <v>10.9</v>
      </c>
      <c r="BB1967" s="2">
        <v>564</v>
      </c>
      <c r="BC1967" s="2">
        <v>68</v>
      </c>
      <c r="BD1967" s="2">
        <v>1.5</v>
      </c>
      <c r="BE1967" s="2">
        <v>135</v>
      </c>
      <c r="BF1967" s="2">
        <v>0</v>
      </c>
      <c r="BG1967" s="2">
        <v>162</v>
      </c>
      <c r="BH1967" s="2">
        <v>9.1</v>
      </c>
      <c r="BI1967" s="2">
        <v>9.1999999999999993</v>
      </c>
      <c r="BJ1967" s="2">
        <v>18.3</v>
      </c>
      <c r="BK1967" s="2">
        <v>0.34</v>
      </c>
      <c r="BL1967" s="2">
        <v>7.3</v>
      </c>
      <c r="BM1967" s="2">
        <v>0.9</v>
      </c>
      <c r="BN1967" s="2">
        <v>7.5</v>
      </c>
      <c r="BO1967" s="2">
        <v>2.9</v>
      </c>
      <c r="BP1967" s="2">
        <f t="shared" si="60"/>
        <v>2.2738972088784819</v>
      </c>
      <c r="BQ1967" s="2">
        <f t="shared" si="61"/>
        <v>10.618457891558361</v>
      </c>
    </row>
    <row r="1968" spans="1:69" x14ac:dyDescent="0.2">
      <c r="A1968" s="2" t="s">
        <v>3272</v>
      </c>
      <c r="B1968" s="2" t="s">
        <v>47</v>
      </c>
      <c r="C1968" s="2" t="s">
        <v>3273</v>
      </c>
      <c r="D1968" s="2" t="s">
        <v>49</v>
      </c>
      <c r="E1968" s="2" t="s">
        <v>172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51</v>
      </c>
      <c r="L1968" s="6" t="s">
        <v>52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3274</v>
      </c>
      <c r="R1968" s="2">
        <v>13806629.83</v>
      </c>
      <c r="S1968" s="2">
        <v>0</v>
      </c>
      <c r="T1968" s="2" t="s">
        <v>83</v>
      </c>
      <c r="U1968" s="2" t="s">
        <v>84</v>
      </c>
      <c r="V1968" s="2" t="s">
        <v>56</v>
      </c>
      <c r="W1968" s="2" t="s">
        <v>83</v>
      </c>
      <c r="X1968" s="2" t="s">
        <v>85</v>
      </c>
      <c r="Y1968" s="2">
        <v>1.0903746631746101</v>
      </c>
      <c r="Z1968" s="2">
        <v>1090.3746631746101</v>
      </c>
      <c r="AA1968" s="2">
        <v>4.71035</v>
      </c>
      <c r="AB1968" s="2">
        <v>-74.030416666666696</v>
      </c>
      <c r="AC1968" s="2">
        <v>2570</v>
      </c>
      <c r="AD1968" s="2">
        <v>10</v>
      </c>
      <c r="AE1968" s="2" t="s">
        <v>59</v>
      </c>
      <c r="AF1968" s="2" t="s">
        <v>86</v>
      </c>
      <c r="AG1968" s="2" t="s">
        <v>61</v>
      </c>
      <c r="AH1968" s="2" t="s">
        <v>62</v>
      </c>
      <c r="AI1968" s="2" t="s">
        <v>87</v>
      </c>
      <c r="AJ1968" s="2">
        <v>2.6788553816470402</v>
      </c>
      <c r="AK1968" s="2">
        <v>0.52051028747738204</v>
      </c>
      <c r="AL1968" s="2">
        <v>0.24347648255062401</v>
      </c>
      <c r="AM1968" s="2">
        <v>6.5109021914025705E-2</v>
      </c>
      <c r="AN1968" s="2">
        <v>4.5473291198455899</v>
      </c>
      <c r="AO1968" s="2">
        <v>0.41491239207020603</v>
      </c>
      <c r="AP1968" s="2">
        <v>0.41491239207020603</v>
      </c>
      <c r="AQ1968" s="2">
        <v>0</v>
      </c>
      <c r="AR1968" s="2">
        <v>0</v>
      </c>
      <c r="AS1968" s="2">
        <v>0</v>
      </c>
      <c r="AT1968" s="2">
        <v>25</v>
      </c>
      <c r="AU1968" s="2">
        <v>2</v>
      </c>
      <c r="AV1968" s="2">
        <v>122</v>
      </c>
      <c r="AW1968" s="2">
        <v>0</v>
      </c>
      <c r="AX1968" s="2">
        <v>0</v>
      </c>
      <c r="AY1968" s="2">
        <v>15.5</v>
      </c>
      <c r="AZ1968" s="2">
        <v>2.4</v>
      </c>
      <c r="BA1968" s="2">
        <v>10.9</v>
      </c>
      <c r="BB1968" s="2">
        <v>564</v>
      </c>
      <c r="BC1968" s="2">
        <v>68</v>
      </c>
      <c r="BD1968" s="2">
        <v>1.5</v>
      </c>
      <c r="BE1968" s="2">
        <v>135</v>
      </c>
      <c r="BF1968" s="2">
        <v>0</v>
      </c>
      <c r="BG1968" s="2">
        <v>162</v>
      </c>
      <c r="BH1968" s="2">
        <v>9.1</v>
      </c>
      <c r="BI1968" s="2">
        <v>9.1999999999999993</v>
      </c>
      <c r="BJ1968" s="2">
        <v>18.3</v>
      </c>
      <c r="BK1968" s="2">
        <v>0.34</v>
      </c>
      <c r="BL1968" s="2">
        <v>7.3</v>
      </c>
      <c r="BM1968" s="2">
        <v>0.9</v>
      </c>
      <c r="BN1968" s="2">
        <v>7.5</v>
      </c>
      <c r="BO1968" s="2">
        <v>2.9</v>
      </c>
      <c r="BP1968" s="2">
        <f t="shared" si="60"/>
        <v>2.2738972088784819</v>
      </c>
      <c r="BQ1968" s="2">
        <f t="shared" si="61"/>
        <v>10.618457891558361</v>
      </c>
    </row>
    <row r="1969" spans="1:69" x14ac:dyDescent="0.2">
      <c r="A1969" s="2" t="s">
        <v>4405</v>
      </c>
      <c r="B1969" s="2" t="s">
        <v>47</v>
      </c>
      <c r="C1969" s="2" t="s">
        <v>3273</v>
      </c>
      <c r="D1969" s="2" t="s">
        <v>49</v>
      </c>
      <c r="E1969" s="2" t="s">
        <v>111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89</v>
      </c>
      <c r="L1969" s="6" t="s">
        <v>90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4406</v>
      </c>
      <c r="R1969" s="2">
        <v>14411764.710000001</v>
      </c>
      <c r="S1969" s="2">
        <v>0</v>
      </c>
      <c r="T1969" s="2" t="s">
        <v>83</v>
      </c>
      <c r="U1969" s="2" t="s">
        <v>84</v>
      </c>
      <c r="V1969" s="2" t="s">
        <v>56</v>
      </c>
      <c r="W1969" s="2" t="s">
        <v>83</v>
      </c>
      <c r="X1969" s="2" t="s">
        <v>85</v>
      </c>
      <c r="Y1969" s="2">
        <v>3.6426696138188701</v>
      </c>
      <c r="Z1969" s="2">
        <v>3642.6696138188699</v>
      </c>
      <c r="AA1969" s="2">
        <v>4.71035</v>
      </c>
      <c r="AB1969" s="2">
        <v>-74.030416666666696</v>
      </c>
      <c r="AC1969" s="2">
        <v>2570</v>
      </c>
      <c r="AD1969" s="2">
        <v>10</v>
      </c>
      <c r="AE1969" s="2" t="s">
        <v>59</v>
      </c>
      <c r="AF1969" s="2" t="s">
        <v>86</v>
      </c>
      <c r="AG1969" s="2" t="s">
        <v>61</v>
      </c>
      <c r="AH1969" s="2" t="s">
        <v>62</v>
      </c>
      <c r="AI1969" s="2" t="s">
        <v>109</v>
      </c>
      <c r="AJ1969" s="2">
        <v>1.5558104462173401</v>
      </c>
      <c r="AK1969" s="2">
        <v>0.85986534089295397</v>
      </c>
      <c r="AL1969" s="2">
        <v>0.572951802463883</v>
      </c>
      <c r="AM1969" s="2">
        <v>4.7049084019076197E-2</v>
      </c>
      <c r="AN1969" s="2">
        <v>4.2554062386622196</v>
      </c>
      <c r="AO1969" s="2">
        <v>0.86685376739257403</v>
      </c>
      <c r="AP1969" s="2">
        <v>0.86685376739257403</v>
      </c>
      <c r="AQ1969" s="2">
        <v>0</v>
      </c>
      <c r="AR1969" s="2">
        <v>0</v>
      </c>
      <c r="AS1969" s="2">
        <v>0</v>
      </c>
      <c r="AT1969" s="2">
        <v>1</v>
      </c>
      <c r="AU1969" s="2">
        <v>4</v>
      </c>
      <c r="AV1969" s="2">
        <v>92</v>
      </c>
      <c r="AW1969" s="2">
        <v>0</v>
      </c>
      <c r="AX1969" s="2">
        <v>0</v>
      </c>
      <c r="AY1969" s="2">
        <v>15.5</v>
      </c>
      <c r="AZ1969" s="2">
        <v>2.4</v>
      </c>
      <c r="BA1969" s="2">
        <v>10.9</v>
      </c>
      <c r="BB1969" s="2">
        <v>564</v>
      </c>
      <c r="BC1969" s="2">
        <v>68</v>
      </c>
      <c r="BD1969" s="2">
        <v>1.5</v>
      </c>
      <c r="BE1969" s="2">
        <v>135</v>
      </c>
      <c r="BF1969" s="2">
        <v>0</v>
      </c>
      <c r="BG1969" s="2">
        <v>162</v>
      </c>
      <c r="BH1969" s="2">
        <v>9.1</v>
      </c>
      <c r="BI1969" s="2">
        <v>9.1999999999999993</v>
      </c>
      <c r="BJ1969" s="2">
        <v>18.3</v>
      </c>
      <c r="BK1969" s="2">
        <v>0.34</v>
      </c>
      <c r="BL1969" s="2">
        <v>7.3</v>
      </c>
      <c r="BM1969" s="2">
        <v>0.9</v>
      </c>
      <c r="BN1969" s="2">
        <v>7.5</v>
      </c>
      <c r="BO1969" s="2">
        <v>2.9</v>
      </c>
      <c r="BP1969" s="2">
        <f t="shared" si="60"/>
        <v>2.0040228622578926</v>
      </c>
      <c r="BQ1969" s="2">
        <f t="shared" si="61"/>
        <v>9.9875440191148872</v>
      </c>
    </row>
    <row r="1970" spans="1:69" x14ac:dyDescent="0.2">
      <c r="A1970" s="2" t="s">
        <v>3425</v>
      </c>
      <c r="B1970" s="2" t="s">
        <v>47</v>
      </c>
      <c r="C1970" s="2" t="s">
        <v>3273</v>
      </c>
      <c r="D1970" s="2" t="s">
        <v>49</v>
      </c>
      <c r="E1970" s="2" t="s">
        <v>111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89</v>
      </c>
      <c r="L1970" s="6" t="s">
        <v>90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3426</v>
      </c>
      <c r="R1970" s="2">
        <v>15441176.470000001</v>
      </c>
      <c r="S1970" s="2">
        <v>0</v>
      </c>
      <c r="T1970" s="2" t="s">
        <v>83</v>
      </c>
      <c r="U1970" s="2" t="s">
        <v>84</v>
      </c>
      <c r="V1970" s="2" t="s">
        <v>56</v>
      </c>
      <c r="W1970" s="2" t="s">
        <v>83</v>
      </c>
      <c r="X1970" s="2" t="s">
        <v>85</v>
      </c>
      <c r="Y1970" s="2">
        <v>3.6310464806684899</v>
      </c>
      <c r="Z1970" s="2">
        <v>3631.0464806684899</v>
      </c>
      <c r="AA1970" s="2">
        <v>4.71035</v>
      </c>
      <c r="AB1970" s="2">
        <v>-74.030416666666696</v>
      </c>
      <c r="AC1970" s="2">
        <v>2570</v>
      </c>
      <c r="AD1970" s="2">
        <v>10</v>
      </c>
      <c r="AE1970" s="2" t="s">
        <v>59</v>
      </c>
      <c r="AF1970" s="2" t="s">
        <v>86</v>
      </c>
      <c r="AG1970" s="2" t="s">
        <v>61</v>
      </c>
      <c r="AH1970" s="2" t="s">
        <v>62</v>
      </c>
      <c r="AI1970" s="2" t="s">
        <v>109</v>
      </c>
      <c r="AJ1970" s="2">
        <v>1.5634329729204901</v>
      </c>
      <c r="AK1970" s="2">
        <v>0.85520002500051295</v>
      </c>
      <c r="AL1970" s="2">
        <v>0.56088494920154797</v>
      </c>
      <c r="AM1970" s="2">
        <v>4.0593434695745903E-2</v>
      </c>
      <c r="AN1970" s="2">
        <v>4.2665358917023601</v>
      </c>
      <c r="AO1970" s="2">
        <v>0.85482249719254799</v>
      </c>
      <c r="AP1970" s="2">
        <v>0.85482249719254799</v>
      </c>
      <c r="AQ1970" s="2">
        <v>0</v>
      </c>
      <c r="AR1970" s="2">
        <v>0</v>
      </c>
      <c r="AS1970" s="2">
        <v>0</v>
      </c>
      <c r="AT1970" s="2">
        <v>1</v>
      </c>
      <c r="AU1970" s="2">
        <v>4</v>
      </c>
      <c r="AV1970" s="2">
        <v>93</v>
      </c>
      <c r="AW1970" s="2">
        <v>0</v>
      </c>
      <c r="AX1970" s="2">
        <v>0</v>
      </c>
      <c r="AY1970" s="2">
        <v>15.5</v>
      </c>
      <c r="AZ1970" s="2">
        <v>2.4</v>
      </c>
      <c r="BA1970" s="2">
        <v>10.9</v>
      </c>
      <c r="BB1970" s="2">
        <v>564</v>
      </c>
      <c r="BC1970" s="2">
        <v>68</v>
      </c>
      <c r="BD1970" s="2">
        <v>1.5</v>
      </c>
      <c r="BE1970" s="2">
        <v>135</v>
      </c>
      <c r="BF1970" s="2">
        <v>0</v>
      </c>
      <c r="BG1970" s="2">
        <v>162</v>
      </c>
      <c r="BH1970" s="2">
        <v>9.1</v>
      </c>
      <c r="BI1970" s="2">
        <v>9.1999999999999993</v>
      </c>
      <c r="BJ1970" s="2">
        <v>18.3</v>
      </c>
      <c r="BK1970" s="2">
        <v>0.34</v>
      </c>
      <c r="BL1970" s="2">
        <v>7.3</v>
      </c>
      <c r="BM1970" s="2">
        <v>0.9</v>
      </c>
      <c r="BN1970" s="2">
        <v>7.5</v>
      </c>
      <c r="BO1970" s="2">
        <v>2.9</v>
      </c>
      <c r="BP1970" s="2">
        <f t="shared" si="60"/>
        <v>2.0051761987252545</v>
      </c>
      <c r="BQ1970" s="2">
        <f t="shared" si="61"/>
        <v>9.9903304850419001</v>
      </c>
    </row>
    <row r="1971" spans="1:69" x14ac:dyDescent="0.2">
      <c r="A1971" s="2" t="s">
        <v>558</v>
      </c>
      <c r="B1971" s="2" t="s">
        <v>47</v>
      </c>
      <c r="C1971" s="2" t="s">
        <v>48</v>
      </c>
      <c r="D1971" s="2" t="s">
        <v>49</v>
      </c>
      <c r="E1971" s="2" t="s">
        <v>559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89</v>
      </c>
      <c r="L1971" s="6" t="s">
        <v>90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560</v>
      </c>
      <c r="R1971" s="2">
        <v>15666666.67</v>
      </c>
      <c r="S1971" s="2">
        <v>0</v>
      </c>
      <c r="T1971" s="2" t="s">
        <v>83</v>
      </c>
      <c r="U1971" s="2" t="s">
        <v>84</v>
      </c>
      <c r="V1971" s="2" t="s">
        <v>56</v>
      </c>
      <c r="W1971" s="2" t="s">
        <v>83</v>
      </c>
      <c r="X1971" s="2" t="s">
        <v>85</v>
      </c>
      <c r="Y1971" s="2">
        <v>3.1869155563540601</v>
      </c>
      <c r="Z1971" s="2">
        <v>3186.9155563540598</v>
      </c>
      <c r="AA1971" s="2">
        <v>4.71035</v>
      </c>
      <c r="AB1971" s="2">
        <v>-74.030416666666696</v>
      </c>
      <c r="AC1971" s="2">
        <v>2570</v>
      </c>
      <c r="AD1971" s="2">
        <v>10</v>
      </c>
      <c r="AE1971" s="2" t="s">
        <v>59</v>
      </c>
      <c r="AF1971" s="2" t="s">
        <v>86</v>
      </c>
      <c r="AG1971" s="2" t="s">
        <v>61</v>
      </c>
      <c r="AH1971" s="2" t="s">
        <v>62</v>
      </c>
      <c r="AI1971" s="2" t="s">
        <v>87</v>
      </c>
      <c r="AJ1971" s="2">
        <v>2.9645247748294201</v>
      </c>
      <c r="AK1971" s="2">
        <v>0.32620520362295602</v>
      </c>
      <c r="AL1971" s="2">
        <v>1.2359814144922301</v>
      </c>
      <c r="AM1971" s="2">
        <v>5.5358539600655801E-2</v>
      </c>
      <c r="AN1971" s="2">
        <v>0.71541629541760099</v>
      </c>
      <c r="AO1971" s="2">
        <v>0.18041827205701599</v>
      </c>
      <c r="AP1971" s="2">
        <v>0.18041827205701599</v>
      </c>
      <c r="AQ1971" s="2">
        <v>0</v>
      </c>
      <c r="AR1971" s="2">
        <v>0</v>
      </c>
      <c r="AS1971" s="2">
        <v>8</v>
      </c>
      <c r="AT1971" s="2">
        <v>63</v>
      </c>
      <c r="AU1971" s="2">
        <v>0</v>
      </c>
      <c r="AV1971" s="2">
        <v>9</v>
      </c>
      <c r="AW1971" s="2">
        <v>1</v>
      </c>
      <c r="AX1971" s="2">
        <v>0</v>
      </c>
      <c r="AY1971" s="2">
        <v>15.5</v>
      </c>
      <c r="AZ1971" s="2">
        <v>2.4</v>
      </c>
      <c r="BA1971" s="2">
        <v>10.9</v>
      </c>
      <c r="BB1971" s="2">
        <v>564</v>
      </c>
      <c r="BC1971" s="2">
        <v>68</v>
      </c>
      <c r="BD1971" s="2">
        <v>1.5</v>
      </c>
      <c r="BE1971" s="2">
        <v>135</v>
      </c>
      <c r="BF1971" s="2">
        <v>0</v>
      </c>
      <c r="BG1971" s="2">
        <v>162</v>
      </c>
      <c r="BH1971" s="2">
        <v>9.1</v>
      </c>
      <c r="BI1971" s="2">
        <v>9.1999999999999993</v>
      </c>
      <c r="BJ1971" s="2">
        <v>18.3</v>
      </c>
      <c r="BK1971" s="2">
        <v>0.34</v>
      </c>
      <c r="BL1971" s="2">
        <v>7.3</v>
      </c>
      <c r="BM1971" s="2">
        <v>0.9</v>
      </c>
      <c r="BN1971" s="2">
        <v>7.5</v>
      </c>
      <c r="BO1971" s="2">
        <v>2.9</v>
      </c>
      <c r="BP1971" s="2">
        <f t="shared" si="60"/>
        <v>2.0497470951378123</v>
      </c>
      <c r="BQ1971" s="2">
        <f t="shared" si="61"/>
        <v>10.097388397262597</v>
      </c>
    </row>
    <row r="1972" spans="1:69" x14ac:dyDescent="0.2">
      <c r="A1972" s="2" t="s">
        <v>4552</v>
      </c>
      <c r="B1972" s="2" t="s">
        <v>47</v>
      </c>
      <c r="C1972" s="2" t="s">
        <v>3273</v>
      </c>
      <c r="D1972" s="2" t="s">
        <v>49</v>
      </c>
      <c r="E1972" s="2" t="s">
        <v>241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89</v>
      </c>
      <c r="L1972" s="6" t="s">
        <v>112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4553</v>
      </c>
      <c r="R1972" s="2">
        <v>45500000</v>
      </c>
      <c r="S1972" s="2">
        <v>0</v>
      </c>
      <c r="T1972" s="2" t="s">
        <v>83</v>
      </c>
      <c r="U1972" s="2" t="s">
        <v>84</v>
      </c>
      <c r="V1972" s="2" t="s">
        <v>56</v>
      </c>
      <c r="W1972" s="2" t="s">
        <v>83</v>
      </c>
      <c r="X1972" s="2" t="s">
        <v>85</v>
      </c>
      <c r="Y1972" s="2">
        <v>0.38834913563830697</v>
      </c>
      <c r="Z1972" s="2">
        <v>388.34913563830702</v>
      </c>
      <c r="AA1972" s="2">
        <v>4.71035</v>
      </c>
      <c r="AB1972" s="2">
        <v>-74.030416666666696</v>
      </c>
      <c r="AC1972" s="2">
        <v>2570</v>
      </c>
      <c r="AD1972" s="2">
        <v>10</v>
      </c>
      <c r="AE1972" s="2" t="s">
        <v>59</v>
      </c>
      <c r="AF1972" s="2" t="s">
        <v>86</v>
      </c>
      <c r="AG1972" s="2" t="s">
        <v>61</v>
      </c>
      <c r="AH1972" s="2" t="s">
        <v>62</v>
      </c>
      <c r="AI1972" s="2" t="s">
        <v>87</v>
      </c>
      <c r="AJ1972" s="2">
        <v>2.4009674648544901</v>
      </c>
      <c r="AK1972" s="2">
        <v>0.81166831789236304</v>
      </c>
      <c r="AL1972" s="2">
        <v>0.38519425229802401</v>
      </c>
      <c r="AM1972" s="2">
        <v>0.20424337977620899</v>
      </c>
      <c r="AN1972" s="2">
        <v>3.8292386888458299</v>
      </c>
      <c r="AO1972" s="2">
        <v>9.3518602702829898E-2</v>
      </c>
      <c r="AP1972" s="2">
        <v>9.3518602702829898E-2</v>
      </c>
      <c r="AQ1972" s="2">
        <v>0</v>
      </c>
      <c r="AR1972" s="2">
        <v>0</v>
      </c>
      <c r="AS1972" s="2">
        <v>0</v>
      </c>
      <c r="AT1972" s="2">
        <v>15</v>
      </c>
      <c r="AU1972" s="2">
        <v>2</v>
      </c>
      <c r="AV1972" s="2">
        <v>108</v>
      </c>
      <c r="AW1972" s="2">
        <v>0</v>
      </c>
      <c r="AX1972" s="2">
        <v>0</v>
      </c>
      <c r="AY1972" s="2">
        <v>15.5</v>
      </c>
      <c r="AZ1972" s="2">
        <v>2.4</v>
      </c>
      <c r="BA1972" s="2">
        <v>10.9</v>
      </c>
      <c r="BB1972" s="2">
        <v>564</v>
      </c>
      <c r="BC1972" s="2">
        <v>68</v>
      </c>
      <c r="BD1972" s="2">
        <v>1.5</v>
      </c>
      <c r="BE1972" s="2">
        <v>135</v>
      </c>
      <c r="BF1972" s="2">
        <v>0</v>
      </c>
      <c r="BG1972" s="2">
        <v>162</v>
      </c>
      <c r="BH1972" s="2">
        <v>9.1</v>
      </c>
      <c r="BI1972" s="2">
        <v>9.1999999999999993</v>
      </c>
      <c r="BJ1972" s="2">
        <v>18.3</v>
      </c>
      <c r="BK1972" s="2">
        <v>0.34</v>
      </c>
      <c r="BL1972" s="2">
        <v>7.3</v>
      </c>
      <c r="BM1972" s="2">
        <v>0.9</v>
      </c>
      <c r="BN1972" s="2">
        <v>7.5</v>
      </c>
      <c r="BO1972" s="2">
        <v>2.9</v>
      </c>
      <c r="BP1972" s="2">
        <f t="shared" si="60"/>
        <v>2.3543047363173151</v>
      </c>
      <c r="BQ1972" s="2">
        <f t="shared" si="61"/>
        <v>10.798879837270698</v>
      </c>
    </row>
    <row r="1973" spans="1:69" x14ac:dyDescent="0.2">
      <c r="A1973" s="2" t="s">
        <v>596</v>
      </c>
      <c r="B1973" s="2" t="s">
        <v>47</v>
      </c>
      <c r="C1973" s="2" t="s">
        <v>48</v>
      </c>
      <c r="D1973" s="2" t="s">
        <v>49</v>
      </c>
      <c r="E1973" s="2" t="s">
        <v>189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89</v>
      </c>
      <c r="L1973" s="6" t="s">
        <v>90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597</v>
      </c>
      <c r="R1973" s="2">
        <v>277142857.10000002</v>
      </c>
      <c r="S1973" s="2">
        <v>0</v>
      </c>
      <c r="T1973" s="2" t="s">
        <v>83</v>
      </c>
      <c r="U1973" s="2" t="s">
        <v>84</v>
      </c>
      <c r="V1973" s="2" t="s">
        <v>56</v>
      </c>
      <c r="W1973" s="2" t="s">
        <v>83</v>
      </c>
      <c r="X1973" s="2" t="s">
        <v>85</v>
      </c>
      <c r="Y1973" s="2">
        <v>2.4222679799778399</v>
      </c>
      <c r="Z1973" s="2">
        <v>2422.2679799778398</v>
      </c>
      <c r="AA1973" s="2">
        <v>4.71035</v>
      </c>
      <c r="AB1973" s="2">
        <v>-74.030416666666696</v>
      </c>
      <c r="AC1973" s="2">
        <v>2570</v>
      </c>
      <c r="AD1973" s="2">
        <v>10</v>
      </c>
      <c r="AE1973" s="2" t="s">
        <v>59</v>
      </c>
      <c r="AF1973" s="2" t="s">
        <v>86</v>
      </c>
      <c r="AG1973" s="2" t="s">
        <v>61</v>
      </c>
      <c r="AH1973" s="2" t="s">
        <v>62</v>
      </c>
      <c r="AI1973" s="2" t="s">
        <v>87</v>
      </c>
      <c r="AJ1973" s="2">
        <v>0.940818909887573</v>
      </c>
      <c r="AK1973" s="2">
        <v>2.28140787440968</v>
      </c>
      <c r="AL1973" s="2">
        <v>0.45090051458856201</v>
      </c>
      <c r="AM1973" s="2">
        <v>0.142572799518799</v>
      </c>
      <c r="AN1973" s="2">
        <v>4.5884418661378401</v>
      </c>
      <c r="AO1973" s="2">
        <v>0.26704505388022098</v>
      </c>
      <c r="AP1973" s="2">
        <v>0.26704505388022098</v>
      </c>
      <c r="AQ1973" s="2">
        <v>0</v>
      </c>
      <c r="AR1973" s="2">
        <v>1</v>
      </c>
      <c r="AS1973" s="2">
        <v>0</v>
      </c>
      <c r="AT1973" s="2">
        <v>0</v>
      </c>
      <c r="AU1973" s="2">
        <v>3</v>
      </c>
      <c r="AV1973" s="2">
        <v>126</v>
      </c>
      <c r="AW1973" s="2">
        <v>0</v>
      </c>
      <c r="AX1973" s="2">
        <v>0</v>
      </c>
      <c r="AY1973" s="2">
        <v>15.5</v>
      </c>
      <c r="AZ1973" s="2">
        <v>2.4</v>
      </c>
      <c r="BA1973" s="2">
        <v>10.9</v>
      </c>
      <c r="BB1973" s="2">
        <v>564</v>
      </c>
      <c r="BC1973" s="2">
        <v>68</v>
      </c>
      <c r="BD1973" s="2">
        <v>1.5</v>
      </c>
      <c r="BE1973" s="2">
        <v>135</v>
      </c>
      <c r="BF1973" s="2">
        <v>0</v>
      </c>
      <c r="BG1973" s="2">
        <v>162</v>
      </c>
      <c r="BH1973" s="2">
        <v>9.1</v>
      </c>
      <c r="BI1973" s="2">
        <v>9.1999999999999993</v>
      </c>
      <c r="BJ1973" s="2">
        <v>18.3</v>
      </c>
      <c r="BK1973" s="2">
        <v>0.34</v>
      </c>
      <c r="BL1973" s="2">
        <v>7.3</v>
      </c>
      <c r="BM1973" s="2">
        <v>0.9</v>
      </c>
      <c r="BN1973" s="2">
        <v>7.5</v>
      </c>
      <c r="BO1973" s="2">
        <v>2.9</v>
      </c>
      <c r="BP1973" s="2">
        <f t="shared" si="60"/>
        <v>2.1288170978742498</v>
      </c>
      <c r="BQ1973" s="2">
        <f t="shared" si="61"/>
        <v>10.284401786368978</v>
      </c>
    </row>
  </sheetData>
  <autoFilter ref="A1:BQ1973" xr:uid="{14B329BF-2F32-B14D-98D4-576379FB1069}">
    <sortState xmlns:xlrd2="http://schemas.microsoft.com/office/spreadsheetml/2017/richdata2" ref="A2:BQ1973">
      <sortCondition descending="1" ref="BA1:BA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2026-06-10T02:13:25Z</dcterms:modified>
</cp:coreProperties>
</file>